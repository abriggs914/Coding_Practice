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brig\Documents\Coding_Practice\Python\Thingiverse\"/>
    </mc:Choice>
  </mc:AlternateContent>
  <xr:revisionPtr revIDLastSave="0" documentId="13_ncr:1_{EB9D5CC5-93F2-4C12-AE4C-FCB390671FA6}" xr6:coauthVersionLast="47" xr6:coauthVersionMax="47" xr10:uidLastSave="{00000000-0000-0000-0000-000000000000}"/>
  <bookViews>
    <workbookView xWindow="-120" yWindow="-120" windowWidth="29040" windowHeight="15840" xr2:uid="{AA65E66E-25AF-41FC-AF3D-E4037625FD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8" i="1" l="1"/>
  <c r="P68" i="1" s="1"/>
  <c r="D69" i="1"/>
  <c r="P69" i="1" s="1"/>
  <c r="D70" i="1"/>
  <c r="R70" i="1" s="1"/>
  <c r="D71" i="1"/>
  <c r="R71" i="1" s="1"/>
  <c r="D72" i="1"/>
  <c r="P72" i="1" s="1"/>
  <c r="D73" i="1"/>
  <c r="P73" i="1" s="1"/>
  <c r="M68" i="1"/>
  <c r="M69" i="1"/>
  <c r="M70" i="1"/>
  <c r="M71" i="1"/>
  <c r="M72" i="1"/>
  <c r="M73" i="1"/>
  <c r="N68" i="1"/>
  <c r="N69" i="1"/>
  <c r="N70" i="1"/>
  <c r="N71" i="1"/>
  <c r="N72" i="1"/>
  <c r="N73" i="1"/>
  <c r="O68" i="1"/>
  <c r="O69" i="1"/>
  <c r="O70" i="1"/>
  <c r="O71" i="1"/>
  <c r="O72" i="1"/>
  <c r="O73" i="1"/>
  <c r="Q73" i="1"/>
  <c r="R69" i="1"/>
  <c r="R73" i="1"/>
  <c r="T68" i="1"/>
  <c r="V68" i="1" s="1"/>
  <c r="T69" i="1"/>
  <c r="T70" i="1"/>
  <c r="V70" i="1" s="1"/>
  <c r="T71" i="1"/>
  <c r="V71" i="1" s="1"/>
  <c r="T72" i="1"/>
  <c r="U72" i="1" s="1"/>
  <c r="T73" i="1"/>
  <c r="V73" i="1" s="1"/>
  <c r="V69" i="1"/>
  <c r="U73" i="1" l="1"/>
  <c r="Q71" i="1"/>
  <c r="S71" i="1"/>
  <c r="P71" i="1"/>
  <c r="U71" i="1"/>
  <c r="P70" i="1"/>
  <c r="S69" i="1"/>
  <c r="U69" i="1"/>
  <c r="Q69" i="1"/>
  <c r="S70" i="1"/>
  <c r="U70" i="1"/>
  <c r="Q70" i="1"/>
  <c r="S73" i="1"/>
  <c r="S72" i="1"/>
  <c r="Q72" i="1"/>
  <c r="U68" i="1"/>
  <c r="S68" i="1"/>
  <c r="R68" i="1"/>
  <c r="Q68" i="1"/>
  <c r="V72" i="1"/>
  <c r="R72" i="1"/>
  <c r="D62" i="1" l="1"/>
  <c r="Q62" i="1" s="1"/>
  <c r="D63" i="1"/>
  <c r="Q63" i="1" s="1"/>
  <c r="D64" i="1"/>
  <c r="Q64" i="1" s="1"/>
  <c r="D65" i="1"/>
  <c r="Q65" i="1" s="1"/>
  <c r="D66" i="1"/>
  <c r="D67" i="1"/>
  <c r="Q67" i="1" s="1"/>
  <c r="M62" i="1"/>
  <c r="M63" i="1"/>
  <c r="M64" i="1"/>
  <c r="M65" i="1"/>
  <c r="M66" i="1"/>
  <c r="M67" i="1"/>
  <c r="N62" i="1"/>
  <c r="N63" i="1"/>
  <c r="N64" i="1"/>
  <c r="N65" i="1"/>
  <c r="N66" i="1"/>
  <c r="N67" i="1"/>
  <c r="O62" i="1"/>
  <c r="O63" i="1"/>
  <c r="O64" i="1"/>
  <c r="O65" i="1"/>
  <c r="O66" i="1"/>
  <c r="O67" i="1"/>
  <c r="P66" i="1"/>
  <c r="Q66" i="1"/>
  <c r="R64" i="1"/>
  <c r="R66" i="1"/>
  <c r="S62" i="1"/>
  <c r="S64" i="1"/>
  <c r="S66" i="1"/>
  <c r="T62" i="1"/>
  <c r="V62" i="1" s="1"/>
  <c r="T63" i="1"/>
  <c r="V63" i="1" s="1"/>
  <c r="T64" i="1"/>
  <c r="V64" i="1" s="1"/>
  <c r="T65" i="1"/>
  <c r="V65" i="1" s="1"/>
  <c r="T66" i="1"/>
  <c r="T67" i="1"/>
  <c r="U67" i="1" s="1"/>
  <c r="U62" i="1"/>
  <c r="U66" i="1"/>
  <c r="V66" i="1"/>
  <c r="D56" i="1"/>
  <c r="Q56" i="1" s="1"/>
  <c r="D57" i="1"/>
  <c r="P57" i="1" s="1"/>
  <c r="D58" i="1"/>
  <c r="S58" i="1" s="1"/>
  <c r="D59" i="1"/>
  <c r="Q59" i="1" s="1"/>
  <c r="D60" i="1"/>
  <c r="S60" i="1" s="1"/>
  <c r="D61" i="1"/>
  <c r="S61" i="1" s="1"/>
  <c r="M56" i="1"/>
  <c r="M57" i="1"/>
  <c r="M58" i="1"/>
  <c r="M59" i="1"/>
  <c r="M60" i="1"/>
  <c r="M61" i="1"/>
  <c r="N56" i="1"/>
  <c r="N57" i="1"/>
  <c r="N58" i="1"/>
  <c r="N59" i="1"/>
  <c r="N60" i="1"/>
  <c r="N61" i="1"/>
  <c r="O56" i="1"/>
  <c r="O57" i="1"/>
  <c r="O58" i="1"/>
  <c r="O59" i="1"/>
  <c r="O60" i="1"/>
  <c r="O61" i="1"/>
  <c r="P60" i="1"/>
  <c r="Q58" i="1"/>
  <c r="Q61" i="1"/>
  <c r="R61" i="1"/>
  <c r="T56" i="1"/>
  <c r="V56" i="1" s="1"/>
  <c r="T57" i="1"/>
  <c r="V57" i="1" s="1"/>
  <c r="T58" i="1"/>
  <c r="T59" i="1"/>
  <c r="V59" i="1" s="1"/>
  <c r="T60" i="1"/>
  <c r="U60" i="1" s="1"/>
  <c r="T61" i="1"/>
  <c r="D50" i="1"/>
  <c r="Q50" i="1" s="1"/>
  <c r="D51" i="1"/>
  <c r="P51" i="1" s="1"/>
  <c r="D52" i="1"/>
  <c r="P52" i="1" s="1"/>
  <c r="D53" i="1"/>
  <c r="P53" i="1" s="1"/>
  <c r="D54" i="1"/>
  <c r="R54" i="1" s="1"/>
  <c r="D55" i="1"/>
  <c r="Q55" i="1" s="1"/>
  <c r="M50" i="1"/>
  <c r="M51" i="1"/>
  <c r="M52" i="1"/>
  <c r="M53" i="1"/>
  <c r="M54" i="1"/>
  <c r="M55" i="1"/>
  <c r="N50" i="1"/>
  <c r="N51" i="1"/>
  <c r="N52" i="1"/>
  <c r="N53" i="1"/>
  <c r="N54" i="1"/>
  <c r="N55" i="1"/>
  <c r="O50" i="1"/>
  <c r="O51" i="1"/>
  <c r="O52" i="1"/>
  <c r="O53" i="1"/>
  <c r="O54" i="1"/>
  <c r="O55" i="1"/>
  <c r="P50" i="1"/>
  <c r="Q53" i="1"/>
  <c r="R50" i="1"/>
  <c r="R53" i="1"/>
  <c r="S53" i="1"/>
  <c r="T50" i="1"/>
  <c r="V50" i="1" s="1"/>
  <c r="T51" i="1"/>
  <c r="T52" i="1"/>
  <c r="V52" i="1" s="1"/>
  <c r="T53" i="1"/>
  <c r="V53" i="1" s="1"/>
  <c r="T54" i="1"/>
  <c r="V54" i="1" s="1"/>
  <c r="T55" i="1"/>
  <c r="V51" i="1"/>
  <c r="D44" i="1"/>
  <c r="Q44" i="1" s="1"/>
  <c r="D45" i="1"/>
  <c r="S45" i="1" s="1"/>
  <c r="D46" i="1"/>
  <c r="Q46" i="1" s="1"/>
  <c r="D47" i="1"/>
  <c r="S47" i="1" s="1"/>
  <c r="D48" i="1"/>
  <c r="R48" i="1" s="1"/>
  <c r="D49" i="1"/>
  <c r="P49" i="1" s="1"/>
  <c r="M44" i="1"/>
  <c r="M45" i="1"/>
  <c r="M46" i="1"/>
  <c r="M47" i="1"/>
  <c r="M48" i="1"/>
  <c r="M49" i="1"/>
  <c r="N44" i="1"/>
  <c r="N45" i="1"/>
  <c r="N46" i="1"/>
  <c r="N47" i="1"/>
  <c r="N48" i="1"/>
  <c r="N49" i="1"/>
  <c r="O44" i="1"/>
  <c r="O45" i="1"/>
  <c r="O46" i="1"/>
  <c r="O47" i="1"/>
  <c r="O48" i="1"/>
  <c r="O49" i="1"/>
  <c r="P44" i="1"/>
  <c r="P45" i="1"/>
  <c r="R47" i="1"/>
  <c r="T44" i="1"/>
  <c r="V44" i="1" s="1"/>
  <c r="T45" i="1"/>
  <c r="T46" i="1"/>
  <c r="V46" i="1" s="1"/>
  <c r="T47" i="1"/>
  <c r="V47" i="1" s="1"/>
  <c r="T48" i="1"/>
  <c r="V48" i="1" s="1"/>
  <c r="T49" i="1"/>
  <c r="D38" i="1"/>
  <c r="R38" i="1" s="1"/>
  <c r="D39" i="1"/>
  <c r="R39" i="1" s="1"/>
  <c r="D40" i="1"/>
  <c r="R40" i="1" s="1"/>
  <c r="D41" i="1"/>
  <c r="Q41" i="1" s="1"/>
  <c r="D42" i="1"/>
  <c r="Q42" i="1" s="1"/>
  <c r="D43" i="1"/>
  <c r="S43" i="1" s="1"/>
  <c r="M38" i="1"/>
  <c r="M39" i="1"/>
  <c r="M40" i="1"/>
  <c r="M41" i="1"/>
  <c r="M42" i="1"/>
  <c r="M43" i="1"/>
  <c r="N38" i="1"/>
  <c r="N39" i="1"/>
  <c r="N40" i="1"/>
  <c r="N41" i="1"/>
  <c r="N42" i="1"/>
  <c r="N43" i="1"/>
  <c r="O38" i="1"/>
  <c r="O39" i="1"/>
  <c r="O40" i="1"/>
  <c r="O41" i="1"/>
  <c r="O42" i="1"/>
  <c r="O43" i="1"/>
  <c r="P38" i="1"/>
  <c r="P39" i="1"/>
  <c r="P40" i="1"/>
  <c r="T38" i="1"/>
  <c r="V38" i="1" s="1"/>
  <c r="T39" i="1"/>
  <c r="V39" i="1" s="1"/>
  <c r="T40" i="1"/>
  <c r="V40" i="1" s="1"/>
  <c r="T41" i="1"/>
  <c r="V41" i="1" s="1"/>
  <c r="T42" i="1"/>
  <c r="V42" i="1" s="1"/>
  <c r="T43" i="1"/>
  <c r="D32" i="1"/>
  <c r="R32" i="1" s="1"/>
  <c r="D33" i="1"/>
  <c r="Q33" i="1" s="1"/>
  <c r="D34" i="1"/>
  <c r="P34" i="1" s="1"/>
  <c r="D35" i="1"/>
  <c r="R35" i="1" s="1"/>
  <c r="D36" i="1"/>
  <c r="P36" i="1" s="1"/>
  <c r="D37" i="1"/>
  <c r="P37" i="1" s="1"/>
  <c r="M32" i="1"/>
  <c r="M33" i="1"/>
  <c r="M34" i="1"/>
  <c r="M35" i="1"/>
  <c r="M36" i="1"/>
  <c r="M37" i="1"/>
  <c r="N32" i="1"/>
  <c r="N33" i="1"/>
  <c r="N34" i="1"/>
  <c r="N35" i="1"/>
  <c r="N36" i="1"/>
  <c r="N37" i="1"/>
  <c r="O32" i="1"/>
  <c r="O33" i="1"/>
  <c r="O34" i="1"/>
  <c r="O35" i="1"/>
  <c r="O36" i="1"/>
  <c r="O37" i="1"/>
  <c r="P32" i="1"/>
  <c r="P33" i="1"/>
  <c r="Q36" i="1"/>
  <c r="T32" i="1"/>
  <c r="T33" i="1"/>
  <c r="T34" i="1"/>
  <c r="V34" i="1" s="1"/>
  <c r="T35" i="1"/>
  <c r="T36" i="1"/>
  <c r="U36" i="1" s="1"/>
  <c r="T37" i="1"/>
  <c r="U37" i="1" s="1"/>
  <c r="D26" i="1"/>
  <c r="D27" i="1"/>
  <c r="D28" i="1"/>
  <c r="D29" i="1"/>
  <c r="D30" i="1"/>
  <c r="D31" i="1"/>
  <c r="M26" i="1"/>
  <c r="M27" i="1"/>
  <c r="M28" i="1"/>
  <c r="M29" i="1"/>
  <c r="M30" i="1"/>
  <c r="M31" i="1"/>
  <c r="N26" i="1"/>
  <c r="N27" i="1"/>
  <c r="N28" i="1"/>
  <c r="N29" i="1"/>
  <c r="N30" i="1"/>
  <c r="N31" i="1"/>
  <c r="O26" i="1"/>
  <c r="O27" i="1"/>
  <c r="O28" i="1"/>
  <c r="O29" i="1"/>
  <c r="O30" i="1"/>
  <c r="O31" i="1"/>
  <c r="P26" i="1"/>
  <c r="P27" i="1"/>
  <c r="P28" i="1"/>
  <c r="P29" i="1"/>
  <c r="P30" i="1"/>
  <c r="P31" i="1"/>
  <c r="Q26" i="1"/>
  <c r="Q27" i="1"/>
  <c r="Q28" i="1"/>
  <c r="Q29" i="1"/>
  <c r="Q30" i="1"/>
  <c r="Q31" i="1"/>
  <c r="R26" i="1"/>
  <c r="R27" i="1"/>
  <c r="R28" i="1"/>
  <c r="R29" i="1"/>
  <c r="R30" i="1"/>
  <c r="R31" i="1"/>
  <c r="S26" i="1"/>
  <c r="S27" i="1"/>
  <c r="S28" i="1"/>
  <c r="S29" i="1"/>
  <c r="S30" i="1"/>
  <c r="S31" i="1"/>
  <c r="T26" i="1"/>
  <c r="U26" i="1" s="1"/>
  <c r="T27" i="1"/>
  <c r="V27" i="1" s="1"/>
  <c r="T28" i="1"/>
  <c r="U28" i="1" s="1"/>
  <c r="T29" i="1"/>
  <c r="V29" i="1" s="1"/>
  <c r="T30" i="1"/>
  <c r="V30" i="1" s="1"/>
  <c r="T31" i="1"/>
  <c r="V31" i="1" s="1"/>
  <c r="D25" i="1"/>
  <c r="R25" i="1" s="1"/>
  <c r="M25" i="1"/>
  <c r="N25" i="1"/>
  <c r="O25" i="1"/>
  <c r="T25" i="1"/>
  <c r="D24" i="1"/>
  <c r="S24" i="1" s="1"/>
  <c r="M24" i="1"/>
  <c r="N24" i="1"/>
  <c r="O24" i="1"/>
  <c r="T24" i="1"/>
  <c r="D23" i="1"/>
  <c r="R23" i="1" s="1"/>
  <c r="M23" i="1"/>
  <c r="N23" i="1"/>
  <c r="O23" i="1"/>
  <c r="T23" i="1"/>
  <c r="V23" i="1" s="1"/>
  <c r="D22" i="1"/>
  <c r="S22" i="1" s="1"/>
  <c r="M22" i="1"/>
  <c r="N22" i="1"/>
  <c r="O22" i="1"/>
  <c r="T22" i="1"/>
  <c r="V22" i="1" s="1"/>
  <c r="D21" i="1"/>
  <c r="Q21" i="1" s="1"/>
  <c r="M21" i="1"/>
  <c r="N21" i="1"/>
  <c r="O21" i="1"/>
  <c r="T21" i="1"/>
  <c r="D20" i="1"/>
  <c r="P20" i="1" s="1"/>
  <c r="M20" i="1"/>
  <c r="N20" i="1"/>
  <c r="O20" i="1"/>
  <c r="T20" i="1"/>
  <c r="V20" i="1" s="1"/>
  <c r="D2" i="1"/>
  <c r="D3" i="1"/>
  <c r="D4" i="1"/>
  <c r="D5" i="1"/>
  <c r="D6" i="1"/>
  <c r="D7" i="1"/>
  <c r="D8" i="1"/>
  <c r="R8" i="1" s="1"/>
  <c r="D9" i="1"/>
  <c r="S9" i="1" s="1"/>
  <c r="D10" i="1"/>
  <c r="P10" i="1" s="1"/>
  <c r="D11" i="1"/>
  <c r="Q11" i="1" s="1"/>
  <c r="D12" i="1"/>
  <c r="Q12" i="1" s="1"/>
  <c r="D13" i="1"/>
  <c r="P13" i="1" s="1"/>
  <c r="D14" i="1"/>
  <c r="P14" i="1" s="1"/>
  <c r="D15" i="1"/>
  <c r="S15" i="1" s="1"/>
  <c r="D16" i="1"/>
  <c r="D17" i="1"/>
  <c r="P17" i="1" s="1"/>
  <c r="D18" i="1"/>
  <c r="P18" i="1" s="1"/>
  <c r="D19" i="1"/>
  <c r="S19" i="1" s="1"/>
  <c r="M19" i="1"/>
  <c r="N19" i="1"/>
  <c r="O19" i="1"/>
  <c r="T19" i="1"/>
  <c r="V19" i="1" s="1"/>
  <c r="M18" i="1"/>
  <c r="N18" i="1"/>
  <c r="O18" i="1"/>
  <c r="T18" i="1"/>
  <c r="V18" i="1" s="1"/>
  <c r="M17" i="1"/>
  <c r="N17" i="1"/>
  <c r="O17" i="1"/>
  <c r="T17" i="1"/>
  <c r="M16" i="1"/>
  <c r="N16" i="1"/>
  <c r="O16" i="1"/>
  <c r="T16" i="1"/>
  <c r="V16" i="1" s="1"/>
  <c r="M15" i="1"/>
  <c r="N15" i="1"/>
  <c r="O15" i="1"/>
  <c r="T15" i="1"/>
  <c r="M14" i="1"/>
  <c r="N14" i="1"/>
  <c r="O14" i="1"/>
  <c r="T14" i="1"/>
  <c r="V14" i="1" s="1"/>
  <c r="M8" i="1"/>
  <c r="M9" i="1"/>
  <c r="M10" i="1"/>
  <c r="M11" i="1"/>
  <c r="M12" i="1"/>
  <c r="M13" i="1"/>
  <c r="N8" i="1"/>
  <c r="N9" i="1"/>
  <c r="N10" i="1"/>
  <c r="N11" i="1"/>
  <c r="N12" i="1"/>
  <c r="N13" i="1"/>
  <c r="O8" i="1"/>
  <c r="O9" i="1"/>
  <c r="O10" i="1"/>
  <c r="O11" i="1"/>
  <c r="O12" i="1"/>
  <c r="O13" i="1"/>
  <c r="T8" i="1"/>
  <c r="V8" i="1" s="1"/>
  <c r="T9" i="1"/>
  <c r="V9" i="1" s="1"/>
  <c r="T10" i="1"/>
  <c r="V10" i="1" s="1"/>
  <c r="T11" i="1"/>
  <c r="V11" i="1" s="1"/>
  <c r="T12" i="1"/>
  <c r="T13" i="1"/>
  <c r="V13" i="1" s="1"/>
  <c r="U49" i="1" l="1"/>
  <c r="S49" i="1"/>
  <c r="U54" i="1"/>
  <c r="P54" i="1"/>
  <c r="R60" i="1"/>
  <c r="U58" i="1"/>
  <c r="R67" i="1"/>
  <c r="P67" i="1"/>
  <c r="Q47" i="1"/>
  <c r="Q60" i="1"/>
  <c r="U56" i="1"/>
  <c r="S67" i="1"/>
  <c r="S36" i="1"/>
  <c r="Q54" i="1"/>
  <c r="U61" i="1"/>
  <c r="P61" i="1"/>
  <c r="R62" i="1"/>
  <c r="V67" i="1"/>
  <c r="U65" i="1"/>
  <c r="R65" i="1"/>
  <c r="S65" i="1"/>
  <c r="P65" i="1"/>
  <c r="U64" i="1"/>
  <c r="P64" i="1"/>
  <c r="P63" i="1"/>
  <c r="U63" i="1"/>
  <c r="S63" i="1"/>
  <c r="R63" i="1"/>
  <c r="P62" i="1"/>
  <c r="S32" i="1"/>
  <c r="S50" i="1"/>
  <c r="S56" i="1"/>
  <c r="Q35" i="1"/>
  <c r="R59" i="1"/>
  <c r="S54" i="1"/>
  <c r="R58" i="1"/>
  <c r="P58" i="1"/>
  <c r="V60" i="1"/>
  <c r="V58" i="1"/>
  <c r="S59" i="1"/>
  <c r="P59" i="1"/>
  <c r="U59" i="1"/>
  <c r="Q57" i="1"/>
  <c r="U57" i="1"/>
  <c r="R57" i="1"/>
  <c r="S57" i="1"/>
  <c r="P56" i="1"/>
  <c r="R56" i="1"/>
  <c r="Q48" i="1"/>
  <c r="V61" i="1"/>
  <c r="U32" i="1"/>
  <c r="Q32" i="1"/>
  <c r="U38" i="1"/>
  <c r="R36" i="1"/>
  <c r="S38" i="1"/>
  <c r="S48" i="1"/>
  <c r="U53" i="1"/>
  <c r="U50" i="1"/>
  <c r="P48" i="1"/>
  <c r="P47" i="1"/>
  <c r="U45" i="1"/>
  <c r="R55" i="1"/>
  <c r="P55" i="1"/>
  <c r="U55" i="1"/>
  <c r="S55" i="1"/>
  <c r="Q52" i="1"/>
  <c r="R52" i="1"/>
  <c r="S52" i="1"/>
  <c r="U52" i="1"/>
  <c r="Q51" i="1"/>
  <c r="U51" i="1"/>
  <c r="R51" i="1"/>
  <c r="S51" i="1"/>
  <c r="Q43" i="1"/>
  <c r="V55" i="1"/>
  <c r="Q38" i="1"/>
  <c r="U35" i="1"/>
  <c r="R49" i="1"/>
  <c r="V26" i="1"/>
  <c r="U43" i="1"/>
  <c r="S40" i="1"/>
  <c r="U47" i="1"/>
  <c r="V45" i="1"/>
  <c r="R46" i="1"/>
  <c r="Q45" i="1"/>
  <c r="S46" i="1"/>
  <c r="R45" i="1"/>
  <c r="U46" i="1"/>
  <c r="Q49" i="1"/>
  <c r="P46" i="1"/>
  <c r="U44" i="1"/>
  <c r="S44" i="1"/>
  <c r="R44" i="1"/>
  <c r="V49" i="1"/>
  <c r="R42" i="1"/>
  <c r="R41" i="1"/>
  <c r="U48" i="1"/>
  <c r="S42" i="1"/>
  <c r="P42" i="1"/>
  <c r="U42" i="1"/>
  <c r="V43" i="1"/>
  <c r="U40" i="1"/>
  <c r="R43" i="1"/>
  <c r="P43" i="1"/>
  <c r="S41" i="1"/>
  <c r="U41" i="1"/>
  <c r="Q40" i="1"/>
  <c r="Q39" i="1"/>
  <c r="U39" i="1"/>
  <c r="S39" i="1"/>
  <c r="P41" i="1"/>
  <c r="S35" i="1"/>
  <c r="V37" i="1"/>
  <c r="V36" i="1"/>
  <c r="V35" i="1"/>
  <c r="P35" i="1"/>
  <c r="S37" i="1"/>
  <c r="R37" i="1"/>
  <c r="Q37" i="1"/>
  <c r="U34" i="1"/>
  <c r="S34" i="1"/>
  <c r="R34" i="1"/>
  <c r="Q34" i="1"/>
  <c r="U33" i="1"/>
  <c r="S33" i="1"/>
  <c r="R33" i="1"/>
  <c r="V32" i="1"/>
  <c r="V33" i="1"/>
  <c r="U30" i="1"/>
  <c r="U31" i="1"/>
  <c r="U29" i="1"/>
  <c r="U27" i="1"/>
  <c r="V28" i="1"/>
  <c r="U25" i="1"/>
  <c r="S25" i="1"/>
  <c r="V25" i="1"/>
  <c r="P25" i="1"/>
  <c r="Q25" i="1"/>
  <c r="U24" i="1"/>
  <c r="Q24" i="1"/>
  <c r="S21" i="1"/>
  <c r="S23" i="1"/>
  <c r="V24" i="1"/>
  <c r="P24" i="1"/>
  <c r="R24" i="1"/>
  <c r="U22" i="1"/>
  <c r="U23" i="1"/>
  <c r="R21" i="1"/>
  <c r="Q23" i="1"/>
  <c r="P21" i="1"/>
  <c r="P23" i="1"/>
  <c r="R22" i="1"/>
  <c r="Q22" i="1"/>
  <c r="P22" i="1"/>
  <c r="U21" i="1"/>
  <c r="S20" i="1"/>
  <c r="V21" i="1"/>
  <c r="U16" i="1"/>
  <c r="R20" i="1"/>
  <c r="U20" i="1"/>
  <c r="Q20" i="1"/>
  <c r="P16" i="1"/>
  <c r="U14" i="1"/>
  <c r="U8" i="1"/>
  <c r="U19" i="1"/>
  <c r="U13" i="1"/>
  <c r="U9" i="1"/>
  <c r="U18" i="1"/>
  <c r="U12" i="1"/>
  <c r="U10" i="1"/>
  <c r="U15" i="1"/>
  <c r="U17" i="1"/>
  <c r="U11" i="1"/>
  <c r="R17" i="1"/>
  <c r="R18" i="1"/>
  <c r="R19" i="1"/>
  <c r="Q19" i="1"/>
  <c r="S18" i="1"/>
  <c r="P19" i="1"/>
  <c r="Q18" i="1"/>
  <c r="S14" i="1"/>
  <c r="S16" i="1"/>
  <c r="S17" i="1"/>
  <c r="Q17" i="1"/>
  <c r="V17" i="1"/>
  <c r="R16" i="1"/>
  <c r="Q16" i="1"/>
  <c r="R15" i="1"/>
  <c r="Q14" i="1"/>
  <c r="V15" i="1"/>
  <c r="P15" i="1"/>
  <c r="R14" i="1"/>
  <c r="Q15" i="1"/>
  <c r="P12" i="1"/>
  <c r="R12" i="1"/>
  <c r="P8" i="1"/>
  <c r="V12" i="1"/>
  <c r="S12" i="1"/>
  <c r="P9" i="1"/>
  <c r="S8" i="1"/>
  <c r="R13" i="1"/>
  <c r="Q13" i="1"/>
  <c r="S13" i="1"/>
  <c r="P11" i="1"/>
  <c r="R11" i="1"/>
  <c r="Q9" i="1"/>
  <c r="S11" i="1"/>
  <c r="R9" i="1"/>
  <c r="Q8" i="1"/>
  <c r="S10" i="1"/>
  <c r="R10" i="1"/>
  <c r="Q10" i="1"/>
  <c r="S2" i="1"/>
  <c r="M2" i="1"/>
  <c r="N2" i="1"/>
  <c r="O2" i="1"/>
  <c r="T2" i="1"/>
  <c r="V2" i="1" s="1"/>
  <c r="M3" i="1"/>
  <c r="N3" i="1"/>
  <c r="O3" i="1"/>
  <c r="T3" i="1"/>
  <c r="V3" i="1" s="1"/>
  <c r="M4" i="1"/>
  <c r="N4" i="1"/>
  <c r="O4" i="1"/>
  <c r="T4" i="1"/>
  <c r="M5" i="1"/>
  <c r="N5" i="1"/>
  <c r="O5" i="1"/>
  <c r="T5" i="1"/>
  <c r="V5" i="1" s="1"/>
  <c r="M6" i="1"/>
  <c r="N6" i="1"/>
  <c r="O6" i="1"/>
  <c r="T6" i="1"/>
  <c r="V6" i="1" s="1"/>
  <c r="M7" i="1"/>
  <c r="N7" i="1"/>
  <c r="O7" i="1"/>
  <c r="T7" i="1"/>
  <c r="U5" i="1" l="1"/>
  <c r="S4" i="1"/>
  <c r="U4" i="1"/>
  <c r="R6" i="1"/>
  <c r="U6" i="1"/>
  <c r="Q3" i="1"/>
  <c r="U3" i="1"/>
  <c r="P7" i="1"/>
  <c r="U7" i="1"/>
  <c r="U2" i="1"/>
  <c r="R4" i="1"/>
  <c r="S3" i="1"/>
  <c r="R2" i="1"/>
  <c r="Q4" i="1"/>
  <c r="P4" i="1"/>
  <c r="S7" i="1"/>
  <c r="R3" i="1"/>
  <c r="S6" i="1"/>
  <c r="P3" i="1"/>
  <c r="R7" i="1"/>
  <c r="Q7" i="1"/>
  <c r="P6" i="1"/>
  <c r="V7" i="1"/>
  <c r="Q2" i="1"/>
  <c r="S5" i="1"/>
  <c r="P2" i="1"/>
  <c r="Q5" i="1"/>
  <c r="V4" i="1"/>
  <c r="Q6" i="1"/>
  <c r="P5" i="1"/>
  <c r="R5" i="1"/>
</calcChain>
</file>

<file path=xl/sharedStrings.xml><?xml version="1.0" encoding="utf-8"?>
<sst xmlns="http://schemas.openxmlformats.org/spreadsheetml/2006/main" count="94" uniqueCount="28">
  <si>
    <t>Mammoth</t>
  </si>
  <si>
    <t>PWHL</t>
  </si>
  <si>
    <t>WNBA</t>
  </si>
  <si>
    <t>Poker</t>
  </si>
  <si>
    <t>QMJHL</t>
  </si>
  <si>
    <t>Views</t>
  </si>
  <si>
    <t>Downloads</t>
  </si>
  <si>
    <t>Likes</t>
  </si>
  <si>
    <t>Collects</t>
  </si>
  <si>
    <t>Watches</t>
  </si>
  <si>
    <t>Comments</t>
  </si>
  <si>
    <t>Makes</t>
  </si>
  <si>
    <t>Derivatives</t>
  </si>
  <si>
    <t>Utah</t>
  </si>
  <si>
    <t>Pdownload</t>
  </si>
  <si>
    <t>Plike</t>
  </si>
  <si>
    <t>Pcollect</t>
  </si>
  <si>
    <t>Published</t>
  </si>
  <si>
    <t>Age</t>
  </si>
  <si>
    <t>DailyDownloads</t>
  </si>
  <si>
    <t>DailyLikes</t>
  </si>
  <si>
    <t>DailyCollects</t>
  </si>
  <si>
    <t>DailyViews</t>
  </si>
  <si>
    <t>Score</t>
  </si>
  <si>
    <t>DailyScore</t>
  </si>
  <si>
    <t>ScorePerView</t>
  </si>
  <si>
    <t>Date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</si>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</sst>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CFD035-DF42-4179-A65F-EE1B5D7828A5}" name="Table1" displayName="Table1" ref="A1:V73" totalsRowShown="0">
  <autoFilter ref="A1:V73" xr:uid="{83CFD035-DF42-4179-A65F-EE1B5D7828A5}"/>
  <tableColumns count="22">
    <tableColumn id="22" xr3:uid="{B838C6CD-92E8-4070-81DB-2EDE900509A2}" name="Date"/>
    <tableColumn id="1" xr3:uid="{C06BFB11-D5FB-45F8-853C-B38F6CA36FF6}" name="Model"/>
    <tableColumn id="13" xr3:uid="{AEE26F58-911F-4534-94C6-8FCA31D6F4B1}" name="Published"/>
    <tableColumn id="14" xr3:uid="{11FE9DF7-F747-41F2-BE31-8FAB66C0B838}" name="Age" dataDxfId="11">
      <calculatedColumnFormula>Table1[[#This Row],[Date]]-Table1[[#This Row],[Published]]</calculatedColumnFormula>
    </tableColumn>
    <tableColumn id="2" xr3:uid="{7E393A08-4718-4CB8-8F50-8ACBD51A470F}" name="Views" dataDxfId="10"/>
    <tableColumn id="3" xr3:uid="{AE7E7C79-96E4-4AA4-8ABE-36217F4A6424}" name="Downloads"/>
    <tableColumn id="4" xr3:uid="{CE18BE4D-786A-4C74-B355-10DEBE9AE05E}" name="Likes"/>
    <tableColumn id="5" xr3:uid="{FDBA26F1-3698-43DB-942B-1D299A4F5F85}" name="Collects"/>
    <tableColumn id="6" xr3:uid="{CEC18942-B541-46B6-BA3C-7238DE17EB8F}" name="Watches"/>
    <tableColumn id="7" xr3:uid="{6B33EC49-4483-47AF-BF77-28C0945F956C}" name="Comments"/>
    <tableColumn id="8" xr3:uid="{8A03F31E-D992-4A6A-8C83-45976E1E911E}" name="Makes"/>
    <tableColumn id="9" xr3:uid="{50A57524-FA39-4415-AA51-E48AAD714DFB}" name="Derivatives"/>
    <tableColumn id="10" xr3:uid="{2B3F8FB8-3A77-4903-8157-DF2E632AC885}" name="Pdownload" dataDxfId="9">
      <calculatedColumnFormula>Table1[[#This Row],[Downloads]]/Table1[[#This Row],[Views]]</calculatedColumnFormula>
    </tableColumn>
    <tableColumn id="11" xr3:uid="{4367DED9-9F80-416A-89E4-4D8ABEF630FC}" name="Plike" dataDxfId="8">
      <calculatedColumnFormula>Table1[[#This Row],[Likes]]/Table1[[#This Row],[Views]]</calculatedColumnFormula>
    </tableColumn>
    <tableColumn id="12" xr3:uid="{5A4C3180-1515-416E-8B42-B799EDBB03F7}" name="Pcollect" dataDxfId="7">
      <calculatedColumnFormula>Table1[[#This Row],[Collects]]/Table1[[#This Row],[Views]]</calculatedColumnFormula>
    </tableColumn>
    <tableColumn id="18" xr3:uid="{2ABE97EB-B9BA-49CE-9BEA-121DABE86BAB}" name="DailyViews" dataDxfId="6">
      <calculatedColumnFormula>Table1[[#This Row],[Views]]/Table1[[#This Row],[Age]]</calculatedColumnFormula>
    </tableColumn>
    <tableColumn id="15" xr3:uid="{BE1FE1BE-2BA3-494C-BDA2-F0B3AA590326}" name="DailyDownloads" dataDxfId="5">
      <calculatedColumnFormula>Table1[[#This Row],[Downloads]]/Table1[[#This Row],[Age]]</calculatedColumnFormula>
    </tableColumn>
    <tableColumn id="16" xr3:uid="{630D5AC9-22FD-4648-B35B-8100FA5478DD}" name="DailyLikes" dataDxfId="4">
      <calculatedColumnFormula>Table1[[#This Row],[Likes]]/Table1[[#This Row],[Age]]</calculatedColumnFormula>
    </tableColumn>
    <tableColumn id="17" xr3:uid="{7ED5648F-452B-4C2F-A6CC-579131C7D328}" name="DailyCollects" dataDxfId="3">
      <calculatedColumnFormula>Table1[[#This Row],[Collects]]/Table1[[#This Row],[Age]]</calculatedColumnFormula>
    </tableColumn>
    <tableColumn id="19" xr3:uid="{7038F531-83DC-4B5A-A836-DAB608EB634A}" name="Score" dataDxfId="2">
      <calculatedColumnFormula>(4*Table1[[#This Row],[Collects]])+(3*Table1[[#This Row],[Likes]])+(2*Table1[[#This Row],[Downloads]])+Table1[[#This Row],[Views]]</calculatedColumnFormula>
    </tableColumn>
    <tableColumn id="20" xr3:uid="{C98D09FC-8BDA-4AC8-89C9-828522310B20}" name="DailyScore" dataDxfId="1">
      <calculatedColumnFormula>Table1[[#This Row],[Score]]/Table1[[#This Row],[Age]]</calculatedColumnFormula>
    </tableColumn>
    <tableColumn id="21" xr3:uid="{7EF6F635-AAC4-4060-A16A-A1E4AE39403B}" name="ScorePerView" dataDxfId="0">
      <calculatedColumnFormula>Table1[[#This Row],[Score]]/Table1[[#This Row],[Views]]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85C3B-1FD4-46FE-8A2F-07E281673B93}">
  <sheetPr codeName="Sheet1"/>
  <dimension ref="A1:W73"/>
  <sheetViews>
    <sheetView tabSelected="1" topLeftCell="A49" workbookViewId="0">
      <selection activeCell="N75" sqref="N75"/>
    </sheetView>
  </sheetViews>
  <sheetFormatPr defaultRowHeight="15" x14ac:dyDescent="0.25"/>
  <cols>
    <col min="1" max="1" width="10.140625" customWidth="1"/>
    <col min="2" max="2" width="10.140625" bestFit="1" customWidth="1"/>
    <col min="3" max="3" width="13.140625" customWidth="1"/>
    <col min="4" max="4" width="12.140625" bestFit="1" customWidth="1"/>
    <col min="5" max="5" width="6.7109375" style="3" bestFit="1" customWidth="1"/>
    <col min="6" max="6" width="8.7109375" bestFit="1" customWidth="1"/>
    <col min="7" max="7" width="13.140625" bestFit="1" customWidth="1"/>
    <col min="8" max="8" width="7.7109375" bestFit="1" customWidth="1"/>
    <col min="9" max="9" width="10.28515625" bestFit="1" customWidth="1"/>
    <col min="10" max="10" width="11" bestFit="1" customWidth="1"/>
    <col min="11" max="11" width="12.85546875" bestFit="1" customWidth="1"/>
    <col min="12" max="12" width="9.140625" bestFit="1" customWidth="1"/>
    <col min="13" max="14" width="13.28515625" style="4" bestFit="1" customWidth="1"/>
    <col min="15" max="15" width="7.7109375" style="4" bestFit="1" customWidth="1"/>
    <col min="16" max="16" width="10.28515625" style="4" bestFit="1" customWidth="1"/>
    <col min="17" max="17" width="13.140625" style="4" bestFit="1" customWidth="1"/>
    <col min="18" max="18" width="17.7109375" style="4" bestFit="1" customWidth="1"/>
    <col min="19" max="19" width="12.140625" style="4" bestFit="1" customWidth="1"/>
    <col min="20" max="20" width="14.7109375" style="4" bestFit="1" customWidth="1"/>
    <col min="21" max="21" width="8.140625" style="4" bestFit="1" customWidth="1"/>
    <col min="22" max="22" width="12.5703125" style="4" bestFit="1" customWidth="1"/>
    <col min="23" max="23" width="15.85546875" style="2" bestFit="1" customWidth="1"/>
  </cols>
  <sheetData>
    <row r="1" spans="1:23" x14ac:dyDescent="0.25">
      <c r="A1" t="s">
        <v>26</v>
      </c>
      <c r="B1" t="s">
        <v>27</v>
      </c>
      <c r="C1" t="s">
        <v>17</v>
      </c>
      <c r="D1" s="2" t="s">
        <v>18</v>
      </c>
      <c r="E1" s="3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s="4" t="s">
        <v>14</v>
      </c>
      <c r="N1" s="4" t="s">
        <v>15</v>
      </c>
      <c r="O1" s="4" t="s">
        <v>16</v>
      </c>
      <c r="P1" s="4" t="s">
        <v>22</v>
      </c>
      <c r="Q1" s="4" t="s">
        <v>19</v>
      </c>
      <c r="R1" s="4" t="s">
        <v>20</v>
      </c>
      <c r="S1" s="4" t="s">
        <v>21</v>
      </c>
      <c r="T1" s="4" t="s">
        <v>23</v>
      </c>
      <c r="U1" s="4" t="s">
        <v>24</v>
      </c>
      <c r="V1" s="4" t="s">
        <v>25</v>
      </c>
      <c r="W1"/>
    </row>
    <row r="2" spans="1:23" x14ac:dyDescent="0.25">
      <c r="A2" s="1">
        <v>46062</v>
      </c>
      <c r="B2" t="s">
        <v>0</v>
      </c>
      <c r="C2" s="1">
        <v>45784</v>
      </c>
      <c r="D2" s="2">
        <f>Table1[[#This Row],[Date]]-Table1[[#This Row],[Published]]</f>
        <v>278</v>
      </c>
      <c r="E2" s="3">
        <v>658</v>
      </c>
      <c r="F2">
        <v>143</v>
      </c>
      <c r="G2">
        <v>11</v>
      </c>
      <c r="H2">
        <v>5</v>
      </c>
      <c r="I2">
        <v>0</v>
      </c>
      <c r="J2">
        <v>0</v>
      </c>
      <c r="K2">
        <v>0</v>
      </c>
      <c r="L2">
        <v>0</v>
      </c>
      <c r="M2" s="4">
        <f>Table1[[#This Row],[Downloads]]/Table1[[#This Row],[Views]]</f>
        <v>0.21732522796352582</v>
      </c>
      <c r="N2" s="4">
        <f>Table1[[#This Row],[Likes]]/Table1[[#This Row],[Views]]</f>
        <v>1.6717325227963525E-2</v>
      </c>
      <c r="O2" s="4">
        <f>Table1[[#This Row],[Collects]]/Table1[[#This Row],[Views]]</f>
        <v>7.5987841945288756E-3</v>
      </c>
      <c r="P2" s="4">
        <f>Table1[[#This Row],[Views]]/Table1[[#This Row],[Age]]</f>
        <v>2.3669064748201438</v>
      </c>
      <c r="Q2" s="4">
        <f>Table1[[#This Row],[Downloads]]/Table1[[#This Row],[Age]]</f>
        <v>0.51438848920863312</v>
      </c>
      <c r="R2" s="4">
        <f>Table1[[#This Row],[Likes]]/Table1[[#This Row],[Age]]</f>
        <v>3.9568345323741004E-2</v>
      </c>
      <c r="S2" s="4">
        <f>Table1[[#This Row],[Collects]]/Table1[[#This Row],[Age]]</f>
        <v>1.7985611510791366E-2</v>
      </c>
      <c r="T2" s="4">
        <f>(4*Table1[[#This Row],[Collects]])+(3*Table1[[#This Row],[Likes]])+(2*Table1[[#This Row],[Downloads]])+Table1[[#This Row],[Views]]</f>
        <v>997</v>
      </c>
      <c r="U2" s="4">
        <f>Table1[[#This Row],[Score]]/Table1[[#This Row],[Age]]</f>
        <v>3.5863309352517985</v>
      </c>
      <c r="V2" s="4">
        <f>Table1[[#This Row],[Score]]/Table1[[#This Row],[Views]]</f>
        <v>1.5151975683890577</v>
      </c>
      <c r="W2"/>
    </row>
    <row r="3" spans="1:23" x14ac:dyDescent="0.25">
      <c r="A3" s="1">
        <v>46062</v>
      </c>
      <c r="B3" t="s">
        <v>1</v>
      </c>
      <c r="C3" s="1">
        <v>45785</v>
      </c>
      <c r="D3" s="2">
        <f>Table1[[#This Row],[Date]]-Table1[[#This Row],[Published]]</f>
        <v>277</v>
      </c>
      <c r="E3" s="3">
        <v>307</v>
      </c>
      <c r="F3">
        <v>80</v>
      </c>
      <c r="G3">
        <v>4</v>
      </c>
      <c r="H3">
        <v>0</v>
      </c>
      <c r="I3">
        <v>0</v>
      </c>
      <c r="J3">
        <v>0</v>
      </c>
      <c r="K3">
        <v>0</v>
      </c>
      <c r="L3">
        <v>0</v>
      </c>
      <c r="M3" s="4">
        <f>Table1[[#This Row],[Downloads]]/Table1[[#This Row],[Views]]</f>
        <v>0.26058631921824105</v>
      </c>
      <c r="N3" s="4">
        <f>Table1[[#This Row],[Likes]]/Table1[[#This Row],[Views]]</f>
        <v>1.3029315960912053E-2</v>
      </c>
      <c r="O3" s="4">
        <f>Table1[[#This Row],[Collects]]/Table1[[#This Row],[Views]]</f>
        <v>0</v>
      </c>
      <c r="P3" s="4">
        <f>Table1[[#This Row],[Views]]/Table1[[#This Row],[Age]]</f>
        <v>1.1083032490974729</v>
      </c>
      <c r="Q3" s="4">
        <f>Table1[[#This Row],[Downloads]]/Table1[[#This Row],[Age]]</f>
        <v>0.28880866425992779</v>
      </c>
      <c r="R3" s="4">
        <f>Table1[[#This Row],[Likes]]/Table1[[#This Row],[Age]]</f>
        <v>1.444043321299639E-2</v>
      </c>
      <c r="S3" s="4">
        <f>Table1[[#This Row],[Collects]]/Table1[[#This Row],[Age]]</f>
        <v>0</v>
      </c>
      <c r="T3" s="4">
        <f>(4*Table1[[#This Row],[Collects]])+(3*Table1[[#This Row],[Likes]])+(2*Table1[[#This Row],[Downloads]])+Table1[[#This Row],[Views]]</f>
        <v>479</v>
      </c>
      <c r="U3" s="4">
        <f>Table1[[#This Row],[Score]]/Table1[[#This Row],[Age]]</f>
        <v>1.7292418772563176</v>
      </c>
      <c r="V3" s="4">
        <f>Table1[[#This Row],[Score]]/Table1[[#This Row],[Views]]</f>
        <v>1.5602605863192183</v>
      </c>
      <c r="W3"/>
    </row>
    <row r="4" spans="1:23" x14ac:dyDescent="0.25">
      <c r="A4" s="1">
        <v>46062</v>
      </c>
      <c r="B4" t="s">
        <v>2</v>
      </c>
      <c r="C4" s="1">
        <v>45930</v>
      </c>
      <c r="D4" s="2">
        <f>Table1[[#This Row],[Date]]-Table1[[#This Row],[Published]]</f>
        <v>132</v>
      </c>
      <c r="E4" s="3">
        <v>206</v>
      </c>
      <c r="F4">
        <v>83</v>
      </c>
      <c r="G4">
        <v>5</v>
      </c>
      <c r="H4">
        <v>0</v>
      </c>
      <c r="I4">
        <v>0</v>
      </c>
      <c r="J4">
        <v>0</v>
      </c>
      <c r="K4">
        <v>0</v>
      </c>
      <c r="L4">
        <v>0</v>
      </c>
      <c r="M4" s="4">
        <f>Table1[[#This Row],[Downloads]]/Table1[[#This Row],[Views]]</f>
        <v>0.40291262135922329</v>
      </c>
      <c r="N4" s="4">
        <f>Table1[[#This Row],[Likes]]/Table1[[#This Row],[Views]]</f>
        <v>2.4271844660194174E-2</v>
      </c>
      <c r="O4" s="4">
        <f>Table1[[#This Row],[Collects]]/Table1[[#This Row],[Views]]</f>
        <v>0</v>
      </c>
      <c r="P4" s="4">
        <f>Table1[[#This Row],[Views]]/Table1[[#This Row],[Age]]</f>
        <v>1.5606060606060606</v>
      </c>
      <c r="Q4" s="4">
        <f>Table1[[#This Row],[Downloads]]/Table1[[#This Row],[Age]]</f>
        <v>0.62878787878787878</v>
      </c>
      <c r="R4" s="4">
        <f>Table1[[#This Row],[Likes]]/Table1[[#This Row],[Age]]</f>
        <v>3.787878787878788E-2</v>
      </c>
      <c r="S4" s="4">
        <f>Table1[[#This Row],[Collects]]/Table1[[#This Row],[Age]]</f>
        <v>0</v>
      </c>
      <c r="T4" s="4">
        <f>(4*Table1[[#This Row],[Collects]])+(3*Table1[[#This Row],[Likes]])+(2*Table1[[#This Row],[Downloads]])+Table1[[#This Row],[Views]]</f>
        <v>387</v>
      </c>
      <c r="U4" s="4">
        <f>Table1[[#This Row],[Score]]/Table1[[#This Row],[Age]]</f>
        <v>2.9318181818181817</v>
      </c>
      <c r="V4" s="4">
        <f>Table1[[#This Row],[Score]]/Table1[[#This Row],[Views]]</f>
        <v>1.8786407766990292</v>
      </c>
      <c r="W4"/>
    </row>
    <row r="5" spans="1:23" x14ac:dyDescent="0.25">
      <c r="A5" s="1">
        <v>46062</v>
      </c>
      <c r="B5" t="s">
        <v>13</v>
      </c>
      <c r="C5" s="1">
        <v>45750</v>
      </c>
      <c r="D5" s="2">
        <f>Table1[[#This Row],[Date]]-Table1[[#This Row],[Published]]</f>
        <v>312</v>
      </c>
      <c r="E5" s="3">
        <v>150</v>
      </c>
      <c r="F5">
        <v>25</v>
      </c>
      <c r="G5">
        <v>2</v>
      </c>
      <c r="H5">
        <v>1</v>
      </c>
      <c r="I5">
        <v>0</v>
      </c>
      <c r="J5">
        <v>0</v>
      </c>
      <c r="K5">
        <v>0</v>
      </c>
      <c r="L5">
        <v>0</v>
      </c>
      <c r="M5" s="4">
        <f>Table1[[#This Row],[Downloads]]/Table1[[#This Row],[Views]]</f>
        <v>0.16666666666666666</v>
      </c>
      <c r="N5" s="4">
        <f>Table1[[#This Row],[Likes]]/Table1[[#This Row],[Views]]</f>
        <v>1.3333333333333334E-2</v>
      </c>
      <c r="O5" s="4">
        <f>Table1[[#This Row],[Collects]]/Table1[[#This Row],[Views]]</f>
        <v>6.6666666666666671E-3</v>
      </c>
      <c r="P5" s="4">
        <f>Table1[[#This Row],[Views]]/Table1[[#This Row],[Age]]</f>
        <v>0.48076923076923078</v>
      </c>
      <c r="Q5" s="4">
        <f>Table1[[#This Row],[Downloads]]/Table1[[#This Row],[Age]]</f>
        <v>8.0128205128205135E-2</v>
      </c>
      <c r="R5" s="4">
        <f>Table1[[#This Row],[Likes]]/Table1[[#This Row],[Age]]</f>
        <v>6.41025641025641E-3</v>
      </c>
      <c r="S5" s="4">
        <f>Table1[[#This Row],[Collects]]/Table1[[#This Row],[Age]]</f>
        <v>3.205128205128205E-3</v>
      </c>
      <c r="T5" s="4">
        <f>(4*Table1[[#This Row],[Collects]])+(3*Table1[[#This Row],[Likes]])+(2*Table1[[#This Row],[Downloads]])+Table1[[#This Row],[Views]]</f>
        <v>210</v>
      </c>
      <c r="U5" s="4">
        <f>Table1[[#This Row],[Score]]/Table1[[#This Row],[Age]]</f>
        <v>0.67307692307692313</v>
      </c>
      <c r="V5" s="4">
        <f>Table1[[#This Row],[Score]]/Table1[[#This Row],[Views]]</f>
        <v>1.4</v>
      </c>
      <c r="W5"/>
    </row>
    <row r="6" spans="1:23" x14ac:dyDescent="0.25">
      <c r="A6" s="1">
        <v>46062</v>
      </c>
      <c r="B6" t="s">
        <v>3</v>
      </c>
      <c r="C6" s="1">
        <v>45932</v>
      </c>
      <c r="D6" s="2">
        <f>Table1[[#This Row],[Date]]-Table1[[#This Row],[Published]]</f>
        <v>130</v>
      </c>
      <c r="E6" s="3">
        <v>97</v>
      </c>
      <c r="F6">
        <v>11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 s="4">
        <f>Table1[[#This Row],[Downloads]]/Table1[[#This Row],[Views]]</f>
        <v>0.1134020618556701</v>
      </c>
      <c r="N6" s="4">
        <f>Table1[[#This Row],[Likes]]/Table1[[#This Row],[Views]]</f>
        <v>1.0309278350515464E-2</v>
      </c>
      <c r="O6" s="4">
        <f>Table1[[#This Row],[Collects]]/Table1[[#This Row],[Views]]</f>
        <v>0</v>
      </c>
      <c r="P6" s="4">
        <f>Table1[[#This Row],[Views]]/Table1[[#This Row],[Age]]</f>
        <v>0.74615384615384617</v>
      </c>
      <c r="Q6" s="4">
        <f>Table1[[#This Row],[Downloads]]/Table1[[#This Row],[Age]]</f>
        <v>8.461538461538462E-2</v>
      </c>
      <c r="R6" s="4">
        <f>Table1[[#This Row],[Likes]]/Table1[[#This Row],[Age]]</f>
        <v>7.6923076923076927E-3</v>
      </c>
      <c r="S6" s="4">
        <f>Table1[[#This Row],[Collects]]/Table1[[#This Row],[Age]]</f>
        <v>0</v>
      </c>
      <c r="T6" s="4">
        <f>(4*Table1[[#This Row],[Collects]])+(3*Table1[[#This Row],[Likes]])+(2*Table1[[#This Row],[Downloads]])+Table1[[#This Row],[Views]]</f>
        <v>122</v>
      </c>
      <c r="U6" s="4">
        <f>Table1[[#This Row],[Score]]/Table1[[#This Row],[Age]]</f>
        <v>0.93846153846153846</v>
      </c>
      <c r="V6" s="4">
        <f>Table1[[#This Row],[Score]]/Table1[[#This Row],[Views]]</f>
        <v>1.2577319587628866</v>
      </c>
      <c r="W6"/>
    </row>
    <row r="7" spans="1:23" x14ac:dyDescent="0.25">
      <c r="A7" s="1">
        <v>46062</v>
      </c>
      <c r="B7" t="s">
        <v>4</v>
      </c>
      <c r="C7" s="1">
        <v>46034</v>
      </c>
      <c r="D7" s="2">
        <f>Table1[[#This Row],[Date]]-Table1[[#This Row],[Published]]</f>
        <v>28</v>
      </c>
      <c r="E7" s="3">
        <v>79</v>
      </c>
      <c r="F7">
        <v>24</v>
      </c>
      <c r="G7">
        <v>2</v>
      </c>
      <c r="H7">
        <v>0</v>
      </c>
      <c r="I7">
        <v>0</v>
      </c>
      <c r="J7">
        <v>0</v>
      </c>
      <c r="K7">
        <v>0</v>
      </c>
      <c r="L7">
        <v>0</v>
      </c>
      <c r="M7" s="4">
        <f>Table1[[#This Row],[Downloads]]/Table1[[#This Row],[Views]]</f>
        <v>0.30379746835443039</v>
      </c>
      <c r="N7" s="4">
        <f>Table1[[#This Row],[Likes]]/Table1[[#This Row],[Views]]</f>
        <v>2.5316455696202531E-2</v>
      </c>
      <c r="O7" s="4">
        <f>Table1[[#This Row],[Collects]]/Table1[[#This Row],[Views]]</f>
        <v>0</v>
      </c>
      <c r="P7" s="4">
        <f>Table1[[#This Row],[Views]]/Table1[[#This Row],[Age]]</f>
        <v>2.8214285714285716</v>
      </c>
      <c r="Q7" s="4">
        <f>Table1[[#This Row],[Downloads]]/Table1[[#This Row],[Age]]</f>
        <v>0.8571428571428571</v>
      </c>
      <c r="R7" s="4">
        <f>Table1[[#This Row],[Likes]]/Table1[[#This Row],[Age]]</f>
        <v>7.1428571428571425E-2</v>
      </c>
      <c r="S7" s="4">
        <f>Table1[[#This Row],[Collects]]/Table1[[#This Row],[Age]]</f>
        <v>0</v>
      </c>
      <c r="T7" s="4">
        <f>(4*Table1[[#This Row],[Collects]])+(3*Table1[[#This Row],[Likes]])+(2*Table1[[#This Row],[Downloads]])+Table1[[#This Row],[Views]]</f>
        <v>133</v>
      </c>
      <c r="U7" s="4">
        <f>Table1[[#This Row],[Score]]/Table1[[#This Row],[Age]]</f>
        <v>4.75</v>
      </c>
      <c r="V7" s="4">
        <f>Table1[[#This Row],[Score]]/Table1[[#This Row],[Views]]</f>
        <v>1.6835443037974684</v>
      </c>
      <c r="W7"/>
    </row>
    <row r="8" spans="1:23" x14ac:dyDescent="0.25">
      <c r="A8" s="1">
        <v>46067</v>
      </c>
      <c r="B8" t="s">
        <v>0</v>
      </c>
      <c r="C8" s="1">
        <v>45784</v>
      </c>
      <c r="D8" s="2">
        <f>Table1[[#This Row],[Date]]-Table1[[#This Row],[Published]]</f>
        <v>283</v>
      </c>
      <c r="E8" s="3">
        <v>688</v>
      </c>
      <c r="F8">
        <v>146</v>
      </c>
      <c r="G8">
        <v>12</v>
      </c>
      <c r="H8">
        <v>5</v>
      </c>
      <c r="I8">
        <v>0</v>
      </c>
      <c r="J8">
        <v>0</v>
      </c>
      <c r="K8">
        <v>0</v>
      </c>
      <c r="L8">
        <v>0</v>
      </c>
      <c r="M8" s="4">
        <f>Table1[[#This Row],[Downloads]]/Table1[[#This Row],[Views]]</f>
        <v>0.21220930232558138</v>
      </c>
      <c r="N8" s="4">
        <f>Table1[[#This Row],[Likes]]/Table1[[#This Row],[Views]]</f>
        <v>1.7441860465116279E-2</v>
      </c>
      <c r="O8" s="4">
        <f>Table1[[#This Row],[Collects]]/Table1[[#This Row],[Views]]</f>
        <v>7.2674418604651162E-3</v>
      </c>
      <c r="P8" s="4">
        <f>Table1[[#This Row],[Views]]/Table1[[#This Row],[Age]]</f>
        <v>2.431095406360424</v>
      </c>
      <c r="Q8" s="4">
        <f>Table1[[#This Row],[Downloads]]/Table1[[#This Row],[Age]]</f>
        <v>0.51590106007067138</v>
      </c>
      <c r="R8" s="4">
        <f>Table1[[#This Row],[Likes]]/Table1[[#This Row],[Age]]</f>
        <v>4.2402826855123678E-2</v>
      </c>
      <c r="S8" s="4">
        <f>Table1[[#This Row],[Collects]]/Table1[[#This Row],[Age]]</f>
        <v>1.7667844522968199E-2</v>
      </c>
      <c r="T8" s="4">
        <f>(4*Table1[[#This Row],[Collects]])+(3*Table1[[#This Row],[Likes]])+(2*Table1[[#This Row],[Downloads]])+Table1[[#This Row],[Views]]</f>
        <v>1036</v>
      </c>
      <c r="U8" s="4">
        <f>Table1[[#This Row],[Score]]/Table1[[#This Row],[Age]]</f>
        <v>3.6607773851590104</v>
      </c>
      <c r="V8" s="4">
        <f>Table1[[#This Row],[Score]]/Table1[[#This Row],[Views]]</f>
        <v>1.5058139534883721</v>
      </c>
    </row>
    <row r="9" spans="1:23" x14ac:dyDescent="0.25">
      <c r="A9" s="1">
        <v>46067</v>
      </c>
      <c r="B9" t="s">
        <v>1</v>
      </c>
      <c r="C9" s="1">
        <v>45785</v>
      </c>
      <c r="D9" s="2">
        <f>Table1[[#This Row],[Date]]-Table1[[#This Row],[Published]]</f>
        <v>282</v>
      </c>
      <c r="E9" s="3">
        <v>310</v>
      </c>
      <c r="F9">
        <v>80</v>
      </c>
      <c r="G9">
        <v>4</v>
      </c>
      <c r="H9">
        <v>0</v>
      </c>
      <c r="I9">
        <v>0</v>
      </c>
      <c r="J9">
        <v>0</v>
      </c>
      <c r="K9">
        <v>0</v>
      </c>
      <c r="L9">
        <v>0</v>
      </c>
      <c r="M9" s="4">
        <f>Table1[[#This Row],[Downloads]]/Table1[[#This Row],[Views]]</f>
        <v>0.25806451612903225</v>
      </c>
      <c r="N9" s="4">
        <f>Table1[[#This Row],[Likes]]/Table1[[#This Row],[Views]]</f>
        <v>1.2903225806451613E-2</v>
      </c>
      <c r="O9" s="4">
        <f>Table1[[#This Row],[Collects]]/Table1[[#This Row],[Views]]</f>
        <v>0</v>
      </c>
      <c r="P9" s="4">
        <f>Table1[[#This Row],[Views]]/Table1[[#This Row],[Age]]</f>
        <v>1.0992907801418439</v>
      </c>
      <c r="Q9" s="4">
        <f>Table1[[#This Row],[Downloads]]/Table1[[#This Row],[Age]]</f>
        <v>0.28368794326241137</v>
      </c>
      <c r="R9" s="4">
        <f>Table1[[#This Row],[Likes]]/Table1[[#This Row],[Age]]</f>
        <v>1.4184397163120567E-2</v>
      </c>
      <c r="S9" s="4">
        <f>Table1[[#This Row],[Collects]]/Table1[[#This Row],[Age]]</f>
        <v>0</v>
      </c>
      <c r="T9" s="4">
        <f>(4*Table1[[#This Row],[Collects]])+(3*Table1[[#This Row],[Likes]])+(2*Table1[[#This Row],[Downloads]])+Table1[[#This Row],[Views]]</f>
        <v>482</v>
      </c>
      <c r="U9" s="4">
        <f>Table1[[#This Row],[Score]]/Table1[[#This Row],[Age]]</f>
        <v>1.7092198581560283</v>
      </c>
      <c r="V9" s="4">
        <f>Table1[[#This Row],[Score]]/Table1[[#This Row],[Views]]</f>
        <v>1.5548387096774194</v>
      </c>
    </row>
    <row r="10" spans="1:23" x14ac:dyDescent="0.25">
      <c r="A10" s="1">
        <v>46067</v>
      </c>
      <c r="B10" t="s">
        <v>2</v>
      </c>
      <c r="C10" s="1">
        <v>45930</v>
      </c>
      <c r="D10" s="2">
        <f>Table1[[#This Row],[Date]]-Table1[[#This Row],[Published]]</f>
        <v>137</v>
      </c>
      <c r="E10" s="3">
        <v>207</v>
      </c>
      <c r="F10">
        <v>84</v>
      </c>
      <c r="G10">
        <v>5</v>
      </c>
      <c r="H10">
        <v>0</v>
      </c>
      <c r="I10">
        <v>0</v>
      </c>
      <c r="J10">
        <v>0</v>
      </c>
      <c r="K10">
        <v>0</v>
      </c>
      <c r="L10">
        <v>0</v>
      </c>
      <c r="M10" s="4">
        <f>Table1[[#This Row],[Downloads]]/Table1[[#This Row],[Views]]</f>
        <v>0.40579710144927539</v>
      </c>
      <c r="N10" s="4">
        <f>Table1[[#This Row],[Likes]]/Table1[[#This Row],[Views]]</f>
        <v>2.4154589371980676E-2</v>
      </c>
      <c r="O10" s="4">
        <f>Table1[[#This Row],[Collects]]/Table1[[#This Row],[Views]]</f>
        <v>0</v>
      </c>
      <c r="P10" s="4">
        <f>Table1[[#This Row],[Views]]/Table1[[#This Row],[Age]]</f>
        <v>1.5109489051094891</v>
      </c>
      <c r="Q10" s="4">
        <f>Table1[[#This Row],[Downloads]]/Table1[[#This Row],[Age]]</f>
        <v>0.61313868613138689</v>
      </c>
      <c r="R10" s="4">
        <f>Table1[[#This Row],[Likes]]/Table1[[#This Row],[Age]]</f>
        <v>3.6496350364963501E-2</v>
      </c>
      <c r="S10" s="4">
        <f>Table1[[#This Row],[Collects]]/Table1[[#This Row],[Age]]</f>
        <v>0</v>
      </c>
      <c r="T10" s="4">
        <f>(4*Table1[[#This Row],[Collects]])+(3*Table1[[#This Row],[Likes]])+(2*Table1[[#This Row],[Downloads]])+Table1[[#This Row],[Views]]</f>
        <v>390</v>
      </c>
      <c r="U10" s="4">
        <f>Table1[[#This Row],[Score]]/Table1[[#This Row],[Age]]</f>
        <v>2.8467153284671531</v>
      </c>
      <c r="V10" s="4">
        <f>Table1[[#This Row],[Score]]/Table1[[#This Row],[Views]]</f>
        <v>1.8840579710144927</v>
      </c>
    </row>
    <row r="11" spans="1:23" x14ac:dyDescent="0.25">
      <c r="A11" s="1">
        <v>46067</v>
      </c>
      <c r="B11" t="s">
        <v>13</v>
      </c>
      <c r="C11" s="1">
        <v>45750</v>
      </c>
      <c r="D11" s="2">
        <f>Table1[[#This Row],[Date]]-Table1[[#This Row],[Published]]</f>
        <v>317</v>
      </c>
      <c r="E11" s="3">
        <v>153</v>
      </c>
      <c r="F11">
        <v>26</v>
      </c>
      <c r="G11">
        <v>2</v>
      </c>
      <c r="H11">
        <v>1</v>
      </c>
      <c r="I11">
        <v>0</v>
      </c>
      <c r="J11">
        <v>0</v>
      </c>
      <c r="K11">
        <v>0</v>
      </c>
      <c r="L11">
        <v>0</v>
      </c>
      <c r="M11" s="4">
        <f>Table1[[#This Row],[Downloads]]/Table1[[#This Row],[Views]]</f>
        <v>0.16993464052287582</v>
      </c>
      <c r="N11" s="4">
        <f>Table1[[#This Row],[Likes]]/Table1[[#This Row],[Views]]</f>
        <v>1.3071895424836602E-2</v>
      </c>
      <c r="O11" s="4">
        <f>Table1[[#This Row],[Collects]]/Table1[[#This Row],[Views]]</f>
        <v>6.5359477124183009E-3</v>
      </c>
      <c r="P11" s="4">
        <f>Table1[[#This Row],[Views]]/Table1[[#This Row],[Age]]</f>
        <v>0.48264984227129337</v>
      </c>
      <c r="Q11" s="4">
        <f>Table1[[#This Row],[Downloads]]/Table1[[#This Row],[Age]]</f>
        <v>8.2018927444794956E-2</v>
      </c>
      <c r="R11" s="4">
        <f>Table1[[#This Row],[Likes]]/Table1[[#This Row],[Age]]</f>
        <v>6.3091482649842269E-3</v>
      </c>
      <c r="S11" s="4">
        <f>Table1[[#This Row],[Collects]]/Table1[[#This Row],[Age]]</f>
        <v>3.1545741324921135E-3</v>
      </c>
      <c r="T11" s="4">
        <f>(4*Table1[[#This Row],[Collects]])+(3*Table1[[#This Row],[Likes]])+(2*Table1[[#This Row],[Downloads]])+Table1[[#This Row],[Views]]</f>
        <v>215</v>
      </c>
      <c r="U11" s="4">
        <f>Table1[[#This Row],[Score]]/Table1[[#This Row],[Age]]</f>
        <v>0.67823343848580442</v>
      </c>
      <c r="V11" s="4">
        <f>Table1[[#This Row],[Score]]/Table1[[#This Row],[Views]]</f>
        <v>1.4052287581699345</v>
      </c>
    </row>
    <row r="12" spans="1:23" x14ac:dyDescent="0.25">
      <c r="A12" s="1">
        <v>46067</v>
      </c>
      <c r="B12" t="s">
        <v>3</v>
      </c>
      <c r="C12" s="1">
        <v>45932</v>
      </c>
      <c r="D12" s="2">
        <f>Table1[[#This Row],[Date]]-Table1[[#This Row],[Published]]</f>
        <v>135</v>
      </c>
      <c r="E12" s="3">
        <v>105</v>
      </c>
      <c r="F12">
        <v>11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 s="4">
        <f>Table1[[#This Row],[Downloads]]/Table1[[#This Row],[Views]]</f>
        <v>0.10476190476190476</v>
      </c>
      <c r="N12" s="4">
        <f>Table1[[#This Row],[Likes]]/Table1[[#This Row],[Views]]</f>
        <v>9.5238095238095247E-3</v>
      </c>
      <c r="O12" s="4">
        <f>Table1[[#This Row],[Collects]]/Table1[[#This Row],[Views]]</f>
        <v>0</v>
      </c>
      <c r="P12" s="4">
        <f>Table1[[#This Row],[Views]]/Table1[[#This Row],[Age]]</f>
        <v>0.77777777777777779</v>
      </c>
      <c r="Q12" s="4">
        <f>Table1[[#This Row],[Downloads]]/Table1[[#This Row],[Age]]</f>
        <v>8.1481481481481488E-2</v>
      </c>
      <c r="R12" s="4">
        <f>Table1[[#This Row],[Likes]]/Table1[[#This Row],[Age]]</f>
        <v>7.4074074074074077E-3</v>
      </c>
      <c r="S12" s="4">
        <f>Table1[[#This Row],[Collects]]/Table1[[#This Row],[Age]]</f>
        <v>0</v>
      </c>
      <c r="T12" s="4">
        <f>(4*Table1[[#This Row],[Collects]])+(3*Table1[[#This Row],[Likes]])+(2*Table1[[#This Row],[Downloads]])+Table1[[#This Row],[Views]]</f>
        <v>130</v>
      </c>
      <c r="U12" s="4">
        <f>Table1[[#This Row],[Score]]/Table1[[#This Row],[Age]]</f>
        <v>0.96296296296296291</v>
      </c>
      <c r="V12" s="4">
        <f>Table1[[#This Row],[Score]]/Table1[[#This Row],[Views]]</f>
        <v>1.2380952380952381</v>
      </c>
    </row>
    <row r="13" spans="1:23" x14ac:dyDescent="0.25">
      <c r="A13" s="1">
        <v>46067</v>
      </c>
      <c r="B13" t="s">
        <v>4</v>
      </c>
      <c r="C13" s="1">
        <v>46034</v>
      </c>
      <c r="D13" s="2">
        <f>Table1[[#This Row],[Date]]-Table1[[#This Row],[Published]]</f>
        <v>33</v>
      </c>
      <c r="E13" s="3">
        <v>80</v>
      </c>
      <c r="F13">
        <v>24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 s="4">
        <f>Table1[[#This Row],[Downloads]]/Table1[[#This Row],[Views]]</f>
        <v>0.3</v>
      </c>
      <c r="N13" s="4">
        <f>Table1[[#This Row],[Likes]]/Table1[[#This Row],[Views]]</f>
        <v>2.5000000000000001E-2</v>
      </c>
      <c r="O13" s="4">
        <f>Table1[[#This Row],[Collects]]/Table1[[#This Row],[Views]]</f>
        <v>0</v>
      </c>
      <c r="P13" s="4">
        <f>Table1[[#This Row],[Views]]/Table1[[#This Row],[Age]]</f>
        <v>2.4242424242424243</v>
      </c>
      <c r="Q13" s="4">
        <f>Table1[[#This Row],[Downloads]]/Table1[[#This Row],[Age]]</f>
        <v>0.72727272727272729</v>
      </c>
      <c r="R13" s="4">
        <f>Table1[[#This Row],[Likes]]/Table1[[#This Row],[Age]]</f>
        <v>6.0606060606060608E-2</v>
      </c>
      <c r="S13" s="4">
        <f>Table1[[#This Row],[Collects]]/Table1[[#This Row],[Age]]</f>
        <v>0</v>
      </c>
      <c r="T13" s="4">
        <f>(4*Table1[[#This Row],[Collects]])+(3*Table1[[#This Row],[Likes]])+(2*Table1[[#This Row],[Downloads]])+Table1[[#This Row],[Views]]</f>
        <v>134</v>
      </c>
      <c r="U13" s="4">
        <f>Table1[[#This Row],[Score]]/Table1[[#This Row],[Age]]</f>
        <v>4.0606060606060606</v>
      </c>
      <c r="V13" s="4">
        <f>Table1[[#This Row],[Score]]/Table1[[#This Row],[Views]]</f>
        <v>1.675</v>
      </c>
    </row>
    <row r="14" spans="1:23" x14ac:dyDescent="0.25">
      <c r="A14" s="1">
        <v>46075</v>
      </c>
      <c r="B14" t="s">
        <v>0</v>
      </c>
      <c r="C14" s="1">
        <v>45784</v>
      </c>
      <c r="D14" s="2">
        <f>Table1[[#This Row],[Date]]-Table1[[#This Row],[Published]]</f>
        <v>291</v>
      </c>
      <c r="E14" s="3">
        <v>677</v>
      </c>
      <c r="F14">
        <v>151</v>
      </c>
      <c r="G14">
        <v>12</v>
      </c>
      <c r="H14">
        <v>5</v>
      </c>
      <c r="I14">
        <v>0</v>
      </c>
      <c r="J14">
        <v>0</v>
      </c>
      <c r="K14">
        <v>0</v>
      </c>
      <c r="L14">
        <v>0</v>
      </c>
      <c r="M14" s="4">
        <f>Table1[[#This Row],[Downloads]]/Table1[[#This Row],[Views]]</f>
        <v>0.22304283604135894</v>
      </c>
      <c r="N14" s="4">
        <f>Table1[[#This Row],[Likes]]/Table1[[#This Row],[Views]]</f>
        <v>1.7725258493353029E-2</v>
      </c>
      <c r="O14" s="4">
        <f>Table1[[#This Row],[Collects]]/Table1[[#This Row],[Views]]</f>
        <v>7.385524372230428E-3</v>
      </c>
      <c r="P14" s="4">
        <f>Table1[[#This Row],[Views]]/Table1[[#This Row],[Age]]</f>
        <v>2.3264604810996565</v>
      </c>
      <c r="Q14" s="4">
        <f>Table1[[#This Row],[Downloads]]/Table1[[#This Row],[Age]]</f>
        <v>0.51890034364261173</v>
      </c>
      <c r="R14" s="4">
        <f>Table1[[#This Row],[Likes]]/Table1[[#This Row],[Age]]</f>
        <v>4.1237113402061855E-2</v>
      </c>
      <c r="S14" s="4">
        <f>Table1[[#This Row],[Collects]]/Table1[[#This Row],[Age]]</f>
        <v>1.7182130584192441E-2</v>
      </c>
      <c r="T14" s="4">
        <f>(4*Table1[[#This Row],[Collects]])+(3*Table1[[#This Row],[Likes]])+(2*Table1[[#This Row],[Downloads]])+Table1[[#This Row],[Views]]</f>
        <v>1035</v>
      </c>
      <c r="U14" s="4">
        <f>Table1[[#This Row],[Score]]/Table1[[#This Row],[Age]]</f>
        <v>3.5567010309278349</v>
      </c>
      <c r="V14" s="4">
        <f>Table1[[#This Row],[Score]]/Table1[[#This Row],[Views]]</f>
        <v>1.5288035450516986</v>
      </c>
    </row>
    <row r="15" spans="1:23" x14ac:dyDescent="0.25">
      <c r="A15" s="1">
        <v>46075</v>
      </c>
      <c r="B15" t="s">
        <v>1</v>
      </c>
      <c r="C15" s="1">
        <v>45785</v>
      </c>
      <c r="D15" s="2">
        <f>Table1[[#This Row],[Date]]-Table1[[#This Row],[Published]]</f>
        <v>290</v>
      </c>
      <c r="E15" s="3">
        <v>316</v>
      </c>
      <c r="F15">
        <v>82</v>
      </c>
      <c r="G15">
        <v>4</v>
      </c>
      <c r="H15">
        <v>0</v>
      </c>
      <c r="I15">
        <v>0</v>
      </c>
      <c r="J15">
        <v>0</v>
      </c>
      <c r="K15">
        <v>0</v>
      </c>
      <c r="L15">
        <v>0</v>
      </c>
      <c r="M15" s="4">
        <f>Table1[[#This Row],[Downloads]]/Table1[[#This Row],[Views]]</f>
        <v>0.25949367088607594</v>
      </c>
      <c r="N15" s="4">
        <f>Table1[[#This Row],[Likes]]/Table1[[#This Row],[Views]]</f>
        <v>1.2658227848101266E-2</v>
      </c>
      <c r="O15" s="4">
        <f>Table1[[#This Row],[Collects]]/Table1[[#This Row],[Views]]</f>
        <v>0</v>
      </c>
      <c r="P15" s="4">
        <f>Table1[[#This Row],[Views]]/Table1[[#This Row],[Age]]</f>
        <v>1.0896551724137931</v>
      </c>
      <c r="Q15" s="4">
        <f>Table1[[#This Row],[Downloads]]/Table1[[#This Row],[Age]]</f>
        <v>0.28275862068965518</v>
      </c>
      <c r="R15" s="4">
        <f>Table1[[#This Row],[Likes]]/Table1[[#This Row],[Age]]</f>
        <v>1.3793103448275862E-2</v>
      </c>
      <c r="S15" s="4">
        <f>Table1[[#This Row],[Collects]]/Table1[[#This Row],[Age]]</f>
        <v>0</v>
      </c>
      <c r="T15" s="4">
        <f>(4*Table1[[#This Row],[Collects]])+(3*Table1[[#This Row],[Likes]])+(2*Table1[[#This Row],[Downloads]])+Table1[[#This Row],[Views]]</f>
        <v>492</v>
      </c>
      <c r="U15" s="4">
        <f>Table1[[#This Row],[Score]]/Table1[[#This Row],[Age]]</f>
        <v>1.6965517241379311</v>
      </c>
      <c r="V15" s="4">
        <f>Table1[[#This Row],[Score]]/Table1[[#This Row],[Views]]</f>
        <v>1.5569620253164558</v>
      </c>
    </row>
    <row r="16" spans="1:23" x14ac:dyDescent="0.25">
      <c r="A16" s="1">
        <v>46075</v>
      </c>
      <c r="B16" t="s">
        <v>2</v>
      </c>
      <c r="C16" s="1">
        <v>45930</v>
      </c>
      <c r="D16" s="2">
        <f>Table1[[#This Row],[Date]]-Table1[[#This Row],[Published]]</f>
        <v>145</v>
      </c>
      <c r="E16" s="3">
        <v>217</v>
      </c>
      <c r="F16">
        <v>88</v>
      </c>
      <c r="G16">
        <v>5</v>
      </c>
      <c r="H16">
        <v>0</v>
      </c>
      <c r="I16">
        <v>0</v>
      </c>
      <c r="J16">
        <v>0</v>
      </c>
      <c r="K16">
        <v>0</v>
      </c>
      <c r="L16">
        <v>0</v>
      </c>
      <c r="M16" s="4">
        <f>Table1[[#This Row],[Downloads]]/Table1[[#This Row],[Views]]</f>
        <v>0.40552995391705071</v>
      </c>
      <c r="N16" s="4">
        <f>Table1[[#This Row],[Likes]]/Table1[[#This Row],[Views]]</f>
        <v>2.3041474654377881E-2</v>
      </c>
      <c r="O16" s="4">
        <f>Table1[[#This Row],[Collects]]/Table1[[#This Row],[Views]]</f>
        <v>0</v>
      </c>
      <c r="P16" s="4">
        <f>Table1[[#This Row],[Views]]/Table1[[#This Row],[Age]]</f>
        <v>1.4965517241379311</v>
      </c>
      <c r="Q16" s="4">
        <f>Table1[[#This Row],[Downloads]]/Table1[[#This Row],[Age]]</f>
        <v>0.60689655172413792</v>
      </c>
      <c r="R16" s="4">
        <f>Table1[[#This Row],[Likes]]/Table1[[#This Row],[Age]]</f>
        <v>3.4482758620689655E-2</v>
      </c>
      <c r="S16" s="4">
        <f>Table1[[#This Row],[Collects]]/Table1[[#This Row],[Age]]</f>
        <v>0</v>
      </c>
      <c r="T16" s="4">
        <f>(4*Table1[[#This Row],[Collects]])+(3*Table1[[#This Row],[Likes]])+(2*Table1[[#This Row],[Downloads]])+Table1[[#This Row],[Views]]</f>
        <v>408</v>
      </c>
      <c r="U16" s="4">
        <f>Table1[[#This Row],[Score]]/Table1[[#This Row],[Age]]</f>
        <v>2.8137931034482757</v>
      </c>
      <c r="V16" s="4">
        <f>Table1[[#This Row],[Score]]/Table1[[#This Row],[Views]]</f>
        <v>1.8801843317972351</v>
      </c>
    </row>
    <row r="17" spans="1:22" x14ac:dyDescent="0.25">
      <c r="A17" s="1">
        <v>46075</v>
      </c>
      <c r="B17" t="s">
        <v>13</v>
      </c>
      <c r="C17" s="1">
        <v>45750</v>
      </c>
      <c r="D17" s="2">
        <f>Table1[[#This Row],[Date]]-Table1[[#This Row],[Published]]</f>
        <v>325</v>
      </c>
      <c r="E17" s="3">
        <v>154</v>
      </c>
      <c r="F17">
        <v>27</v>
      </c>
      <c r="G17">
        <v>2</v>
      </c>
      <c r="H17">
        <v>1</v>
      </c>
      <c r="I17">
        <v>0</v>
      </c>
      <c r="J17">
        <v>0</v>
      </c>
      <c r="K17">
        <v>0</v>
      </c>
      <c r="L17">
        <v>0</v>
      </c>
      <c r="M17" s="4">
        <f>Table1[[#This Row],[Downloads]]/Table1[[#This Row],[Views]]</f>
        <v>0.17532467532467533</v>
      </c>
      <c r="N17" s="4">
        <f>Table1[[#This Row],[Likes]]/Table1[[#This Row],[Views]]</f>
        <v>1.2987012987012988E-2</v>
      </c>
      <c r="O17" s="4">
        <f>Table1[[#This Row],[Collects]]/Table1[[#This Row],[Views]]</f>
        <v>6.4935064935064939E-3</v>
      </c>
      <c r="P17" s="4">
        <f>Table1[[#This Row],[Views]]/Table1[[#This Row],[Age]]</f>
        <v>0.47384615384615386</v>
      </c>
      <c r="Q17" s="4">
        <f>Table1[[#This Row],[Downloads]]/Table1[[#This Row],[Age]]</f>
        <v>8.3076923076923076E-2</v>
      </c>
      <c r="R17" s="4">
        <f>Table1[[#This Row],[Likes]]/Table1[[#This Row],[Age]]</f>
        <v>6.1538461538461538E-3</v>
      </c>
      <c r="S17" s="4">
        <f>Table1[[#This Row],[Collects]]/Table1[[#This Row],[Age]]</f>
        <v>3.0769230769230769E-3</v>
      </c>
      <c r="T17" s="4">
        <f>(4*Table1[[#This Row],[Collects]])+(3*Table1[[#This Row],[Likes]])+(2*Table1[[#This Row],[Downloads]])+Table1[[#This Row],[Views]]</f>
        <v>218</v>
      </c>
      <c r="U17" s="4">
        <f>Table1[[#This Row],[Score]]/Table1[[#This Row],[Age]]</f>
        <v>0.67076923076923078</v>
      </c>
      <c r="V17" s="4">
        <f>Table1[[#This Row],[Score]]/Table1[[#This Row],[Views]]</f>
        <v>1.4155844155844155</v>
      </c>
    </row>
    <row r="18" spans="1:22" x14ac:dyDescent="0.25">
      <c r="A18" s="1">
        <v>46075</v>
      </c>
      <c r="B18" t="s">
        <v>3</v>
      </c>
      <c r="C18" s="1">
        <v>45932</v>
      </c>
      <c r="D18" s="2">
        <f>Table1[[#This Row],[Date]]-Table1[[#This Row],[Published]]</f>
        <v>143</v>
      </c>
      <c r="E18" s="3">
        <v>116</v>
      </c>
      <c r="F18">
        <v>11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 s="4">
        <f>Table1[[#This Row],[Downloads]]/Table1[[#This Row],[Views]]</f>
        <v>9.4827586206896547E-2</v>
      </c>
      <c r="N18" s="4">
        <f>Table1[[#This Row],[Likes]]/Table1[[#This Row],[Views]]</f>
        <v>8.6206896551724137E-3</v>
      </c>
      <c r="O18" s="4">
        <f>Table1[[#This Row],[Collects]]/Table1[[#This Row],[Views]]</f>
        <v>0</v>
      </c>
      <c r="P18" s="4">
        <f>Table1[[#This Row],[Views]]/Table1[[#This Row],[Age]]</f>
        <v>0.81118881118881114</v>
      </c>
      <c r="Q18" s="4">
        <f>Table1[[#This Row],[Downloads]]/Table1[[#This Row],[Age]]</f>
        <v>7.6923076923076927E-2</v>
      </c>
      <c r="R18" s="4">
        <f>Table1[[#This Row],[Likes]]/Table1[[#This Row],[Age]]</f>
        <v>6.993006993006993E-3</v>
      </c>
      <c r="S18" s="4">
        <f>Table1[[#This Row],[Collects]]/Table1[[#This Row],[Age]]</f>
        <v>0</v>
      </c>
      <c r="T18" s="4">
        <f>(4*Table1[[#This Row],[Collects]])+(3*Table1[[#This Row],[Likes]])+(2*Table1[[#This Row],[Downloads]])+Table1[[#This Row],[Views]]</f>
        <v>141</v>
      </c>
      <c r="U18" s="4">
        <f>Table1[[#This Row],[Score]]/Table1[[#This Row],[Age]]</f>
        <v>0.98601398601398604</v>
      </c>
      <c r="V18" s="4">
        <f>Table1[[#This Row],[Score]]/Table1[[#This Row],[Views]]</f>
        <v>1.2155172413793103</v>
      </c>
    </row>
    <row r="19" spans="1:22" x14ac:dyDescent="0.25">
      <c r="A19" s="1">
        <v>46075</v>
      </c>
      <c r="B19" t="s">
        <v>4</v>
      </c>
      <c r="C19" s="1">
        <v>46034</v>
      </c>
      <c r="D19" s="2">
        <f>Table1[[#This Row],[Date]]-Table1[[#This Row],[Published]]</f>
        <v>41</v>
      </c>
      <c r="E19" s="3">
        <v>85</v>
      </c>
      <c r="F19">
        <v>24</v>
      </c>
      <c r="G19">
        <v>2</v>
      </c>
      <c r="H19">
        <v>0</v>
      </c>
      <c r="I19">
        <v>0</v>
      </c>
      <c r="J19">
        <v>0</v>
      </c>
      <c r="K19">
        <v>0</v>
      </c>
      <c r="L19">
        <v>0</v>
      </c>
      <c r="M19" s="4">
        <f>Table1[[#This Row],[Downloads]]/Table1[[#This Row],[Views]]</f>
        <v>0.28235294117647058</v>
      </c>
      <c r="N19" s="4">
        <f>Table1[[#This Row],[Likes]]/Table1[[#This Row],[Views]]</f>
        <v>2.3529411764705882E-2</v>
      </c>
      <c r="O19" s="4">
        <f>Table1[[#This Row],[Collects]]/Table1[[#This Row],[Views]]</f>
        <v>0</v>
      </c>
      <c r="P19" s="4">
        <f>Table1[[#This Row],[Views]]/Table1[[#This Row],[Age]]</f>
        <v>2.0731707317073171</v>
      </c>
      <c r="Q19" s="4">
        <f>Table1[[#This Row],[Downloads]]/Table1[[#This Row],[Age]]</f>
        <v>0.58536585365853655</v>
      </c>
      <c r="R19" s="4">
        <f>Table1[[#This Row],[Likes]]/Table1[[#This Row],[Age]]</f>
        <v>4.878048780487805E-2</v>
      </c>
      <c r="S19" s="4">
        <f>Table1[[#This Row],[Collects]]/Table1[[#This Row],[Age]]</f>
        <v>0</v>
      </c>
      <c r="T19" s="4">
        <f>(4*Table1[[#This Row],[Collects]])+(3*Table1[[#This Row],[Likes]])+(2*Table1[[#This Row],[Downloads]])+Table1[[#This Row],[Views]]</f>
        <v>139</v>
      </c>
      <c r="U19" s="4">
        <f>Table1[[#This Row],[Score]]/Table1[[#This Row],[Age]]</f>
        <v>3.3902439024390243</v>
      </c>
      <c r="V19" s="4">
        <f>Table1[[#This Row],[Score]]/Table1[[#This Row],[Views]]</f>
        <v>1.6352941176470588</v>
      </c>
    </row>
    <row r="20" spans="1:22" x14ac:dyDescent="0.25">
      <c r="A20" s="1">
        <v>46081</v>
      </c>
      <c r="B20" t="s">
        <v>0</v>
      </c>
      <c r="C20" s="1">
        <v>45784</v>
      </c>
      <c r="D20" s="2">
        <f>Table1[[#This Row],[Date]]-Table1[[#This Row],[Published]]</f>
        <v>297</v>
      </c>
      <c r="E20" s="3">
        <v>693</v>
      </c>
      <c r="F20">
        <v>158</v>
      </c>
      <c r="G20">
        <v>12</v>
      </c>
      <c r="H20">
        <v>5</v>
      </c>
      <c r="I20">
        <v>0</v>
      </c>
      <c r="J20">
        <v>0</v>
      </c>
      <c r="K20">
        <v>0</v>
      </c>
      <c r="L20">
        <v>0</v>
      </c>
      <c r="M20" s="4">
        <f>Table1[[#This Row],[Downloads]]/Table1[[#This Row],[Views]]</f>
        <v>0.227994227994228</v>
      </c>
      <c r="N20" s="4">
        <f>Table1[[#This Row],[Likes]]/Table1[[#This Row],[Views]]</f>
        <v>1.7316017316017316E-2</v>
      </c>
      <c r="O20" s="4">
        <f>Table1[[#This Row],[Collects]]/Table1[[#This Row],[Views]]</f>
        <v>7.215007215007215E-3</v>
      </c>
      <c r="P20" s="4">
        <f>Table1[[#This Row],[Views]]/Table1[[#This Row],[Age]]</f>
        <v>2.3333333333333335</v>
      </c>
      <c r="Q20" s="4">
        <f>Table1[[#This Row],[Downloads]]/Table1[[#This Row],[Age]]</f>
        <v>0.53198653198653201</v>
      </c>
      <c r="R20" s="4">
        <f>Table1[[#This Row],[Likes]]/Table1[[#This Row],[Age]]</f>
        <v>4.0404040404040407E-2</v>
      </c>
      <c r="S20" s="4">
        <f>Table1[[#This Row],[Collects]]/Table1[[#This Row],[Age]]</f>
        <v>1.6835016835016835E-2</v>
      </c>
      <c r="T20" s="4">
        <f>(4*Table1[[#This Row],[Collects]])+(3*Table1[[#This Row],[Likes]])+(2*Table1[[#This Row],[Downloads]])+Table1[[#This Row],[Views]]</f>
        <v>1065</v>
      </c>
      <c r="U20" s="4">
        <f>Table1[[#This Row],[Score]]/Table1[[#This Row],[Age]]</f>
        <v>3.5858585858585861</v>
      </c>
      <c r="V20" s="4">
        <f>Table1[[#This Row],[Score]]/Table1[[#This Row],[Views]]</f>
        <v>1.5367965367965368</v>
      </c>
    </row>
    <row r="21" spans="1:22" x14ac:dyDescent="0.25">
      <c r="A21" s="1">
        <v>46081</v>
      </c>
      <c r="B21" t="s">
        <v>1</v>
      </c>
      <c r="C21" s="1">
        <v>45785</v>
      </c>
      <c r="D21" s="2">
        <f>Table1[[#This Row],[Date]]-Table1[[#This Row],[Published]]</f>
        <v>296</v>
      </c>
      <c r="E21" s="3">
        <v>328</v>
      </c>
      <c r="F21">
        <v>85</v>
      </c>
      <c r="G21">
        <v>4</v>
      </c>
      <c r="H21">
        <v>0</v>
      </c>
      <c r="I21">
        <v>0</v>
      </c>
      <c r="J21">
        <v>0</v>
      </c>
      <c r="K21">
        <v>0</v>
      </c>
      <c r="L21">
        <v>0</v>
      </c>
      <c r="M21" s="4">
        <f>Table1[[#This Row],[Downloads]]/Table1[[#This Row],[Views]]</f>
        <v>0.25914634146341464</v>
      </c>
      <c r="N21" s="4">
        <f>Table1[[#This Row],[Likes]]/Table1[[#This Row],[Views]]</f>
        <v>1.2195121951219513E-2</v>
      </c>
      <c r="O21" s="4">
        <f>Table1[[#This Row],[Collects]]/Table1[[#This Row],[Views]]</f>
        <v>0</v>
      </c>
      <c r="P21" s="4">
        <f>Table1[[#This Row],[Views]]/Table1[[#This Row],[Age]]</f>
        <v>1.1081081081081081</v>
      </c>
      <c r="Q21" s="4">
        <f>Table1[[#This Row],[Downloads]]/Table1[[#This Row],[Age]]</f>
        <v>0.28716216216216217</v>
      </c>
      <c r="R21" s="4">
        <f>Table1[[#This Row],[Likes]]/Table1[[#This Row],[Age]]</f>
        <v>1.3513513513513514E-2</v>
      </c>
      <c r="S21" s="4">
        <f>Table1[[#This Row],[Collects]]/Table1[[#This Row],[Age]]</f>
        <v>0</v>
      </c>
      <c r="T21" s="4">
        <f>(4*Table1[[#This Row],[Collects]])+(3*Table1[[#This Row],[Likes]])+(2*Table1[[#This Row],[Downloads]])+Table1[[#This Row],[Views]]</f>
        <v>510</v>
      </c>
      <c r="U21" s="4">
        <f>Table1[[#This Row],[Score]]/Table1[[#This Row],[Age]]</f>
        <v>1.722972972972973</v>
      </c>
      <c r="V21" s="4">
        <f>Table1[[#This Row],[Score]]/Table1[[#This Row],[Views]]</f>
        <v>1.5548780487804879</v>
      </c>
    </row>
    <row r="22" spans="1:22" x14ac:dyDescent="0.25">
      <c r="A22" s="1">
        <v>46081</v>
      </c>
      <c r="B22" t="s">
        <v>2</v>
      </c>
      <c r="C22" s="1">
        <v>45930</v>
      </c>
      <c r="D22" s="2">
        <f>Table1[[#This Row],[Date]]-Table1[[#This Row],[Published]]</f>
        <v>151</v>
      </c>
      <c r="E22" s="3">
        <v>226</v>
      </c>
      <c r="F22">
        <v>100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 s="4">
        <f>Table1[[#This Row],[Downloads]]/Table1[[#This Row],[Views]]</f>
        <v>0.44247787610619471</v>
      </c>
      <c r="N22" s="4">
        <f>Table1[[#This Row],[Likes]]/Table1[[#This Row],[Views]]</f>
        <v>2.2123893805309734E-2</v>
      </c>
      <c r="O22" s="4">
        <f>Table1[[#This Row],[Collects]]/Table1[[#This Row],[Views]]</f>
        <v>0</v>
      </c>
      <c r="P22" s="4">
        <f>Table1[[#This Row],[Views]]/Table1[[#This Row],[Age]]</f>
        <v>1.4966887417218544</v>
      </c>
      <c r="Q22" s="4">
        <f>Table1[[#This Row],[Downloads]]/Table1[[#This Row],[Age]]</f>
        <v>0.66225165562913912</v>
      </c>
      <c r="R22" s="4">
        <f>Table1[[#This Row],[Likes]]/Table1[[#This Row],[Age]]</f>
        <v>3.3112582781456956E-2</v>
      </c>
      <c r="S22" s="4">
        <f>Table1[[#This Row],[Collects]]/Table1[[#This Row],[Age]]</f>
        <v>0</v>
      </c>
      <c r="T22" s="4">
        <f>(4*Table1[[#This Row],[Collects]])+(3*Table1[[#This Row],[Likes]])+(2*Table1[[#This Row],[Downloads]])+Table1[[#This Row],[Views]]</f>
        <v>441</v>
      </c>
      <c r="U22" s="4">
        <f>Table1[[#This Row],[Score]]/Table1[[#This Row],[Age]]</f>
        <v>2.9205298013245033</v>
      </c>
      <c r="V22" s="4">
        <f>Table1[[#This Row],[Score]]/Table1[[#This Row],[Views]]</f>
        <v>1.9513274336283186</v>
      </c>
    </row>
    <row r="23" spans="1:22" x14ac:dyDescent="0.25">
      <c r="A23" s="1">
        <v>46081</v>
      </c>
      <c r="B23" t="s">
        <v>13</v>
      </c>
      <c r="C23" s="1">
        <v>45750</v>
      </c>
      <c r="D23" s="2">
        <f>Table1[[#This Row],[Date]]-Table1[[#This Row],[Published]]</f>
        <v>331</v>
      </c>
      <c r="E23" s="3">
        <v>164</v>
      </c>
      <c r="F23">
        <v>29</v>
      </c>
      <c r="G23">
        <v>3</v>
      </c>
      <c r="H23">
        <v>2</v>
      </c>
      <c r="I23">
        <v>0</v>
      </c>
      <c r="J23">
        <v>0</v>
      </c>
      <c r="K23">
        <v>0</v>
      </c>
      <c r="L23">
        <v>0</v>
      </c>
      <c r="M23" s="4">
        <f>Table1[[#This Row],[Downloads]]/Table1[[#This Row],[Views]]</f>
        <v>0.17682926829268292</v>
      </c>
      <c r="N23" s="4">
        <f>Table1[[#This Row],[Likes]]/Table1[[#This Row],[Views]]</f>
        <v>1.8292682926829267E-2</v>
      </c>
      <c r="O23" s="4">
        <f>Table1[[#This Row],[Collects]]/Table1[[#This Row],[Views]]</f>
        <v>1.2195121951219513E-2</v>
      </c>
      <c r="P23" s="4">
        <f>Table1[[#This Row],[Views]]/Table1[[#This Row],[Age]]</f>
        <v>0.49546827794561932</v>
      </c>
      <c r="Q23" s="4">
        <f>Table1[[#This Row],[Downloads]]/Table1[[#This Row],[Age]]</f>
        <v>8.7613293051359523E-2</v>
      </c>
      <c r="R23" s="4">
        <f>Table1[[#This Row],[Likes]]/Table1[[#This Row],[Age]]</f>
        <v>9.0634441087613302E-3</v>
      </c>
      <c r="S23" s="4">
        <f>Table1[[#This Row],[Collects]]/Table1[[#This Row],[Age]]</f>
        <v>6.0422960725075529E-3</v>
      </c>
      <c r="T23" s="4">
        <f>(4*Table1[[#This Row],[Collects]])+(3*Table1[[#This Row],[Likes]])+(2*Table1[[#This Row],[Downloads]])+Table1[[#This Row],[Views]]</f>
        <v>239</v>
      </c>
      <c r="U23" s="4">
        <f>Table1[[#This Row],[Score]]/Table1[[#This Row],[Age]]</f>
        <v>0.72205438066465255</v>
      </c>
      <c r="V23" s="4">
        <f>Table1[[#This Row],[Score]]/Table1[[#This Row],[Views]]</f>
        <v>1.4573170731707317</v>
      </c>
    </row>
    <row r="24" spans="1:22" x14ac:dyDescent="0.25">
      <c r="A24" s="1">
        <v>46081</v>
      </c>
      <c r="B24" t="s">
        <v>3</v>
      </c>
      <c r="C24" s="1">
        <v>45932</v>
      </c>
      <c r="D24" s="2">
        <f>Table1[[#This Row],[Date]]-Table1[[#This Row],[Published]]</f>
        <v>149</v>
      </c>
      <c r="E24" s="3">
        <v>123</v>
      </c>
      <c r="F24">
        <v>12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 s="4">
        <f>Table1[[#This Row],[Downloads]]/Table1[[#This Row],[Views]]</f>
        <v>9.7560975609756101E-2</v>
      </c>
      <c r="N24" s="4">
        <f>Table1[[#This Row],[Likes]]/Table1[[#This Row],[Views]]</f>
        <v>8.130081300813009E-3</v>
      </c>
      <c r="O24" s="4">
        <f>Table1[[#This Row],[Collects]]/Table1[[#This Row],[Views]]</f>
        <v>8.130081300813009E-3</v>
      </c>
      <c r="P24" s="4">
        <f>Table1[[#This Row],[Views]]/Table1[[#This Row],[Age]]</f>
        <v>0.82550335570469802</v>
      </c>
      <c r="Q24" s="4">
        <f>Table1[[#This Row],[Downloads]]/Table1[[#This Row],[Age]]</f>
        <v>8.0536912751677847E-2</v>
      </c>
      <c r="R24" s="4">
        <f>Table1[[#This Row],[Likes]]/Table1[[#This Row],[Age]]</f>
        <v>6.7114093959731542E-3</v>
      </c>
      <c r="S24" s="4">
        <f>Table1[[#This Row],[Collects]]/Table1[[#This Row],[Age]]</f>
        <v>6.7114093959731542E-3</v>
      </c>
      <c r="T24" s="4">
        <f>(4*Table1[[#This Row],[Collects]])+(3*Table1[[#This Row],[Likes]])+(2*Table1[[#This Row],[Downloads]])+Table1[[#This Row],[Views]]</f>
        <v>154</v>
      </c>
      <c r="U24" s="4">
        <f>Table1[[#This Row],[Score]]/Table1[[#This Row],[Age]]</f>
        <v>1.0335570469798658</v>
      </c>
      <c r="V24" s="4">
        <f>Table1[[#This Row],[Score]]/Table1[[#This Row],[Views]]</f>
        <v>1.2520325203252032</v>
      </c>
    </row>
    <row r="25" spans="1:22" x14ac:dyDescent="0.25">
      <c r="A25" s="1">
        <v>46081</v>
      </c>
      <c r="B25" t="s">
        <v>4</v>
      </c>
      <c r="C25" s="1">
        <v>46034</v>
      </c>
      <c r="D25" s="2">
        <f>Table1[[#This Row],[Date]]-Table1[[#This Row],[Published]]</f>
        <v>47</v>
      </c>
      <c r="E25" s="3">
        <v>86</v>
      </c>
      <c r="F25">
        <v>24</v>
      </c>
      <c r="G25">
        <v>2</v>
      </c>
      <c r="H25">
        <v>0</v>
      </c>
      <c r="I25">
        <v>0</v>
      </c>
      <c r="J25">
        <v>0</v>
      </c>
      <c r="K25">
        <v>0</v>
      </c>
      <c r="L25">
        <v>0</v>
      </c>
      <c r="M25" s="4">
        <f>Table1[[#This Row],[Downloads]]/Table1[[#This Row],[Views]]</f>
        <v>0.27906976744186046</v>
      </c>
      <c r="N25" s="4">
        <f>Table1[[#This Row],[Likes]]/Table1[[#This Row],[Views]]</f>
        <v>2.3255813953488372E-2</v>
      </c>
      <c r="O25" s="4">
        <f>Table1[[#This Row],[Collects]]/Table1[[#This Row],[Views]]</f>
        <v>0</v>
      </c>
      <c r="P25" s="4">
        <f>Table1[[#This Row],[Views]]/Table1[[#This Row],[Age]]</f>
        <v>1.8297872340425532</v>
      </c>
      <c r="Q25" s="4">
        <f>Table1[[#This Row],[Downloads]]/Table1[[#This Row],[Age]]</f>
        <v>0.51063829787234039</v>
      </c>
      <c r="R25" s="4">
        <f>Table1[[#This Row],[Likes]]/Table1[[#This Row],[Age]]</f>
        <v>4.2553191489361701E-2</v>
      </c>
      <c r="S25" s="4">
        <f>Table1[[#This Row],[Collects]]/Table1[[#This Row],[Age]]</f>
        <v>0</v>
      </c>
      <c r="T25" s="4">
        <f>(4*Table1[[#This Row],[Collects]])+(3*Table1[[#This Row],[Likes]])+(2*Table1[[#This Row],[Downloads]])+Table1[[#This Row],[Views]]</f>
        <v>140</v>
      </c>
      <c r="U25" s="4">
        <f>Table1[[#This Row],[Score]]/Table1[[#This Row],[Age]]</f>
        <v>2.978723404255319</v>
      </c>
      <c r="V25" s="4">
        <f>Table1[[#This Row],[Score]]/Table1[[#This Row],[Views]]</f>
        <v>1.6279069767441861</v>
      </c>
    </row>
    <row r="26" spans="1:22" x14ac:dyDescent="0.25">
      <c r="A26" s="1">
        <v>46086</v>
      </c>
      <c r="B26" t="s">
        <v>0</v>
      </c>
      <c r="C26" s="1">
        <v>45784</v>
      </c>
      <c r="D26" s="2">
        <f>Table1[[#This Row],[Date]]-Table1[[#This Row],[Published]]</f>
        <v>302</v>
      </c>
      <c r="E26" s="3">
        <v>697</v>
      </c>
      <c r="F26">
        <v>159</v>
      </c>
      <c r="G26">
        <v>12</v>
      </c>
      <c r="H26">
        <v>5</v>
      </c>
      <c r="I26">
        <v>0</v>
      </c>
      <c r="J26">
        <v>0</v>
      </c>
      <c r="K26">
        <v>0</v>
      </c>
      <c r="L26">
        <v>0</v>
      </c>
      <c r="M26" s="4">
        <f>Table1[[#This Row],[Downloads]]/Table1[[#This Row],[Views]]</f>
        <v>0.22812051649928264</v>
      </c>
      <c r="N26" s="4">
        <f>Table1[[#This Row],[Likes]]/Table1[[#This Row],[Views]]</f>
        <v>1.721664275466284E-2</v>
      </c>
      <c r="O26" s="4">
        <f>Table1[[#This Row],[Collects]]/Table1[[#This Row],[Views]]</f>
        <v>7.1736011477761836E-3</v>
      </c>
      <c r="P26" s="4">
        <f>Table1[[#This Row],[Views]]/Table1[[#This Row],[Age]]</f>
        <v>2.3079470198675498</v>
      </c>
      <c r="Q26" s="4">
        <f>Table1[[#This Row],[Downloads]]/Table1[[#This Row],[Age]]</f>
        <v>0.52649006622516559</v>
      </c>
      <c r="R26" s="4">
        <f>Table1[[#This Row],[Likes]]/Table1[[#This Row],[Age]]</f>
        <v>3.9735099337748346E-2</v>
      </c>
      <c r="S26" s="4">
        <f>Table1[[#This Row],[Collects]]/Table1[[#This Row],[Age]]</f>
        <v>1.6556291390728478E-2</v>
      </c>
      <c r="T26" s="4">
        <f>(4*Table1[[#This Row],[Collects]])+(3*Table1[[#This Row],[Likes]])+(2*Table1[[#This Row],[Downloads]])+Table1[[#This Row],[Views]]</f>
        <v>1071</v>
      </c>
      <c r="U26" s="4">
        <f>Table1[[#This Row],[Score]]/Table1[[#This Row],[Age]]</f>
        <v>3.5463576158940397</v>
      </c>
      <c r="V26" s="4">
        <f>Table1[[#This Row],[Score]]/Table1[[#This Row],[Views]]</f>
        <v>1.5365853658536586</v>
      </c>
    </row>
    <row r="27" spans="1:22" x14ac:dyDescent="0.25">
      <c r="A27" s="1">
        <v>46086</v>
      </c>
      <c r="B27" t="s">
        <v>1</v>
      </c>
      <c r="C27" s="1">
        <v>45785</v>
      </c>
      <c r="D27" s="2">
        <f>Table1[[#This Row],[Date]]-Table1[[#This Row],[Published]]</f>
        <v>301</v>
      </c>
      <c r="E27" s="3">
        <v>337</v>
      </c>
      <c r="F27">
        <v>95</v>
      </c>
      <c r="G27">
        <v>5</v>
      </c>
      <c r="H27">
        <v>1</v>
      </c>
      <c r="I27">
        <v>0</v>
      </c>
      <c r="J27">
        <v>0</v>
      </c>
      <c r="K27">
        <v>0</v>
      </c>
      <c r="L27">
        <v>0</v>
      </c>
      <c r="M27" s="4">
        <f>Table1[[#This Row],[Downloads]]/Table1[[#This Row],[Views]]</f>
        <v>0.28189910979228489</v>
      </c>
      <c r="N27" s="4">
        <f>Table1[[#This Row],[Likes]]/Table1[[#This Row],[Views]]</f>
        <v>1.483679525222552E-2</v>
      </c>
      <c r="O27" s="4">
        <f>Table1[[#This Row],[Collects]]/Table1[[#This Row],[Views]]</f>
        <v>2.967359050445104E-3</v>
      </c>
      <c r="P27" s="4">
        <f>Table1[[#This Row],[Views]]/Table1[[#This Row],[Age]]</f>
        <v>1.1196013289036544</v>
      </c>
      <c r="Q27" s="4">
        <f>Table1[[#This Row],[Downloads]]/Table1[[#This Row],[Age]]</f>
        <v>0.31561461794019935</v>
      </c>
      <c r="R27" s="4">
        <f>Table1[[#This Row],[Likes]]/Table1[[#This Row],[Age]]</f>
        <v>1.6611295681063124E-2</v>
      </c>
      <c r="S27" s="4">
        <f>Table1[[#This Row],[Collects]]/Table1[[#This Row],[Age]]</f>
        <v>3.3222591362126247E-3</v>
      </c>
      <c r="T27" s="4">
        <f>(4*Table1[[#This Row],[Collects]])+(3*Table1[[#This Row],[Likes]])+(2*Table1[[#This Row],[Downloads]])+Table1[[#This Row],[Views]]</f>
        <v>546</v>
      </c>
      <c r="U27" s="4">
        <f>Table1[[#This Row],[Score]]/Table1[[#This Row],[Age]]</f>
        <v>1.8139534883720929</v>
      </c>
      <c r="V27" s="4">
        <f>Table1[[#This Row],[Score]]/Table1[[#This Row],[Views]]</f>
        <v>1.6201780415430267</v>
      </c>
    </row>
    <row r="28" spans="1:22" x14ac:dyDescent="0.25">
      <c r="A28" s="1">
        <v>46086</v>
      </c>
      <c r="B28" t="s">
        <v>2</v>
      </c>
      <c r="C28" s="1">
        <v>45930</v>
      </c>
      <c r="D28" s="2">
        <f>Table1[[#This Row],[Date]]-Table1[[#This Row],[Published]]</f>
        <v>156</v>
      </c>
      <c r="E28" s="3">
        <v>236</v>
      </c>
      <c r="F28">
        <v>102</v>
      </c>
      <c r="G28">
        <v>5</v>
      </c>
      <c r="H28">
        <v>0</v>
      </c>
      <c r="I28">
        <v>0</v>
      </c>
      <c r="J28">
        <v>0</v>
      </c>
      <c r="K28">
        <v>0</v>
      </c>
      <c r="L28">
        <v>0</v>
      </c>
      <c r="M28" s="4">
        <f>Table1[[#This Row],[Downloads]]/Table1[[#This Row],[Views]]</f>
        <v>0.43220338983050849</v>
      </c>
      <c r="N28" s="4">
        <f>Table1[[#This Row],[Likes]]/Table1[[#This Row],[Views]]</f>
        <v>2.1186440677966101E-2</v>
      </c>
      <c r="O28" s="4">
        <f>Table1[[#This Row],[Collects]]/Table1[[#This Row],[Views]]</f>
        <v>0</v>
      </c>
      <c r="P28" s="4">
        <f>Table1[[#This Row],[Views]]/Table1[[#This Row],[Age]]</f>
        <v>1.5128205128205128</v>
      </c>
      <c r="Q28" s="4">
        <f>Table1[[#This Row],[Downloads]]/Table1[[#This Row],[Age]]</f>
        <v>0.65384615384615385</v>
      </c>
      <c r="R28" s="4">
        <f>Table1[[#This Row],[Likes]]/Table1[[#This Row],[Age]]</f>
        <v>3.2051282051282048E-2</v>
      </c>
      <c r="S28" s="4">
        <f>Table1[[#This Row],[Collects]]/Table1[[#This Row],[Age]]</f>
        <v>0</v>
      </c>
      <c r="T28" s="4">
        <f>(4*Table1[[#This Row],[Collects]])+(3*Table1[[#This Row],[Likes]])+(2*Table1[[#This Row],[Downloads]])+Table1[[#This Row],[Views]]</f>
        <v>455</v>
      </c>
      <c r="U28" s="4">
        <f>Table1[[#This Row],[Score]]/Table1[[#This Row],[Age]]</f>
        <v>2.9166666666666665</v>
      </c>
      <c r="V28" s="4">
        <f>Table1[[#This Row],[Score]]/Table1[[#This Row],[Views]]</f>
        <v>1.9279661016949152</v>
      </c>
    </row>
    <row r="29" spans="1:22" x14ac:dyDescent="0.25">
      <c r="A29" s="1">
        <v>46086</v>
      </c>
      <c r="B29" t="s">
        <v>13</v>
      </c>
      <c r="C29" s="1">
        <v>45750</v>
      </c>
      <c r="D29" s="2">
        <f>Table1[[#This Row],[Date]]-Table1[[#This Row],[Published]]</f>
        <v>336</v>
      </c>
      <c r="E29" s="3">
        <v>167</v>
      </c>
      <c r="F29">
        <v>31</v>
      </c>
      <c r="G29">
        <v>1</v>
      </c>
      <c r="H29">
        <v>1</v>
      </c>
      <c r="I29">
        <v>0</v>
      </c>
      <c r="J29">
        <v>0</v>
      </c>
      <c r="K29">
        <v>0</v>
      </c>
      <c r="L29">
        <v>0</v>
      </c>
      <c r="M29" s="4">
        <f>Table1[[#This Row],[Downloads]]/Table1[[#This Row],[Views]]</f>
        <v>0.18562874251497005</v>
      </c>
      <c r="N29" s="4">
        <f>Table1[[#This Row],[Likes]]/Table1[[#This Row],[Views]]</f>
        <v>5.9880239520958087E-3</v>
      </c>
      <c r="O29" s="4">
        <f>Table1[[#This Row],[Collects]]/Table1[[#This Row],[Views]]</f>
        <v>5.9880239520958087E-3</v>
      </c>
      <c r="P29" s="4">
        <f>Table1[[#This Row],[Views]]/Table1[[#This Row],[Age]]</f>
        <v>0.49702380952380953</v>
      </c>
      <c r="Q29" s="4">
        <f>Table1[[#This Row],[Downloads]]/Table1[[#This Row],[Age]]</f>
        <v>9.2261904761904767E-2</v>
      </c>
      <c r="R29" s="4">
        <f>Table1[[#This Row],[Likes]]/Table1[[#This Row],[Age]]</f>
        <v>2.976190476190476E-3</v>
      </c>
      <c r="S29" s="4">
        <f>Table1[[#This Row],[Collects]]/Table1[[#This Row],[Age]]</f>
        <v>2.976190476190476E-3</v>
      </c>
      <c r="T29" s="4">
        <f>(4*Table1[[#This Row],[Collects]])+(3*Table1[[#This Row],[Likes]])+(2*Table1[[#This Row],[Downloads]])+Table1[[#This Row],[Views]]</f>
        <v>236</v>
      </c>
      <c r="U29" s="4">
        <f>Table1[[#This Row],[Score]]/Table1[[#This Row],[Age]]</f>
        <v>0.70238095238095233</v>
      </c>
      <c r="V29" s="4">
        <f>Table1[[#This Row],[Score]]/Table1[[#This Row],[Views]]</f>
        <v>1.4131736526946108</v>
      </c>
    </row>
    <row r="30" spans="1:22" x14ac:dyDescent="0.25">
      <c r="A30" s="1">
        <v>46086</v>
      </c>
      <c r="B30" t="s">
        <v>3</v>
      </c>
      <c r="C30" s="1">
        <v>45932</v>
      </c>
      <c r="D30" s="2">
        <f>Table1[[#This Row],[Date]]-Table1[[#This Row],[Published]]</f>
        <v>154</v>
      </c>
      <c r="E30" s="3">
        <v>125</v>
      </c>
      <c r="F30">
        <v>15</v>
      </c>
      <c r="G30">
        <v>1</v>
      </c>
      <c r="H30">
        <v>1</v>
      </c>
      <c r="I30">
        <v>0</v>
      </c>
      <c r="J30">
        <v>0</v>
      </c>
      <c r="K30">
        <v>0</v>
      </c>
      <c r="L30">
        <v>0</v>
      </c>
      <c r="M30" s="4">
        <f>Table1[[#This Row],[Downloads]]/Table1[[#This Row],[Views]]</f>
        <v>0.12</v>
      </c>
      <c r="N30" s="4">
        <f>Table1[[#This Row],[Likes]]/Table1[[#This Row],[Views]]</f>
        <v>8.0000000000000002E-3</v>
      </c>
      <c r="O30" s="4">
        <f>Table1[[#This Row],[Collects]]/Table1[[#This Row],[Views]]</f>
        <v>8.0000000000000002E-3</v>
      </c>
      <c r="P30" s="4">
        <f>Table1[[#This Row],[Views]]/Table1[[#This Row],[Age]]</f>
        <v>0.81168831168831168</v>
      </c>
      <c r="Q30" s="4">
        <f>Table1[[#This Row],[Downloads]]/Table1[[#This Row],[Age]]</f>
        <v>9.7402597402597407E-2</v>
      </c>
      <c r="R30" s="4">
        <f>Table1[[#This Row],[Likes]]/Table1[[#This Row],[Age]]</f>
        <v>6.4935064935064939E-3</v>
      </c>
      <c r="S30" s="4">
        <f>Table1[[#This Row],[Collects]]/Table1[[#This Row],[Age]]</f>
        <v>6.4935064935064939E-3</v>
      </c>
      <c r="T30" s="4">
        <f>(4*Table1[[#This Row],[Collects]])+(3*Table1[[#This Row],[Likes]])+(2*Table1[[#This Row],[Downloads]])+Table1[[#This Row],[Views]]</f>
        <v>162</v>
      </c>
      <c r="U30" s="4">
        <f>Table1[[#This Row],[Score]]/Table1[[#This Row],[Age]]</f>
        <v>1.051948051948052</v>
      </c>
      <c r="V30" s="4">
        <f>Table1[[#This Row],[Score]]/Table1[[#This Row],[Views]]</f>
        <v>1.296</v>
      </c>
    </row>
    <row r="31" spans="1:22" x14ac:dyDescent="0.25">
      <c r="A31" s="1">
        <v>46086</v>
      </c>
      <c r="B31" t="s">
        <v>4</v>
      </c>
      <c r="C31" s="1">
        <v>46034</v>
      </c>
      <c r="D31" s="2">
        <f>Table1[[#This Row],[Date]]-Table1[[#This Row],[Published]]</f>
        <v>52</v>
      </c>
      <c r="E31" s="3">
        <v>96</v>
      </c>
      <c r="F31">
        <v>27</v>
      </c>
      <c r="G31">
        <v>2</v>
      </c>
      <c r="H31">
        <v>0</v>
      </c>
      <c r="I31">
        <v>0</v>
      </c>
      <c r="J31">
        <v>0</v>
      </c>
      <c r="K31">
        <v>0</v>
      </c>
      <c r="L31">
        <v>0</v>
      </c>
      <c r="M31" s="4">
        <f>Table1[[#This Row],[Downloads]]/Table1[[#This Row],[Views]]</f>
        <v>0.28125</v>
      </c>
      <c r="N31" s="4">
        <f>Table1[[#This Row],[Likes]]/Table1[[#This Row],[Views]]</f>
        <v>2.0833333333333332E-2</v>
      </c>
      <c r="O31" s="4">
        <f>Table1[[#This Row],[Collects]]/Table1[[#This Row],[Views]]</f>
        <v>0</v>
      </c>
      <c r="P31" s="4">
        <f>Table1[[#This Row],[Views]]/Table1[[#This Row],[Age]]</f>
        <v>1.8461538461538463</v>
      </c>
      <c r="Q31" s="4">
        <f>Table1[[#This Row],[Downloads]]/Table1[[#This Row],[Age]]</f>
        <v>0.51923076923076927</v>
      </c>
      <c r="R31" s="4">
        <f>Table1[[#This Row],[Likes]]/Table1[[#This Row],[Age]]</f>
        <v>3.8461538461538464E-2</v>
      </c>
      <c r="S31" s="4">
        <f>Table1[[#This Row],[Collects]]/Table1[[#This Row],[Age]]</f>
        <v>0</v>
      </c>
      <c r="T31" s="4">
        <f>(4*Table1[[#This Row],[Collects]])+(3*Table1[[#This Row],[Likes]])+(2*Table1[[#This Row],[Downloads]])+Table1[[#This Row],[Views]]</f>
        <v>156</v>
      </c>
      <c r="U31" s="4">
        <f>Table1[[#This Row],[Score]]/Table1[[#This Row],[Age]]</f>
        <v>3</v>
      </c>
      <c r="V31" s="4">
        <f>Table1[[#This Row],[Score]]/Table1[[#This Row],[Views]]</f>
        <v>1.625</v>
      </c>
    </row>
    <row r="32" spans="1:22" x14ac:dyDescent="0.25">
      <c r="A32" s="1">
        <v>46092</v>
      </c>
      <c r="B32" t="s">
        <v>0</v>
      </c>
      <c r="C32" s="1">
        <v>45784</v>
      </c>
      <c r="D32" s="2">
        <f>Table1[[#This Row],[Date]]-Table1[[#This Row],[Published]]</f>
        <v>308</v>
      </c>
      <c r="E32" s="3">
        <v>713</v>
      </c>
      <c r="F32">
        <v>162</v>
      </c>
      <c r="G32">
        <v>12</v>
      </c>
      <c r="H32">
        <v>5</v>
      </c>
      <c r="I32">
        <v>0</v>
      </c>
      <c r="J32">
        <v>0</v>
      </c>
      <c r="K32">
        <v>0</v>
      </c>
      <c r="L32">
        <v>0</v>
      </c>
      <c r="M32" s="4">
        <f>Table1[[#This Row],[Downloads]]/Table1[[#This Row],[Views]]</f>
        <v>0.22720897615708274</v>
      </c>
      <c r="N32" s="4">
        <f>Table1[[#This Row],[Likes]]/Table1[[#This Row],[Views]]</f>
        <v>1.6830294530154277E-2</v>
      </c>
      <c r="O32" s="4">
        <f>Table1[[#This Row],[Collects]]/Table1[[#This Row],[Views]]</f>
        <v>7.0126227208976155E-3</v>
      </c>
      <c r="P32" s="4">
        <f>Table1[[#This Row],[Views]]/Table1[[#This Row],[Age]]</f>
        <v>2.3149350649350651</v>
      </c>
      <c r="Q32" s="4">
        <f>Table1[[#This Row],[Downloads]]/Table1[[#This Row],[Age]]</f>
        <v>0.52597402597402598</v>
      </c>
      <c r="R32" s="4">
        <f>Table1[[#This Row],[Likes]]/Table1[[#This Row],[Age]]</f>
        <v>3.896103896103896E-2</v>
      </c>
      <c r="S32" s="4">
        <f>Table1[[#This Row],[Collects]]/Table1[[#This Row],[Age]]</f>
        <v>1.6233766233766232E-2</v>
      </c>
      <c r="T32" s="4">
        <f>(4*Table1[[#This Row],[Collects]])+(3*Table1[[#This Row],[Likes]])+(2*Table1[[#This Row],[Downloads]])+Table1[[#This Row],[Views]]</f>
        <v>1093</v>
      </c>
      <c r="U32" s="4">
        <f>Table1[[#This Row],[Score]]/Table1[[#This Row],[Age]]</f>
        <v>3.5487012987012987</v>
      </c>
      <c r="V32" s="4">
        <f>Table1[[#This Row],[Score]]/Table1[[#This Row],[Views]]</f>
        <v>1.5329593267882189</v>
      </c>
    </row>
    <row r="33" spans="1:22" x14ac:dyDescent="0.25">
      <c r="A33" s="1">
        <v>46092</v>
      </c>
      <c r="B33" t="s">
        <v>1</v>
      </c>
      <c r="C33" s="1">
        <v>45785</v>
      </c>
      <c r="D33" s="2">
        <f>Table1[[#This Row],[Date]]-Table1[[#This Row],[Published]]</f>
        <v>307</v>
      </c>
      <c r="E33" s="3">
        <v>341</v>
      </c>
      <c r="F33">
        <v>96</v>
      </c>
      <c r="G33">
        <v>5</v>
      </c>
      <c r="H33">
        <v>1</v>
      </c>
      <c r="I33">
        <v>0</v>
      </c>
      <c r="J33">
        <v>0</v>
      </c>
      <c r="K33">
        <v>0</v>
      </c>
      <c r="L33">
        <v>0</v>
      </c>
      <c r="M33" s="4">
        <f>Table1[[#This Row],[Downloads]]/Table1[[#This Row],[Views]]</f>
        <v>0.28152492668621704</v>
      </c>
      <c r="N33" s="4">
        <f>Table1[[#This Row],[Likes]]/Table1[[#This Row],[Views]]</f>
        <v>1.466275659824047E-2</v>
      </c>
      <c r="O33" s="4">
        <f>Table1[[#This Row],[Collects]]/Table1[[#This Row],[Views]]</f>
        <v>2.9325513196480938E-3</v>
      </c>
      <c r="P33" s="4">
        <f>Table1[[#This Row],[Views]]/Table1[[#This Row],[Age]]</f>
        <v>1.1107491856677525</v>
      </c>
      <c r="Q33" s="4">
        <f>Table1[[#This Row],[Downloads]]/Table1[[#This Row],[Age]]</f>
        <v>0.31270358306188922</v>
      </c>
      <c r="R33" s="4">
        <f>Table1[[#This Row],[Likes]]/Table1[[#This Row],[Age]]</f>
        <v>1.6286644951140065E-2</v>
      </c>
      <c r="S33" s="4">
        <f>Table1[[#This Row],[Collects]]/Table1[[#This Row],[Age]]</f>
        <v>3.2573289902280132E-3</v>
      </c>
      <c r="T33" s="4">
        <f>(4*Table1[[#This Row],[Collects]])+(3*Table1[[#This Row],[Likes]])+(2*Table1[[#This Row],[Downloads]])+Table1[[#This Row],[Views]]</f>
        <v>552</v>
      </c>
      <c r="U33" s="4">
        <f>Table1[[#This Row],[Score]]/Table1[[#This Row],[Age]]</f>
        <v>1.7980456026058631</v>
      </c>
      <c r="V33" s="4">
        <f>Table1[[#This Row],[Score]]/Table1[[#This Row],[Views]]</f>
        <v>1.6187683284457477</v>
      </c>
    </row>
    <row r="34" spans="1:22" x14ac:dyDescent="0.25">
      <c r="A34" s="1">
        <v>46092</v>
      </c>
      <c r="B34" t="s">
        <v>2</v>
      </c>
      <c r="C34" s="1">
        <v>45930</v>
      </c>
      <c r="D34" s="2">
        <f>Table1[[#This Row],[Date]]-Table1[[#This Row],[Published]]</f>
        <v>162</v>
      </c>
      <c r="E34" s="3">
        <v>242</v>
      </c>
      <c r="F34">
        <v>102</v>
      </c>
      <c r="G34">
        <v>5</v>
      </c>
      <c r="H34">
        <v>0</v>
      </c>
      <c r="I34">
        <v>0</v>
      </c>
      <c r="J34">
        <v>0</v>
      </c>
      <c r="K34">
        <v>0</v>
      </c>
      <c r="L34">
        <v>0</v>
      </c>
      <c r="M34" s="4">
        <f>Table1[[#This Row],[Downloads]]/Table1[[#This Row],[Views]]</f>
        <v>0.42148760330578511</v>
      </c>
      <c r="N34" s="4">
        <f>Table1[[#This Row],[Likes]]/Table1[[#This Row],[Views]]</f>
        <v>2.0661157024793389E-2</v>
      </c>
      <c r="O34" s="4">
        <f>Table1[[#This Row],[Collects]]/Table1[[#This Row],[Views]]</f>
        <v>0</v>
      </c>
      <c r="P34" s="4">
        <f>Table1[[#This Row],[Views]]/Table1[[#This Row],[Age]]</f>
        <v>1.4938271604938271</v>
      </c>
      <c r="Q34" s="4">
        <f>Table1[[#This Row],[Downloads]]/Table1[[#This Row],[Age]]</f>
        <v>0.62962962962962965</v>
      </c>
      <c r="R34" s="4">
        <f>Table1[[#This Row],[Likes]]/Table1[[#This Row],[Age]]</f>
        <v>3.0864197530864196E-2</v>
      </c>
      <c r="S34" s="4">
        <f>Table1[[#This Row],[Collects]]/Table1[[#This Row],[Age]]</f>
        <v>0</v>
      </c>
      <c r="T34" s="4">
        <f>(4*Table1[[#This Row],[Collects]])+(3*Table1[[#This Row],[Likes]])+(2*Table1[[#This Row],[Downloads]])+Table1[[#This Row],[Views]]</f>
        <v>461</v>
      </c>
      <c r="U34" s="4">
        <f>Table1[[#This Row],[Score]]/Table1[[#This Row],[Age]]</f>
        <v>2.8456790123456792</v>
      </c>
      <c r="V34" s="4">
        <f>Table1[[#This Row],[Score]]/Table1[[#This Row],[Views]]</f>
        <v>1.9049586776859504</v>
      </c>
    </row>
    <row r="35" spans="1:22" x14ac:dyDescent="0.25">
      <c r="A35" s="1">
        <v>46092</v>
      </c>
      <c r="B35" t="s">
        <v>13</v>
      </c>
      <c r="C35" s="1">
        <v>45750</v>
      </c>
      <c r="D35" s="2">
        <f>Table1[[#This Row],[Date]]-Table1[[#This Row],[Published]]</f>
        <v>342</v>
      </c>
      <c r="E35" s="3">
        <v>168</v>
      </c>
      <c r="F35">
        <v>31</v>
      </c>
      <c r="G35">
        <v>3</v>
      </c>
      <c r="H35">
        <v>2</v>
      </c>
      <c r="I35">
        <v>0</v>
      </c>
      <c r="J35">
        <v>0</v>
      </c>
      <c r="K35">
        <v>0</v>
      </c>
      <c r="L35">
        <v>0</v>
      </c>
      <c r="M35" s="4">
        <f>Table1[[#This Row],[Downloads]]/Table1[[#This Row],[Views]]</f>
        <v>0.18452380952380953</v>
      </c>
      <c r="N35" s="4">
        <f>Table1[[#This Row],[Likes]]/Table1[[#This Row],[Views]]</f>
        <v>1.7857142857142856E-2</v>
      </c>
      <c r="O35" s="4">
        <f>Table1[[#This Row],[Collects]]/Table1[[#This Row],[Views]]</f>
        <v>1.1904761904761904E-2</v>
      </c>
      <c r="P35" s="4">
        <f>Table1[[#This Row],[Views]]/Table1[[#This Row],[Age]]</f>
        <v>0.49122807017543857</v>
      </c>
      <c r="Q35" s="4">
        <f>Table1[[#This Row],[Downloads]]/Table1[[#This Row],[Age]]</f>
        <v>9.0643274853801165E-2</v>
      </c>
      <c r="R35" s="4">
        <f>Table1[[#This Row],[Likes]]/Table1[[#This Row],[Age]]</f>
        <v>8.771929824561403E-3</v>
      </c>
      <c r="S35" s="4">
        <f>Table1[[#This Row],[Collects]]/Table1[[#This Row],[Age]]</f>
        <v>5.8479532163742687E-3</v>
      </c>
      <c r="T35" s="4">
        <f>(4*Table1[[#This Row],[Collects]])+(3*Table1[[#This Row],[Likes]])+(2*Table1[[#This Row],[Downloads]])+Table1[[#This Row],[Views]]</f>
        <v>247</v>
      </c>
      <c r="U35" s="4">
        <f>Table1[[#This Row],[Score]]/Table1[[#This Row],[Age]]</f>
        <v>0.72222222222222221</v>
      </c>
      <c r="V35" s="4">
        <f>Table1[[#This Row],[Score]]/Table1[[#This Row],[Views]]</f>
        <v>1.4702380952380953</v>
      </c>
    </row>
    <row r="36" spans="1:22" x14ac:dyDescent="0.25">
      <c r="A36" s="1">
        <v>46092</v>
      </c>
      <c r="B36" t="s">
        <v>3</v>
      </c>
      <c r="C36" s="1">
        <v>45932</v>
      </c>
      <c r="D36" s="2">
        <f>Table1[[#This Row],[Date]]-Table1[[#This Row],[Published]]</f>
        <v>160</v>
      </c>
      <c r="E36" s="3">
        <v>126</v>
      </c>
      <c r="F36">
        <v>15</v>
      </c>
      <c r="G36">
        <v>1</v>
      </c>
      <c r="H36">
        <v>1</v>
      </c>
      <c r="I36">
        <v>0</v>
      </c>
      <c r="J36">
        <v>0</v>
      </c>
      <c r="K36">
        <v>0</v>
      </c>
      <c r="L36">
        <v>0</v>
      </c>
      <c r="M36" s="4">
        <f>Table1[[#This Row],[Downloads]]/Table1[[#This Row],[Views]]</f>
        <v>0.11904761904761904</v>
      </c>
      <c r="N36" s="4">
        <f>Table1[[#This Row],[Likes]]/Table1[[#This Row],[Views]]</f>
        <v>7.9365079365079361E-3</v>
      </c>
      <c r="O36" s="4">
        <f>Table1[[#This Row],[Collects]]/Table1[[#This Row],[Views]]</f>
        <v>7.9365079365079361E-3</v>
      </c>
      <c r="P36" s="4">
        <f>Table1[[#This Row],[Views]]/Table1[[#This Row],[Age]]</f>
        <v>0.78749999999999998</v>
      </c>
      <c r="Q36" s="4">
        <f>Table1[[#This Row],[Downloads]]/Table1[[#This Row],[Age]]</f>
        <v>9.375E-2</v>
      </c>
      <c r="R36" s="4">
        <f>Table1[[#This Row],[Likes]]/Table1[[#This Row],[Age]]</f>
        <v>6.2500000000000003E-3</v>
      </c>
      <c r="S36" s="4">
        <f>Table1[[#This Row],[Collects]]/Table1[[#This Row],[Age]]</f>
        <v>6.2500000000000003E-3</v>
      </c>
      <c r="T36" s="4">
        <f>(4*Table1[[#This Row],[Collects]])+(3*Table1[[#This Row],[Likes]])+(2*Table1[[#This Row],[Downloads]])+Table1[[#This Row],[Views]]</f>
        <v>163</v>
      </c>
      <c r="U36" s="4">
        <f>Table1[[#This Row],[Score]]/Table1[[#This Row],[Age]]</f>
        <v>1.01875</v>
      </c>
      <c r="V36" s="4">
        <f>Table1[[#This Row],[Score]]/Table1[[#This Row],[Views]]</f>
        <v>1.2936507936507937</v>
      </c>
    </row>
    <row r="37" spans="1:22" x14ac:dyDescent="0.25">
      <c r="A37" s="1">
        <v>46092</v>
      </c>
      <c r="B37" t="s">
        <v>4</v>
      </c>
      <c r="C37" s="1">
        <v>46034</v>
      </c>
      <c r="D37" s="2">
        <f>Table1[[#This Row],[Date]]-Table1[[#This Row],[Published]]</f>
        <v>58</v>
      </c>
      <c r="E37" s="3">
        <v>99</v>
      </c>
      <c r="F37">
        <v>27</v>
      </c>
      <c r="G37">
        <v>2</v>
      </c>
      <c r="H37">
        <v>0</v>
      </c>
      <c r="I37">
        <v>0</v>
      </c>
      <c r="J37">
        <v>0</v>
      </c>
      <c r="K37">
        <v>0</v>
      </c>
      <c r="L37">
        <v>0</v>
      </c>
      <c r="M37" s="4">
        <f>Table1[[#This Row],[Downloads]]/Table1[[#This Row],[Views]]</f>
        <v>0.27272727272727271</v>
      </c>
      <c r="N37" s="4">
        <f>Table1[[#This Row],[Likes]]/Table1[[#This Row],[Views]]</f>
        <v>2.0202020202020204E-2</v>
      </c>
      <c r="O37" s="4">
        <f>Table1[[#This Row],[Collects]]/Table1[[#This Row],[Views]]</f>
        <v>0</v>
      </c>
      <c r="P37" s="4">
        <f>Table1[[#This Row],[Views]]/Table1[[#This Row],[Age]]</f>
        <v>1.7068965517241379</v>
      </c>
      <c r="Q37" s="4">
        <f>Table1[[#This Row],[Downloads]]/Table1[[#This Row],[Age]]</f>
        <v>0.46551724137931033</v>
      </c>
      <c r="R37" s="4">
        <f>Table1[[#This Row],[Likes]]/Table1[[#This Row],[Age]]</f>
        <v>3.4482758620689655E-2</v>
      </c>
      <c r="S37" s="4">
        <f>Table1[[#This Row],[Collects]]/Table1[[#This Row],[Age]]</f>
        <v>0</v>
      </c>
      <c r="T37" s="4">
        <f>(4*Table1[[#This Row],[Collects]])+(3*Table1[[#This Row],[Likes]])+(2*Table1[[#This Row],[Downloads]])+Table1[[#This Row],[Views]]</f>
        <v>159</v>
      </c>
      <c r="U37" s="4">
        <f>Table1[[#This Row],[Score]]/Table1[[#This Row],[Age]]</f>
        <v>2.7413793103448274</v>
      </c>
      <c r="V37" s="4">
        <f>Table1[[#This Row],[Score]]/Table1[[#This Row],[Views]]</f>
        <v>1.606060606060606</v>
      </c>
    </row>
    <row r="38" spans="1:22" x14ac:dyDescent="0.25">
      <c r="A38" s="1">
        <v>46099</v>
      </c>
      <c r="B38" t="s">
        <v>0</v>
      </c>
      <c r="C38" s="1">
        <v>45784</v>
      </c>
      <c r="D38" s="2">
        <f>Table1[[#This Row],[Date]]-Table1[[#This Row],[Published]]</f>
        <v>315</v>
      </c>
      <c r="E38" s="3">
        <v>733</v>
      </c>
      <c r="F38">
        <v>167</v>
      </c>
      <c r="G38">
        <v>13</v>
      </c>
      <c r="H38">
        <v>5</v>
      </c>
      <c r="I38">
        <v>0</v>
      </c>
      <c r="J38">
        <v>0</v>
      </c>
      <c r="K38">
        <v>0</v>
      </c>
      <c r="L38">
        <v>0</v>
      </c>
      <c r="M38" s="4">
        <f>Table1[[#This Row],[Downloads]]/Table1[[#This Row],[Views]]</f>
        <v>0.22783083219645292</v>
      </c>
      <c r="N38" s="4">
        <f>Table1[[#This Row],[Likes]]/Table1[[#This Row],[Views]]</f>
        <v>1.7735334242837655E-2</v>
      </c>
      <c r="O38" s="4">
        <f>Table1[[#This Row],[Collects]]/Table1[[#This Row],[Views]]</f>
        <v>6.8212824010914054E-3</v>
      </c>
      <c r="P38" s="4">
        <f>Table1[[#This Row],[Views]]/Table1[[#This Row],[Age]]</f>
        <v>2.3269841269841272</v>
      </c>
      <c r="Q38" s="4">
        <f>Table1[[#This Row],[Downloads]]/Table1[[#This Row],[Age]]</f>
        <v>0.53015873015873016</v>
      </c>
      <c r="R38" s="4">
        <f>Table1[[#This Row],[Likes]]/Table1[[#This Row],[Age]]</f>
        <v>4.1269841269841269E-2</v>
      </c>
      <c r="S38" s="4">
        <f>Table1[[#This Row],[Collects]]/Table1[[#This Row],[Age]]</f>
        <v>1.5873015873015872E-2</v>
      </c>
      <c r="T38" s="4">
        <f>(4*Table1[[#This Row],[Collects]])+(3*Table1[[#This Row],[Likes]])+(2*Table1[[#This Row],[Downloads]])+Table1[[#This Row],[Views]]</f>
        <v>1126</v>
      </c>
      <c r="U38" s="4">
        <f>Table1[[#This Row],[Score]]/Table1[[#This Row],[Age]]</f>
        <v>3.5746031746031748</v>
      </c>
      <c r="V38" s="4">
        <f>Table1[[#This Row],[Score]]/Table1[[#This Row],[Views]]</f>
        <v>1.5361527967257844</v>
      </c>
    </row>
    <row r="39" spans="1:22" x14ac:dyDescent="0.25">
      <c r="A39" s="1">
        <v>46099</v>
      </c>
      <c r="B39" t="s">
        <v>1</v>
      </c>
      <c r="C39" s="1">
        <v>45785</v>
      </c>
      <c r="D39" s="2">
        <f>Table1[[#This Row],[Date]]-Table1[[#This Row],[Published]]</f>
        <v>314</v>
      </c>
      <c r="E39" s="3">
        <v>348</v>
      </c>
      <c r="F39">
        <v>103</v>
      </c>
      <c r="G39">
        <v>7</v>
      </c>
      <c r="H39">
        <v>1</v>
      </c>
      <c r="I39">
        <v>0</v>
      </c>
      <c r="J39">
        <v>0</v>
      </c>
      <c r="K39">
        <v>0</v>
      </c>
      <c r="L39">
        <v>0</v>
      </c>
      <c r="M39" s="4">
        <f>Table1[[#This Row],[Downloads]]/Table1[[#This Row],[Views]]</f>
        <v>0.29597701149425287</v>
      </c>
      <c r="N39" s="4">
        <f>Table1[[#This Row],[Likes]]/Table1[[#This Row],[Views]]</f>
        <v>2.0114942528735632E-2</v>
      </c>
      <c r="O39" s="4">
        <f>Table1[[#This Row],[Collects]]/Table1[[#This Row],[Views]]</f>
        <v>2.8735632183908046E-3</v>
      </c>
      <c r="P39" s="4">
        <f>Table1[[#This Row],[Views]]/Table1[[#This Row],[Age]]</f>
        <v>1.10828025477707</v>
      </c>
      <c r="Q39" s="4">
        <f>Table1[[#This Row],[Downloads]]/Table1[[#This Row],[Age]]</f>
        <v>0.32802547770700635</v>
      </c>
      <c r="R39" s="4">
        <f>Table1[[#This Row],[Likes]]/Table1[[#This Row],[Age]]</f>
        <v>2.2292993630573247E-2</v>
      </c>
      <c r="S39" s="4">
        <f>Table1[[#This Row],[Collects]]/Table1[[#This Row],[Age]]</f>
        <v>3.1847133757961785E-3</v>
      </c>
      <c r="T39" s="4">
        <f>(4*Table1[[#This Row],[Collects]])+(3*Table1[[#This Row],[Likes]])+(2*Table1[[#This Row],[Downloads]])+Table1[[#This Row],[Views]]</f>
        <v>579</v>
      </c>
      <c r="U39" s="4">
        <f>Table1[[#This Row],[Score]]/Table1[[#This Row],[Age]]</f>
        <v>1.8439490445859872</v>
      </c>
      <c r="V39" s="4">
        <f>Table1[[#This Row],[Score]]/Table1[[#This Row],[Views]]</f>
        <v>1.6637931034482758</v>
      </c>
    </row>
    <row r="40" spans="1:22" x14ac:dyDescent="0.25">
      <c r="A40" s="1">
        <v>46099</v>
      </c>
      <c r="B40" t="s">
        <v>2</v>
      </c>
      <c r="C40" s="1">
        <v>45930</v>
      </c>
      <c r="D40" s="2">
        <f>Table1[[#This Row],[Date]]-Table1[[#This Row],[Published]]</f>
        <v>169</v>
      </c>
      <c r="E40" s="3">
        <v>246</v>
      </c>
      <c r="F40">
        <v>103</v>
      </c>
      <c r="G40">
        <v>5</v>
      </c>
      <c r="H40">
        <v>0</v>
      </c>
      <c r="I40">
        <v>0</v>
      </c>
      <c r="J40">
        <v>0</v>
      </c>
      <c r="K40">
        <v>0</v>
      </c>
      <c r="L40">
        <v>0</v>
      </c>
      <c r="M40" s="4">
        <f>Table1[[#This Row],[Downloads]]/Table1[[#This Row],[Views]]</f>
        <v>0.41869918699186992</v>
      </c>
      <c r="N40" s="4">
        <f>Table1[[#This Row],[Likes]]/Table1[[#This Row],[Views]]</f>
        <v>2.032520325203252E-2</v>
      </c>
      <c r="O40" s="4">
        <f>Table1[[#This Row],[Collects]]/Table1[[#This Row],[Views]]</f>
        <v>0</v>
      </c>
      <c r="P40" s="4">
        <f>Table1[[#This Row],[Views]]/Table1[[#This Row],[Age]]</f>
        <v>1.455621301775148</v>
      </c>
      <c r="Q40" s="4">
        <f>Table1[[#This Row],[Downloads]]/Table1[[#This Row],[Age]]</f>
        <v>0.60946745562130178</v>
      </c>
      <c r="R40" s="4">
        <f>Table1[[#This Row],[Likes]]/Table1[[#This Row],[Age]]</f>
        <v>2.9585798816568046E-2</v>
      </c>
      <c r="S40" s="4">
        <f>Table1[[#This Row],[Collects]]/Table1[[#This Row],[Age]]</f>
        <v>0</v>
      </c>
      <c r="T40" s="4">
        <f>(4*Table1[[#This Row],[Collects]])+(3*Table1[[#This Row],[Likes]])+(2*Table1[[#This Row],[Downloads]])+Table1[[#This Row],[Views]]</f>
        <v>467</v>
      </c>
      <c r="U40" s="4">
        <f>Table1[[#This Row],[Score]]/Table1[[#This Row],[Age]]</f>
        <v>2.7633136094674557</v>
      </c>
      <c r="V40" s="4">
        <f>Table1[[#This Row],[Score]]/Table1[[#This Row],[Views]]</f>
        <v>1.8983739837398375</v>
      </c>
    </row>
    <row r="41" spans="1:22" x14ac:dyDescent="0.25">
      <c r="A41" s="1">
        <v>46099</v>
      </c>
      <c r="B41" t="s">
        <v>13</v>
      </c>
      <c r="C41" s="1">
        <v>45750</v>
      </c>
      <c r="D41" s="2">
        <f>Table1[[#This Row],[Date]]-Table1[[#This Row],[Published]]</f>
        <v>349</v>
      </c>
      <c r="E41" s="3">
        <v>172</v>
      </c>
      <c r="F41">
        <v>34</v>
      </c>
      <c r="G41">
        <v>3</v>
      </c>
      <c r="H41">
        <v>2</v>
      </c>
      <c r="I41">
        <v>0</v>
      </c>
      <c r="J41">
        <v>0</v>
      </c>
      <c r="K41">
        <v>0</v>
      </c>
      <c r="L41">
        <v>0</v>
      </c>
      <c r="M41" s="4">
        <f>Table1[[#This Row],[Downloads]]/Table1[[#This Row],[Views]]</f>
        <v>0.19767441860465115</v>
      </c>
      <c r="N41" s="4">
        <f>Table1[[#This Row],[Likes]]/Table1[[#This Row],[Views]]</f>
        <v>1.7441860465116279E-2</v>
      </c>
      <c r="O41" s="4">
        <f>Table1[[#This Row],[Collects]]/Table1[[#This Row],[Views]]</f>
        <v>1.1627906976744186E-2</v>
      </c>
      <c r="P41" s="4">
        <f>Table1[[#This Row],[Views]]/Table1[[#This Row],[Age]]</f>
        <v>0.49283667621776506</v>
      </c>
      <c r="Q41" s="4">
        <f>Table1[[#This Row],[Downloads]]/Table1[[#This Row],[Age]]</f>
        <v>9.7421203438395415E-2</v>
      </c>
      <c r="R41" s="4">
        <f>Table1[[#This Row],[Likes]]/Table1[[#This Row],[Age]]</f>
        <v>8.5959885386819486E-3</v>
      </c>
      <c r="S41" s="4">
        <f>Table1[[#This Row],[Collects]]/Table1[[#This Row],[Age]]</f>
        <v>5.7306590257879654E-3</v>
      </c>
      <c r="T41" s="4">
        <f>(4*Table1[[#This Row],[Collects]])+(3*Table1[[#This Row],[Likes]])+(2*Table1[[#This Row],[Downloads]])+Table1[[#This Row],[Views]]</f>
        <v>257</v>
      </c>
      <c r="U41" s="4">
        <f>Table1[[#This Row],[Score]]/Table1[[#This Row],[Age]]</f>
        <v>0.73638968481375355</v>
      </c>
      <c r="V41" s="4">
        <f>Table1[[#This Row],[Score]]/Table1[[#This Row],[Views]]</f>
        <v>1.4941860465116279</v>
      </c>
    </row>
    <row r="42" spans="1:22" x14ac:dyDescent="0.25">
      <c r="A42" s="1">
        <v>46099</v>
      </c>
      <c r="B42" t="s">
        <v>3</v>
      </c>
      <c r="C42" s="1">
        <v>45932</v>
      </c>
      <c r="D42" s="2">
        <f>Table1[[#This Row],[Date]]-Table1[[#This Row],[Published]]</f>
        <v>167</v>
      </c>
      <c r="E42" s="3">
        <v>131</v>
      </c>
      <c r="F42">
        <v>15</v>
      </c>
      <c r="G42">
        <v>1</v>
      </c>
      <c r="H42">
        <v>1</v>
      </c>
      <c r="I42">
        <v>0</v>
      </c>
      <c r="J42">
        <v>0</v>
      </c>
      <c r="K42">
        <v>0</v>
      </c>
      <c r="L42">
        <v>0</v>
      </c>
      <c r="M42" s="4">
        <f>Table1[[#This Row],[Downloads]]/Table1[[#This Row],[Views]]</f>
        <v>0.11450381679389313</v>
      </c>
      <c r="N42" s="4">
        <f>Table1[[#This Row],[Likes]]/Table1[[#This Row],[Views]]</f>
        <v>7.6335877862595417E-3</v>
      </c>
      <c r="O42" s="4">
        <f>Table1[[#This Row],[Collects]]/Table1[[#This Row],[Views]]</f>
        <v>7.6335877862595417E-3</v>
      </c>
      <c r="P42" s="4">
        <f>Table1[[#This Row],[Views]]/Table1[[#This Row],[Age]]</f>
        <v>0.78443113772455086</v>
      </c>
      <c r="Q42" s="4">
        <f>Table1[[#This Row],[Downloads]]/Table1[[#This Row],[Age]]</f>
        <v>8.9820359281437126E-2</v>
      </c>
      <c r="R42" s="4">
        <f>Table1[[#This Row],[Likes]]/Table1[[#This Row],[Age]]</f>
        <v>5.9880239520958087E-3</v>
      </c>
      <c r="S42" s="4">
        <f>Table1[[#This Row],[Collects]]/Table1[[#This Row],[Age]]</f>
        <v>5.9880239520958087E-3</v>
      </c>
      <c r="T42" s="4">
        <f>(4*Table1[[#This Row],[Collects]])+(3*Table1[[#This Row],[Likes]])+(2*Table1[[#This Row],[Downloads]])+Table1[[#This Row],[Views]]</f>
        <v>168</v>
      </c>
      <c r="U42" s="4">
        <f>Table1[[#This Row],[Score]]/Table1[[#This Row],[Age]]</f>
        <v>1.0059880239520957</v>
      </c>
      <c r="V42" s="4">
        <f>Table1[[#This Row],[Score]]/Table1[[#This Row],[Views]]</f>
        <v>1.282442748091603</v>
      </c>
    </row>
    <row r="43" spans="1:22" x14ac:dyDescent="0.25">
      <c r="A43" s="1">
        <v>46099</v>
      </c>
      <c r="B43" t="s">
        <v>4</v>
      </c>
      <c r="C43" s="1">
        <v>46034</v>
      </c>
      <c r="D43" s="2">
        <f>Table1[[#This Row],[Date]]-Table1[[#This Row],[Published]]</f>
        <v>65</v>
      </c>
      <c r="E43" s="3">
        <v>101</v>
      </c>
      <c r="F43">
        <v>28</v>
      </c>
      <c r="G43">
        <v>2</v>
      </c>
      <c r="H43">
        <v>0</v>
      </c>
      <c r="I43">
        <v>0</v>
      </c>
      <c r="J43">
        <v>0</v>
      </c>
      <c r="K43">
        <v>0</v>
      </c>
      <c r="L43">
        <v>0</v>
      </c>
      <c r="M43" s="4">
        <f>Table1[[#This Row],[Downloads]]/Table1[[#This Row],[Views]]</f>
        <v>0.27722772277227725</v>
      </c>
      <c r="N43" s="4">
        <f>Table1[[#This Row],[Likes]]/Table1[[#This Row],[Views]]</f>
        <v>1.9801980198019802E-2</v>
      </c>
      <c r="O43" s="4">
        <f>Table1[[#This Row],[Collects]]/Table1[[#This Row],[Views]]</f>
        <v>0</v>
      </c>
      <c r="P43" s="4">
        <f>Table1[[#This Row],[Views]]/Table1[[#This Row],[Age]]</f>
        <v>1.5538461538461539</v>
      </c>
      <c r="Q43" s="4">
        <f>Table1[[#This Row],[Downloads]]/Table1[[#This Row],[Age]]</f>
        <v>0.43076923076923079</v>
      </c>
      <c r="R43" s="4">
        <f>Table1[[#This Row],[Likes]]/Table1[[#This Row],[Age]]</f>
        <v>3.0769230769230771E-2</v>
      </c>
      <c r="S43" s="4">
        <f>Table1[[#This Row],[Collects]]/Table1[[#This Row],[Age]]</f>
        <v>0</v>
      </c>
      <c r="T43" s="4">
        <f>(4*Table1[[#This Row],[Collects]])+(3*Table1[[#This Row],[Likes]])+(2*Table1[[#This Row],[Downloads]])+Table1[[#This Row],[Views]]</f>
        <v>163</v>
      </c>
      <c r="U43" s="4">
        <f>Table1[[#This Row],[Score]]/Table1[[#This Row],[Age]]</f>
        <v>2.5076923076923077</v>
      </c>
      <c r="V43" s="4">
        <f>Table1[[#This Row],[Score]]/Table1[[#This Row],[Views]]</f>
        <v>1.613861386138614</v>
      </c>
    </row>
    <row r="44" spans="1:22" x14ac:dyDescent="0.25">
      <c r="A44" s="1">
        <v>46106</v>
      </c>
      <c r="B44" t="s">
        <v>0</v>
      </c>
      <c r="C44" s="1">
        <v>45784</v>
      </c>
      <c r="D44" s="2">
        <f>Table1[[#This Row],[Date]]-Table1[[#This Row],[Published]]</f>
        <v>322</v>
      </c>
      <c r="E44" s="3">
        <v>745</v>
      </c>
      <c r="F44">
        <v>173</v>
      </c>
      <c r="G44">
        <v>13</v>
      </c>
      <c r="H44">
        <v>5</v>
      </c>
      <c r="I44">
        <v>0</v>
      </c>
      <c r="J44">
        <v>0</v>
      </c>
      <c r="K44">
        <v>0</v>
      </c>
      <c r="L44">
        <v>0</v>
      </c>
      <c r="M44" s="4">
        <f>Table1[[#This Row],[Downloads]]/Table1[[#This Row],[Views]]</f>
        <v>0.23221476510067113</v>
      </c>
      <c r="N44" s="4">
        <f>Table1[[#This Row],[Likes]]/Table1[[#This Row],[Views]]</f>
        <v>1.74496644295302E-2</v>
      </c>
      <c r="O44" s="4">
        <f>Table1[[#This Row],[Collects]]/Table1[[#This Row],[Views]]</f>
        <v>6.7114093959731542E-3</v>
      </c>
      <c r="P44" s="4">
        <f>Table1[[#This Row],[Views]]/Table1[[#This Row],[Age]]</f>
        <v>2.3136645962732918</v>
      </c>
      <c r="Q44" s="4">
        <f>Table1[[#This Row],[Downloads]]/Table1[[#This Row],[Age]]</f>
        <v>0.53726708074534157</v>
      </c>
      <c r="R44" s="4">
        <f>Table1[[#This Row],[Likes]]/Table1[[#This Row],[Age]]</f>
        <v>4.0372670807453416E-2</v>
      </c>
      <c r="S44" s="4">
        <f>Table1[[#This Row],[Collects]]/Table1[[#This Row],[Age]]</f>
        <v>1.5527950310559006E-2</v>
      </c>
      <c r="T44" s="4">
        <f>(4*Table1[[#This Row],[Collects]])+(3*Table1[[#This Row],[Likes]])+(2*Table1[[#This Row],[Downloads]])+Table1[[#This Row],[Views]]</f>
        <v>1150</v>
      </c>
      <c r="U44" s="4">
        <f>Table1[[#This Row],[Score]]/Table1[[#This Row],[Age]]</f>
        <v>3.5714285714285716</v>
      </c>
      <c r="V44" s="4">
        <f>Table1[[#This Row],[Score]]/Table1[[#This Row],[Views]]</f>
        <v>1.5436241610738255</v>
      </c>
    </row>
    <row r="45" spans="1:22" x14ac:dyDescent="0.25">
      <c r="A45" s="1">
        <v>46106</v>
      </c>
      <c r="B45" t="s">
        <v>1</v>
      </c>
      <c r="C45" s="1">
        <v>45785</v>
      </c>
      <c r="D45" s="2">
        <f>Table1[[#This Row],[Date]]-Table1[[#This Row],[Published]]</f>
        <v>321</v>
      </c>
      <c r="E45" s="3">
        <v>358</v>
      </c>
      <c r="F45">
        <v>108</v>
      </c>
      <c r="G45">
        <v>7</v>
      </c>
      <c r="H45">
        <v>1</v>
      </c>
      <c r="I45">
        <v>0</v>
      </c>
      <c r="J45">
        <v>0</v>
      </c>
      <c r="K45">
        <v>0</v>
      </c>
      <c r="L45">
        <v>0</v>
      </c>
      <c r="M45" s="4">
        <f>Table1[[#This Row],[Downloads]]/Table1[[#This Row],[Views]]</f>
        <v>0.3016759776536313</v>
      </c>
      <c r="N45" s="4">
        <f>Table1[[#This Row],[Likes]]/Table1[[#This Row],[Views]]</f>
        <v>1.9553072625698324E-2</v>
      </c>
      <c r="O45" s="4">
        <f>Table1[[#This Row],[Collects]]/Table1[[#This Row],[Views]]</f>
        <v>2.7932960893854749E-3</v>
      </c>
      <c r="P45" s="4">
        <f>Table1[[#This Row],[Views]]/Table1[[#This Row],[Age]]</f>
        <v>1.1152647975077881</v>
      </c>
      <c r="Q45" s="4">
        <f>Table1[[#This Row],[Downloads]]/Table1[[#This Row],[Age]]</f>
        <v>0.3364485981308411</v>
      </c>
      <c r="R45" s="4">
        <f>Table1[[#This Row],[Likes]]/Table1[[#This Row],[Age]]</f>
        <v>2.1806853582554516E-2</v>
      </c>
      <c r="S45" s="4">
        <f>Table1[[#This Row],[Collects]]/Table1[[#This Row],[Age]]</f>
        <v>3.1152647975077881E-3</v>
      </c>
      <c r="T45" s="4">
        <f>(4*Table1[[#This Row],[Collects]])+(3*Table1[[#This Row],[Likes]])+(2*Table1[[#This Row],[Downloads]])+Table1[[#This Row],[Views]]</f>
        <v>599</v>
      </c>
      <c r="U45" s="4">
        <f>Table1[[#This Row],[Score]]/Table1[[#This Row],[Age]]</f>
        <v>1.8660436137071652</v>
      </c>
      <c r="V45" s="4">
        <f>Table1[[#This Row],[Score]]/Table1[[#This Row],[Views]]</f>
        <v>1.6731843575418994</v>
      </c>
    </row>
    <row r="46" spans="1:22" x14ac:dyDescent="0.25">
      <c r="A46" s="1">
        <v>46106</v>
      </c>
      <c r="B46" t="s">
        <v>2</v>
      </c>
      <c r="C46" s="1">
        <v>45930</v>
      </c>
      <c r="D46" s="2">
        <f>Table1[[#This Row],[Date]]-Table1[[#This Row],[Published]]</f>
        <v>176</v>
      </c>
      <c r="E46" s="3">
        <v>255</v>
      </c>
      <c r="F46">
        <v>104</v>
      </c>
      <c r="G46">
        <v>5</v>
      </c>
      <c r="H46">
        <v>0</v>
      </c>
      <c r="I46">
        <v>0</v>
      </c>
      <c r="J46">
        <v>0</v>
      </c>
      <c r="K46">
        <v>0</v>
      </c>
      <c r="L46">
        <v>0</v>
      </c>
      <c r="M46" s="4">
        <f>Table1[[#This Row],[Downloads]]/Table1[[#This Row],[Views]]</f>
        <v>0.40784313725490196</v>
      </c>
      <c r="N46" s="4">
        <f>Table1[[#This Row],[Likes]]/Table1[[#This Row],[Views]]</f>
        <v>1.9607843137254902E-2</v>
      </c>
      <c r="O46" s="4">
        <f>Table1[[#This Row],[Collects]]/Table1[[#This Row],[Views]]</f>
        <v>0</v>
      </c>
      <c r="P46" s="4">
        <f>Table1[[#This Row],[Views]]/Table1[[#This Row],[Age]]</f>
        <v>1.4488636363636365</v>
      </c>
      <c r="Q46" s="4">
        <f>Table1[[#This Row],[Downloads]]/Table1[[#This Row],[Age]]</f>
        <v>0.59090909090909094</v>
      </c>
      <c r="R46" s="4">
        <f>Table1[[#This Row],[Likes]]/Table1[[#This Row],[Age]]</f>
        <v>2.8409090909090908E-2</v>
      </c>
      <c r="S46" s="4">
        <f>Table1[[#This Row],[Collects]]/Table1[[#This Row],[Age]]</f>
        <v>0</v>
      </c>
      <c r="T46" s="4">
        <f>(4*Table1[[#This Row],[Collects]])+(3*Table1[[#This Row],[Likes]])+(2*Table1[[#This Row],[Downloads]])+Table1[[#This Row],[Views]]</f>
        <v>478</v>
      </c>
      <c r="U46" s="4">
        <f>Table1[[#This Row],[Score]]/Table1[[#This Row],[Age]]</f>
        <v>2.7159090909090908</v>
      </c>
      <c r="V46" s="4">
        <f>Table1[[#This Row],[Score]]/Table1[[#This Row],[Views]]</f>
        <v>1.8745098039215686</v>
      </c>
    </row>
    <row r="47" spans="1:22" x14ac:dyDescent="0.25">
      <c r="A47" s="1">
        <v>46106</v>
      </c>
      <c r="B47" t="s">
        <v>13</v>
      </c>
      <c r="C47" s="1">
        <v>45750</v>
      </c>
      <c r="D47" s="2">
        <f>Table1[[#This Row],[Date]]-Table1[[#This Row],[Published]]</f>
        <v>356</v>
      </c>
      <c r="E47" s="3">
        <v>174</v>
      </c>
      <c r="F47">
        <v>34</v>
      </c>
      <c r="G47">
        <v>3</v>
      </c>
      <c r="H47">
        <v>2</v>
      </c>
      <c r="I47">
        <v>0</v>
      </c>
      <c r="J47">
        <v>0</v>
      </c>
      <c r="K47">
        <v>0</v>
      </c>
      <c r="L47">
        <v>0</v>
      </c>
      <c r="M47" s="4">
        <f>Table1[[#This Row],[Downloads]]/Table1[[#This Row],[Views]]</f>
        <v>0.19540229885057472</v>
      </c>
      <c r="N47" s="4">
        <f>Table1[[#This Row],[Likes]]/Table1[[#This Row],[Views]]</f>
        <v>1.7241379310344827E-2</v>
      </c>
      <c r="O47" s="4">
        <f>Table1[[#This Row],[Collects]]/Table1[[#This Row],[Views]]</f>
        <v>1.1494252873563218E-2</v>
      </c>
      <c r="P47" s="4">
        <f>Table1[[#This Row],[Views]]/Table1[[#This Row],[Age]]</f>
        <v>0.4887640449438202</v>
      </c>
      <c r="Q47" s="4">
        <f>Table1[[#This Row],[Downloads]]/Table1[[#This Row],[Age]]</f>
        <v>9.5505617977528087E-2</v>
      </c>
      <c r="R47" s="4">
        <f>Table1[[#This Row],[Likes]]/Table1[[#This Row],[Age]]</f>
        <v>8.4269662921348312E-3</v>
      </c>
      <c r="S47" s="4">
        <f>Table1[[#This Row],[Collects]]/Table1[[#This Row],[Age]]</f>
        <v>5.6179775280898875E-3</v>
      </c>
      <c r="T47" s="4">
        <f>(4*Table1[[#This Row],[Collects]])+(3*Table1[[#This Row],[Likes]])+(2*Table1[[#This Row],[Downloads]])+Table1[[#This Row],[Views]]</f>
        <v>259</v>
      </c>
      <c r="U47" s="4">
        <f>Table1[[#This Row],[Score]]/Table1[[#This Row],[Age]]</f>
        <v>0.72752808988764039</v>
      </c>
      <c r="V47" s="4">
        <f>Table1[[#This Row],[Score]]/Table1[[#This Row],[Views]]</f>
        <v>1.4885057471264367</v>
      </c>
    </row>
    <row r="48" spans="1:22" x14ac:dyDescent="0.25">
      <c r="A48" s="1">
        <v>46106</v>
      </c>
      <c r="B48" t="s">
        <v>3</v>
      </c>
      <c r="C48" s="1">
        <v>45932</v>
      </c>
      <c r="D48" s="2">
        <f>Table1[[#This Row],[Date]]-Table1[[#This Row],[Published]]</f>
        <v>174</v>
      </c>
      <c r="E48" s="3">
        <v>134</v>
      </c>
      <c r="F48">
        <v>16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 s="4">
        <f>Table1[[#This Row],[Downloads]]/Table1[[#This Row],[Views]]</f>
        <v>0.11940298507462686</v>
      </c>
      <c r="N48" s="4">
        <f>Table1[[#This Row],[Likes]]/Table1[[#This Row],[Views]]</f>
        <v>7.462686567164179E-3</v>
      </c>
      <c r="O48" s="4">
        <f>Table1[[#This Row],[Collects]]/Table1[[#This Row],[Views]]</f>
        <v>7.462686567164179E-3</v>
      </c>
      <c r="P48" s="4">
        <f>Table1[[#This Row],[Views]]/Table1[[#This Row],[Age]]</f>
        <v>0.77011494252873558</v>
      </c>
      <c r="Q48" s="4">
        <f>Table1[[#This Row],[Downloads]]/Table1[[#This Row],[Age]]</f>
        <v>9.1954022988505746E-2</v>
      </c>
      <c r="R48" s="4">
        <f>Table1[[#This Row],[Likes]]/Table1[[#This Row],[Age]]</f>
        <v>5.7471264367816091E-3</v>
      </c>
      <c r="S48" s="4">
        <f>Table1[[#This Row],[Collects]]/Table1[[#This Row],[Age]]</f>
        <v>5.7471264367816091E-3</v>
      </c>
      <c r="T48" s="4">
        <f>(4*Table1[[#This Row],[Collects]])+(3*Table1[[#This Row],[Likes]])+(2*Table1[[#This Row],[Downloads]])+Table1[[#This Row],[Views]]</f>
        <v>173</v>
      </c>
      <c r="U48" s="4">
        <f>Table1[[#This Row],[Score]]/Table1[[#This Row],[Age]]</f>
        <v>0.99425287356321834</v>
      </c>
      <c r="V48" s="4">
        <f>Table1[[#This Row],[Score]]/Table1[[#This Row],[Views]]</f>
        <v>1.291044776119403</v>
      </c>
    </row>
    <row r="49" spans="1:22" x14ac:dyDescent="0.25">
      <c r="A49" s="1">
        <v>46106</v>
      </c>
      <c r="B49" t="s">
        <v>4</v>
      </c>
      <c r="C49" s="1">
        <v>46034</v>
      </c>
      <c r="D49" s="2">
        <f>Table1[[#This Row],[Date]]-Table1[[#This Row],[Published]]</f>
        <v>72</v>
      </c>
      <c r="E49" s="3">
        <v>105</v>
      </c>
      <c r="F49">
        <v>31</v>
      </c>
      <c r="G49">
        <v>2</v>
      </c>
      <c r="H49">
        <v>0</v>
      </c>
      <c r="I49">
        <v>0</v>
      </c>
      <c r="J49">
        <v>0</v>
      </c>
      <c r="K49">
        <v>0</v>
      </c>
      <c r="L49">
        <v>0</v>
      </c>
      <c r="M49" s="4">
        <f>Table1[[#This Row],[Downloads]]/Table1[[#This Row],[Views]]</f>
        <v>0.29523809523809524</v>
      </c>
      <c r="N49" s="4">
        <f>Table1[[#This Row],[Likes]]/Table1[[#This Row],[Views]]</f>
        <v>1.9047619047619049E-2</v>
      </c>
      <c r="O49" s="4">
        <f>Table1[[#This Row],[Collects]]/Table1[[#This Row],[Views]]</f>
        <v>0</v>
      </c>
      <c r="P49" s="4">
        <f>Table1[[#This Row],[Views]]/Table1[[#This Row],[Age]]</f>
        <v>1.4583333333333333</v>
      </c>
      <c r="Q49" s="4">
        <f>Table1[[#This Row],[Downloads]]/Table1[[#This Row],[Age]]</f>
        <v>0.43055555555555558</v>
      </c>
      <c r="R49" s="4">
        <f>Table1[[#This Row],[Likes]]/Table1[[#This Row],[Age]]</f>
        <v>2.7777777777777776E-2</v>
      </c>
      <c r="S49" s="4">
        <f>Table1[[#This Row],[Collects]]/Table1[[#This Row],[Age]]</f>
        <v>0</v>
      </c>
      <c r="T49" s="4">
        <f>(4*Table1[[#This Row],[Collects]])+(3*Table1[[#This Row],[Likes]])+(2*Table1[[#This Row],[Downloads]])+Table1[[#This Row],[Views]]</f>
        <v>173</v>
      </c>
      <c r="U49" s="4">
        <f>Table1[[#This Row],[Score]]/Table1[[#This Row],[Age]]</f>
        <v>2.4027777777777777</v>
      </c>
      <c r="V49" s="4">
        <f>Table1[[#This Row],[Score]]/Table1[[#This Row],[Views]]</f>
        <v>1.6476190476190475</v>
      </c>
    </row>
    <row r="50" spans="1:22" x14ac:dyDescent="0.25">
      <c r="A50" s="1">
        <v>46113</v>
      </c>
      <c r="B50" t="s">
        <v>0</v>
      </c>
      <c r="C50" s="1">
        <v>45784</v>
      </c>
      <c r="D50" s="2">
        <f>Table1[[#This Row],[Date]]-Table1[[#This Row],[Published]]</f>
        <v>329</v>
      </c>
      <c r="E50" s="3">
        <v>750</v>
      </c>
      <c r="F50">
        <v>176</v>
      </c>
      <c r="G50">
        <v>13</v>
      </c>
      <c r="H50">
        <v>5</v>
      </c>
      <c r="I50">
        <v>0</v>
      </c>
      <c r="J50">
        <v>0</v>
      </c>
      <c r="K50">
        <v>0</v>
      </c>
      <c r="L50">
        <v>0</v>
      </c>
      <c r="M50" s="4">
        <f>Table1[[#This Row],[Downloads]]/Table1[[#This Row],[Views]]</f>
        <v>0.23466666666666666</v>
      </c>
      <c r="N50" s="4">
        <f>Table1[[#This Row],[Likes]]/Table1[[#This Row],[Views]]</f>
        <v>1.7333333333333333E-2</v>
      </c>
      <c r="O50" s="4">
        <f>Table1[[#This Row],[Collects]]/Table1[[#This Row],[Views]]</f>
        <v>6.6666666666666671E-3</v>
      </c>
      <c r="P50" s="4">
        <f>Table1[[#This Row],[Views]]/Table1[[#This Row],[Age]]</f>
        <v>2.2796352583586628</v>
      </c>
      <c r="Q50" s="4">
        <f>Table1[[#This Row],[Downloads]]/Table1[[#This Row],[Age]]</f>
        <v>0.53495440729483279</v>
      </c>
      <c r="R50" s="4">
        <f>Table1[[#This Row],[Likes]]/Table1[[#This Row],[Age]]</f>
        <v>3.9513677811550151E-2</v>
      </c>
      <c r="S50" s="4">
        <f>Table1[[#This Row],[Collects]]/Table1[[#This Row],[Age]]</f>
        <v>1.5197568389057751E-2</v>
      </c>
      <c r="T50" s="4">
        <f>(4*Table1[[#This Row],[Collects]])+(3*Table1[[#This Row],[Likes]])+(2*Table1[[#This Row],[Downloads]])+Table1[[#This Row],[Views]]</f>
        <v>1161</v>
      </c>
      <c r="U50" s="4">
        <f>Table1[[#This Row],[Score]]/Table1[[#This Row],[Age]]</f>
        <v>3.5288753799392096</v>
      </c>
      <c r="V50" s="4">
        <f>Table1[[#This Row],[Score]]/Table1[[#This Row],[Views]]</f>
        <v>1.548</v>
      </c>
    </row>
    <row r="51" spans="1:22" x14ac:dyDescent="0.25">
      <c r="A51" s="1">
        <v>46113</v>
      </c>
      <c r="B51" t="s">
        <v>1</v>
      </c>
      <c r="C51" s="1">
        <v>45785</v>
      </c>
      <c r="D51" s="2">
        <f>Table1[[#This Row],[Date]]-Table1[[#This Row],[Published]]</f>
        <v>328</v>
      </c>
      <c r="E51" s="3">
        <v>364</v>
      </c>
      <c r="F51">
        <v>107</v>
      </c>
      <c r="G51">
        <v>8</v>
      </c>
      <c r="H51">
        <v>1</v>
      </c>
      <c r="I51">
        <v>0</v>
      </c>
      <c r="J51">
        <v>0</v>
      </c>
      <c r="K51">
        <v>0</v>
      </c>
      <c r="L51">
        <v>0</v>
      </c>
      <c r="M51" s="4">
        <f>Table1[[#This Row],[Downloads]]/Table1[[#This Row],[Views]]</f>
        <v>0.29395604395604397</v>
      </c>
      <c r="N51" s="4">
        <f>Table1[[#This Row],[Likes]]/Table1[[#This Row],[Views]]</f>
        <v>2.197802197802198E-2</v>
      </c>
      <c r="O51" s="4">
        <f>Table1[[#This Row],[Collects]]/Table1[[#This Row],[Views]]</f>
        <v>2.7472527472527475E-3</v>
      </c>
      <c r="P51" s="4">
        <f>Table1[[#This Row],[Views]]/Table1[[#This Row],[Age]]</f>
        <v>1.1097560975609757</v>
      </c>
      <c r="Q51" s="4">
        <f>Table1[[#This Row],[Downloads]]/Table1[[#This Row],[Age]]</f>
        <v>0.32621951219512196</v>
      </c>
      <c r="R51" s="4">
        <f>Table1[[#This Row],[Likes]]/Table1[[#This Row],[Age]]</f>
        <v>2.4390243902439025E-2</v>
      </c>
      <c r="S51" s="4">
        <f>Table1[[#This Row],[Collects]]/Table1[[#This Row],[Age]]</f>
        <v>3.0487804878048782E-3</v>
      </c>
      <c r="T51" s="4">
        <f>(4*Table1[[#This Row],[Collects]])+(3*Table1[[#This Row],[Likes]])+(2*Table1[[#This Row],[Downloads]])+Table1[[#This Row],[Views]]</f>
        <v>606</v>
      </c>
      <c r="U51" s="4">
        <f>Table1[[#This Row],[Score]]/Table1[[#This Row],[Age]]</f>
        <v>1.8475609756097562</v>
      </c>
      <c r="V51" s="4">
        <f>Table1[[#This Row],[Score]]/Table1[[#This Row],[Views]]</f>
        <v>1.6648351648351649</v>
      </c>
    </row>
    <row r="52" spans="1:22" x14ac:dyDescent="0.25">
      <c r="A52" s="1">
        <v>46113</v>
      </c>
      <c r="B52" t="s">
        <v>2</v>
      </c>
      <c r="C52" s="1">
        <v>45930</v>
      </c>
      <c r="D52" s="2">
        <f>Table1[[#This Row],[Date]]-Table1[[#This Row],[Published]]</f>
        <v>183</v>
      </c>
      <c r="E52" s="3">
        <v>261</v>
      </c>
      <c r="F52">
        <v>106</v>
      </c>
      <c r="G52">
        <v>5</v>
      </c>
      <c r="H52">
        <v>0</v>
      </c>
      <c r="I52">
        <v>0</v>
      </c>
      <c r="J52">
        <v>0</v>
      </c>
      <c r="K52">
        <v>0</v>
      </c>
      <c r="L52">
        <v>0</v>
      </c>
      <c r="M52" s="4">
        <f>Table1[[#This Row],[Downloads]]/Table1[[#This Row],[Views]]</f>
        <v>0.4061302681992337</v>
      </c>
      <c r="N52" s="4">
        <f>Table1[[#This Row],[Likes]]/Table1[[#This Row],[Views]]</f>
        <v>1.9157088122605363E-2</v>
      </c>
      <c r="O52" s="4">
        <f>Table1[[#This Row],[Collects]]/Table1[[#This Row],[Views]]</f>
        <v>0</v>
      </c>
      <c r="P52" s="4">
        <f>Table1[[#This Row],[Views]]/Table1[[#This Row],[Age]]</f>
        <v>1.4262295081967213</v>
      </c>
      <c r="Q52" s="4">
        <f>Table1[[#This Row],[Downloads]]/Table1[[#This Row],[Age]]</f>
        <v>0.57923497267759561</v>
      </c>
      <c r="R52" s="4">
        <f>Table1[[#This Row],[Likes]]/Table1[[#This Row],[Age]]</f>
        <v>2.7322404371584699E-2</v>
      </c>
      <c r="S52" s="4">
        <f>Table1[[#This Row],[Collects]]/Table1[[#This Row],[Age]]</f>
        <v>0</v>
      </c>
      <c r="T52" s="4">
        <f>(4*Table1[[#This Row],[Collects]])+(3*Table1[[#This Row],[Likes]])+(2*Table1[[#This Row],[Downloads]])+Table1[[#This Row],[Views]]</f>
        <v>488</v>
      </c>
      <c r="U52" s="4">
        <f>Table1[[#This Row],[Score]]/Table1[[#This Row],[Age]]</f>
        <v>2.6666666666666665</v>
      </c>
      <c r="V52" s="4">
        <f>Table1[[#This Row],[Score]]/Table1[[#This Row],[Views]]</f>
        <v>1.8697318007662835</v>
      </c>
    </row>
    <row r="53" spans="1:22" x14ac:dyDescent="0.25">
      <c r="A53" s="1">
        <v>46113</v>
      </c>
      <c r="B53" t="s">
        <v>13</v>
      </c>
      <c r="C53" s="1">
        <v>45750</v>
      </c>
      <c r="D53" s="2">
        <f>Table1[[#This Row],[Date]]-Table1[[#This Row],[Published]]</f>
        <v>363</v>
      </c>
      <c r="E53" s="3">
        <v>175</v>
      </c>
      <c r="F53">
        <v>34</v>
      </c>
      <c r="G53">
        <v>3</v>
      </c>
      <c r="H53">
        <v>2</v>
      </c>
      <c r="I53">
        <v>0</v>
      </c>
      <c r="J53">
        <v>0</v>
      </c>
      <c r="K53">
        <v>0</v>
      </c>
      <c r="L53">
        <v>0</v>
      </c>
      <c r="M53" s="4">
        <f>Table1[[#This Row],[Downloads]]/Table1[[#This Row],[Views]]</f>
        <v>0.19428571428571428</v>
      </c>
      <c r="N53" s="4">
        <f>Table1[[#This Row],[Likes]]/Table1[[#This Row],[Views]]</f>
        <v>1.7142857142857144E-2</v>
      </c>
      <c r="O53" s="4">
        <f>Table1[[#This Row],[Collects]]/Table1[[#This Row],[Views]]</f>
        <v>1.1428571428571429E-2</v>
      </c>
      <c r="P53" s="4">
        <f>Table1[[#This Row],[Views]]/Table1[[#This Row],[Age]]</f>
        <v>0.48209366391184572</v>
      </c>
      <c r="Q53" s="4">
        <f>Table1[[#This Row],[Downloads]]/Table1[[#This Row],[Age]]</f>
        <v>9.366391184573003E-2</v>
      </c>
      <c r="R53" s="4">
        <f>Table1[[#This Row],[Likes]]/Table1[[#This Row],[Age]]</f>
        <v>8.2644628099173556E-3</v>
      </c>
      <c r="S53" s="4">
        <f>Table1[[#This Row],[Collects]]/Table1[[#This Row],[Age]]</f>
        <v>5.5096418732782371E-3</v>
      </c>
      <c r="T53" s="4">
        <f>(4*Table1[[#This Row],[Collects]])+(3*Table1[[#This Row],[Likes]])+(2*Table1[[#This Row],[Downloads]])+Table1[[#This Row],[Views]]</f>
        <v>260</v>
      </c>
      <c r="U53" s="4">
        <f>Table1[[#This Row],[Score]]/Table1[[#This Row],[Age]]</f>
        <v>0.71625344352617082</v>
      </c>
      <c r="V53" s="4">
        <f>Table1[[#This Row],[Score]]/Table1[[#This Row],[Views]]</f>
        <v>1.4857142857142858</v>
      </c>
    </row>
    <row r="54" spans="1:22" x14ac:dyDescent="0.25">
      <c r="A54" s="1">
        <v>46113</v>
      </c>
      <c r="B54" t="s">
        <v>3</v>
      </c>
      <c r="C54" s="1">
        <v>45932</v>
      </c>
      <c r="D54" s="2">
        <f>Table1[[#This Row],[Date]]-Table1[[#This Row],[Published]]</f>
        <v>181</v>
      </c>
      <c r="E54" s="3">
        <v>139</v>
      </c>
      <c r="F54">
        <v>16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 s="4">
        <f>Table1[[#This Row],[Downloads]]/Table1[[#This Row],[Views]]</f>
        <v>0.11510791366906475</v>
      </c>
      <c r="N54" s="4">
        <f>Table1[[#This Row],[Likes]]/Table1[[#This Row],[Views]]</f>
        <v>7.1942446043165471E-3</v>
      </c>
      <c r="O54" s="4">
        <f>Table1[[#This Row],[Collects]]/Table1[[#This Row],[Views]]</f>
        <v>7.1942446043165471E-3</v>
      </c>
      <c r="P54" s="4">
        <f>Table1[[#This Row],[Views]]/Table1[[#This Row],[Age]]</f>
        <v>0.76795580110497241</v>
      </c>
      <c r="Q54" s="4">
        <f>Table1[[#This Row],[Downloads]]/Table1[[#This Row],[Age]]</f>
        <v>8.8397790055248615E-2</v>
      </c>
      <c r="R54" s="4">
        <f>Table1[[#This Row],[Likes]]/Table1[[#This Row],[Age]]</f>
        <v>5.5248618784530384E-3</v>
      </c>
      <c r="S54" s="4">
        <f>Table1[[#This Row],[Collects]]/Table1[[#This Row],[Age]]</f>
        <v>5.5248618784530384E-3</v>
      </c>
      <c r="T54" s="4">
        <f>(4*Table1[[#This Row],[Collects]])+(3*Table1[[#This Row],[Likes]])+(2*Table1[[#This Row],[Downloads]])+Table1[[#This Row],[Views]]</f>
        <v>178</v>
      </c>
      <c r="U54" s="4">
        <f>Table1[[#This Row],[Score]]/Table1[[#This Row],[Age]]</f>
        <v>0.98342541436464093</v>
      </c>
      <c r="V54" s="4">
        <f>Table1[[#This Row],[Score]]/Table1[[#This Row],[Views]]</f>
        <v>1.2805755395683454</v>
      </c>
    </row>
    <row r="55" spans="1:22" x14ac:dyDescent="0.25">
      <c r="A55" s="1">
        <v>46113</v>
      </c>
      <c r="B55" t="s">
        <v>4</v>
      </c>
      <c r="C55" s="1">
        <v>46034</v>
      </c>
      <c r="D55" s="2">
        <f>Table1[[#This Row],[Date]]-Table1[[#This Row],[Published]]</f>
        <v>79</v>
      </c>
      <c r="E55" s="3">
        <v>110</v>
      </c>
      <c r="F55">
        <v>33</v>
      </c>
      <c r="G55">
        <v>2</v>
      </c>
      <c r="H55">
        <v>0</v>
      </c>
      <c r="I55">
        <v>0</v>
      </c>
      <c r="J55">
        <v>0</v>
      </c>
      <c r="K55">
        <v>0</v>
      </c>
      <c r="L55">
        <v>0</v>
      </c>
      <c r="M55" s="4">
        <f>Table1[[#This Row],[Downloads]]/Table1[[#This Row],[Views]]</f>
        <v>0.3</v>
      </c>
      <c r="N55" s="4">
        <f>Table1[[#This Row],[Likes]]/Table1[[#This Row],[Views]]</f>
        <v>1.8181818181818181E-2</v>
      </c>
      <c r="O55" s="4">
        <f>Table1[[#This Row],[Collects]]/Table1[[#This Row],[Views]]</f>
        <v>0</v>
      </c>
      <c r="P55" s="4">
        <f>Table1[[#This Row],[Views]]/Table1[[#This Row],[Age]]</f>
        <v>1.3924050632911393</v>
      </c>
      <c r="Q55" s="4">
        <f>Table1[[#This Row],[Downloads]]/Table1[[#This Row],[Age]]</f>
        <v>0.41772151898734178</v>
      </c>
      <c r="R55" s="4">
        <f>Table1[[#This Row],[Likes]]/Table1[[#This Row],[Age]]</f>
        <v>2.5316455696202531E-2</v>
      </c>
      <c r="S55" s="4">
        <f>Table1[[#This Row],[Collects]]/Table1[[#This Row],[Age]]</f>
        <v>0</v>
      </c>
      <c r="T55" s="4">
        <f>(4*Table1[[#This Row],[Collects]])+(3*Table1[[#This Row],[Likes]])+(2*Table1[[#This Row],[Downloads]])+Table1[[#This Row],[Views]]</f>
        <v>182</v>
      </c>
      <c r="U55" s="4">
        <f>Table1[[#This Row],[Score]]/Table1[[#This Row],[Age]]</f>
        <v>2.3037974683544302</v>
      </c>
      <c r="V55" s="4">
        <f>Table1[[#This Row],[Score]]/Table1[[#This Row],[Views]]</f>
        <v>1.6545454545454545</v>
      </c>
    </row>
    <row r="56" spans="1:22" x14ac:dyDescent="0.25">
      <c r="A56" s="1">
        <v>46120</v>
      </c>
      <c r="B56" t="s">
        <v>0</v>
      </c>
      <c r="C56" s="1">
        <v>45784</v>
      </c>
      <c r="D56" s="2">
        <f>Table1[[#This Row],[Date]]-Table1[[#This Row],[Published]]</f>
        <v>336</v>
      </c>
      <c r="E56" s="3">
        <v>764</v>
      </c>
      <c r="F56">
        <v>181</v>
      </c>
      <c r="G56">
        <v>13</v>
      </c>
      <c r="H56">
        <v>5</v>
      </c>
      <c r="I56">
        <v>0</v>
      </c>
      <c r="J56">
        <v>0</v>
      </c>
      <c r="K56">
        <v>0</v>
      </c>
      <c r="L56">
        <v>0</v>
      </c>
      <c r="M56" s="4">
        <f>Table1[[#This Row],[Downloads]]/Table1[[#This Row],[Views]]</f>
        <v>0.23691099476439789</v>
      </c>
      <c r="N56" s="4">
        <f>Table1[[#This Row],[Likes]]/Table1[[#This Row],[Views]]</f>
        <v>1.7015706806282723E-2</v>
      </c>
      <c r="O56" s="4">
        <f>Table1[[#This Row],[Collects]]/Table1[[#This Row],[Views]]</f>
        <v>6.5445026178010471E-3</v>
      </c>
      <c r="P56" s="4">
        <f>Table1[[#This Row],[Views]]/Table1[[#This Row],[Age]]</f>
        <v>2.2738095238095237</v>
      </c>
      <c r="Q56" s="4">
        <f>Table1[[#This Row],[Downloads]]/Table1[[#This Row],[Age]]</f>
        <v>0.53869047619047616</v>
      </c>
      <c r="R56" s="4">
        <f>Table1[[#This Row],[Likes]]/Table1[[#This Row],[Age]]</f>
        <v>3.8690476190476192E-2</v>
      </c>
      <c r="S56" s="4">
        <f>Table1[[#This Row],[Collects]]/Table1[[#This Row],[Age]]</f>
        <v>1.488095238095238E-2</v>
      </c>
      <c r="T56" s="4">
        <f>(4*Table1[[#This Row],[Collects]])+(3*Table1[[#This Row],[Likes]])+(2*Table1[[#This Row],[Downloads]])+Table1[[#This Row],[Views]]</f>
        <v>1185</v>
      </c>
      <c r="U56" s="4">
        <f>Table1[[#This Row],[Score]]/Table1[[#This Row],[Age]]</f>
        <v>3.5267857142857144</v>
      </c>
      <c r="V56" s="4">
        <f>Table1[[#This Row],[Score]]/Table1[[#This Row],[Views]]</f>
        <v>1.5510471204188481</v>
      </c>
    </row>
    <row r="57" spans="1:22" x14ac:dyDescent="0.25">
      <c r="A57" s="1">
        <v>46120</v>
      </c>
      <c r="B57" t="s">
        <v>1</v>
      </c>
      <c r="C57" s="1">
        <v>45785</v>
      </c>
      <c r="D57" s="2">
        <f>Table1[[#This Row],[Date]]-Table1[[#This Row],[Published]]</f>
        <v>335</v>
      </c>
      <c r="E57" s="3">
        <v>369</v>
      </c>
      <c r="F57">
        <v>108</v>
      </c>
      <c r="G57">
        <v>8</v>
      </c>
      <c r="H57">
        <v>1</v>
      </c>
      <c r="I57">
        <v>0</v>
      </c>
      <c r="J57">
        <v>0</v>
      </c>
      <c r="K57">
        <v>0</v>
      </c>
      <c r="L57">
        <v>0</v>
      </c>
      <c r="M57" s="4">
        <f>Table1[[#This Row],[Downloads]]/Table1[[#This Row],[Views]]</f>
        <v>0.29268292682926828</v>
      </c>
      <c r="N57" s="4">
        <f>Table1[[#This Row],[Likes]]/Table1[[#This Row],[Views]]</f>
        <v>2.1680216802168022E-2</v>
      </c>
      <c r="O57" s="4">
        <f>Table1[[#This Row],[Collects]]/Table1[[#This Row],[Views]]</f>
        <v>2.7100271002710027E-3</v>
      </c>
      <c r="P57" s="4">
        <f>Table1[[#This Row],[Views]]/Table1[[#This Row],[Age]]</f>
        <v>1.1014925373134328</v>
      </c>
      <c r="Q57" s="4">
        <f>Table1[[#This Row],[Downloads]]/Table1[[#This Row],[Age]]</f>
        <v>0.32238805970149254</v>
      </c>
      <c r="R57" s="4">
        <f>Table1[[#This Row],[Likes]]/Table1[[#This Row],[Age]]</f>
        <v>2.3880597014925373E-2</v>
      </c>
      <c r="S57" s="4">
        <f>Table1[[#This Row],[Collects]]/Table1[[#This Row],[Age]]</f>
        <v>2.9850746268656717E-3</v>
      </c>
      <c r="T57" s="4">
        <f>(4*Table1[[#This Row],[Collects]])+(3*Table1[[#This Row],[Likes]])+(2*Table1[[#This Row],[Downloads]])+Table1[[#This Row],[Views]]</f>
        <v>613</v>
      </c>
      <c r="U57" s="4">
        <f>Table1[[#This Row],[Score]]/Table1[[#This Row],[Age]]</f>
        <v>1.8298507462686566</v>
      </c>
      <c r="V57" s="4">
        <f>Table1[[#This Row],[Score]]/Table1[[#This Row],[Views]]</f>
        <v>1.6612466124661247</v>
      </c>
    </row>
    <row r="58" spans="1:22" x14ac:dyDescent="0.25">
      <c r="A58" s="1">
        <v>46120</v>
      </c>
      <c r="B58" t="s">
        <v>2</v>
      </c>
      <c r="C58" s="1">
        <v>45930</v>
      </c>
      <c r="D58" s="2">
        <f>Table1[[#This Row],[Date]]-Table1[[#This Row],[Published]]</f>
        <v>190</v>
      </c>
      <c r="E58" s="3">
        <v>263</v>
      </c>
      <c r="F58">
        <v>106</v>
      </c>
      <c r="G58">
        <v>6</v>
      </c>
      <c r="H58">
        <v>0</v>
      </c>
      <c r="I58">
        <v>0</v>
      </c>
      <c r="J58">
        <v>0</v>
      </c>
      <c r="K58">
        <v>0</v>
      </c>
      <c r="L58">
        <v>0</v>
      </c>
      <c r="M58" s="4">
        <f>Table1[[#This Row],[Downloads]]/Table1[[#This Row],[Views]]</f>
        <v>0.40304182509505704</v>
      </c>
      <c r="N58" s="4">
        <f>Table1[[#This Row],[Likes]]/Table1[[#This Row],[Views]]</f>
        <v>2.2813688212927757E-2</v>
      </c>
      <c r="O58" s="4">
        <f>Table1[[#This Row],[Collects]]/Table1[[#This Row],[Views]]</f>
        <v>0</v>
      </c>
      <c r="P58" s="4">
        <f>Table1[[#This Row],[Views]]/Table1[[#This Row],[Age]]</f>
        <v>1.3842105263157896</v>
      </c>
      <c r="Q58" s="4">
        <f>Table1[[#This Row],[Downloads]]/Table1[[#This Row],[Age]]</f>
        <v>0.55789473684210522</v>
      </c>
      <c r="R58" s="4">
        <f>Table1[[#This Row],[Likes]]/Table1[[#This Row],[Age]]</f>
        <v>3.1578947368421054E-2</v>
      </c>
      <c r="S58" s="4">
        <f>Table1[[#This Row],[Collects]]/Table1[[#This Row],[Age]]</f>
        <v>0</v>
      </c>
      <c r="T58" s="4">
        <f>(4*Table1[[#This Row],[Collects]])+(3*Table1[[#This Row],[Likes]])+(2*Table1[[#This Row],[Downloads]])+Table1[[#This Row],[Views]]</f>
        <v>493</v>
      </c>
      <c r="U58" s="4">
        <f>Table1[[#This Row],[Score]]/Table1[[#This Row],[Age]]</f>
        <v>2.594736842105263</v>
      </c>
      <c r="V58" s="4">
        <f>Table1[[#This Row],[Score]]/Table1[[#This Row],[Views]]</f>
        <v>1.8745247148288973</v>
      </c>
    </row>
    <row r="59" spans="1:22" x14ac:dyDescent="0.25">
      <c r="A59" s="1">
        <v>46120</v>
      </c>
      <c r="B59" t="s">
        <v>13</v>
      </c>
      <c r="C59" s="1">
        <v>45750</v>
      </c>
      <c r="D59" s="2">
        <f>Table1[[#This Row],[Date]]-Table1[[#This Row],[Published]]</f>
        <v>370</v>
      </c>
      <c r="E59" s="3">
        <v>177</v>
      </c>
      <c r="F59">
        <v>34</v>
      </c>
      <c r="G59">
        <v>3</v>
      </c>
      <c r="H59">
        <v>2</v>
      </c>
      <c r="I59">
        <v>0</v>
      </c>
      <c r="J59">
        <v>0</v>
      </c>
      <c r="K59">
        <v>0</v>
      </c>
      <c r="L59">
        <v>0</v>
      </c>
      <c r="M59" s="4">
        <f>Table1[[#This Row],[Downloads]]/Table1[[#This Row],[Views]]</f>
        <v>0.19209039548022599</v>
      </c>
      <c r="N59" s="4">
        <f>Table1[[#This Row],[Likes]]/Table1[[#This Row],[Views]]</f>
        <v>1.6949152542372881E-2</v>
      </c>
      <c r="O59" s="4">
        <f>Table1[[#This Row],[Collects]]/Table1[[#This Row],[Views]]</f>
        <v>1.1299435028248588E-2</v>
      </c>
      <c r="P59" s="4">
        <f>Table1[[#This Row],[Views]]/Table1[[#This Row],[Age]]</f>
        <v>0.47837837837837838</v>
      </c>
      <c r="Q59" s="4">
        <f>Table1[[#This Row],[Downloads]]/Table1[[#This Row],[Age]]</f>
        <v>9.1891891891891897E-2</v>
      </c>
      <c r="R59" s="4">
        <f>Table1[[#This Row],[Likes]]/Table1[[#This Row],[Age]]</f>
        <v>8.1081081081081086E-3</v>
      </c>
      <c r="S59" s="4">
        <f>Table1[[#This Row],[Collects]]/Table1[[#This Row],[Age]]</f>
        <v>5.4054054054054057E-3</v>
      </c>
      <c r="T59" s="4">
        <f>(4*Table1[[#This Row],[Collects]])+(3*Table1[[#This Row],[Likes]])+(2*Table1[[#This Row],[Downloads]])+Table1[[#This Row],[Views]]</f>
        <v>262</v>
      </c>
      <c r="U59" s="4">
        <f>Table1[[#This Row],[Score]]/Table1[[#This Row],[Age]]</f>
        <v>0.70810810810810809</v>
      </c>
      <c r="V59" s="4">
        <f>Table1[[#This Row],[Score]]/Table1[[#This Row],[Views]]</f>
        <v>1.4802259887005649</v>
      </c>
    </row>
    <row r="60" spans="1:22" x14ac:dyDescent="0.25">
      <c r="A60" s="1">
        <v>46120</v>
      </c>
      <c r="B60" t="s">
        <v>3</v>
      </c>
      <c r="C60" s="1">
        <v>45932</v>
      </c>
      <c r="D60" s="2">
        <f>Table1[[#This Row],[Date]]-Table1[[#This Row],[Published]]</f>
        <v>188</v>
      </c>
      <c r="E60" s="3">
        <v>141</v>
      </c>
      <c r="F60">
        <v>17</v>
      </c>
      <c r="G60">
        <v>1</v>
      </c>
      <c r="H60">
        <v>1</v>
      </c>
      <c r="I60">
        <v>0</v>
      </c>
      <c r="J60">
        <v>0</v>
      </c>
      <c r="K60">
        <v>0</v>
      </c>
      <c r="L60">
        <v>0</v>
      </c>
      <c r="M60" s="4">
        <f>Table1[[#This Row],[Downloads]]/Table1[[#This Row],[Views]]</f>
        <v>0.12056737588652482</v>
      </c>
      <c r="N60" s="4">
        <f>Table1[[#This Row],[Likes]]/Table1[[#This Row],[Views]]</f>
        <v>7.0921985815602835E-3</v>
      </c>
      <c r="O60" s="4">
        <f>Table1[[#This Row],[Collects]]/Table1[[#This Row],[Views]]</f>
        <v>7.0921985815602835E-3</v>
      </c>
      <c r="P60" s="4">
        <f>Table1[[#This Row],[Views]]/Table1[[#This Row],[Age]]</f>
        <v>0.75</v>
      </c>
      <c r="Q60" s="4">
        <f>Table1[[#This Row],[Downloads]]/Table1[[#This Row],[Age]]</f>
        <v>9.0425531914893623E-2</v>
      </c>
      <c r="R60" s="4">
        <f>Table1[[#This Row],[Likes]]/Table1[[#This Row],[Age]]</f>
        <v>5.3191489361702126E-3</v>
      </c>
      <c r="S60" s="4">
        <f>Table1[[#This Row],[Collects]]/Table1[[#This Row],[Age]]</f>
        <v>5.3191489361702126E-3</v>
      </c>
      <c r="T60" s="4">
        <f>(4*Table1[[#This Row],[Collects]])+(3*Table1[[#This Row],[Likes]])+(2*Table1[[#This Row],[Downloads]])+Table1[[#This Row],[Views]]</f>
        <v>182</v>
      </c>
      <c r="U60" s="4">
        <f>Table1[[#This Row],[Score]]/Table1[[#This Row],[Age]]</f>
        <v>0.96808510638297873</v>
      </c>
      <c r="V60" s="4">
        <f>Table1[[#This Row],[Score]]/Table1[[#This Row],[Views]]</f>
        <v>1.2907801418439717</v>
      </c>
    </row>
    <row r="61" spans="1:22" x14ac:dyDescent="0.25">
      <c r="A61" s="1">
        <v>46120</v>
      </c>
      <c r="B61" t="s">
        <v>4</v>
      </c>
      <c r="C61" s="1">
        <v>46034</v>
      </c>
      <c r="D61" s="2">
        <f>Table1[[#This Row],[Date]]-Table1[[#This Row],[Published]]</f>
        <v>86</v>
      </c>
      <c r="E61" s="3">
        <v>115</v>
      </c>
      <c r="F61">
        <v>35</v>
      </c>
      <c r="G61">
        <v>2</v>
      </c>
      <c r="H61">
        <v>0</v>
      </c>
      <c r="I61">
        <v>0</v>
      </c>
      <c r="J61">
        <v>0</v>
      </c>
      <c r="K61">
        <v>0</v>
      </c>
      <c r="L61">
        <v>0</v>
      </c>
      <c r="M61" s="4">
        <f>Table1[[#This Row],[Downloads]]/Table1[[#This Row],[Views]]</f>
        <v>0.30434782608695654</v>
      </c>
      <c r="N61" s="4">
        <f>Table1[[#This Row],[Likes]]/Table1[[#This Row],[Views]]</f>
        <v>1.7391304347826087E-2</v>
      </c>
      <c r="O61" s="4">
        <f>Table1[[#This Row],[Collects]]/Table1[[#This Row],[Views]]</f>
        <v>0</v>
      </c>
      <c r="P61" s="4">
        <f>Table1[[#This Row],[Views]]/Table1[[#This Row],[Age]]</f>
        <v>1.3372093023255813</v>
      </c>
      <c r="Q61" s="4">
        <f>Table1[[#This Row],[Downloads]]/Table1[[#This Row],[Age]]</f>
        <v>0.40697674418604651</v>
      </c>
      <c r="R61" s="4">
        <f>Table1[[#This Row],[Likes]]/Table1[[#This Row],[Age]]</f>
        <v>2.3255813953488372E-2</v>
      </c>
      <c r="S61" s="4">
        <f>Table1[[#This Row],[Collects]]/Table1[[#This Row],[Age]]</f>
        <v>0</v>
      </c>
      <c r="T61" s="4">
        <f>(4*Table1[[#This Row],[Collects]])+(3*Table1[[#This Row],[Likes]])+(2*Table1[[#This Row],[Downloads]])+Table1[[#This Row],[Views]]</f>
        <v>191</v>
      </c>
      <c r="U61" s="4">
        <f>Table1[[#This Row],[Score]]/Table1[[#This Row],[Age]]</f>
        <v>2.2209302325581395</v>
      </c>
      <c r="V61" s="4">
        <f>Table1[[#This Row],[Score]]/Table1[[#This Row],[Views]]</f>
        <v>1.6608695652173913</v>
      </c>
    </row>
    <row r="62" spans="1:22" x14ac:dyDescent="0.25">
      <c r="A62" s="1">
        <v>46127</v>
      </c>
      <c r="B62" t="s">
        <v>0</v>
      </c>
      <c r="C62" s="1">
        <v>45784</v>
      </c>
      <c r="D62" s="2">
        <f>Table1[[#This Row],[Date]]-Table1[[#This Row],[Published]]</f>
        <v>343</v>
      </c>
      <c r="E62" s="3">
        <v>782</v>
      </c>
      <c r="F62">
        <v>184</v>
      </c>
      <c r="G62">
        <v>13</v>
      </c>
      <c r="H62">
        <v>5</v>
      </c>
      <c r="I62">
        <v>0</v>
      </c>
      <c r="J62">
        <v>0</v>
      </c>
      <c r="K62">
        <v>0</v>
      </c>
      <c r="L62">
        <v>0</v>
      </c>
      <c r="M62" s="4">
        <f>Table1[[#This Row],[Downloads]]/Table1[[#This Row],[Views]]</f>
        <v>0.23529411764705882</v>
      </c>
      <c r="N62" s="4">
        <f>Table1[[#This Row],[Likes]]/Table1[[#This Row],[Views]]</f>
        <v>1.6624040920716114E-2</v>
      </c>
      <c r="O62" s="4">
        <f>Table1[[#This Row],[Collects]]/Table1[[#This Row],[Views]]</f>
        <v>6.3938618925831201E-3</v>
      </c>
      <c r="P62" s="4">
        <f>Table1[[#This Row],[Views]]/Table1[[#This Row],[Age]]</f>
        <v>2.2798833819241984</v>
      </c>
      <c r="Q62" s="4">
        <f>Table1[[#This Row],[Downloads]]/Table1[[#This Row],[Age]]</f>
        <v>0.53644314868804666</v>
      </c>
      <c r="R62" s="4">
        <f>Table1[[#This Row],[Likes]]/Table1[[#This Row],[Age]]</f>
        <v>3.7900874635568516E-2</v>
      </c>
      <c r="S62" s="4">
        <f>Table1[[#This Row],[Collects]]/Table1[[#This Row],[Age]]</f>
        <v>1.4577259475218658E-2</v>
      </c>
      <c r="T62" s="4">
        <f>(4*Table1[[#This Row],[Collects]])+(3*Table1[[#This Row],[Likes]])+(2*Table1[[#This Row],[Downloads]])+Table1[[#This Row],[Views]]</f>
        <v>1209</v>
      </c>
      <c r="U62" s="4">
        <f>Table1[[#This Row],[Score]]/Table1[[#This Row],[Age]]</f>
        <v>3.5247813411078717</v>
      </c>
      <c r="V62" s="4">
        <f>Table1[[#This Row],[Score]]/Table1[[#This Row],[Views]]</f>
        <v>1.5460358056265984</v>
      </c>
    </row>
    <row r="63" spans="1:22" x14ac:dyDescent="0.25">
      <c r="A63" s="1">
        <v>46127</v>
      </c>
      <c r="B63" t="s">
        <v>1</v>
      </c>
      <c r="C63" s="1">
        <v>45785</v>
      </c>
      <c r="D63" s="2">
        <f>Table1[[#This Row],[Date]]-Table1[[#This Row],[Published]]</f>
        <v>342</v>
      </c>
      <c r="E63" s="3">
        <v>379</v>
      </c>
      <c r="F63">
        <v>111</v>
      </c>
      <c r="G63">
        <v>8</v>
      </c>
      <c r="H63">
        <v>1</v>
      </c>
      <c r="I63">
        <v>0</v>
      </c>
      <c r="J63">
        <v>0</v>
      </c>
      <c r="K63">
        <v>0</v>
      </c>
      <c r="L63">
        <v>0</v>
      </c>
      <c r="M63" s="4">
        <f>Table1[[#This Row],[Downloads]]/Table1[[#This Row],[Views]]</f>
        <v>0.29287598944591031</v>
      </c>
      <c r="N63" s="4">
        <f>Table1[[#This Row],[Likes]]/Table1[[#This Row],[Views]]</f>
        <v>2.1108179419525065E-2</v>
      </c>
      <c r="O63" s="4">
        <f>Table1[[#This Row],[Collects]]/Table1[[#This Row],[Views]]</f>
        <v>2.6385224274406332E-3</v>
      </c>
      <c r="P63" s="4">
        <f>Table1[[#This Row],[Views]]/Table1[[#This Row],[Age]]</f>
        <v>1.1081871345029239</v>
      </c>
      <c r="Q63" s="4">
        <f>Table1[[#This Row],[Downloads]]/Table1[[#This Row],[Age]]</f>
        <v>0.32456140350877194</v>
      </c>
      <c r="R63" s="4">
        <f>Table1[[#This Row],[Likes]]/Table1[[#This Row],[Age]]</f>
        <v>2.3391812865497075E-2</v>
      </c>
      <c r="S63" s="4">
        <f>Table1[[#This Row],[Collects]]/Table1[[#This Row],[Age]]</f>
        <v>2.9239766081871343E-3</v>
      </c>
      <c r="T63" s="4">
        <f>(4*Table1[[#This Row],[Collects]])+(3*Table1[[#This Row],[Likes]])+(2*Table1[[#This Row],[Downloads]])+Table1[[#This Row],[Views]]</f>
        <v>629</v>
      </c>
      <c r="U63" s="4">
        <f>Table1[[#This Row],[Score]]/Table1[[#This Row],[Age]]</f>
        <v>1.8391812865497077</v>
      </c>
      <c r="V63" s="4">
        <f>Table1[[#This Row],[Score]]/Table1[[#This Row],[Views]]</f>
        <v>1.6596306068601583</v>
      </c>
    </row>
    <row r="64" spans="1:22" x14ac:dyDescent="0.25">
      <c r="A64" s="1">
        <v>46127</v>
      </c>
      <c r="B64" t="s">
        <v>2</v>
      </c>
      <c r="C64" s="1">
        <v>45930</v>
      </c>
      <c r="D64" s="2">
        <f>Table1[[#This Row],[Date]]-Table1[[#This Row],[Published]]</f>
        <v>197</v>
      </c>
      <c r="E64" s="3">
        <v>272</v>
      </c>
      <c r="F64">
        <v>108</v>
      </c>
      <c r="G64">
        <v>6</v>
      </c>
      <c r="H64">
        <v>0</v>
      </c>
      <c r="I64">
        <v>0</v>
      </c>
      <c r="J64">
        <v>0</v>
      </c>
      <c r="K64">
        <v>0</v>
      </c>
      <c r="L64">
        <v>0</v>
      </c>
      <c r="M64" s="4">
        <f>Table1[[#This Row],[Downloads]]/Table1[[#This Row],[Views]]</f>
        <v>0.39705882352941174</v>
      </c>
      <c r="N64" s="4">
        <f>Table1[[#This Row],[Likes]]/Table1[[#This Row],[Views]]</f>
        <v>2.2058823529411766E-2</v>
      </c>
      <c r="O64" s="4">
        <f>Table1[[#This Row],[Collects]]/Table1[[#This Row],[Views]]</f>
        <v>0</v>
      </c>
      <c r="P64" s="4">
        <f>Table1[[#This Row],[Views]]/Table1[[#This Row],[Age]]</f>
        <v>1.3807106598984771</v>
      </c>
      <c r="Q64" s="4">
        <f>Table1[[#This Row],[Downloads]]/Table1[[#This Row],[Age]]</f>
        <v>0.54822335025380708</v>
      </c>
      <c r="R64" s="4">
        <f>Table1[[#This Row],[Likes]]/Table1[[#This Row],[Age]]</f>
        <v>3.0456852791878174E-2</v>
      </c>
      <c r="S64" s="4">
        <f>Table1[[#This Row],[Collects]]/Table1[[#This Row],[Age]]</f>
        <v>0</v>
      </c>
      <c r="T64" s="4">
        <f>(4*Table1[[#This Row],[Collects]])+(3*Table1[[#This Row],[Likes]])+(2*Table1[[#This Row],[Downloads]])+Table1[[#This Row],[Views]]</f>
        <v>506</v>
      </c>
      <c r="U64" s="4">
        <f>Table1[[#This Row],[Score]]/Table1[[#This Row],[Age]]</f>
        <v>2.5685279187817258</v>
      </c>
      <c r="V64" s="4">
        <f>Table1[[#This Row],[Score]]/Table1[[#This Row],[Views]]</f>
        <v>1.8602941176470589</v>
      </c>
    </row>
    <row r="65" spans="1:22" x14ac:dyDescent="0.25">
      <c r="A65" s="1">
        <v>46127</v>
      </c>
      <c r="B65" t="s">
        <v>13</v>
      </c>
      <c r="C65" s="1">
        <v>45750</v>
      </c>
      <c r="D65" s="2">
        <f>Table1[[#This Row],[Date]]-Table1[[#This Row],[Published]]</f>
        <v>377</v>
      </c>
      <c r="E65" s="3">
        <v>178</v>
      </c>
      <c r="F65">
        <v>35</v>
      </c>
      <c r="G65">
        <v>3</v>
      </c>
      <c r="H65">
        <v>2</v>
      </c>
      <c r="I65">
        <v>0</v>
      </c>
      <c r="J65">
        <v>0</v>
      </c>
      <c r="K65">
        <v>0</v>
      </c>
      <c r="L65">
        <v>0</v>
      </c>
      <c r="M65" s="4">
        <f>Table1[[#This Row],[Downloads]]/Table1[[#This Row],[Views]]</f>
        <v>0.19662921348314608</v>
      </c>
      <c r="N65" s="4">
        <f>Table1[[#This Row],[Likes]]/Table1[[#This Row],[Views]]</f>
        <v>1.6853932584269662E-2</v>
      </c>
      <c r="O65" s="4">
        <f>Table1[[#This Row],[Collects]]/Table1[[#This Row],[Views]]</f>
        <v>1.1235955056179775E-2</v>
      </c>
      <c r="P65" s="4">
        <f>Table1[[#This Row],[Views]]/Table1[[#This Row],[Age]]</f>
        <v>0.47214854111405835</v>
      </c>
      <c r="Q65" s="4">
        <f>Table1[[#This Row],[Downloads]]/Table1[[#This Row],[Age]]</f>
        <v>9.2838196286472149E-2</v>
      </c>
      <c r="R65" s="4">
        <f>Table1[[#This Row],[Likes]]/Table1[[#This Row],[Age]]</f>
        <v>7.9575596816976128E-3</v>
      </c>
      <c r="S65" s="4">
        <f>Table1[[#This Row],[Collects]]/Table1[[#This Row],[Age]]</f>
        <v>5.3050397877984082E-3</v>
      </c>
      <c r="T65" s="4">
        <f>(4*Table1[[#This Row],[Collects]])+(3*Table1[[#This Row],[Likes]])+(2*Table1[[#This Row],[Downloads]])+Table1[[#This Row],[Views]]</f>
        <v>265</v>
      </c>
      <c r="U65" s="4">
        <f>Table1[[#This Row],[Score]]/Table1[[#This Row],[Age]]</f>
        <v>0.70291777188328908</v>
      </c>
      <c r="V65" s="4">
        <f>Table1[[#This Row],[Score]]/Table1[[#This Row],[Views]]</f>
        <v>1.4887640449438202</v>
      </c>
    </row>
    <row r="66" spans="1:22" x14ac:dyDescent="0.25">
      <c r="A66" s="1">
        <v>46127</v>
      </c>
      <c r="B66" t="s">
        <v>3</v>
      </c>
      <c r="C66" s="1">
        <v>45932</v>
      </c>
      <c r="D66" s="2">
        <f>Table1[[#This Row],[Date]]-Table1[[#This Row],[Published]]</f>
        <v>195</v>
      </c>
      <c r="E66" s="3">
        <v>158</v>
      </c>
      <c r="F66">
        <v>23</v>
      </c>
      <c r="G66">
        <v>1</v>
      </c>
      <c r="H66">
        <v>1</v>
      </c>
      <c r="I66">
        <v>0</v>
      </c>
      <c r="J66">
        <v>0</v>
      </c>
      <c r="K66">
        <v>0</v>
      </c>
      <c r="L66">
        <v>0</v>
      </c>
      <c r="M66" s="4">
        <f>Table1[[#This Row],[Downloads]]/Table1[[#This Row],[Views]]</f>
        <v>0.14556962025316456</v>
      </c>
      <c r="N66" s="4">
        <f>Table1[[#This Row],[Likes]]/Table1[[#This Row],[Views]]</f>
        <v>6.3291139240506328E-3</v>
      </c>
      <c r="O66" s="4">
        <f>Table1[[#This Row],[Collects]]/Table1[[#This Row],[Views]]</f>
        <v>6.3291139240506328E-3</v>
      </c>
      <c r="P66" s="4">
        <f>Table1[[#This Row],[Views]]/Table1[[#This Row],[Age]]</f>
        <v>0.81025641025641026</v>
      </c>
      <c r="Q66" s="4">
        <f>Table1[[#This Row],[Downloads]]/Table1[[#This Row],[Age]]</f>
        <v>0.11794871794871795</v>
      </c>
      <c r="R66" s="4">
        <f>Table1[[#This Row],[Likes]]/Table1[[#This Row],[Age]]</f>
        <v>5.1282051282051282E-3</v>
      </c>
      <c r="S66" s="4">
        <f>Table1[[#This Row],[Collects]]/Table1[[#This Row],[Age]]</f>
        <v>5.1282051282051282E-3</v>
      </c>
      <c r="T66" s="4">
        <f>(4*Table1[[#This Row],[Collects]])+(3*Table1[[#This Row],[Likes]])+(2*Table1[[#This Row],[Downloads]])+Table1[[#This Row],[Views]]</f>
        <v>211</v>
      </c>
      <c r="U66" s="4">
        <f>Table1[[#This Row],[Score]]/Table1[[#This Row],[Age]]</f>
        <v>1.082051282051282</v>
      </c>
      <c r="V66" s="4">
        <f>Table1[[#This Row],[Score]]/Table1[[#This Row],[Views]]</f>
        <v>1.3354430379746836</v>
      </c>
    </row>
    <row r="67" spans="1:22" x14ac:dyDescent="0.25">
      <c r="A67" s="1">
        <v>46127</v>
      </c>
      <c r="B67" t="s">
        <v>4</v>
      </c>
      <c r="C67" s="1">
        <v>46034</v>
      </c>
      <c r="D67" s="2">
        <f>Table1[[#This Row],[Date]]-Table1[[#This Row],[Published]]</f>
        <v>93</v>
      </c>
      <c r="E67" s="3">
        <v>122</v>
      </c>
      <c r="F67">
        <v>36</v>
      </c>
      <c r="G67">
        <v>2</v>
      </c>
      <c r="H67">
        <v>0</v>
      </c>
      <c r="I67">
        <v>0</v>
      </c>
      <c r="J67">
        <v>0</v>
      </c>
      <c r="K67">
        <v>0</v>
      </c>
      <c r="L67">
        <v>0</v>
      </c>
      <c r="M67" s="4">
        <f>Table1[[#This Row],[Downloads]]/Table1[[#This Row],[Views]]</f>
        <v>0.29508196721311475</v>
      </c>
      <c r="N67" s="4">
        <f>Table1[[#This Row],[Likes]]/Table1[[#This Row],[Views]]</f>
        <v>1.6393442622950821E-2</v>
      </c>
      <c r="O67" s="4">
        <f>Table1[[#This Row],[Collects]]/Table1[[#This Row],[Views]]</f>
        <v>0</v>
      </c>
      <c r="P67" s="4">
        <f>Table1[[#This Row],[Views]]/Table1[[#This Row],[Age]]</f>
        <v>1.3118279569892473</v>
      </c>
      <c r="Q67" s="4">
        <f>Table1[[#This Row],[Downloads]]/Table1[[#This Row],[Age]]</f>
        <v>0.38709677419354838</v>
      </c>
      <c r="R67" s="4">
        <f>Table1[[#This Row],[Likes]]/Table1[[#This Row],[Age]]</f>
        <v>2.1505376344086023E-2</v>
      </c>
      <c r="S67" s="4">
        <f>Table1[[#This Row],[Collects]]/Table1[[#This Row],[Age]]</f>
        <v>0</v>
      </c>
      <c r="T67" s="4">
        <f>(4*Table1[[#This Row],[Collects]])+(3*Table1[[#This Row],[Likes]])+(2*Table1[[#This Row],[Downloads]])+Table1[[#This Row],[Views]]</f>
        <v>200</v>
      </c>
      <c r="U67" s="4">
        <f>Table1[[#This Row],[Score]]/Table1[[#This Row],[Age]]</f>
        <v>2.150537634408602</v>
      </c>
      <c r="V67" s="4">
        <f>Table1[[#This Row],[Score]]/Table1[[#This Row],[Views]]</f>
        <v>1.639344262295082</v>
      </c>
    </row>
    <row r="68" spans="1:22" x14ac:dyDescent="0.25">
      <c r="A68" s="1">
        <v>46134</v>
      </c>
      <c r="B68" t="s">
        <v>0</v>
      </c>
      <c r="C68" s="1">
        <v>45784</v>
      </c>
      <c r="D68" s="2">
        <f>Table1[[#This Row],[Date]]-Table1[[#This Row],[Published]]</f>
        <v>350</v>
      </c>
      <c r="E68" s="3">
        <v>799</v>
      </c>
      <c r="F68">
        <v>189</v>
      </c>
      <c r="G68">
        <v>13</v>
      </c>
      <c r="H68">
        <v>5</v>
      </c>
      <c r="I68">
        <v>0</v>
      </c>
      <c r="J68">
        <v>0</v>
      </c>
      <c r="K68">
        <v>0</v>
      </c>
      <c r="L68">
        <v>0</v>
      </c>
      <c r="M68" s="4">
        <f>Table1[[#This Row],[Downloads]]/Table1[[#This Row],[Views]]</f>
        <v>0.23654568210262827</v>
      </c>
      <c r="N68" s="4">
        <f>Table1[[#This Row],[Likes]]/Table1[[#This Row],[Views]]</f>
        <v>1.6270337922403004E-2</v>
      </c>
      <c r="O68" s="4">
        <f>Table1[[#This Row],[Collects]]/Table1[[#This Row],[Views]]</f>
        <v>6.2578222778473091E-3</v>
      </c>
      <c r="P68" s="4">
        <f>Table1[[#This Row],[Views]]/Table1[[#This Row],[Age]]</f>
        <v>2.2828571428571429</v>
      </c>
      <c r="Q68" s="4">
        <f>Table1[[#This Row],[Downloads]]/Table1[[#This Row],[Age]]</f>
        <v>0.54</v>
      </c>
      <c r="R68" s="4">
        <f>Table1[[#This Row],[Likes]]/Table1[[#This Row],[Age]]</f>
        <v>3.7142857142857144E-2</v>
      </c>
      <c r="S68" s="4">
        <f>Table1[[#This Row],[Collects]]/Table1[[#This Row],[Age]]</f>
        <v>1.4285714285714285E-2</v>
      </c>
      <c r="T68" s="4">
        <f>(4*Table1[[#This Row],[Collects]])+(3*Table1[[#This Row],[Likes]])+(2*Table1[[#This Row],[Downloads]])+Table1[[#This Row],[Views]]</f>
        <v>1236</v>
      </c>
      <c r="U68" s="4">
        <f>Table1[[#This Row],[Score]]/Table1[[#This Row],[Age]]</f>
        <v>3.5314285714285716</v>
      </c>
      <c r="V68" s="4">
        <f>Table1[[#This Row],[Score]]/Table1[[#This Row],[Views]]</f>
        <v>1.5469336670838547</v>
      </c>
    </row>
    <row r="69" spans="1:22" x14ac:dyDescent="0.25">
      <c r="A69" s="1">
        <v>46134</v>
      </c>
      <c r="B69" t="s">
        <v>1</v>
      </c>
      <c r="C69" s="1">
        <v>45785</v>
      </c>
      <c r="D69" s="2">
        <f>Table1[[#This Row],[Date]]-Table1[[#This Row],[Published]]</f>
        <v>349</v>
      </c>
      <c r="E69" s="3">
        <v>388</v>
      </c>
      <c r="F69">
        <v>111</v>
      </c>
      <c r="G69">
        <v>8</v>
      </c>
      <c r="H69">
        <v>1</v>
      </c>
      <c r="I69">
        <v>0</v>
      </c>
      <c r="J69">
        <v>0</v>
      </c>
      <c r="K69">
        <v>0</v>
      </c>
      <c r="L69">
        <v>0</v>
      </c>
      <c r="M69" s="4">
        <f>Table1[[#This Row],[Downloads]]/Table1[[#This Row],[Views]]</f>
        <v>0.28608247422680411</v>
      </c>
      <c r="N69" s="4">
        <f>Table1[[#This Row],[Likes]]/Table1[[#This Row],[Views]]</f>
        <v>2.0618556701030927E-2</v>
      </c>
      <c r="O69" s="4">
        <f>Table1[[#This Row],[Collects]]/Table1[[#This Row],[Views]]</f>
        <v>2.5773195876288659E-3</v>
      </c>
      <c r="P69" s="4">
        <f>Table1[[#This Row],[Views]]/Table1[[#This Row],[Age]]</f>
        <v>1.1117478510028653</v>
      </c>
      <c r="Q69" s="4">
        <f>Table1[[#This Row],[Downloads]]/Table1[[#This Row],[Age]]</f>
        <v>0.31805157593123207</v>
      </c>
      <c r="R69" s="4">
        <f>Table1[[#This Row],[Likes]]/Table1[[#This Row],[Age]]</f>
        <v>2.2922636103151862E-2</v>
      </c>
      <c r="S69" s="4">
        <f>Table1[[#This Row],[Collects]]/Table1[[#This Row],[Age]]</f>
        <v>2.8653295128939827E-3</v>
      </c>
      <c r="T69" s="4">
        <f>(4*Table1[[#This Row],[Collects]])+(3*Table1[[#This Row],[Likes]])+(2*Table1[[#This Row],[Downloads]])+Table1[[#This Row],[Views]]</f>
        <v>638</v>
      </c>
      <c r="U69" s="4">
        <f>Table1[[#This Row],[Score]]/Table1[[#This Row],[Age]]</f>
        <v>1.8280802292263609</v>
      </c>
      <c r="V69" s="4">
        <f>Table1[[#This Row],[Score]]/Table1[[#This Row],[Views]]</f>
        <v>1.6443298969072164</v>
      </c>
    </row>
    <row r="70" spans="1:22" x14ac:dyDescent="0.25">
      <c r="A70" s="1">
        <v>46134</v>
      </c>
      <c r="B70" t="s">
        <v>2</v>
      </c>
      <c r="C70" s="1">
        <v>45930</v>
      </c>
      <c r="D70" s="2">
        <f>Table1[[#This Row],[Date]]-Table1[[#This Row],[Published]]</f>
        <v>204</v>
      </c>
      <c r="E70" s="3">
        <v>278</v>
      </c>
      <c r="F70">
        <v>110</v>
      </c>
      <c r="G70">
        <v>6</v>
      </c>
      <c r="H70">
        <v>0</v>
      </c>
      <c r="I70">
        <v>0</v>
      </c>
      <c r="J70">
        <v>0</v>
      </c>
      <c r="K70">
        <v>0</v>
      </c>
      <c r="L70">
        <v>0</v>
      </c>
      <c r="M70" s="4">
        <f>Table1[[#This Row],[Downloads]]/Table1[[#This Row],[Views]]</f>
        <v>0.39568345323741005</v>
      </c>
      <c r="N70" s="4">
        <f>Table1[[#This Row],[Likes]]/Table1[[#This Row],[Views]]</f>
        <v>2.1582733812949641E-2</v>
      </c>
      <c r="O70" s="4">
        <f>Table1[[#This Row],[Collects]]/Table1[[#This Row],[Views]]</f>
        <v>0</v>
      </c>
      <c r="P70" s="4">
        <f>Table1[[#This Row],[Views]]/Table1[[#This Row],[Age]]</f>
        <v>1.3627450980392157</v>
      </c>
      <c r="Q70" s="4">
        <f>Table1[[#This Row],[Downloads]]/Table1[[#This Row],[Age]]</f>
        <v>0.53921568627450978</v>
      </c>
      <c r="R70" s="4">
        <f>Table1[[#This Row],[Likes]]/Table1[[#This Row],[Age]]</f>
        <v>2.9411764705882353E-2</v>
      </c>
      <c r="S70" s="4">
        <f>Table1[[#This Row],[Collects]]/Table1[[#This Row],[Age]]</f>
        <v>0</v>
      </c>
      <c r="T70" s="4">
        <f>(4*Table1[[#This Row],[Collects]])+(3*Table1[[#This Row],[Likes]])+(2*Table1[[#This Row],[Downloads]])+Table1[[#This Row],[Views]]</f>
        <v>516</v>
      </c>
      <c r="U70" s="4">
        <f>Table1[[#This Row],[Score]]/Table1[[#This Row],[Age]]</f>
        <v>2.5294117647058822</v>
      </c>
      <c r="V70" s="4">
        <f>Table1[[#This Row],[Score]]/Table1[[#This Row],[Views]]</f>
        <v>1.8561151079136691</v>
      </c>
    </row>
    <row r="71" spans="1:22" x14ac:dyDescent="0.25">
      <c r="A71" s="1">
        <v>46134</v>
      </c>
      <c r="B71" t="s">
        <v>13</v>
      </c>
      <c r="C71" s="1">
        <v>45750</v>
      </c>
      <c r="D71" s="2">
        <f>Table1[[#This Row],[Date]]-Table1[[#This Row],[Published]]</f>
        <v>384</v>
      </c>
      <c r="E71" s="3">
        <v>181</v>
      </c>
      <c r="F71">
        <v>37</v>
      </c>
      <c r="G71">
        <v>3</v>
      </c>
      <c r="H71">
        <v>2</v>
      </c>
      <c r="I71">
        <v>0</v>
      </c>
      <c r="J71">
        <v>0</v>
      </c>
      <c r="K71">
        <v>0</v>
      </c>
      <c r="L71">
        <v>0</v>
      </c>
      <c r="M71" s="4">
        <f>Table1[[#This Row],[Downloads]]/Table1[[#This Row],[Views]]</f>
        <v>0.20441988950276244</v>
      </c>
      <c r="N71" s="4">
        <f>Table1[[#This Row],[Likes]]/Table1[[#This Row],[Views]]</f>
        <v>1.6574585635359115E-2</v>
      </c>
      <c r="O71" s="4">
        <f>Table1[[#This Row],[Collects]]/Table1[[#This Row],[Views]]</f>
        <v>1.1049723756906077E-2</v>
      </c>
      <c r="P71" s="4">
        <f>Table1[[#This Row],[Views]]/Table1[[#This Row],[Age]]</f>
        <v>0.47135416666666669</v>
      </c>
      <c r="Q71" s="4">
        <f>Table1[[#This Row],[Downloads]]/Table1[[#This Row],[Age]]</f>
        <v>9.6354166666666671E-2</v>
      </c>
      <c r="R71" s="4">
        <f>Table1[[#This Row],[Likes]]/Table1[[#This Row],[Age]]</f>
        <v>7.8125E-3</v>
      </c>
      <c r="S71" s="4">
        <f>Table1[[#This Row],[Collects]]/Table1[[#This Row],[Age]]</f>
        <v>5.208333333333333E-3</v>
      </c>
      <c r="T71" s="4">
        <f>(4*Table1[[#This Row],[Collects]])+(3*Table1[[#This Row],[Likes]])+(2*Table1[[#This Row],[Downloads]])+Table1[[#This Row],[Views]]</f>
        <v>272</v>
      </c>
      <c r="U71" s="4">
        <f>Table1[[#This Row],[Score]]/Table1[[#This Row],[Age]]</f>
        <v>0.70833333333333337</v>
      </c>
      <c r="V71" s="4">
        <f>Table1[[#This Row],[Score]]/Table1[[#This Row],[Views]]</f>
        <v>1.5027624309392265</v>
      </c>
    </row>
    <row r="72" spans="1:22" x14ac:dyDescent="0.25">
      <c r="A72" s="1">
        <v>46134</v>
      </c>
      <c r="B72" t="s">
        <v>3</v>
      </c>
      <c r="C72" s="1">
        <v>45932</v>
      </c>
      <c r="D72" s="2">
        <f>Table1[[#This Row],[Date]]-Table1[[#This Row],[Published]]</f>
        <v>202</v>
      </c>
      <c r="E72" s="3">
        <v>161</v>
      </c>
      <c r="F72">
        <v>23</v>
      </c>
      <c r="G72">
        <v>1</v>
      </c>
      <c r="H72">
        <v>1</v>
      </c>
      <c r="I72">
        <v>0</v>
      </c>
      <c r="J72">
        <v>0</v>
      </c>
      <c r="K72">
        <v>0</v>
      </c>
      <c r="L72">
        <v>0</v>
      </c>
      <c r="M72" s="4">
        <f>Table1[[#This Row],[Downloads]]/Table1[[#This Row],[Views]]</f>
        <v>0.14285714285714285</v>
      </c>
      <c r="N72" s="4">
        <f>Table1[[#This Row],[Likes]]/Table1[[#This Row],[Views]]</f>
        <v>6.2111801242236021E-3</v>
      </c>
      <c r="O72" s="4">
        <f>Table1[[#This Row],[Collects]]/Table1[[#This Row],[Views]]</f>
        <v>6.2111801242236021E-3</v>
      </c>
      <c r="P72" s="4">
        <f>Table1[[#This Row],[Views]]/Table1[[#This Row],[Age]]</f>
        <v>0.79702970297029707</v>
      </c>
      <c r="Q72" s="4">
        <f>Table1[[#This Row],[Downloads]]/Table1[[#This Row],[Age]]</f>
        <v>0.11386138613861387</v>
      </c>
      <c r="R72" s="4">
        <f>Table1[[#This Row],[Likes]]/Table1[[#This Row],[Age]]</f>
        <v>4.9504950495049506E-3</v>
      </c>
      <c r="S72" s="4">
        <f>Table1[[#This Row],[Collects]]/Table1[[#This Row],[Age]]</f>
        <v>4.9504950495049506E-3</v>
      </c>
      <c r="T72" s="4">
        <f>(4*Table1[[#This Row],[Collects]])+(3*Table1[[#This Row],[Likes]])+(2*Table1[[#This Row],[Downloads]])+Table1[[#This Row],[Views]]</f>
        <v>214</v>
      </c>
      <c r="U72" s="4">
        <f>Table1[[#This Row],[Score]]/Table1[[#This Row],[Age]]</f>
        <v>1.0594059405940595</v>
      </c>
      <c r="V72" s="4">
        <f>Table1[[#This Row],[Score]]/Table1[[#This Row],[Views]]</f>
        <v>1.329192546583851</v>
      </c>
    </row>
    <row r="73" spans="1:22" x14ac:dyDescent="0.25">
      <c r="A73" s="1">
        <v>46134</v>
      </c>
      <c r="B73" t="s">
        <v>4</v>
      </c>
      <c r="C73" s="1">
        <v>46034</v>
      </c>
      <c r="D73" s="2">
        <f>Table1[[#This Row],[Date]]-Table1[[#This Row],[Published]]</f>
        <v>100</v>
      </c>
      <c r="E73" s="3">
        <v>126</v>
      </c>
      <c r="F73">
        <v>61</v>
      </c>
      <c r="G73">
        <v>2</v>
      </c>
      <c r="H73">
        <v>0</v>
      </c>
      <c r="I73">
        <v>0</v>
      </c>
      <c r="J73">
        <v>0</v>
      </c>
      <c r="K73">
        <v>0</v>
      </c>
      <c r="L73">
        <v>0</v>
      </c>
      <c r="M73" s="4">
        <f>Table1[[#This Row],[Downloads]]/Table1[[#This Row],[Views]]</f>
        <v>0.48412698412698413</v>
      </c>
      <c r="N73" s="4">
        <f>Table1[[#This Row],[Likes]]/Table1[[#This Row],[Views]]</f>
        <v>1.5873015873015872E-2</v>
      </c>
      <c r="O73" s="4">
        <f>Table1[[#This Row],[Collects]]/Table1[[#This Row],[Views]]</f>
        <v>0</v>
      </c>
      <c r="P73" s="4">
        <f>Table1[[#This Row],[Views]]/Table1[[#This Row],[Age]]</f>
        <v>1.26</v>
      </c>
      <c r="Q73" s="4">
        <f>Table1[[#This Row],[Downloads]]/Table1[[#This Row],[Age]]</f>
        <v>0.61</v>
      </c>
      <c r="R73" s="4">
        <f>Table1[[#This Row],[Likes]]/Table1[[#This Row],[Age]]</f>
        <v>0.02</v>
      </c>
      <c r="S73" s="4">
        <f>Table1[[#This Row],[Collects]]/Table1[[#This Row],[Age]]</f>
        <v>0</v>
      </c>
      <c r="T73" s="4">
        <f>(4*Table1[[#This Row],[Collects]])+(3*Table1[[#This Row],[Likes]])+(2*Table1[[#This Row],[Downloads]])+Table1[[#This Row],[Views]]</f>
        <v>254</v>
      </c>
      <c r="U73" s="4">
        <f>Table1[[#This Row],[Score]]/Table1[[#This Row],[Age]]</f>
        <v>2.54</v>
      </c>
      <c r="V73" s="4">
        <f>Table1[[#This Row],[Score]]/Table1[[#This Row],[Views]]</f>
        <v>2.0158730158730158</v>
      </c>
    </row>
  </sheetData>
  <conditionalFormatting sqref="C1:D7 D8:E1048576 C8:C7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E1048576 D1:D7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F1048576 E1:E7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:G1048576 F1:F7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48576 G1:G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:N1048576 M1:M7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:O1048576 N1:N7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:Q1048576 O1:P7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8:R1048576 Q1:Q7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8:S1048576 R1:R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8:T1048576 S1:S7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8:U1048576 T1:T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048576 U1:U7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8:W1048576 V1:V7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Jordan Briggs</dc:creator>
  <cp:lastModifiedBy>Avery Jordan Briggs</cp:lastModifiedBy>
  <dcterms:created xsi:type="dcterms:W3CDTF">2026-02-11T04:15:18Z</dcterms:created>
  <dcterms:modified xsi:type="dcterms:W3CDTF">2026-04-22T19:10:29Z</dcterms:modified>
</cp:coreProperties>
</file>