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Thingiverse\"/>
    </mc:Choice>
  </mc:AlternateContent>
  <xr:revisionPtr revIDLastSave="0" documentId="13_ncr:1_{55D8E106-F83A-4805-8EF6-C5880B450618}" xr6:coauthVersionLast="47" xr6:coauthVersionMax="47" xr10:uidLastSave="{00000000-0000-0000-0000-000000000000}"/>
  <bookViews>
    <workbookView xWindow="-120" yWindow="-120" windowWidth="29040" windowHeight="15840" activeTab="2" xr2:uid="{AA65E66E-25AF-41FC-AF3D-E4037625FDAB}"/>
  </bookViews>
  <sheets>
    <sheet name="Overall" sheetId="1" r:id="rId1"/>
    <sheet name="Inventory" sheetId="2" r:id="rId2"/>
    <sheet name="SubMode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4" i="1" l="1"/>
  <c r="D135" i="1"/>
  <c r="P135" i="1" s="1"/>
  <c r="D136" i="1"/>
  <c r="P136" i="1" s="1"/>
  <c r="D137" i="1"/>
  <c r="S137" i="1" s="1"/>
  <c r="D138" i="1"/>
  <c r="Q138" i="1" s="1"/>
  <c r="D139" i="1"/>
  <c r="M134" i="1"/>
  <c r="M135" i="1"/>
  <c r="M136" i="1"/>
  <c r="M137" i="1"/>
  <c r="M138" i="1"/>
  <c r="M139" i="1"/>
  <c r="N134" i="1"/>
  <c r="N135" i="1"/>
  <c r="N136" i="1"/>
  <c r="N137" i="1"/>
  <c r="N138" i="1"/>
  <c r="N139" i="1"/>
  <c r="O134" i="1"/>
  <c r="O135" i="1"/>
  <c r="O136" i="1"/>
  <c r="O137" i="1"/>
  <c r="O138" i="1"/>
  <c r="O139" i="1"/>
  <c r="P134" i="1"/>
  <c r="P138" i="1"/>
  <c r="P139" i="1"/>
  <c r="Q134" i="1"/>
  <c r="Q135" i="1"/>
  <c r="Q139" i="1"/>
  <c r="R134" i="1"/>
  <c r="R135" i="1"/>
  <c r="R138" i="1"/>
  <c r="R139" i="1"/>
  <c r="S134" i="1"/>
  <c r="S135" i="1"/>
  <c r="S138" i="1"/>
  <c r="S139" i="1"/>
  <c r="T134" i="1"/>
  <c r="V134" i="1" s="1"/>
  <c r="T135" i="1"/>
  <c r="V135" i="1" s="1"/>
  <c r="T136" i="1"/>
  <c r="T137" i="1"/>
  <c r="T138" i="1"/>
  <c r="U138" i="1" s="1"/>
  <c r="T139" i="1"/>
  <c r="U139" i="1" s="1"/>
  <c r="V136" i="1"/>
  <c r="V137" i="1"/>
  <c r="D128" i="1"/>
  <c r="P128" i="1" s="1"/>
  <c r="D129" i="1"/>
  <c r="P129" i="1" s="1"/>
  <c r="D130" i="1"/>
  <c r="P130" i="1" s="1"/>
  <c r="D131" i="1"/>
  <c r="S131" i="1" s="1"/>
  <c r="D132" i="1"/>
  <c r="D133" i="1"/>
  <c r="Q133" i="1" s="1"/>
  <c r="M128" i="1"/>
  <c r="M129" i="1"/>
  <c r="M130" i="1"/>
  <c r="M131" i="1"/>
  <c r="M132" i="1"/>
  <c r="M133" i="1"/>
  <c r="N128" i="1"/>
  <c r="N129" i="1"/>
  <c r="N130" i="1"/>
  <c r="N131" i="1"/>
  <c r="N132" i="1"/>
  <c r="N133" i="1"/>
  <c r="O128" i="1"/>
  <c r="O129" i="1"/>
  <c r="O130" i="1"/>
  <c r="O131" i="1"/>
  <c r="O132" i="1"/>
  <c r="O133" i="1"/>
  <c r="R128" i="1"/>
  <c r="R129" i="1"/>
  <c r="S128" i="1"/>
  <c r="T128" i="1"/>
  <c r="V128" i="1" s="1"/>
  <c r="T129" i="1"/>
  <c r="U129" i="1" s="1"/>
  <c r="T130" i="1"/>
  <c r="V130" i="1" s="1"/>
  <c r="T131" i="1"/>
  <c r="U131" i="1" s="1"/>
  <c r="T132" i="1"/>
  <c r="V132" i="1" s="1"/>
  <c r="T133" i="1"/>
  <c r="V133" i="1" s="1"/>
  <c r="V131" i="1"/>
  <c r="D122" i="1"/>
  <c r="R122" i="1" s="1"/>
  <c r="D123" i="1"/>
  <c r="S123" i="1" s="1"/>
  <c r="D124" i="1"/>
  <c r="S124" i="1" s="1"/>
  <c r="D125" i="1"/>
  <c r="D126" i="1"/>
  <c r="P126" i="1" s="1"/>
  <c r="D127" i="1"/>
  <c r="P127" i="1" s="1"/>
  <c r="M122" i="1"/>
  <c r="M123" i="1"/>
  <c r="M124" i="1"/>
  <c r="M125" i="1"/>
  <c r="M126" i="1"/>
  <c r="M127" i="1"/>
  <c r="N122" i="1"/>
  <c r="N123" i="1"/>
  <c r="N124" i="1"/>
  <c r="N125" i="1"/>
  <c r="N126" i="1"/>
  <c r="N127" i="1"/>
  <c r="O122" i="1"/>
  <c r="O123" i="1"/>
  <c r="O124" i="1"/>
  <c r="O125" i="1"/>
  <c r="O126" i="1"/>
  <c r="O127" i="1"/>
  <c r="P122" i="1"/>
  <c r="S122" i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U124" i="1"/>
  <c r="D116" i="1"/>
  <c r="S116" i="1" s="1"/>
  <c r="D117" i="1"/>
  <c r="R117" i="1" s="1"/>
  <c r="D118" i="1"/>
  <c r="Q118" i="1" s="1"/>
  <c r="D119" i="1"/>
  <c r="R119" i="1" s="1"/>
  <c r="D120" i="1"/>
  <c r="S120" i="1" s="1"/>
  <c r="D121" i="1"/>
  <c r="R121" i="1" s="1"/>
  <c r="M116" i="1"/>
  <c r="M117" i="1"/>
  <c r="M118" i="1"/>
  <c r="M119" i="1"/>
  <c r="M120" i="1"/>
  <c r="M121" i="1"/>
  <c r="N116" i="1"/>
  <c r="N117" i="1"/>
  <c r="N118" i="1"/>
  <c r="N119" i="1"/>
  <c r="N120" i="1"/>
  <c r="N121" i="1"/>
  <c r="O116" i="1"/>
  <c r="O117" i="1"/>
  <c r="O118" i="1"/>
  <c r="O119" i="1"/>
  <c r="O120" i="1"/>
  <c r="O121" i="1"/>
  <c r="P116" i="1"/>
  <c r="P117" i="1"/>
  <c r="S118" i="1"/>
  <c r="T116" i="1"/>
  <c r="T117" i="1"/>
  <c r="V117" i="1" s="1"/>
  <c r="T118" i="1"/>
  <c r="T119" i="1"/>
  <c r="V119" i="1" s="1"/>
  <c r="T120" i="1"/>
  <c r="T121" i="1"/>
  <c r="V121" i="1" s="1"/>
  <c r="D110" i="1"/>
  <c r="P110" i="1" s="1"/>
  <c r="D111" i="1"/>
  <c r="P111" i="1" s="1"/>
  <c r="D112" i="1"/>
  <c r="S112" i="1" s="1"/>
  <c r="D113" i="1"/>
  <c r="P113" i="1" s="1"/>
  <c r="D114" i="1"/>
  <c r="R114" i="1" s="1"/>
  <c r="D115" i="1"/>
  <c r="Q115" i="1" s="1"/>
  <c r="M110" i="1"/>
  <c r="M111" i="1"/>
  <c r="M112" i="1"/>
  <c r="M113" i="1"/>
  <c r="M114" i="1"/>
  <c r="M115" i="1"/>
  <c r="N110" i="1"/>
  <c r="N111" i="1"/>
  <c r="N112" i="1"/>
  <c r="N113" i="1"/>
  <c r="N114" i="1"/>
  <c r="N115" i="1"/>
  <c r="O110" i="1"/>
  <c r="O111" i="1"/>
  <c r="O112" i="1"/>
  <c r="O113" i="1"/>
  <c r="O114" i="1"/>
  <c r="O115" i="1"/>
  <c r="Q110" i="1"/>
  <c r="T110" i="1"/>
  <c r="V110" i="1" s="1"/>
  <c r="T111" i="1"/>
  <c r="V111" i="1" s="1"/>
  <c r="T112" i="1"/>
  <c r="T113" i="1"/>
  <c r="T114" i="1"/>
  <c r="T115" i="1"/>
  <c r="V115" i="1" s="1"/>
  <c r="U135" i="1" l="1"/>
  <c r="U134" i="1"/>
  <c r="P137" i="1"/>
  <c r="R137" i="1"/>
  <c r="U137" i="1"/>
  <c r="Q137" i="1"/>
  <c r="U136" i="1"/>
  <c r="S136" i="1"/>
  <c r="R136" i="1"/>
  <c r="Q136" i="1"/>
  <c r="V138" i="1"/>
  <c r="Q129" i="1"/>
  <c r="S129" i="1"/>
  <c r="Q128" i="1"/>
  <c r="V139" i="1"/>
  <c r="P133" i="1"/>
  <c r="R133" i="1"/>
  <c r="V129" i="1"/>
  <c r="U132" i="1"/>
  <c r="U128" i="1"/>
  <c r="S133" i="1"/>
  <c r="R132" i="1"/>
  <c r="S132" i="1"/>
  <c r="P132" i="1"/>
  <c r="Q132" i="1"/>
  <c r="P131" i="1"/>
  <c r="Q131" i="1"/>
  <c r="R131" i="1"/>
  <c r="U130" i="1"/>
  <c r="S130" i="1"/>
  <c r="R130" i="1"/>
  <c r="Q130" i="1"/>
  <c r="U133" i="1"/>
  <c r="U122" i="1"/>
  <c r="U125" i="1"/>
  <c r="S127" i="1"/>
  <c r="R127" i="1"/>
  <c r="U127" i="1"/>
  <c r="Q127" i="1"/>
  <c r="P125" i="1"/>
  <c r="P124" i="1"/>
  <c r="P123" i="1"/>
  <c r="Q125" i="1"/>
  <c r="R125" i="1"/>
  <c r="Q124" i="1"/>
  <c r="S125" i="1"/>
  <c r="R124" i="1"/>
  <c r="Q123" i="1"/>
  <c r="R123" i="1"/>
  <c r="Q122" i="1"/>
  <c r="U123" i="1"/>
  <c r="R120" i="1"/>
  <c r="R116" i="1"/>
  <c r="U126" i="1"/>
  <c r="S126" i="1"/>
  <c r="R126" i="1"/>
  <c r="Q126" i="1"/>
  <c r="Q112" i="1"/>
  <c r="U118" i="1"/>
  <c r="Q121" i="1"/>
  <c r="Q120" i="1"/>
  <c r="S114" i="1"/>
  <c r="Q116" i="1"/>
  <c r="R110" i="1"/>
  <c r="P120" i="1"/>
  <c r="S113" i="1"/>
  <c r="R115" i="1"/>
  <c r="P115" i="1"/>
  <c r="S117" i="1"/>
  <c r="U112" i="1"/>
  <c r="R112" i="1"/>
  <c r="P112" i="1"/>
  <c r="Q117" i="1"/>
  <c r="U116" i="1"/>
  <c r="U121" i="1"/>
  <c r="V118" i="1"/>
  <c r="U117" i="1"/>
  <c r="V116" i="1"/>
  <c r="S121" i="1"/>
  <c r="P121" i="1"/>
  <c r="U120" i="1"/>
  <c r="P119" i="1"/>
  <c r="Q119" i="1"/>
  <c r="U119" i="1"/>
  <c r="S119" i="1"/>
  <c r="R118" i="1"/>
  <c r="P118" i="1"/>
  <c r="V120" i="1"/>
  <c r="U114" i="1"/>
  <c r="Q113" i="1"/>
  <c r="R113" i="1"/>
  <c r="U113" i="1"/>
  <c r="S110" i="1"/>
  <c r="P114" i="1"/>
  <c r="Q114" i="1"/>
  <c r="V113" i="1"/>
  <c r="U115" i="1"/>
  <c r="V114" i="1"/>
  <c r="V112" i="1"/>
  <c r="U110" i="1"/>
  <c r="S115" i="1"/>
  <c r="U111" i="1"/>
  <c r="S111" i="1"/>
  <c r="R111" i="1"/>
  <c r="Q111" i="1"/>
  <c r="D104" i="1"/>
  <c r="P104" i="1" s="1"/>
  <c r="D105" i="1"/>
  <c r="P105" i="1" s="1"/>
  <c r="D106" i="1"/>
  <c r="R106" i="1" s="1"/>
  <c r="D107" i="1"/>
  <c r="R107" i="1" s="1"/>
  <c r="D108" i="1"/>
  <c r="P108" i="1" s="1"/>
  <c r="D109" i="1"/>
  <c r="S109" i="1" s="1"/>
  <c r="M104" i="1"/>
  <c r="M105" i="1"/>
  <c r="M106" i="1"/>
  <c r="M107" i="1"/>
  <c r="M108" i="1"/>
  <c r="M109" i="1"/>
  <c r="N104" i="1"/>
  <c r="N105" i="1"/>
  <c r="N106" i="1"/>
  <c r="N107" i="1"/>
  <c r="N108" i="1"/>
  <c r="N109" i="1"/>
  <c r="O104" i="1"/>
  <c r="O105" i="1"/>
  <c r="O106" i="1"/>
  <c r="O107" i="1"/>
  <c r="O108" i="1"/>
  <c r="O109" i="1"/>
  <c r="S108" i="1"/>
  <c r="T104" i="1"/>
  <c r="V104" i="1" s="1"/>
  <c r="T105" i="1"/>
  <c r="V105" i="1" s="1"/>
  <c r="T106" i="1"/>
  <c r="V106" i="1" s="1"/>
  <c r="T107" i="1"/>
  <c r="T108" i="1"/>
  <c r="T109" i="1"/>
  <c r="P107" i="1" l="1"/>
  <c r="U108" i="1"/>
  <c r="Q109" i="1"/>
  <c r="Q108" i="1"/>
  <c r="R104" i="1"/>
  <c r="S107" i="1"/>
  <c r="U107" i="1"/>
  <c r="S106" i="1"/>
  <c r="P109" i="1"/>
  <c r="U106" i="1"/>
  <c r="S104" i="1"/>
  <c r="Q104" i="1"/>
  <c r="U104" i="1"/>
  <c r="R109" i="1"/>
  <c r="U109" i="1"/>
  <c r="R108" i="1"/>
  <c r="V107" i="1"/>
  <c r="V108" i="1"/>
  <c r="V109" i="1"/>
  <c r="Q107" i="1"/>
  <c r="P106" i="1"/>
  <c r="Q106" i="1"/>
  <c r="U105" i="1"/>
  <c r="S105" i="1"/>
  <c r="R105" i="1"/>
  <c r="Q105" i="1"/>
  <c r="D98" i="1" l="1"/>
  <c r="Q98" i="1" s="1"/>
  <c r="D99" i="1"/>
  <c r="S99" i="1" s="1"/>
  <c r="D100" i="1"/>
  <c r="R100" i="1" s="1"/>
  <c r="D101" i="1"/>
  <c r="P101" i="1" s="1"/>
  <c r="D102" i="1"/>
  <c r="Q102" i="1" s="1"/>
  <c r="D103" i="1"/>
  <c r="R103" i="1" s="1"/>
  <c r="M98" i="1"/>
  <c r="M99" i="1"/>
  <c r="M100" i="1"/>
  <c r="M101" i="1"/>
  <c r="M102" i="1"/>
  <c r="M103" i="1"/>
  <c r="N98" i="1"/>
  <c r="N99" i="1"/>
  <c r="N100" i="1"/>
  <c r="N101" i="1"/>
  <c r="N102" i="1"/>
  <c r="N103" i="1"/>
  <c r="O98" i="1"/>
  <c r="O99" i="1"/>
  <c r="O100" i="1"/>
  <c r="O101" i="1"/>
  <c r="O102" i="1"/>
  <c r="O103" i="1"/>
  <c r="P98" i="1"/>
  <c r="P99" i="1"/>
  <c r="P100" i="1"/>
  <c r="T98" i="1"/>
  <c r="V98" i="1" s="1"/>
  <c r="T99" i="1"/>
  <c r="V99" i="1" s="1"/>
  <c r="T100" i="1"/>
  <c r="T101" i="1"/>
  <c r="T102" i="1"/>
  <c r="V102" i="1" s="1"/>
  <c r="T103" i="1"/>
  <c r="V103" i="1" s="1"/>
  <c r="T97" i="1"/>
  <c r="V97" i="1" s="1"/>
  <c r="O97" i="1"/>
  <c r="N97" i="1"/>
  <c r="M97" i="1"/>
  <c r="D97" i="1"/>
  <c r="S97" i="1" s="1"/>
  <c r="T96" i="1"/>
  <c r="O96" i="1"/>
  <c r="N96" i="1"/>
  <c r="M96" i="1"/>
  <c r="D96" i="1"/>
  <c r="R96" i="1" s="1"/>
  <c r="T95" i="1"/>
  <c r="V95" i="1" s="1"/>
  <c r="O95" i="1"/>
  <c r="N95" i="1"/>
  <c r="M95" i="1"/>
  <c r="D95" i="1"/>
  <c r="S95" i="1" s="1"/>
  <c r="T94" i="1"/>
  <c r="V94" i="1" s="1"/>
  <c r="O94" i="1"/>
  <c r="N94" i="1"/>
  <c r="M94" i="1"/>
  <c r="D94" i="1"/>
  <c r="S94" i="1" s="1"/>
  <c r="T93" i="1"/>
  <c r="V93" i="1" s="1"/>
  <c r="O93" i="1"/>
  <c r="N93" i="1"/>
  <c r="M93" i="1"/>
  <c r="D93" i="1"/>
  <c r="R93" i="1" s="1"/>
  <c r="T92" i="1"/>
  <c r="V92" i="1" s="1"/>
  <c r="O92" i="1"/>
  <c r="N92" i="1"/>
  <c r="M92" i="1"/>
  <c r="D92" i="1"/>
  <c r="Q92" i="1" s="1"/>
  <c r="D86" i="1"/>
  <c r="R86" i="1" s="1"/>
  <c r="D87" i="1"/>
  <c r="Q87" i="1" s="1"/>
  <c r="D88" i="1"/>
  <c r="P88" i="1" s="1"/>
  <c r="D89" i="1"/>
  <c r="P89" i="1" s="1"/>
  <c r="D90" i="1"/>
  <c r="Q90" i="1" s="1"/>
  <c r="D91" i="1"/>
  <c r="P91" i="1" s="1"/>
  <c r="M86" i="1"/>
  <c r="M87" i="1"/>
  <c r="M88" i="1"/>
  <c r="M89" i="1"/>
  <c r="M90" i="1"/>
  <c r="M91" i="1"/>
  <c r="N86" i="1"/>
  <c r="N87" i="1"/>
  <c r="N88" i="1"/>
  <c r="N89" i="1"/>
  <c r="N90" i="1"/>
  <c r="N91" i="1"/>
  <c r="O86" i="1"/>
  <c r="O87" i="1"/>
  <c r="O88" i="1"/>
  <c r="O89" i="1"/>
  <c r="O90" i="1"/>
  <c r="O91" i="1"/>
  <c r="T86" i="1"/>
  <c r="V86" i="1" s="1"/>
  <c r="T87" i="1"/>
  <c r="V87" i="1" s="1"/>
  <c r="T88" i="1"/>
  <c r="T89" i="1"/>
  <c r="V89" i="1" s="1"/>
  <c r="T90" i="1"/>
  <c r="T91" i="1"/>
  <c r="V91" i="1" s="1"/>
  <c r="D80" i="1"/>
  <c r="P80" i="1" s="1"/>
  <c r="D81" i="1"/>
  <c r="S81" i="1" s="1"/>
  <c r="D82" i="1"/>
  <c r="D83" i="1"/>
  <c r="R83" i="1" s="1"/>
  <c r="D84" i="1"/>
  <c r="P84" i="1" s="1"/>
  <c r="D85" i="1"/>
  <c r="Q85" i="1" s="1"/>
  <c r="M80" i="1"/>
  <c r="M81" i="1"/>
  <c r="M82" i="1"/>
  <c r="M83" i="1"/>
  <c r="M84" i="1"/>
  <c r="M85" i="1"/>
  <c r="N80" i="1"/>
  <c r="N81" i="1"/>
  <c r="N82" i="1"/>
  <c r="N83" i="1"/>
  <c r="N84" i="1"/>
  <c r="N85" i="1"/>
  <c r="O80" i="1"/>
  <c r="O81" i="1"/>
  <c r="O82" i="1"/>
  <c r="O83" i="1"/>
  <c r="O84" i="1"/>
  <c r="O85" i="1"/>
  <c r="T80" i="1"/>
  <c r="V80" i="1" s="1"/>
  <c r="T81" i="1"/>
  <c r="V81" i="1" s="1"/>
  <c r="T82" i="1"/>
  <c r="V82" i="1" s="1"/>
  <c r="T83" i="1"/>
  <c r="T84" i="1"/>
  <c r="U84" i="1" s="1"/>
  <c r="T85" i="1"/>
  <c r="V85" i="1" s="1"/>
  <c r="D74" i="1"/>
  <c r="Q74" i="1" s="1"/>
  <c r="D75" i="1"/>
  <c r="R75" i="1" s="1"/>
  <c r="D76" i="1"/>
  <c r="S76" i="1" s="1"/>
  <c r="D77" i="1"/>
  <c r="D78" i="1"/>
  <c r="Q78" i="1" s="1"/>
  <c r="D79" i="1"/>
  <c r="M74" i="1"/>
  <c r="M75" i="1"/>
  <c r="M76" i="1"/>
  <c r="M77" i="1"/>
  <c r="M78" i="1"/>
  <c r="M79" i="1"/>
  <c r="N74" i="1"/>
  <c r="N75" i="1"/>
  <c r="N76" i="1"/>
  <c r="N77" i="1"/>
  <c r="N78" i="1"/>
  <c r="N79" i="1"/>
  <c r="O74" i="1"/>
  <c r="O75" i="1"/>
  <c r="O76" i="1"/>
  <c r="O77" i="1"/>
  <c r="O78" i="1"/>
  <c r="O79" i="1"/>
  <c r="P74" i="1"/>
  <c r="P75" i="1"/>
  <c r="R76" i="1"/>
  <c r="T74" i="1"/>
  <c r="T75" i="1"/>
  <c r="V75" i="1" s="1"/>
  <c r="T76" i="1"/>
  <c r="V76" i="1" s="1"/>
  <c r="T77" i="1"/>
  <c r="V77" i="1" s="1"/>
  <c r="T78" i="1"/>
  <c r="T79" i="1"/>
  <c r="V79" i="1" s="1"/>
  <c r="D68" i="1"/>
  <c r="P68" i="1" s="1"/>
  <c r="D69" i="1"/>
  <c r="P69" i="1" s="1"/>
  <c r="D70" i="1"/>
  <c r="R70" i="1" s="1"/>
  <c r="D71" i="1"/>
  <c r="R71" i="1" s="1"/>
  <c r="D72" i="1"/>
  <c r="P72" i="1" s="1"/>
  <c r="D73" i="1"/>
  <c r="P73" i="1" s="1"/>
  <c r="M68" i="1"/>
  <c r="M69" i="1"/>
  <c r="M70" i="1"/>
  <c r="M71" i="1"/>
  <c r="M72" i="1"/>
  <c r="M73" i="1"/>
  <c r="N68" i="1"/>
  <c r="N69" i="1"/>
  <c r="N70" i="1"/>
  <c r="N71" i="1"/>
  <c r="N72" i="1"/>
  <c r="N73" i="1"/>
  <c r="O68" i="1"/>
  <c r="O69" i="1"/>
  <c r="O70" i="1"/>
  <c r="O71" i="1"/>
  <c r="O72" i="1"/>
  <c r="O73" i="1"/>
  <c r="T68" i="1"/>
  <c r="V68" i="1" s="1"/>
  <c r="T69" i="1"/>
  <c r="V69" i="1" s="1"/>
  <c r="T70" i="1"/>
  <c r="V70" i="1" s="1"/>
  <c r="T71" i="1"/>
  <c r="V71" i="1" s="1"/>
  <c r="T72" i="1"/>
  <c r="T73" i="1"/>
  <c r="V73" i="1" s="1"/>
  <c r="S103" i="1" l="1"/>
  <c r="P103" i="1"/>
  <c r="Q91" i="1"/>
  <c r="S84" i="1"/>
  <c r="R98" i="1"/>
  <c r="U85" i="1"/>
  <c r="P87" i="1"/>
  <c r="S96" i="1"/>
  <c r="P97" i="1"/>
  <c r="U100" i="1"/>
  <c r="U88" i="1"/>
  <c r="U96" i="1"/>
  <c r="Q100" i="1"/>
  <c r="S100" i="1"/>
  <c r="U101" i="1"/>
  <c r="R91" i="1"/>
  <c r="S98" i="1"/>
  <c r="Q99" i="1"/>
  <c r="R88" i="1"/>
  <c r="U98" i="1"/>
  <c r="R101" i="1"/>
  <c r="S85" i="1"/>
  <c r="Q88" i="1"/>
  <c r="S101" i="1"/>
  <c r="R99" i="1"/>
  <c r="S88" i="1"/>
  <c r="R85" i="1"/>
  <c r="S91" i="1"/>
  <c r="Q86" i="1"/>
  <c r="R69" i="1"/>
  <c r="P86" i="1"/>
  <c r="V100" i="1"/>
  <c r="U99" i="1"/>
  <c r="V101" i="1"/>
  <c r="Q103" i="1"/>
  <c r="U102" i="1"/>
  <c r="R102" i="1"/>
  <c r="P102" i="1"/>
  <c r="S102" i="1"/>
  <c r="Q101" i="1"/>
  <c r="U103" i="1"/>
  <c r="R87" i="1"/>
  <c r="S87" i="1"/>
  <c r="Q94" i="1"/>
  <c r="Q97" i="1"/>
  <c r="R90" i="1"/>
  <c r="S93" i="1"/>
  <c r="U93" i="1"/>
  <c r="P93" i="1"/>
  <c r="Q93" i="1"/>
  <c r="U92" i="1"/>
  <c r="R92" i="1"/>
  <c r="U95" i="1"/>
  <c r="P96" i="1"/>
  <c r="V96" i="1"/>
  <c r="S92" i="1"/>
  <c r="U94" i="1"/>
  <c r="P95" i="1"/>
  <c r="Q96" i="1"/>
  <c r="R97" i="1"/>
  <c r="P94" i="1"/>
  <c r="Q95" i="1"/>
  <c r="R95" i="1"/>
  <c r="P92" i="1"/>
  <c r="R94" i="1"/>
  <c r="U97" i="1"/>
  <c r="U78" i="1"/>
  <c r="S75" i="1"/>
  <c r="U90" i="1"/>
  <c r="S90" i="1"/>
  <c r="V90" i="1"/>
  <c r="S86" i="1"/>
  <c r="P90" i="1"/>
  <c r="V88" i="1"/>
  <c r="U87" i="1"/>
  <c r="U86" i="1"/>
  <c r="U91" i="1"/>
  <c r="U89" i="1"/>
  <c r="S89" i="1"/>
  <c r="R89" i="1"/>
  <c r="Q89" i="1"/>
  <c r="R73" i="1"/>
  <c r="R74" i="1"/>
  <c r="Q84" i="1"/>
  <c r="Q73" i="1"/>
  <c r="U74" i="1"/>
  <c r="V84" i="1"/>
  <c r="R84" i="1"/>
  <c r="Q75" i="1"/>
  <c r="U82" i="1"/>
  <c r="Q83" i="1"/>
  <c r="U83" i="1"/>
  <c r="S83" i="1"/>
  <c r="P83" i="1"/>
  <c r="U81" i="1"/>
  <c r="P82" i="1"/>
  <c r="R82" i="1"/>
  <c r="Q81" i="1"/>
  <c r="S82" i="1"/>
  <c r="R81" i="1"/>
  <c r="P85" i="1"/>
  <c r="Q82" i="1"/>
  <c r="P81" i="1"/>
  <c r="U80" i="1"/>
  <c r="S80" i="1"/>
  <c r="R80" i="1"/>
  <c r="Q80" i="1"/>
  <c r="S78" i="1"/>
  <c r="V83" i="1"/>
  <c r="S74" i="1"/>
  <c r="R78" i="1"/>
  <c r="U79" i="1"/>
  <c r="V78" i="1"/>
  <c r="U77" i="1"/>
  <c r="U76" i="1"/>
  <c r="U75" i="1"/>
  <c r="R79" i="1"/>
  <c r="Q79" i="1"/>
  <c r="P79" i="1"/>
  <c r="S79" i="1"/>
  <c r="P78" i="1"/>
  <c r="P77" i="1"/>
  <c r="R77" i="1"/>
  <c r="S77" i="1"/>
  <c r="Q77" i="1"/>
  <c r="Q76" i="1"/>
  <c r="P76" i="1"/>
  <c r="V74" i="1"/>
  <c r="U72" i="1"/>
  <c r="U73" i="1"/>
  <c r="Q71" i="1"/>
  <c r="S71" i="1"/>
  <c r="P71" i="1"/>
  <c r="U71" i="1"/>
  <c r="P70" i="1"/>
  <c r="S69" i="1"/>
  <c r="U69" i="1"/>
  <c r="Q69" i="1"/>
  <c r="S70" i="1"/>
  <c r="U70" i="1"/>
  <c r="Q70" i="1"/>
  <c r="S73" i="1"/>
  <c r="S72" i="1"/>
  <c r="Q72" i="1"/>
  <c r="U68" i="1"/>
  <c r="S68" i="1"/>
  <c r="R68" i="1"/>
  <c r="Q68" i="1"/>
  <c r="V72" i="1"/>
  <c r="R72" i="1"/>
  <c r="D62" i="1" l="1"/>
  <c r="Q62" i="1" s="1"/>
  <c r="D63" i="1"/>
  <c r="Q63" i="1" s="1"/>
  <c r="D64" i="1"/>
  <c r="Q64" i="1" s="1"/>
  <c r="D65" i="1"/>
  <c r="Q65" i="1" s="1"/>
  <c r="D66" i="1"/>
  <c r="P66" i="1" s="1"/>
  <c r="D67" i="1"/>
  <c r="Q67" i="1" s="1"/>
  <c r="M62" i="1"/>
  <c r="M63" i="1"/>
  <c r="M64" i="1"/>
  <c r="M65" i="1"/>
  <c r="M66" i="1"/>
  <c r="M67" i="1"/>
  <c r="N62" i="1"/>
  <c r="N63" i="1"/>
  <c r="N64" i="1"/>
  <c r="N65" i="1"/>
  <c r="N66" i="1"/>
  <c r="N67" i="1"/>
  <c r="O62" i="1"/>
  <c r="O63" i="1"/>
  <c r="O64" i="1"/>
  <c r="O65" i="1"/>
  <c r="O66" i="1"/>
  <c r="O67" i="1"/>
  <c r="T62" i="1"/>
  <c r="V62" i="1" s="1"/>
  <c r="T63" i="1"/>
  <c r="V63" i="1" s="1"/>
  <c r="T64" i="1"/>
  <c r="V64" i="1" s="1"/>
  <c r="T65" i="1"/>
  <c r="V65" i="1" s="1"/>
  <c r="T66" i="1"/>
  <c r="T67" i="1"/>
  <c r="D56" i="1"/>
  <c r="Q56" i="1" s="1"/>
  <c r="D57" i="1"/>
  <c r="P57" i="1" s="1"/>
  <c r="D58" i="1"/>
  <c r="S58" i="1" s="1"/>
  <c r="D59" i="1"/>
  <c r="Q59" i="1" s="1"/>
  <c r="D60" i="1"/>
  <c r="S60" i="1" s="1"/>
  <c r="D61" i="1"/>
  <c r="S61" i="1" s="1"/>
  <c r="M56" i="1"/>
  <c r="M57" i="1"/>
  <c r="M58" i="1"/>
  <c r="M59" i="1"/>
  <c r="M60" i="1"/>
  <c r="M61" i="1"/>
  <c r="N56" i="1"/>
  <c r="N57" i="1"/>
  <c r="N58" i="1"/>
  <c r="N59" i="1"/>
  <c r="N60" i="1"/>
  <c r="N61" i="1"/>
  <c r="O56" i="1"/>
  <c r="O57" i="1"/>
  <c r="O58" i="1"/>
  <c r="O59" i="1"/>
  <c r="O60" i="1"/>
  <c r="O61" i="1"/>
  <c r="T56" i="1"/>
  <c r="V56" i="1" s="1"/>
  <c r="T57" i="1"/>
  <c r="V57" i="1" s="1"/>
  <c r="T58" i="1"/>
  <c r="T59" i="1"/>
  <c r="V59" i="1" s="1"/>
  <c r="T60" i="1"/>
  <c r="T61" i="1"/>
  <c r="D50" i="1"/>
  <c r="Q50" i="1" s="1"/>
  <c r="D51" i="1"/>
  <c r="P51" i="1" s="1"/>
  <c r="D52" i="1"/>
  <c r="P52" i="1" s="1"/>
  <c r="D53" i="1"/>
  <c r="P53" i="1" s="1"/>
  <c r="D54" i="1"/>
  <c r="R54" i="1" s="1"/>
  <c r="D55" i="1"/>
  <c r="Q55" i="1" s="1"/>
  <c r="M50" i="1"/>
  <c r="M51" i="1"/>
  <c r="M52" i="1"/>
  <c r="M53" i="1"/>
  <c r="M54" i="1"/>
  <c r="M55" i="1"/>
  <c r="N50" i="1"/>
  <c r="N51" i="1"/>
  <c r="N52" i="1"/>
  <c r="N53" i="1"/>
  <c r="N54" i="1"/>
  <c r="N55" i="1"/>
  <c r="O50" i="1"/>
  <c r="O51" i="1"/>
  <c r="O52" i="1"/>
  <c r="O53" i="1"/>
  <c r="O54" i="1"/>
  <c r="O55" i="1"/>
  <c r="T50" i="1"/>
  <c r="V50" i="1" s="1"/>
  <c r="T51" i="1"/>
  <c r="V51" i="1" s="1"/>
  <c r="T52" i="1"/>
  <c r="V52" i="1" s="1"/>
  <c r="T53" i="1"/>
  <c r="V53" i="1" s="1"/>
  <c r="T54" i="1"/>
  <c r="V54" i="1" s="1"/>
  <c r="T55" i="1"/>
  <c r="D44" i="1"/>
  <c r="Q44" i="1" s="1"/>
  <c r="D45" i="1"/>
  <c r="S45" i="1" s="1"/>
  <c r="D46" i="1"/>
  <c r="Q46" i="1" s="1"/>
  <c r="D47" i="1"/>
  <c r="S47" i="1" s="1"/>
  <c r="D48" i="1"/>
  <c r="R48" i="1" s="1"/>
  <c r="D49" i="1"/>
  <c r="P49" i="1" s="1"/>
  <c r="M44" i="1"/>
  <c r="M45" i="1"/>
  <c r="M46" i="1"/>
  <c r="M47" i="1"/>
  <c r="M48" i="1"/>
  <c r="M49" i="1"/>
  <c r="N44" i="1"/>
  <c r="N45" i="1"/>
  <c r="N46" i="1"/>
  <c r="N47" i="1"/>
  <c r="N48" i="1"/>
  <c r="N49" i="1"/>
  <c r="O44" i="1"/>
  <c r="O45" i="1"/>
  <c r="O46" i="1"/>
  <c r="O47" i="1"/>
  <c r="O48" i="1"/>
  <c r="O49" i="1"/>
  <c r="P44" i="1"/>
  <c r="P45" i="1"/>
  <c r="T44" i="1"/>
  <c r="V44" i="1" s="1"/>
  <c r="T45" i="1"/>
  <c r="T46" i="1"/>
  <c r="V46" i="1" s="1"/>
  <c r="T47" i="1"/>
  <c r="V47" i="1" s="1"/>
  <c r="T48" i="1"/>
  <c r="V48" i="1" s="1"/>
  <c r="T49" i="1"/>
  <c r="D38" i="1"/>
  <c r="R38" i="1" s="1"/>
  <c r="D39" i="1"/>
  <c r="R39" i="1" s="1"/>
  <c r="D40" i="1"/>
  <c r="R40" i="1" s="1"/>
  <c r="D41" i="1"/>
  <c r="Q41" i="1" s="1"/>
  <c r="D42" i="1"/>
  <c r="Q42" i="1" s="1"/>
  <c r="D43" i="1"/>
  <c r="S43" i="1" s="1"/>
  <c r="M38" i="1"/>
  <c r="M39" i="1"/>
  <c r="M40" i="1"/>
  <c r="M41" i="1"/>
  <c r="M42" i="1"/>
  <c r="M43" i="1"/>
  <c r="N38" i="1"/>
  <c r="N39" i="1"/>
  <c r="N40" i="1"/>
  <c r="N41" i="1"/>
  <c r="N42" i="1"/>
  <c r="N43" i="1"/>
  <c r="O38" i="1"/>
  <c r="O39" i="1"/>
  <c r="O40" i="1"/>
  <c r="O41" i="1"/>
  <c r="O42" i="1"/>
  <c r="O43" i="1"/>
  <c r="P38" i="1"/>
  <c r="P39" i="1"/>
  <c r="P40" i="1"/>
  <c r="T38" i="1"/>
  <c r="V38" i="1" s="1"/>
  <c r="T39" i="1"/>
  <c r="V39" i="1" s="1"/>
  <c r="T40" i="1"/>
  <c r="V40" i="1" s="1"/>
  <c r="T41" i="1"/>
  <c r="V41" i="1" s="1"/>
  <c r="T42" i="1"/>
  <c r="V42" i="1" s="1"/>
  <c r="T43" i="1"/>
  <c r="D32" i="1"/>
  <c r="R32" i="1" s="1"/>
  <c r="D33" i="1"/>
  <c r="Q33" i="1" s="1"/>
  <c r="D34" i="1"/>
  <c r="P34" i="1" s="1"/>
  <c r="D35" i="1"/>
  <c r="R35" i="1" s="1"/>
  <c r="D36" i="1"/>
  <c r="P36" i="1" s="1"/>
  <c r="D37" i="1"/>
  <c r="P37" i="1" s="1"/>
  <c r="M32" i="1"/>
  <c r="M33" i="1"/>
  <c r="M34" i="1"/>
  <c r="M35" i="1"/>
  <c r="M36" i="1"/>
  <c r="M37" i="1"/>
  <c r="N32" i="1"/>
  <c r="N33" i="1"/>
  <c r="N34" i="1"/>
  <c r="N35" i="1"/>
  <c r="N36" i="1"/>
  <c r="N37" i="1"/>
  <c r="O32" i="1"/>
  <c r="O33" i="1"/>
  <c r="O34" i="1"/>
  <c r="O35" i="1"/>
  <c r="O36" i="1"/>
  <c r="O37" i="1"/>
  <c r="T32" i="1"/>
  <c r="T33" i="1"/>
  <c r="T34" i="1"/>
  <c r="V34" i="1" s="1"/>
  <c r="T35" i="1"/>
  <c r="T36" i="1"/>
  <c r="T37" i="1"/>
  <c r="D26" i="1"/>
  <c r="Q26" i="1" s="1"/>
  <c r="D27" i="1"/>
  <c r="R27" i="1" s="1"/>
  <c r="D28" i="1"/>
  <c r="Q28" i="1" s="1"/>
  <c r="D29" i="1"/>
  <c r="S29" i="1" s="1"/>
  <c r="D30" i="1"/>
  <c r="Q30" i="1" s="1"/>
  <c r="D31" i="1"/>
  <c r="Q31" i="1" s="1"/>
  <c r="M26" i="1"/>
  <c r="M27" i="1"/>
  <c r="M28" i="1"/>
  <c r="M29" i="1"/>
  <c r="M30" i="1"/>
  <c r="M31" i="1"/>
  <c r="N26" i="1"/>
  <c r="N27" i="1"/>
  <c r="N28" i="1"/>
  <c r="N29" i="1"/>
  <c r="N30" i="1"/>
  <c r="N31" i="1"/>
  <c r="O26" i="1"/>
  <c r="O27" i="1"/>
  <c r="O28" i="1"/>
  <c r="O29" i="1"/>
  <c r="O30" i="1"/>
  <c r="O31" i="1"/>
  <c r="P26" i="1"/>
  <c r="P27" i="1"/>
  <c r="P28" i="1"/>
  <c r="P29" i="1"/>
  <c r="P30" i="1"/>
  <c r="P31" i="1"/>
  <c r="T26" i="1"/>
  <c r="T27" i="1"/>
  <c r="V27" i="1" s="1"/>
  <c r="T28" i="1"/>
  <c r="T29" i="1"/>
  <c r="V29" i="1" s="1"/>
  <c r="T30" i="1"/>
  <c r="V30" i="1" s="1"/>
  <c r="T31" i="1"/>
  <c r="V31" i="1" s="1"/>
  <c r="D25" i="1"/>
  <c r="R25" i="1" s="1"/>
  <c r="M25" i="1"/>
  <c r="N25" i="1"/>
  <c r="O25" i="1"/>
  <c r="T25" i="1"/>
  <c r="D24" i="1"/>
  <c r="S24" i="1" s="1"/>
  <c r="M24" i="1"/>
  <c r="N24" i="1"/>
  <c r="O24" i="1"/>
  <c r="T24" i="1"/>
  <c r="D23" i="1"/>
  <c r="R23" i="1" s="1"/>
  <c r="M23" i="1"/>
  <c r="N23" i="1"/>
  <c r="O23" i="1"/>
  <c r="T23" i="1"/>
  <c r="V23" i="1" s="1"/>
  <c r="D22" i="1"/>
  <c r="S22" i="1" s="1"/>
  <c r="M22" i="1"/>
  <c r="N22" i="1"/>
  <c r="O22" i="1"/>
  <c r="T22" i="1"/>
  <c r="V22" i="1" s="1"/>
  <c r="D21" i="1"/>
  <c r="Q21" i="1" s="1"/>
  <c r="M21" i="1"/>
  <c r="N21" i="1"/>
  <c r="O21" i="1"/>
  <c r="T21" i="1"/>
  <c r="D20" i="1"/>
  <c r="P20" i="1" s="1"/>
  <c r="M20" i="1"/>
  <c r="N20" i="1"/>
  <c r="O20" i="1"/>
  <c r="T20" i="1"/>
  <c r="V20" i="1" s="1"/>
  <c r="D2" i="1"/>
  <c r="D3" i="1"/>
  <c r="D4" i="1"/>
  <c r="D5" i="1"/>
  <c r="D6" i="1"/>
  <c r="D7" i="1"/>
  <c r="D8" i="1"/>
  <c r="R8" i="1" s="1"/>
  <c r="D9" i="1"/>
  <c r="S9" i="1" s="1"/>
  <c r="D10" i="1"/>
  <c r="P10" i="1" s="1"/>
  <c r="D11" i="1"/>
  <c r="Q11" i="1" s="1"/>
  <c r="D12" i="1"/>
  <c r="Q12" i="1" s="1"/>
  <c r="D13" i="1"/>
  <c r="P13" i="1" s="1"/>
  <c r="D14" i="1"/>
  <c r="P14" i="1" s="1"/>
  <c r="D15" i="1"/>
  <c r="S15" i="1" s="1"/>
  <c r="D16" i="1"/>
  <c r="D17" i="1"/>
  <c r="P17" i="1" s="1"/>
  <c r="D18" i="1"/>
  <c r="P18" i="1" s="1"/>
  <c r="D19" i="1"/>
  <c r="S19" i="1" s="1"/>
  <c r="M19" i="1"/>
  <c r="N19" i="1"/>
  <c r="O19" i="1"/>
  <c r="T19" i="1"/>
  <c r="V19" i="1" s="1"/>
  <c r="M18" i="1"/>
  <c r="N18" i="1"/>
  <c r="O18" i="1"/>
  <c r="T18" i="1"/>
  <c r="V18" i="1" s="1"/>
  <c r="M17" i="1"/>
  <c r="N17" i="1"/>
  <c r="O17" i="1"/>
  <c r="T17" i="1"/>
  <c r="M16" i="1"/>
  <c r="N16" i="1"/>
  <c r="O16" i="1"/>
  <c r="T16" i="1"/>
  <c r="V16" i="1" s="1"/>
  <c r="M15" i="1"/>
  <c r="N15" i="1"/>
  <c r="O15" i="1"/>
  <c r="T15" i="1"/>
  <c r="M14" i="1"/>
  <c r="N14" i="1"/>
  <c r="O14" i="1"/>
  <c r="T14" i="1"/>
  <c r="V14" i="1" s="1"/>
  <c r="M8" i="1"/>
  <c r="M9" i="1"/>
  <c r="M10" i="1"/>
  <c r="M11" i="1"/>
  <c r="M12" i="1"/>
  <c r="M13" i="1"/>
  <c r="N8" i="1"/>
  <c r="N9" i="1"/>
  <c r="N10" i="1"/>
  <c r="N11" i="1"/>
  <c r="N12" i="1"/>
  <c r="N13" i="1"/>
  <c r="O8" i="1"/>
  <c r="O9" i="1"/>
  <c r="O10" i="1"/>
  <c r="O11" i="1"/>
  <c r="O12" i="1"/>
  <c r="O13" i="1"/>
  <c r="T8" i="1"/>
  <c r="V8" i="1" s="1"/>
  <c r="T9" i="1"/>
  <c r="V9" i="1" s="1"/>
  <c r="T10" i="1"/>
  <c r="V10" i="1" s="1"/>
  <c r="T11" i="1"/>
  <c r="V11" i="1" s="1"/>
  <c r="T12" i="1"/>
  <c r="T13" i="1"/>
  <c r="V13" i="1" s="1"/>
  <c r="P33" i="1" l="1"/>
  <c r="P32" i="1"/>
  <c r="R30" i="1"/>
  <c r="U36" i="1"/>
  <c r="S31" i="1"/>
  <c r="R31" i="1"/>
  <c r="R66" i="1"/>
  <c r="S30" i="1"/>
  <c r="S27" i="1"/>
  <c r="Q27" i="1"/>
  <c r="P50" i="1"/>
  <c r="S64" i="1"/>
  <c r="Q29" i="1"/>
  <c r="U26" i="1"/>
  <c r="S26" i="1"/>
  <c r="R26" i="1"/>
  <c r="U37" i="1"/>
  <c r="Q36" i="1"/>
  <c r="R29" i="1"/>
  <c r="U28" i="1"/>
  <c r="S28" i="1"/>
  <c r="R28" i="1"/>
  <c r="P60" i="1"/>
  <c r="U60" i="1"/>
  <c r="U62" i="1"/>
  <c r="R64" i="1"/>
  <c r="R53" i="1"/>
  <c r="R50" i="1"/>
  <c r="U66" i="1"/>
  <c r="S62" i="1"/>
  <c r="Q58" i="1"/>
  <c r="R47" i="1"/>
  <c r="Q53" i="1"/>
  <c r="V66" i="1"/>
  <c r="R61" i="1"/>
  <c r="Q66" i="1"/>
  <c r="S53" i="1"/>
  <c r="Q61" i="1"/>
  <c r="U67" i="1"/>
  <c r="S66" i="1"/>
  <c r="U49" i="1"/>
  <c r="S49" i="1"/>
  <c r="U54" i="1"/>
  <c r="P54" i="1"/>
  <c r="R60" i="1"/>
  <c r="U58" i="1"/>
  <c r="R67" i="1"/>
  <c r="P67" i="1"/>
  <c r="Q47" i="1"/>
  <c r="Q60" i="1"/>
  <c r="U56" i="1"/>
  <c r="S67" i="1"/>
  <c r="S36" i="1"/>
  <c r="Q54" i="1"/>
  <c r="U61" i="1"/>
  <c r="P61" i="1"/>
  <c r="R62" i="1"/>
  <c r="V67" i="1"/>
  <c r="U65" i="1"/>
  <c r="R65" i="1"/>
  <c r="S65" i="1"/>
  <c r="P65" i="1"/>
  <c r="U64" i="1"/>
  <c r="P64" i="1"/>
  <c r="P63" i="1"/>
  <c r="U63" i="1"/>
  <c r="S63" i="1"/>
  <c r="R63" i="1"/>
  <c r="P62" i="1"/>
  <c r="S32" i="1"/>
  <c r="S50" i="1"/>
  <c r="S56" i="1"/>
  <c r="Q35" i="1"/>
  <c r="R59" i="1"/>
  <c r="S54" i="1"/>
  <c r="R58" i="1"/>
  <c r="P58" i="1"/>
  <c r="V60" i="1"/>
  <c r="V58" i="1"/>
  <c r="S59" i="1"/>
  <c r="P59" i="1"/>
  <c r="U59" i="1"/>
  <c r="Q57" i="1"/>
  <c r="U57" i="1"/>
  <c r="R57" i="1"/>
  <c r="S57" i="1"/>
  <c r="P56" i="1"/>
  <c r="R56" i="1"/>
  <c r="Q48" i="1"/>
  <c r="V61" i="1"/>
  <c r="U32" i="1"/>
  <c r="Q32" i="1"/>
  <c r="U38" i="1"/>
  <c r="R36" i="1"/>
  <c r="S38" i="1"/>
  <c r="S48" i="1"/>
  <c r="U53" i="1"/>
  <c r="U50" i="1"/>
  <c r="P48" i="1"/>
  <c r="P47" i="1"/>
  <c r="U45" i="1"/>
  <c r="R55" i="1"/>
  <c r="P55" i="1"/>
  <c r="U55" i="1"/>
  <c r="S55" i="1"/>
  <c r="Q52" i="1"/>
  <c r="R52" i="1"/>
  <c r="S52" i="1"/>
  <c r="U52" i="1"/>
  <c r="Q51" i="1"/>
  <c r="U51" i="1"/>
  <c r="R51" i="1"/>
  <c r="S51" i="1"/>
  <c r="Q43" i="1"/>
  <c r="V55" i="1"/>
  <c r="Q38" i="1"/>
  <c r="U35" i="1"/>
  <c r="R49" i="1"/>
  <c r="V26" i="1"/>
  <c r="U43" i="1"/>
  <c r="S40" i="1"/>
  <c r="U47" i="1"/>
  <c r="V45" i="1"/>
  <c r="R46" i="1"/>
  <c r="Q45" i="1"/>
  <c r="S46" i="1"/>
  <c r="R45" i="1"/>
  <c r="U46" i="1"/>
  <c r="Q49" i="1"/>
  <c r="P46" i="1"/>
  <c r="U44" i="1"/>
  <c r="S44" i="1"/>
  <c r="R44" i="1"/>
  <c r="V49" i="1"/>
  <c r="R42" i="1"/>
  <c r="R41" i="1"/>
  <c r="U48" i="1"/>
  <c r="S42" i="1"/>
  <c r="P42" i="1"/>
  <c r="U42" i="1"/>
  <c r="V43" i="1"/>
  <c r="U40" i="1"/>
  <c r="R43" i="1"/>
  <c r="P43" i="1"/>
  <c r="S41" i="1"/>
  <c r="U41" i="1"/>
  <c r="Q40" i="1"/>
  <c r="Q39" i="1"/>
  <c r="U39" i="1"/>
  <c r="S39" i="1"/>
  <c r="P41" i="1"/>
  <c r="S35" i="1"/>
  <c r="V37" i="1"/>
  <c r="V36" i="1"/>
  <c r="V35" i="1"/>
  <c r="P35" i="1"/>
  <c r="S37" i="1"/>
  <c r="R37" i="1"/>
  <c r="Q37" i="1"/>
  <c r="U34" i="1"/>
  <c r="S34" i="1"/>
  <c r="R34" i="1"/>
  <c r="Q34" i="1"/>
  <c r="U33" i="1"/>
  <c r="S33" i="1"/>
  <c r="R33" i="1"/>
  <c r="V32" i="1"/>
  <c r="V33" i="1"/>
  <c r="U30" i="1"/>
  <c r="U31" i="1"/>
  <c r="U29" i="1"/>
  <c r="U27" i="1"/>
  <c r="V28" i="1"/>
  <c r="U25" i="1"/>
  <c r="S25" i="1"/>
  <c r="V25" i="1"/>
  <c r="P25" i="1"/>
  <c r="Q25" i="1"/>
  <c r="U24" i="1"/>
  <c r="Q24" i="1"/>
  <c r="S21" i="1"/>
  <c r="S23" i="1"/>
  <c r="V24" i="1"/>
  <c r="P24" i="1"/>
  <c r="R24" i="1"/>
  <c r="U22" i="1"/>
  <c r="U23" i="1"/>
  <c r="R21" i="1"/>
  <c r="Q23" i="1"/>
  <c r="P21" i="1"/>
  <c r="P23" i="1"/>
  <c r="R22" i="1"/>
  <c r="Q22" i="1"/>
  <c r="P22" i="1"/>
  <c r="U21" i="1"/>
  <c r="S20" i="1"/>
  <c r="V21" i="1"/>
  <c r="U16" i="1"/>
  <c r="R20" i="1"/>
  <c r="U20" i="1"/>
  <c r="Q20" i="1"/>
  <c r="P16" i="1"/>
  <c r="U14" i="1"/>
  <c r="U8" i="1"/>
  <c r="U19" i="1"/>
  <c r="U13" i="1"/>
  <c r="U9" i="1"/>
  <c r="U18" i="1"/>
  <c r="U12" i="1"/>
  <c r="U10" i="1"/>
  <c r="U15" i="1"/>
  <c r="U17" i="1"/>
  <c r="U11" i="1"/>
  <c r="R17" i="1"/>
  <c r="R18" i="1"/>
  <c r="R19" i="1"/>
  <c r="Q19" i="1"/>
  <c r="S18" i="1"/>
  <c r="P19" i="1"/>
  <c r="Q18" i="1"/>
  <c r="S14" i="1"/>
  <c r="S16" i="1"/>
  <c r="S17" i="1"/>
  <c r="Q17" i="1"/>
  <c r="V17" i="1"/>
  <c r="R16" i="1"/>
  <c r="Q16" i="1"/>
  <c r="R15" i="1"/>
  <c r="Q14" i="1"/>
  <c r="V15" i="1"/>
  <c r="P15" i="1"/>
  <c r="R14" i="1"/>
  <c r="Q15" i="1"/>
  <c r="P12" i="1"/>
  <c r="R12" i="1"/>
  <c r="P8" i="1"/>
  <c r="V12" i="1"/>
  <c r="S12" i="1"/>
  <c r="P9" i="1"/>
  <c r="S8" i="1"/>
  <c r="R13" i="1"/>
  <c r="Q13" i="1"/>
  <c r="S13" i="1"/>
  <c r="P11" i="1"/>
  <c r="R11" i="1"/>
  <c r="Q9" i="1"/>
  <c r="S11" i="1"/>
  <c r="R9" i="1"/>
  <c r="Q8" i="1"/>
  <c r="S10" i="1"/>
  <c r="R10" i="1"/>
  <c r="Q10" i="1"/>
  <c r="S2" i="1"/>
  <c r="M2" i="1"/>
  <c r="N2" i="1"/>
  <c r="O2" i="1"/>
  <c r="T2" i="1"/>
  <c r="V2" i="1" s="1"/>
  <c r="M3" i="1"/>
  <c r="N3" i="1"/>
  <c r="O3" i="1"/>
  <c r="T3" i="1"/>
  <c r="V3" i="1" s="1"/>
  <c r="M4" i="1"/>
  <c r="N4" i="1"/>
  <c r="O4" i="1"/>
  <c r="T4" i="1"/>
  <c r="M5" i="1"/>
  <c r="N5" i="1"/>
  <c r="O5" i="1"/>
  <c r="T5" i="1"/>
  <c r="V5" i="1" s="1"/>
  <c r="M6" i="1"/>
  <c r="N6" i="1"/>
  <c r="O6" i="1"/>
  <c r="T6" i="1"/>
  <c r="V6" i="1" s="1"/>
  <c r="M7" i="1"/>
  <c r="N7" i="1"/>
  <c r="O7" i="1"/>
  <c r="T7" i="1"/>
  <c r="U5" i="1" l="1"/>
  <c r="S4" i="1"/>
  <c r="U4" i="1"/>
  <c r="R6" i="1"/>
  <c r="U6" i="1"/>
  <c r="Q3" i="1"/>
  <c r="U3" i="1"/>
  <c r="P7" i="1"/>
  <c r="U7" i="1"/>
  <c r="U2" i="1"/>
  <c r="R4" i="1"/>
  <c r="S3" i="1"/>
  <c r="R2" i="1"/>
  <c r="Q4" i="1"/>
  <c r="P4" i="1"/>
  <c r="S7" i="1"/>
  <c r="R3" i="1"/>
  <c r="S6" i="1"/>
  <c r="P3" i="1"/>
  <c r="R7" i="1"/>
  <c r="Q7" i="1"/>
  <c r="P6" i="1"/>
  <c r="V7" i="1"/>
  <c r="Q2" i="1"/>
  <c r="S5" i="1"/>
  <c r="P2" i="1"/>
  <c r="Q5" i="1"/>
  <c r="V4" i="1"/>
  <c r="Q6" i="1"/>
  <c r="P5" i="1"/>
  <c r="R5" i="1"/>
</calcChain>
</file>

<file path=xl/sharedStrings.xml><?xml version="1.0" encoding="utf-8"?>
<sst xmlns="http://schemas.openxmlformats.org/spreadsheetml/2006/main" count="1182" uniqueCount="131">
  <si>
    <t>Mammoth</t>
  </si>
  <si>
    <t>PWHL</t>
  </si>
  <si>
    <t>WNBA</t>
  </si>
  <si>
    <t>Poker</t>
  </si>
  <si>
    <t>QMJHL</t>
  </si>
  <si>
    <t>Views</t>
  </si>
  <si>
    <t>Downloads</t>
  </si>
  <si>
    <t>Likes</t>
  </si>
  <si>
    <t>Collects</t>
  </si>
  <si>
    <t>Watches</t>
  </si>
  <si>
    <t>Comments</t>
  </si>
  <si>
    <t>Makes</t>
  </si>
  <si>
    <t>Derivatives</t>
  </si>
  <si>
    <t>Utah</t>
  </si>
  <si>
    <t>Pdownload</t>
  </si>
  <si>
    <t>Plike</t>
  </si>
  <si>
    <t>Pcollect</t>
  </si>
  <si>
    <t>Published</t>
  </si>
  <si>
    <t>Age</t>
  </si>
  <si>
    <t>DailyDownloads</t>
  </si>
  <si>
    <t>DailyLikes</t>
  </si>
  <si>
    <t>DailyCollects</t>
  </si>
  <si>
    <t>DailyViews</t>
  </si>
  <si>
    <t>Score</t>
  </si>
  <si>
    <t>DailyScore</t>
  </si>
  <si>
    <t>ScorePerView</t>
  </si>
  <si>
    <t>Date</t>
  </si>
  <si>
    <t>Model</t>
  </si>
  <si>
    <t>Parent</t>
  </si>
  <si>
    <t>Dir</t>
  </si>
  <si>
    <t>ModelName</t>
  </si>
  <si>
    <t>D:\3D Prints\NHL Logos\My Versions\Utah Mammoth</t>
  </si>
  <si>
    <t>Utah_Mammoth</t>
  </si>
  <si>
    <t>D:\3D Prints\PWHL Logos\Boston Fleet</t>
  </si>
  <si>
    <t>Boston_Fleet</t>
  </si>
  <si>
    <t>D:\3D Prints\PWHL Logos\League</t>
  </si>
  <si>
    <t>PWHL_Logo</t>
  </si>
  <si>
    <t>D:\3D Prints\PWHL Logos\Minnesota Frost</t>
  </si>
  <si>
    <t>Minnesota_Frost</t>
  </si>
  <si>
    <t>D:\3D Prints\PWHL Logos\Montreal Victoire</t>
  </si>
  <si>
    <t>montreal_victoire</t>
  </si>
  <si>
    <t>D:\3D Prints\PWHL Logos\New York Sirens</t>
  </si>
  <si>
    <t>New_York_Sirens</t>
  </si>
  <si>
    <t>D:\3D Prints\PWHL Logos\Ottawa Charge</t>
  </si>
  <si>
    <t>Ottawa_Charge</t>
  </si>
  <si>
    <t>D:\3D Prints\PWHL Logos\Seattle Torrent</t>
  </si>
  <si>
    <t>Seattle_Torrent</t>
  </si>
  <si>
    <t>D:\3D Prints\PWHL Logos\Toronto Sceptres</t>
  </si>
  <si>
    <t>Toronto_Sceptres</t>
  </si>
  <si>
    <t>D:\3D Prints\PWHL Logos\Vancouver Goldeneyes</t>
  </si>
  <si>
    <t>Vancouver_Goldeneyes</t>
  </si>
  <si>
    <t>D:\3D Prints\WNBA Logos\Atlanta Dream</t>
  </si>
  <si>
    <t>Atlanta_Dream</t>
  </si>
  <si>
    <t>D:\3D Prints\WNBA Logos\Chicago Sky</t>
  </si>
  <si>
    <t>Chicago_Sky</t>
  </si>
  <si>
    <t>D:\3D Prints\WNBA Logos\Connecticut Sun</t>
  </si>
  <si>
    <t>Connecticut_Sun</t>
  </si>
  <si>
    <t>D:\3D Prints\WNBA Logos\Dallas Wings</t>
  </si>
  <si>
    <t>Dallas_Wings</t>
  </si>
  <si>
    <t>D:\3D Prints\WNBA Logos\Golden State Valkyries</t>
  </si>
  <si>
    <t>Golden_State_Valkyries</t>
  </si>
  <si>
    <t>D:\3D Prints\WNBA Logos\Indiana Fever</t>
  </si>
  <si>
    <t>Indiana_Fever</t>
  </si>
  <si>
    <t>D:\3D Prints\WNBA Logos\Las Vegas Aces</t>
  </si>
  <si>
    <t>Las_Vegas_Aces</t>
  </si>
  <si>
    <t>D:\3D Prints\WNBA Logos\League Logo</t>
  </si>
  <si>
    <t>WNBA_Logo</t>
  </si>
  <si>
    <t>D:\3D Prints\WNBA Logos\Los Angeles Sparks</t>
  </si>
  <si>
    <t>Los_Angeles_Sparks</t>
  </si>
  <si>
    <t>D:\3D Prints\WNBA Logos\Minnesota Lynx</t>
  </si>
  <si>
    <t>Minnesota_Lynx</t>
  </si>
  <si>
    <t>D:\3D Prints\WNBA Logos\New York Liberty</t>
  </si>
  <si>
    <t>New_York_Liberty</t>
  </si>
  <si>
    <t>D:\3D Prints\WNBA Logos\Phoenix Mercury</t>
  </si>
  <si>
    <t>Phoenix_Mercury</t>
  </si>
  <si>
    <t>D:\3D Prints\WNBA Logos\Seattle Storm</t>
  </si>
  <si>
    <t>Seattle_Storm</t>
  </si>
  <si>
    <t>D:\3D Prints\WNBA Logos\Toronto Tempo</t>
  </si>
  <si>
    <t>Toronto_Tempo</t>
  </si>
  <si>
    <t>D:\3D Prints\WNBA Logos\Washington Mystics</t>
  </si>
  <si>
    <t>Washington_Mystics</t>
  </si>
  <si>
    <t>D:\3D Prints\NHL Logos\My Versions\Utah Hockey Club</t>
  </si>
  <si>
    <t>Utah_Hockey_Club_Logo</t>
  </si>
  <si>
    <t>D:\3D Prints\Poker Chip Tray\My Version 202505040113</t>
  </si>
  <si>
    <t>Poker_Chip_Tray_Table_Insert</t>
  </si>
  <si>
    <t>D:\3D Prints\QMJHL Logos\Baie-Comeau Drakkar</t>
  </si>
  <si>
    <t>Baie-Comeau_Drakkar</t>
  </si>
  <si>
    <t>D:\3D Prints\QMJHL Logos\Blainville-Broisbriand Armada</t>
  </si>
  <si>
    <t>Blainville-Broisbriand_Armada</t>
  </si>
  <si>
    <t>D:\3D Prints\QMJHL Logos\Cape Breton Screaming Eagles</t>
  </si>
  <si>
    <t>Cape_Breton_Screaming_Eagles</t>
  </si>
  <si>
    <t>D:\3D Prints\QMJHL Logos\Charlottetown Islanders</t>
  </si>
  <si>
    <t>Charlottetown_Islanders</t>
  </si>
  <si>
    <t>D:\3D Prints\QMJHL Logos\Chicoutimi Sagueneens</t>
  </si>
  <si>
    <t>Chicoutimi_Sageuneens</t>
  </si>
  <si>
    <t>D:\3D Prints\QMJHL Logos\Drummondville Voltigeurs</t>
  </si>
  <si>
    <t>Drummondville_Voltigeurs</t>
  </si>
  <si>
    <t>D:\3D Prints\QMJHL Logos\Gatineau Olympiques</t>
  </si>
  <si>
    <t>Gatineau_Olympiques</t>
  </si>
  <si>
    <t>D:\3D Prints\QMJHL Logos\Halifax Mooseheads</t>
  </si>
  <si>
    <t>Halifax_Mooseheads</t>
  </si>
  <si>
    <t>D:\3D Prints\QMJHL Logos\Moncton Wildcats</t>
  </si>
  <si>
    <t>Moncton_Wildcats</t>
  </si>
  <si>
    <t>D:\3D Prints\QMJHL Logos\Newfoundland Regiment</t>
  </si>
  <si>
    <t>Newfoundland_Regiment</t>
  </si>
  <si>
    <t>D:\3D Prints\QMJHL Logos\Quebec Remparts</t>
  </si>
  <si>
    <t>Quebec_Remparts</t>
  </si>
  <si>
    <t>D:\3D Prints\QMJHL Logos\Rimouski Oceanic</t>
  </si>
  <si>
    <t>Rimouski_Oceanic</t>
  </si>
  <si>
    <t>D:\3D Prints\QMJHL Logos\Rouyn-Noranda Huskies</t>
  </si>
  <si>
    <t>Rouyn-Noranda_Huskies</t>
  </si>
  <si>
    <t>D:\3D Prints\QMJHL Logos\Saint John SeaDogs</t>
  </si>
  <si>
    <t>Saint_John_Seadogs</t>
  </si>
  <si>
    <t>D:\3D Prints\QMJHL Logos\Shawinigan Cataractes</t>
  </si>
  <si>
    <t>Shawinigan__Cataractes</t>
  </si>
  <si>
    <t>D:\3D Prints\QMJHL Logos\Sherbrooke Phoenix</t>
  </si>
  <si>
    <t>Sherbrooke_Phoenix</t>
  </si>
  <si>
    <t>D:\3D Prints\QMJHL Logos\Val Dor Foreurs</t>
  </si>
  <si>
    <t>Val_Dor_Foreurs</t>
  </si>
  <si>
    <t>D:\3D Prints\QMJHL Logos\Victoriaville Tigres</t>
  </si>
  <si>
    <t>Victoriaville_Tigres</t>
  </si>
  <si>
    <t>D:\3D Prints\QMJHL Logos\League Logo</t>
  </si>
  <si>
    <t>QMJHL_League_Logo</t>
  </si>
  <si>
    <t>Thingiverse</t>
  </si>
  <si>
    <t>https://www.thingiverse.com/thing:7160565</t>
  </si>
  <si>
    <t>https://www.thingiverse.com/thing:6999906</t>
  </si>
  <si>
    <t>https://www.thingiverse.com/thing:7031788</t>
  </si>
  <si>
    <t>https://www.thingiverse.com/thing:7031806</t>
  </si>
  <si>
    <t>https://www.thingiverse.com/thing:7054629</t>
  </si>
  <si>
    <t>ThingiverseID</t>
  </si>
  <si>
    <t>https://www.thingiverse.com/thing:7267989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</si>
</sst>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19" formatCode="yyyy/mm/dd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FD035-DF42-4179-A65F-EE1B5D7828A5}" name="Table1" displayName="Table1" ref="A1:V139" totalsRowShown="0">
  <autoFilter ref="A1:V139" xr:uid="{83CFD035-DF42-4179-A65F-EE1B5D7828A5}"/>
  <tableColumns count="22">
    <tableColumn id="22" xr3:uid="{B838C6CD-92E8-4070-81DB-2EDE900509A2}" name="Date"/>
    <tableColumn id="1" xr3:uid="{C06BFB11-D5FB-45F8-853C-B38F6CA36FF6}" name="Model"/>
    <tableColumn id="13" xr3:uid="{AEE26F58-911F-4534-94C6-8FCA31D6F4B1}" name="Published"/>
    <tableColumn id="14" xr3:uid="{11FE9DF7-F747-41F2-BE31-8FAB66C0B838}" name="Age" dataDxfId="12">
      <calculatedColumnFormula>Table1[[#This Row],[Date]]-Table1[[#This Row],[Published]]</calculatedColumnFormula>
    </tableColumn>
    <tableColumn id="2" xr3:uid="{7E393A08-4718-4CB8-8F50-8ACBD51A470F}" name="Views" dataDxfId="11"/>
    <tableColumn id="3" xr3:uid="{AE7E7C79-96E4-4AA4-8ABE-36217F4A6424}" name="Downloads"/>
    <tableColumn id="4" xr3:uid="{CE18BE4D-786A-4C74-B355-10DEBE9AE05E}" name="Likes"/>
    <tableColumn id="5" xr3:uid="{FDBA26F1-3698-43DB-942B-1D299A4F5F85}" name="Collects"/>
    <tableColumn id="6" xr3:uid="{CEC18942-B541-46B6-BA3C-7238DE17EB8F}" name="Watches"/>
    <tableColumn id="7" xr3:uid="{6B33EC49-4483-47AF-BF77-28C0945F956C}" name="Comments"/>
    <tableColumn id="8" xr3:uid="{8A03F31E-D992-4A6A-8C83-45976E1E911E}" name="Makes"/>
    <tableColumn id="9" xr3:uid="{50A57524-FA39-4415-AA51-E48AAD714DFB}" name="Derivatives"/>
    <tableColumn id="10" xr3:uid="{2B3F8FB8-3A77-4903-8157-DF2E632AC885}" name="Pdownload" dataDxfId="10">
      <calculatedColumnFormula>Table1[[#This Row],[Downloads]]/Table1[[#This Row],[Views]]</calculatedColumnFormula>
    </tableColumn>
    <tableColumn id="11" xr3:uid="{4367DED9-9F80-416A-89E4-4D8ABEF630FC}" name="Plike" dataDxfId="9">
      <calculatedColumnFormula>Table1[[#This Row],[Likes]]/Table1[[#This Row],[Views]]</calculatedColumnFormula>
    </tableColumn>
    <tableColumn id="12" xr3:uid="{5A4C3180-1515-416E-8B42-B799EDBB03F7}" name="Pcollect" dataDxfId="8">
      <calculatedColumnFormula>Table1[[#This Row],[Collects]]/Table1[[#This Row],[Views]]</calculatedColumnFormula>
    </tableColumn>
    <tableColumn id="18" xr3:uid="{2ABE97EB-B9BA-49CE-9BEA-121DABE86BAB}" name="DailyViews" dataDxfId="7">
      <calculatedColumnFormula>Table1[[#This Row],[Views]]/Table1[[#This Row],[Age]]</calculatedColumnFormula>
    </tableColumn>
    <tableColumn id="15" xr3:uid="{BE1FE1BE-2BA3-494C-BDA2-F0B3AA590326}" name="DailyDownloads" dataDxfId="6">
      <calculatedColumnFormula>Table1[[#This Row],[Downloads]]/Table1[[#This Row],[Age]]</calculatedColumnFormula>
    </tableColumn>
    <tableColumn id="16" xr3:uid="{630D5AC9-22FD-4648-B35B-8100FA5478DD}" name="DailyLikes" dataDxfId="5">
      <calculatedColumnFormula>Table1[[#This Row],[Likes]]/Table1[[#This Row],[Age]]</calculatedColumnFormula>
    </tableColumn>
    <tableColumn id="17" xr3:uid="{7ED5648F-452B-4C2F-A6CC-579131C7D328}" name="DailyCollects" dataDxfId="4">
      <calculatedColumnFormula>Table1[[#This Row],[Collects]]/Table1[[#This Row],[Age]]</calculatedColumnFormula>
    </tableColumn>
    <tableColumn id="19" xr3:uid="{7038F531-83DC-4B5A-A836-DAB608EB634A}" name="Score" dataDxfId="3">
      <calculatedColumnFormula>(4*Table1[[#This Row],[Collects]])+(3*Table1[[#This Row],[Likes]])+(2*Table1[[#This Row],[Downloads]])+Table1[[#This Row],[Views]]</calculatedColumnFormula>
    </tableColumn>
    <tableColumn id="20" xr3:uid="{C98D09FC-8BDA-4AC8-89C9-828522310B20}" name="DailyScore" dataDxfId="2">
      <calculatedColumnFormula>Table1[[#This Row],[Score]]/Table1[[#This Row],[Age]]</calculatedColumnFormula>
    </tableColumn>
    <tableColumn id="21" xr3:uid="{7EF6F635-AAC4-4060-A16A-A1E4AE39403B}" name="ScorePerView" dataDxfId="1">
      <calculatedColumnFormula>Table1[[#This Row],[Score]]/Table1[[#This Row],[Views]]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6A8B71-C0C6-440B-BAAB-C9CBE1B90372}" name="Table3" displayName="Table3" ref="A1:F47" totalsRowShown="0">
  <autoFilter ref="A1:F47" xr:uid="{656A8B71-C0C6-440B-BAAB-C9CBE1B90372}"/>
  <tableColumns count="6">
    <tableColumn id="1" xr3:uid="{C6369277-9E1F-4C5C-9362-569791D1FBFA}" name="Published"/>
    <tableColumn id="2" xr3:uid="{F74ACAEC-100D-489D-B262-7FA676A0C4AC}" name="Parent"/>
    <tableColumn id="3" xr3:uid="{296BB50B-21E0-457C-A466-36C9C8E3E741}" name="Dir"/>
    <tableColumn id="4" xr3:uid="{2429C066-2BDE-4CA0-A0A6-8F1384EF59A5}" name="ModelName"/>
    <tableColumn id="6" xr3:uid="{387793EC-51F9-4A62-B79A-9011327205DF}" name="ThingiverseID"/>
    <tableColumn id="5" xr3:uid="{965ED0CA-2C28-4364-A467-A4F5571ADBD1}" name="Thingiver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76C2C-B3FE-42B4-A6C0-059962FBB89A}" name="Table2" displayName="Table2" ref="A1:D415" totalsRowShown="0">
  <autoFilter ref="A1:D415" xr:uid="{BB676C2C-B3FE-42B4-A6C0-059962FBB89A}"/>
  <tableColumns count="4">
    <tableColumn id="1" xr3:uid="{E9D80D2D-BB1D-4FDE-90CE-06D854D914ED}" name="Date" dataDxfId="0"/>
    <tableColumn id="2" xr3:uid="{84AE994F-16AA-4683-9C1D-6B8C3F098F6A}" name="Parent"/>
    <tableColumn id="3" xr3:uid="{EF41C20E-3CFD-4FB8-9631-3EDA31FC4FA9}" name="ModelName"/>
    <tableColumn id="4" xr3:uid="{B0E1CD9A-CFB1-441C-97EF-3878C65CA5B8}" name="Downloa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5C3B-1FD4-46FE-8A2F-07E281673B93}">
  <sheetPr codeName="Sheet1"/>
  <dimension ref="A1:W139"/>
  <sheetViews>
    <sheetView topLeftCell="A106" workbookViewId="0">
      <selection activeCell="F129" sqref="F129"/>
    </sheetView>
  </sheetViews>
  <sheetFormatPr defaultRowHeight="15" x14ac:dyDescent="0.25"/>
  <cols>
    <col min="1" max="1" width="10.140625" customWidth="1"/>
    <col min="2" max="2" width="10.140625" bestFit="1" customWidth="1"/>
    <col min="3" max="3" width="13.140625" customWidth="1"/>
    <col min="4" max="4" width="12.140625" bestFit="1" customWidth="1"/>
    <col min="5" max="5" width="6.7109375" style="3" bestFit="1" customWidth="1"/>
    <col min="6" max="6" width="8.7109375" bestFit="1" customWidth="1"/>
    <col min="7" max="7" width="13.140625" bestFit="1" customWidth="1"/>
    <col min="8" max="8" width="7.7109375" bestFit="1" customWidth="1"/>
    <col min="9" max="9" width="10.28515625" bestFit="1" customWidth="1"/>
    <col min="10" max="10" width="11" bestFit="1" customWidth="1"/>
    <col min="11" max="11" width="12.85546875" bestFit="1" customWidth="1"/>
    <col min="12" max="12" width="9.140625" bestFit="1" customWidth="1"/>
    <col min="13" max="14" width="13.28515625" style="4" bestFit="1" customWidth="1"/>
    <col min="15" max="15" width="7.7109375" style="4" bestFit="1" customWidth="1"/>
    <col min="16" max="16" width="10.28515625" style="4" bestFit="1" customWidth="1"/>
    <col min="17" max="17" width="13.140625" style="4" bestFit="1" customWidth="1"/>
    <col min="18" max="18" width="17.7109375" style="4" bestFit="1" customWidth="1"/>
    <col min="19" max="19" width="12.140625" style="4" bestFit="1" customWidth="1"/>
    <col min="20" max="20" width="14.7109375" style="4" bestFit="1" customWidth="1"/>
    <col min="21" max="21" width="8.140625" style="4" bestFit="1" customWidth="1"/>
    <col min="22" max="22" width="12.5703125" style="4" bestFit="1" customWidth="1"/>
    <col min="23" max="23" width="15.85546875" style="2" bestFit="1" customWidth="1"/>
  </cols>
  <sheetData>
    <row r="1" spans="1:23" x14ac:dyDescent="0.25">
      <c r="A1" t="s">
        <v>26</v>
      </c>
      <c r="B1" t="s">
        <v>27</v>
      </c>
      <c r="C1" t="s">
        <v>17</v>
      </c>
      <c r="D1" s="2" t="s">
        <v>18</v>
      </c>
      <c r="E1" s="3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4" t="s">
        <v>14</v>
      </c>
      <c r="N1" s="4" t="s">
        <v>15</v>
      </c>
      <c r="O1" s="4" t="s">
        <v>16</v>
      </c>
      <c r="P1" s="4" t="s">
        <v>22</v>
      </c>
      <c r="Q1" s="4" t="s">
        <v>19</v>
      </c>
      <c r="R1" s="4" t="s">
        <v>20</v>
      </c>
      <c r="S1" s="4" t="s">
        <v>21</v>
      </c>
      <c r="T1" s="4" t="s">
        <v>23</v>
      </c>
      <c r="U1" s="4" t="s">
        <v>24</v>
      </c>
      <c r="V1" s="4" t="s">
        <v>25</v>
      </c>
      <c r="W1"/>
    </row>
    <row r="2" spans="1:23" x14ac:dyDescent="0.25">
      <c r="A2" s="1">
        <v>46062</v>
      </c>
      <c r="B2" t="s">
        <v>0</v>
      </c>
      <c r="C2" s="1">
        <v>45784</v>
      </c>
      <c r="D2" s="2">
        <f>Table1[[#This Row],[Date]]-Table1[[#This Row],[Published]]</f>
        <v>278</v>
      </c>
      <c r="E2" s="3">
        <v>658</v>
      </c>
      <c r="F2">
        <v>143</v>
      </c>
      <c r="G2">
        <v>11</v>
      </c>
      <c r="H2">
        <v>5</v>
      </c>
      <c r="I2">
        <v>0</v>
      </c>
      <c r="J2">
        <v>0</v>
      </c>
      <c r="K2">
        <v>0</v>
      </c>
      <c r="L2">
        <v>0</v>
      </c>
      <c r="M2" s="4">
        <f>Table1[[#This Row],[Downloads]]/Table1[[#This Row],[Views]]</f>
        <v>0.21732522796352582</v>
      </c>
      <c r="N2" s="4">
        <f>Table1[[#This Row],[Likes]]/Table1[[#This Row],[Views]]</f>
        <v>1.6717325227963525E-2</v>
      </c>
      <c r="O2" s="4">
        <f>Table1[[#This Row],[Collects]]/Table1[[#This Row],[Views]]</f>
        <v>7.5987841945288756E-3</v>
      </c>
      <c r="P2" s="4">
        <f>Table1[[#This Row],[Views]]/Table1[[#This Row],[Age]]</f>
        <v>2.3669064748201438</v>
      </c>
      <c r="Q2" s="4">
        <f>Table1[[#This Row],[Downloads]]/Table1[[#This Row],[Age]]</f>
        <v>0.51438848920863312</v>
      </c>
      <c r="R2" s="4">
        <f>Table1[[#This Row],[Likes]]/Table1[[#This Row],[Age]]</f>
        <v>3.9568345323741004E-2</v>
      </c>
      <c r="S2" s="4">
        <f>Table1[[#This Row],[Collects]]/Table1[[#This Row],[Age]]</f>
        <v>1.7985611510791366E-2</v>
      </c>
      <c r="T2" s="4">
        <f>(4*Table1[[#This Row],[Collects]])+(3*Table1[[#This Row],[Likes]])+(2*Table1[[#This Row],[Downloads]])+Table1[[#This Row],[Views]]</f>
        <v>997</v>
      </c>
      <c r="U2" s="4">
        <f>Table1[[#This Row],[Score]]/Table1[[#This Row],[Age]]</f>
        <v>3.5863309352517985</v>
      </c>
      <c r="V2" s="4">
        <f>Table1[[#This Row],[Score]]/Table1[[#This Row],[Views]]</f>
        <v>1.5151975683890577</v>
      </c>
      <c r="W2"/>
    </row>
    <row r="3" spans="1:23" x14ac:dyDescent="0.25">
      <c r="A3" s="1">
        <v>46062</v>
      </c>
      <c r="B3" t="s">
        <v>1</v>
      </c>
      <c r="C3" s="1">
        <v>45785</v>
      </c>
      <c r="D3" s="2">
        <f>Table1[[#This Row],[Date]]-Table1[[#This Row],[Published]]</f>
        <v>277</v>
      </c>
      <c r="E3" s="3">
        <v>307</v>
      </c>
      <c r="F3">
        <v>80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 s="4">
        <f>Table1[[#This Row],[Downloads]]/Table1[[#This Row],[Views]]</f>
        <v>0.26058631921824105</v>
      </c>
      <c r="N3" s="4">
        <f>Table1[[#This Row],[Likes]]/Table1[[#This Row],[Views]]</f>
        <v>1.3029315960912053E-2</v>
      </c>
      <c r="O3" s="4">
        <f>Table1[[#This Row],[Collects]]/Table1[[#This Row],[Views]]</f>
        <v>0</v>
      </c>
      <c r="P3" s="4">
        <f>Table1[[#This Row],[Views]]/Table1[[#This Row],[Age]]</f>
        <v>1.1083032490974729</v>
      </c>
      <c r="Q3" s="4">
        <f>Table1[[#This Row],[Downloads]]/Table1[[#This Row],[Age]]</f>
        <v>0.28880866425992779</v>
      </c>
      <c r="R3" s="4">
        <f>Table1[[#This Row],[Likes]]/Table1[[#This Row],[Age]]</f>
        <v>1.444043321299639E-2</v>
      </c>
      <c r="S3" s="4">
        <f>Table1[[#This Row],[Collects]]/Table1[[#This Row],[Age]]</f>
        <v>0</v>
      </c>
      <c r="T3" s="4">
        <f>(4*Table1[[#This Row],[Collects]])+(3*Table1[[#This Row],[Likes]])+(2*Table1[[#This Row],[Downloads]])+Table1[[#This Row],[Views]]</f>
        <v>479</v>
      </c>
      <c r="U3" s="4">
        <f>Table1[[#This Row],[Score]]/Table1[[#This Row],[Age]]</f>
        <v>1.7292418772563176</v>
      </c>
      <c r="V3" s="4">
        <f>Table1[[#This Row],[Score]]/Table1[[#This Row],[Views]]</f>
        <v>1.5602605863192183</v>
      </c>
      <c r="W3"/>
    </row>
    <row r="4" spans="1:23" x14ac:dyDescent="0.25">
      <c r="A4" s="1">
        <v>46062</v>
      </c>
      <c r="B4" t="s">
        <v>2</v>
      </c>
      <c r="C4" s="1">
        <v>45930</v>
      </c>
      <c r="D4" s="2">
        <f>Table1[[#This Row],[Date]]-Table1[[#This Row],[Published]]</f>
        <v>132</v>
      </c>
      <c r="E4" s="3">
        <v>206</v>
      </c>
      <c r="F4">
        <v>83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 s="4">
        <f>Table1[[#This Row],[Downloads]]/Table1[[#This Row],[Views]]</f>
        <v>0.40291262135922329</v>
      </c>
      <c r="N4" s="4">
        <f>Table1[[#This Row],[Likes]]/Table1[[#This Row],[Views]]</f>
        <v>2.4271844660194174E-2</v>
      </c>
      <c r="O4" s="4">
        <f>Table1[[#This Row],[Collects]]/Table1[[#This Row],[Views]]</f>
        <v>0</v>
      </c>
      <c r="P4" s="4">
        <f>Table1[[#This Row],[Views]]/Table1[[#This Row],[Age]]</f>
        <v>1.5606060606060606</v>
      </c>
      <c r="Q4" s="4">
        <f>Table1[[#This Row],[Downloads]]/Table1[[#This Row],[Age]]</f>
        <v>0.62878787878787878</v>
      </c>
      <c r="R4" s="4">
        <f>Table1[[#This Row],[Likes]]/Table1[[#This Row],[Age]]</f>
        <v>3.787878787878788E-2</v>
      </c>
      <c r="S4" s="4">
        <f>Table1[[#This Row],[Collects]]/Table1[[#This Row],[Age]]</f>
        <v>0</v>
      </c>
      <c r="T4" s="4">
        <f>(4*Table1[[#This Row],[Collects]])+(3*Table1[[#This Row],[Likes]])+(2*Table1[[#This Row],[Downloads]])+Table1[[#This Row],[Views]]</f>
        <v>387</v>
      </c>
      <c r="U4" s="4">
        <f>Table1[[#This Row],[Score]]/Table1[[#This Row],[Age]]</f>
        <v>2.9318181818181817</v>
      </c>
      <c r="V4" s="4">
        <f>Table1[[#This Row],[Score]]/Table1[[#This Row],[Views]]</f>
        <v>1.8786407766990292</v>
      </c>
      <c r="W4"/>
    </row>
    <row r="5" spans="1:23" x14ac:dyDescent="0.25">
      <c r="A5" s="1">
        <v>46062</v>
      </c>
      <c r="B5" t="s">
        <v>13</v>
      </c>
      <c r="C5" s="1">
        <v>45750</v>
      </c>
      <c r="D5" s="2">
        <f>Table1[[#This Row],[Date]]-Table1[[#This Row],[Published]]</f>
        <v>312</v>
      </c>
      <c r="E5" s="3">
        <v>150</v>
      </c>
      <c r="F5">
        <v>25</v>
      </c>
      <c r="G5">
        <v>2</v>
      </c>
      <c r="H5">
        <v>1</v>
      </c>
      <c r="I5">
        <v>0</v>
      </c>
      <c r="J5">
        <v>0</v>
      </c>
      <c r="K5">
        <v>0</v>
      </c>
      <c r="L5">
        <v>0</v>
      </c>
      <c r="M5" s="4">
        <f>Table1[[#This Row],[Downloads]]/Table1[[#This Row],[Views]]</f>
        <v>0.16666666666666666</v>
      </c>
      <c r="N5" s="4">
        <f>Table1[[#This Row],[Likes]]/Table1[[#This Row],[Views]]</f>
        <v>1.3333333333333334E-2</v>
      </c>
      <c r="O5" s="4">
        <f>Table1[[#This Row],[Collects]]/Table1[[#This Row],[Views]]</f>
        <v>6.6666666666666671E-3</v>
      </c>
      <c r="P5" s="4">
        <f>Table1[[#This Row],[Views]]/Table1[[#This Row],[Age]]</f>
        <v>0.48076923076923078</v>
      </c>
      <c r="Q5" s="4">
        <f>Table1[[#This Row],[Downloads]]/Table1[[#This Row],[Age]]</f>
        <v>8.0128205128205135E-2</v>
      </c>
      <c r="R5" s="4">
        <f>Table1[[#This Row],[Likes]]/Table1[[#This Row],[Age]]</f>
        <v>6.41025641025641E-3</v>
      </c>
      <c r="S5" s="4">
        <f>Table1[[#This Row],[Collects]]/Table1[[#This Row],[Age]]</f>
        <v>3.205128205128205E-3</v>
      </c>
      <c r="T5" s="4">
        <f>(4*Table1[[#This Row],[Collects]])+(3*Table1[[#This Row],[Likes]])+(2*Table1[[#This Row],[Downloads]])+Table1[[#This Row],[Views]]</f>
        <v>210</v>
      </c>
      <c r="U5" s="4">
        <f>Table1[[#This Row],[Score]]/Table1[[#This Row],[Age]]</f>
        <v>0.67307692307692313</v>
      </c>
      <c r="V5" s="4">
        <f>Table1[[#This Row],[Score]]/Table1[[#This Row],[Views]]</f>
        <v>1.4</v>
      </c>
      <c r="W5"/>
    </row>
    <row r="6" spans="1:23" x14ac:dyDescent="0.25">
      <c r="A6" s="1">
        <v>46062</v>
      </c>
      <c r="B6" t="s">
        <v>3</v>
      </c>
      <c r="C6" s="1">
        <v>45932</v>
      </c>
      <c r="D6" s="2">
        <f>Table1[[#This Row],[Date]]-Table1[[#This Row],[Published]]</f>
        <v>130</v>
      </c>
      <c r="E6" s="3">
        <v>97</v>
      </c>
      <c r="F6">
        <v>11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 s="4">
        <f>Table1[[#This Row],[Downloads]]/Table1[[#This Row],[Views]]</f>
        <v>0.1134020618556701</v>
      </c>
      <c r="N6" s="4">
        <f>Table1[[#This Row],[Likes]]/Table1[[#This Row],[Views]]</f>
        <v>1.0309278350515464E-2</v>
      </c>
      <c r="O6" s="4">
        <f>Table1[[#This Row],[Collects]]/Table1[[#This Row],[Views]]</f>
        <v>0</v>
      </c>
      <c r="P6" s="4">
        <f>Table1[[#This Row],[Views]]/Table1[[#This Row],[Age]]</f>
        <v>0.74615384615384617</v>
      </c>
      <c r="Q6" s="4">
        <f>Table1[[#This Row],[Downloads]]/Table1[[#This Row],[Age]]</f>
        <v>8.461538461538462E-2</v>
      </c>
      <c r="R6" s="4">
        <f>Table1[[#This Row],[Likes]]/Table1[[#This Row],[Age]]</f>
        <v>7.6923076923076927E-3</v>
      </c>
      <c r="S6" s="4">
        <f>Table1[[#This Row],[Collects]]/Table1[[#This Row],[Age]]</f>
        <v>0</v>
      </c>
      <c r="T6" s="4">
        <f>(4*Table1[[#This Row],[Collects]])+(3*Table1[[#This Row],[Likes]])+(2*Table1[[#This Row],[Downloads]])+Table1[[#This Row],[Views]]</f>
        <v>122</v>
      </c>
      <c r="U6" s="4">
        <f>Table1[[#This Row],[Score]]/Table1[[#This Row],[Age]]</f>
        <v>0.93846153846153846</v>
      </c>
      <c r="V6" s="4">
        <f>Table1[[#This Row],[Score]]/Table1[[#This Row],[Views]]</f>
        <v>1.2577319587628866</v>
      </c>
      <c r="W6"/>
    </row>
    <row r="7" spans="1:23" x14ac:dyDescent="0.25">
      <c r="A7" s="1">
        <v>46062</v>
      </c>
      <c r="B7" t="s">
        <v>4</v>
      </c>
      <c r="C7" s="1">
        <v>46034</v>
      </c>
      <c r="D7" s="2">
        <f>Table1[[#This Row],[Date]]-Table1[[#This Row],[Published]]</f>
        <v>28</v>
      </c>
      <c r="E7" s="3">
        <v>79</v>
      </c>
      <c r="F7">
        <v>24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 s="4">
        <f>Table1[[#This Row],[Downloads]]/Table1[[#This Row],[Views]]</f>
        <v>0.30379746835443039</v>
      </c>
      <c r="N7" s="4">
        <f>Table1[[#This Row],[Likes]]/Table1[[#This Row],[Views]]</f>
        <v>2.5316455696202531E-2</v>
      </c>
      <c r="O7" s="4">
        <f>Table1[[#This Row],[Collects]]/Table1[[#This Row],[Views]]</f>
        <v>0</v>
      </c>
      <c r="P7" s="4">
        <f>Table1[[#This Row],[Views]]/Table1[[#This Row],[Age]]</f>
        <v>2.8214285714285716</v>
      </c>
      <c r="Q7" s="4">
        <f>Table1[[#This Row],[Downloads]]/Table1[[#This Row],[Age]]</f>
        <v>0.8571428571428571</v>
      </c>
      <c r="R7" s="4">
        <f>Table1[[#This Row],[Likes]]/Table1[[#This Row],[Age]]</f>
        <v>7.1428571428571425E-2</v>
      </c>
      <c r="S7" s="4">
        <f>Table1[[#This Row],[Collects]]/Table1[[#This Row],[Age]]</f>
        <v>0</v>
      </c>
      <c r="T7" s="4">
        <f>(4*Table1[[#This Row],[Collects]])+(3*Table1[[#This Row],[Likes]])+(2*Table1[[#This Row],[Downloads]])+Table1[[#This Row],[Views]]</f>
        <v>133</v>
      </c>
      <c r="U7" s="4">
        <f>Table1[[#This Row],[Score]]/Table1[[#This Row],[Age]]</f>
        <v>4.75</v>
      </c>
      <c r="V7" s="4">
        <f>Table1[[#This Row],[Score]]/Table1[[#This Row],[Views]]</f>
        <v>1.6835443037974684</v>
      </c>
      <c r="W7"/>
    </row>
    <row r="8" spans="1:23" x14ac:dyDescent="0.25">
      <c r="A8" s="1">
        <v>46067</v>
      </c>
      <c r="B8" t="s">
        <v>0</v>
      </c>
      <c r="C8" s="1">
        <v>45784</v>
      </c>
      <c r="D8" s="2">
        <f>Table1[[#This Row],[Date]]-Table1[[#This Row],[Published]]</f>
        <v>283</v>
      </c>
      <c r="E8" s="3">
        <v>688</v>
      </c>
      <c r="F8">
        <v>146</v>
      </c>
      <c r="G8">
        <v>12</v>
      </c>
      <c r="H8">
        <v>5</v>
      </c>
      <c r="I8">
        <v>0</v>
      </c>
      <c r="J8">
        <v>0</v>
      </c>
      <c r="K8">
        <v>0</v>
      </c>
      <c r="L8">
        <v>0</v>
      </c>
      <c r="M8" s="4">
        <f>Table1[[#This Row],[Downloads]]/Table1[[#This Row],[Views]]</f>
        <v>0.21220930232558138</v>
      </c>
      <c r="N8" s="4">
        <f>Table1[[#This Row],[Likes]]/Table1[[#This Row],[Views]]</f>
        <v>1.7441860465116279E-2</v>
      </c>
      <c r="O8" s="4">
        <f>Table1[[#This Row],[Collects]]/Table1[[#This Row],[Views]]</f>
        <v>7.2674418604651162E-3</v>
      </c>
      <c r="P8" s="4">
        <f>Table1[[#This Row],[Views]]/Table1[[#This Row],[Age]]</f>
        <v>2.431095406360424</v>
      </c>
      <c r="Q8" s="4">
        <f>Table1[[#This Row],[Downloads]]/Table1[[#This Row],[Age]]</f>
        <v>0.51590106007067138</v>
      </c>
      <c r="R8" s="4">
        <f>Table1[[#This Row],[Likes]]/Table1[[#This Row],[Age]]</f>
        <v>4.2402826855123678E-2</v>
      </c>
      <c r="S8" s="4">
        <f>Table1[[#This Row],[Collects]]/Table1[[#This Row],[Age]]</f>
        <v>1.7667844522968199E-2</v>
      </c>
      <c r="T8" s="4">
        <f>(4*Table1[[#This Row],[Collects]])+(3*Table1[[#This Row],[Likes]])+(2*Table1[[#This Row],[Downloads]])+Table1[[#This Row],[Views]]</f>
        <v>1036</v>
      </c>
      <c r="U8" s="4">
        <f>Table1[[#This Row],[Score]]/Table1[[#This Row],[Age]]</f>
        <v>3.6607773851590104</v>
      </c>
      <c r="V8" s="4">
        <f>Table1[[#This Row],[Score]]/Table1[[#This Row],[Views]]</f>
        <v>1.5058139534883721</v>
      </c>
    </row>
    <row r="9" spans="1:23" x14ac:dyDescent="0.25">
      <c r="A9" s="1">
        <v>46067</v>
      </c>
      <c r="B9" t="s">
        <v>1</v>
      </c>
      <c r="C9" s="1">
        <v>45785</v>
      </c>
      <c r="D9" s="2">
        <f>Table1[[#This Row],[Date]]-Table1[[#This Row],[Published]]</f>
        <v>282</v>
      </c>
      <c r="E9" s="3">
        <v>310</v>
      </c>
      <c r="F9">
        <v>80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 s="4">
        <f>Table1[[#This Row],[Downloads]]/Table1[[#This Row],[Views]]</f>
        <v>0.25806451612903225</v>
      </c>
      <c r="N9" s="4">
        <f>Table1[[#This Row],[Likes]]/Table1[[#This Row],[Views]]</f>
        <v>1.2903225806451613E-2</v>
      </c>
      <c r="O9" s="4">
        <f>Table1[[#This Row],[Collects]]/Table1[[#This Row],[Views]]</f>
        <v>0</v>
      </c>
      <c r="P9" s="4">
        <f>Table1[[#This Row],[Views]]/Table1[[#This Row],[Age]]</f>
        <v>1.0992907801418439</v>
      </c>
      <c r="Q9" s="4">
        <f>Table1[[#This Row],[Downloads]]/Table1[[#This Row],[Age]]</f>
        <v>0.28368794326241137</v>
      </c>
      <c r="R9" s="4">
        <f>Table1[[#This Row],[Likes]]/Table1[[#This Row],[Age]]</f>
        <v>1.4184397163120567E-2</v>
      </c>
      <c r="S9" s="4">
        <f>Table1[[#This Row],[Collects]]/Table1[[#This Row],[Age]]</f>
        <v>0</v>
      </c>
      <c r="T9" s="4">
        <f>(4*Table1[[#This Row],[Collects]])+(3*Table1[[#This Row],[Likes]])+(2*Table1[[#This Row],[Downloads]])+Table1[[#This Row],[Views]]</f>
        <v>482</v>
      </c>
      <c r="U9" s="4">
        <f>Table1[[#This Row],[Score]]/Table1[[#This Row],[Age]]</f>
        <v>1.7092198581560283</v>
      </c>
      <c r="V9" s="4">
        <f>Table1[[#This Row],[Score]]/Table1[[#This Row],[Views]]</f>
        <v>1.5548387096774194</v>
      </c>
    </row>
    <row r="10" spans="1:23" x14ac:dyDescent="0.25">
      <c r="A10" s="1">
        <v>46067</v>
      </c>
      <c r="B10" t="s">
        <v>2</v>
      </c>
      <c r="C10" s="1">
        <v>45930</v>
      </c>
      <c r="D10" s="2">
        <f>Table1[[#This Row],[Date]]-Table1[[#This Row],[Published]]</f>
        <v>137</v>
      </c>
      <c r="E10" s="3">
        <v>207</v>
      </c>
      <c r="F10">
        <v>84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 s="4">
        <f>Table1[[#This Row],[Downloads]]/Table1[[#This Row],[Views]]</f>
        <v>0.40579710144927539</v>
      </c>
      <c r="N10" s="4">
        <f>Table1[[#This Row],[Likes]]/Table1[[#This Row],[Views]]</f>
        <v>2.4154589371980676E-2</v>
      </c>
      <c r="O10" s="4">
        <f>Table1[[#This Row],[Collects]]/Table1[[#This Row],[Views]]</f>
        <v>0</v>
      </c>
      <c r="P10" s="4">
        <f>Table1[[#This Row],[Views]]/Table1[[#This Row],[Age]]</f>
        <v>1.5109489051094891</v>
      </c>
      <c r="Q10" s="4">
        <f>Table1[[#This Row],[Downloads]]/Table1[[#This Row],[Age]]</f>
        <v>0.61313868613138689</v>
      </c>
      <c r="R10" s="4">
        <f>Table1[[#This Row],[Likes]]/Table1[[#This Row],[Age]]</f>
        <v>3.6496350364963501E-2</v>
      </c>
      <c r="S10" s="4">
        <f>Table1[[#This Row],[Collects]]/Table1[[#This Row],[Age]]</f>
        <v>0</v>
      </c>
      <c r="T10" s="4">
        <f>(4*Table1[[#This Row],[Collects]])+(3*Table1[[#This Row],[Likes]])+(2*Table1[[#This Row],[Downloads]])+Table1[[#This Row],[Views]]</f>
        <v>390</v>
      </c>
      <c r="U10" s="4">
        <f>Table1[[#This Row],[Score]]/Table1[[#This Row],[Age]]</f>
        <v>2.8467153284671531</v>
      </c>
      <c r="V10" s="4">
        <f>Table1[[#This Row],[Score]]/Table1[[#This Row],[Views]]</f>
        <v>1.8840579710144927</v>
      </c>
    </row>
    <row r="11" spans="1:23" x14ac:dyDescent="0.25">
      <c r="A11" s="1">
        <v>46067</v>
      </c>
      <c r="B11" t="s">
        <v>13</v>
      </c>
      <c r="C11" s="1">
        <v>45750</v>
      </c>
      <c r="D11" s="2">
        <f>Table1[[#This Row],[Date]]-Table1[[#This Row],[Published]]</f>
        <v>317</v>
      </c>
      <c r="E11" s="3">
        <v>153</v>
      </c>
      <c r="F11">
        <v>26</v>
      </c>
      <c r="G11">
        <v>2</v>
      </c>
      <c r="H11">
        <v>1</v>
      </c>
      <c r="I11">
        <v>0</v>
      </c>
      <c r="J11">
        <v>0</v>
      </c>
      <c r="K11">
        <v>0</v>
      </c>
      <c r="L11">
        <v>0</v>
      </c>
      <c r="M11" s="4">
        <f>Table1[[#This Row],[Downloads]]/Table1[[#This Row],[Views]]</f>
        <v>0.16993464052287582</v>
      </c>
      <c r="N11" s="4">
        <f>Table1[[#This Row],[Likes]]/Table1[[#This Row],[Views]]</f>
        <v>1.3071895424836602E-2</v>
      </c>
      <c r="O11" s="4">
        <f>Table1[[#This Row],[Collects]]/Table1[[#This Row],[Views]]</f>
        <v>6.5359477124183009E-3</v>
      </c>
      <c r="P11" s="4">
        <f>Table1[[#This Row],[Views]]/Table1[[#This Row],[Age]]</f>
        <v>0.48264984227129337</v>
      </c>
      <c r="Q11" s="4">
        <f>Table1[[#This Row],[Downloads]]/Table1[[#This Row],[Age]]</f>
        <v>8.2018927444794956E-2</v>
      </c>
      <c r="R11" s="4">
        <f>Table1[[#This Row],[Likes]]/Table1[[#This Row],[Age]]</f>
        <v>6.3091482649842269E-3</v>
      </c>
      <c r="S11" s="4">
        <f>Table1[[#This Row],[Collects]]/Table1[[#This Row],[Age]]</f>
        <v>3.1545741324921135E-3</v>
      </c>
      <c r="T11" s="4">
        <f>(4*Table1[[#This Row],[Collects]])+(3*Table1[[#This Row],[Likes]])+(2*Table1[[#This Row],[Downloads]])+Table1[[#This Row],[Views]]</f>
        <v>215</v>
      </c>
      <c r="U11" s="4">
        <f>Table1[[#This Row],[Score]]/Table1[[#This Row],[Age]]</f>
        <v>0.67823343848580442</v>
      </c>
      <c r="V11" s="4">
        <f>Table1[[#This Row],[Score]]/Table1[[#This Row],[Views]]</f>
        <v>1.4052287581699345</v>
      </c>
    </row>
    <row r="12" spans="1:23" x14ac:dyDescent="0.25">
      <c r="A12" s="1">
        <v>46067</v>
      </c>
      <c r="B12" t="s">
        <v>3</v>
      </c>
      <c r="C12" s="1">
        <v>45932</v>
      </c>
      <c r="D12" s="2">
        <f>Table1[[#This Row],[Date]]-Table1[[#This Row],[Published]]</f>
        <v>135</v>
      </c>
      <c r="E12" s="3">
        <v>105</v>
      </c>
      <c r="F12">
        <v>11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 s="4">
        <f>Table1[[#This Row],[Downloads]]/Table1[[#This Row],[Views]]</f>
        <v>0.10476190476190476</v>
      </c>
      <c r="N12" s="4">
        <f>Table1[[#This Row],[Likes]]/Table1[[#This Row],[Views]]</f>
        <v>9.5238095238095247E-3</v>
      </c>
      <c r="O12" s="4">
        <f>Table1[[#This Row],[Collects]]/Table1[[#This Row],[Views]]</f>
        <v>0</v>
      </c>
      <c r="P12" s="4">
        <f>Table1[[#This Row],[Views]]/Table1[[#This Row],[Age]]</f>
        <v>0.77777777777777779</v>
      </c>
      <c r="Q12" s="4">
        <f>Table1[[#This Row],[Downloads]]/Table1[[#This Row],[Age]]</f>
        <v>8.1481481481481488E-2</v>
      </c>
      <c r="R12" s="4">
        <f>Table1[[#This Row],[Likes]]/Table1[[#This Row],[Age]]</f>
        <v>7.4074074074074077E-3</v>
      </c>
      <c r="S12" s="4">
        <f>Table1[[#This Row],[Collects]]/Table1[[#This Row],[Age]]</f>
        <v>0</v>
      </c>
      <c r="T12" s="4">
        <f>(4*Table1[[#This Row],[Collects]])+(3*Table1[[#This Row],[Likes]])+(2*Table1[[#This Row],[Downloads]])+Table1[[#This Row],[Views]]</f>
        <v>130</v>
      </c>
      <c r="U12" s="4">
        <f>Table1[[#This Row],[Score]]/Table1[[#This Row],[Age]]</f>
        <v>0.96296296296296291</v>
      </c>
      <c r="V12" s="4">
        <f>Table1[[#This Row],[Score]]/Table1[[#This Row],[Views]]</f>
        <v>1.2380952380952381</v>
      </c>
    </row>
    <row r="13" spans="1:23" x14ac:dyDescent="0.25">
      <c r="A13" s="1">
        <v>46067</v>
      </c>
      <c r="B13" t="s">
        <v>4</v>
      </c>
      <c r="C13" s="1">
        <v>46034</v>
      </c>
      <c r="D13" s="2">
        <f>Table1[[#This Row],[Date]]-Table1[[#This Row],[Published]]</f>
        <v>33</v>
      </c>
      <c r="E13" s="3">
        <v>80</v>
      </c>
      <c r="F13">
        <v>24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 s="4">
        <f>Table1[[#This Row],[Downloads]]/Table1[[#This Row],[Views]]</f>
        <v>0.3</v>
      </c>
      <c r="N13" s="4">
        <f>Table1[[#This Row],[Likes]]/Table1[[#This Row],[Views]]</f>
        <v>2.5000000000000001E-2</v>
      </c>
      <c r="O13" s="4">
        <f>Table1[[#This Row],[Collects]]/Table1[[#This Row],[Views]]</f>
        <v>0</v>
      </c>
      <c r="P13" s="4">
        <f>Table1[[#This Row],[Views]]/Table1[[#This Row],[Age]]</f>
        <v>2.4242424242424243</v>
      </c>
      <c r="Q13" s="4">
        <f>Table1[[#This Row],[Downloads]]/Table1[[#This Row],[Age]]</f>
        <v>0.72727272727272729</v>
      </c>
      <c r="R13" s="4">
        <f>Table1[[#This Row],[Likes]]/Table1[[#This Row],[Age]]</f>
        <v>6.0606060606060608E-2</v>
      </c>
      <c r="S13" s="4">
        <f>Table1[[#This Row],[Collects]]/Table1[[#This Row],[Age]]</f>
        <v>0</v>
      </c>
      <c r="T13" s="4">
        <f>(4*Table1[[#This Row],[Collects]])+(3*Table1[[#This Row],[Likes]])+(2*Table1[[#This Row],[Downloads]])+Table1[[#This Row],[Views]]</f>
        <v>134</v>
      </c>
      <c r="U13" s="4">
        <f>Table1[[#This Row],[Score]]/Table1[[#This Row],[Age]]</f>
        <v>4.0606060606060606</v>
      </c>
      <c r="V13" s="4">
        <f>Table1[[#This Row],[Score]]/Table1[[#This Row],[Views]]</f>
        <v>1.675</v>
      </c>
    </row>
    <row r="14" spans="1:23" x14ac:dyDescent="0.25">
      <c r="A14" s="1">
        <v>46075</v>
      </c>
      <c r="B14" t="s">
        <v>0</v>
      </c>
      <c r="C14" s="1">
        <v>45784</v>
      </c>
      <c r="D14" s="2">
        <f>Table1[[#This Row],[Date]]-Table1[[#This Row],[Published]]</f>
        <v>291</v>
      </c>
      <c r="E14" s="3">
        <v>677</v>
      </c>
      <c r="F14">
        <v>151</v>
      </c>
      <c r="G14">
        <v>12</v>
      </c>
      <c r="H14">
        <v>5</v>
      </c>
      <c r="I14">
        <v>0</v>
      </c>
      <c r="J14">
        <v>0</v>
      </c>
      <c r="K14">
        <v>0</v>
      </c>
      <c r="L14">
        <v>0</v>
      </c>
      <c r="M14" s="4">
        <f>Table1[[#This Row],[Downloads]]/Table1[[#This Row],[Views]]</f>
        <v>0.22304283604135894</v>
      </c>
      <c r="N14" s="4">
        <f>Table1[[#This Row],[Likes]]/Table1[[#This Row],[Views]]</f>
        <v>1.7725258493353029E-2</v>
      </c>
      <c r="O14" s="4">
        <f>Table1[[#This Row],[Collects]]/Table1[[#This Row],[Views]]</f>
        <v>7.385524372230428E-3</v>
      </c>
      <c r="P14" s="4">
        <f>Table1[[#This Row],[Views]]/Table1[[#This Row],[Age]]</f>
        <v>2.3264604810996565</v>
      </c>
      <c r="Q14" s="4">
        <f>Table1[[#This Row],[Downloads]]/Table1[[#This Row],[Age]]</f>
        <v>0.51890034364261173</v>
      </c>
      <c r="R14" s="4">
        <f>Table1[[#This Row],[Likes]]/Table1[[#This Row],[Age]]</f>
        <v>4.1237113402061855E-2</v>
      </c>
      <c r="S14" s="4">
        <f>Table1[[#This Row],[Collects]]/Table1[[#This Row],[Age]]</f>
        <v>1.7182130584192441E-2</v>
      </c>
      <c r="T14" s="4">
        <f>(4*Table1[[#This Row],[Collects]])+(3*Table1[[#This Row],[Likes]])+(2*Table1[[#This Row],[Downloads]])+Table1[[#This Row],[Views]]</f>
        <v>1035</v>
      </c>
      <c r="U14" s="4">
        <f>Table1[[#This Row],[Score]]/Table1[[#This Row],[Age]]</f>
        <v>3.5567010309278349</v>
      </c>
      <c r="V14" s="4">
        <f>Table1[[#This Row],[Score]]/Table1[[#This Row],[Views]]</f>
        <v>1.5288035450516986</v>
      </c>
    </row>
    <row r="15" spans="1:23" x14ac:dyDescent="0.25">
      <c r="A15" s="1">
        <v>46075</v>
      </c>
      <c r="B15" t="s">
        <v>1</v>
      </c>
      <c r="C15" s="1">
        <v>45785</v>
      </c>
      <c r="D15" s="2">
        <f>Table1[[#This Row],[Date]]-Table1[[#This Row],[Published]]</f>
        <v>290</v>
      </c>
      <c r="E15" s="3">
        <v>316</v>
      </c>
      <c r="F15">
        <v>82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 s="4">
        <f>Table1[[#This Row],[Downloads]]/Table1[[#This Row],[Views]]</f>
        <v>0.25949367088607594</v>
      </c>
      <c r="N15" s="4">
        <f>Table1[[#This Row],[Likes]]/Table1[[#This Row],[Views]]</f>
        <v>1.2658227848101266E-2</v>
      </c>
      <c r="O15" s="4">
        <f>Table1[[#This Row],[Collects]]/Table1[[#This Row],[Views]]</f>
        <v>0</v>
      </c>
      <c r="P15" s="4">
        <f>Table1[[#This Row],[Views]]/Table1[[#This Row],[Age]]</f>
        <v>1.0896551724137931</v>
      </c>
      <c r="Q15" s="4">
        <f>Table1[[#This Row],[Downloads]]/Table1[[#This Row],[Age]]</f>
        <v>0.28275862068965518</v>
      </c>
      <c r="R15" s="4">
        <f>Table1[[#This Row],[Likes]]/Table1[[#This Row],[Age]]</f>
        <v>1.3793103448275862E-2</v>
      </c>
      <c r="S15" s="4">
        <f>Table1[[#This Row],[Collects]]/Table1[[#This Row],[Age]]</f>
        <v>0</v>
      </c>
      <c r="T15" s="4">
        <f>(4*Table1[[#This Row],[Collects]])+(3*Table1[[#This Row],[Likes]])+(2*Table1[[#This Row],[Downloads]])+Table1[[#This Row],[Views]]</f>
        <v>492</v>
      </c>
      <c r="U15" s="4">
        <f>Table1[[#This Row],[Score]]/Table1[[#This Row],[Age]]</f>
        <v>1.6965517241379311</v>
      </c>
      <c r="V15" s="4">
        <f>Table1[[#This Row],[Score]]/Table1[[#This Row],[Views]]</f>
        <v>1.5569620253164558</v>
      </c>
    </row>
    <row r="16" spans="1:23" x14ac:dyDescent="0.25">
      <c r="A16" s="1">
        <v>46075</v>
      </c>
      <c r="B16" t="s">
        <v>2</v>
      </c>
      <c r="C16" s="1">
        <v>45930</v>
      </c>
      <c r="D16" s="2">
        <f>Table1[[#This Row],[Date]]-Table1[[#This Row],[Published]]</f>
        <v>145</v>
      </c>
      <c r="E16" s="3">
        <v>217</v>
      </c>
      <c r="F16">
        <v>88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 s="4">
        <f>Table1[[#This Row],[Downloads]]/Table1[[#This Row],[Views]]</f>
        <v>0.40552995391705071</v>
      </c>
      <c r="N16" s="4">
        <f>Table1[[#This Row],[Likes]]/Table1[[#This Row],[Views]]</f>
        <v>2.3041474654377881E-2</v>
      </c>
      <c r="O16" s="4">
        <f>Table1[[#This Row],[Collects]]/Table1[[#This Row],[Views]]</f>
        <v>0</v>
      </c>
      <c r="P16" s="4">
        <f>Table1[[#This Row],[Views]]/Table1[[#This Row],[Age]]</f>
        <v>1.4965517241379311</v>
      </c>
      <c r="Q16" s="4">
        <f>Table1[[#This Row],[Downloads]]/Table1[[#This Row],[Age]]</f>
        <v>0.60689655172413792</v>
      </c>
      <c r="R16" s="4">
        <f>Table1[[#This Row],[Likes]]/Table1[[#This Row],[Age]]</f>
        <v>3.4482758620689655E-2</v>
      </c>
      <c r="S16" s="4">
        <f>Table1[[#This Row],[Collects]]/Table1[[#This Row],[Age]]</f>
        <v>0</v>
      </c>
      <c r="T16" s="4">
        <f>(4*Table1[[#This Row],[Collects]])+(3*Table1[[#This Row],[Likes]])+(2*Table1[[#This Row],[Downloads]])+Table1[[#This Row],[Views]]</f>
        <v>408</v>
      </c>
      <c r="U16" s="4">
        <f>Table1[[#This Row],[Score]]/Table1[[#This Row],[Age]]</f>
        <v>2.8137931034482757</v>
      </c>
      <c r="V16" s="4">
        <f>Table1[[#This Row],[Score]]/Table1[[#This Row],[Views]]</f>
        <v>1.8801843317972351</v>
      </c>
    </row>
    <row r="17" spans="1:22" x14ac:dyDescent="0.25">
      <c r="A17" s="1">
        <v>46075</v>
      </c>
      <c r="B17" t="s">
        <v>13</v>
      </c>
      <c r="C17" s="1">
        <v>45750</v>
      </c>
      <c r="D17" s="2">
        <f>Table1[[#This Row],[Date]]-Table1[[#This Row],[Published]]</f>
        <v>325</v>
      </c>
      <c r="E17" s="3">
        <v>154</v>
      </c>
      <c r="F17">
        <v>27</v>
      </c>
      <c r="G17">
        <v>2</v>
      </c>
      <c r="H17">
        <v>1</v>
      </c>
      <c r="I17">
        <v>0</v>
      </c>
      <c r="J17">
        <v>0</v>
      </c>
      <c r="K17">
        <v>0</v>
      </c>
      <c r="L17">
        <v>0</v>
      </c>
      <c r="M17" s="4">
        <f>Table1[[#This Row],[Downloads]]/Table1[[#This Row],[Views]]</f>
        <v>0.17532467532467533</v>
      </c>
      <c r="N17" s="4">
        <f>Table1[[#This Row],[Likes]]/Table1[[#This Row],[Views]]</f>
        <v>1.2987012987012988E-2</v>
      </c>
      <c r="O17" s="4">
        <f>Table1[[#This Row],[Collects]]/Table1[[#This Row],[Views]]</f>
        <v>6.4935064935064939E-3</v>
      </c>
      <c r="P17" s="4">
        <f>Table1[[#This Row],[Views]]/Table1[[#This Row],[Age]]</f>
        <v>0.47384615384615386</v>
      </c>
      <c r="Q17" s="4">
        <f>Table1[[#This Row],[Downloads]]/Table1[[#This Row],[Age]]</f>
        <v>8.3076923076923076E-2</v>
      </c>
      <c r="R17" s="4">
        <f>Table1[[#This Row],[Likes]]/Table1[[#This Row],[Age]]</f>
        <v>6.1538461538461538E-3</v>
      </c>
      <c r="S17" s="4">
        <f>Table1[[#This Row],[Collects]]/Table1[[#This Row],[Age]]</f>
        <v>3.0769230769230769E-3</v>
      </c>
      <c r="T17" s="4">
        <f>(4*Table1[[#This Row],[Collects]])+(3*Table1[[#This Row],[Likes]])+(2*Table1[[#This Row],[Downloads]])+Table1[[#This Row],[Views]]</f>
        <v>218</v>
      </c>
      <c r="U17" s="4">
        <f>Table1[[#This Row],[Score]]/Table1[[#This Row],[Age]]</f>
        <v>0.67076923076923078</v>
      </c>
      <c r="V17" s="4">
        <f>Table1[[#This Row],[Score]]/Table1[[#This Row],[Views]]</f>
        <v>1.4155844155844155</v>
      </c>
    </row>
    <row r="18" spans="1:22" x14ac:dyDescent="0.25">
      <c r="A18" s="1">
        <v>46075</v>
      </c>
      <c r="B18" t="s">
        <v>3</v>
      </c>
      <c r="C18" s="1">
        <v>45932</v>
      </c>
      <c r="D18" s="2">
        <f>Table1[[#This Row],[Date]]-Table1[[#This Row],[Published]]</f>
        <v>143</v>
      </c>
      <c r="E18" s="3">
        <v>116</v>
      </c>
      <c r="F18">
        <v>11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 s="4">
        <f>Table1[[#This Row],[Downloads]]/Table1[[#This Row],[Views]]</f>
        <v>9.4827586206896547E-2</v>
      </c>
      <c r="N18" s="4">
        <f>Table1[[#This Row],[Likes]]/Table1[[#This Row],[Views]]</f>
        <v>8.6206896551724137E-3</v>
      </c>
      <c r="O18" s="4">
        <f>Table1[[#This Row],[Collects]]/Table1[[#This Row],[Views]]</f>
        <v>0</v>
      </c>
      <c r="P18" s="4">
        <f>Table1[[#This Row],[Views]]/Table1[[#This Row],[Age]]</f>
        <v>0.81118881118881114</v>
      </c>
      <c r="Q18" s="4">
        <f>Table1[[#This Row],[Downloads]]/Table1[[#This Row],[Age]]</f>
        <v>7.6923076923076927E-2</v>
      </c>
      <c r="R18" s="4">
        <f>Table1[[#This Row],[Likes]]/Table1[[#This Row],[Age]]</f>
        <v>6.993006993006993E-3</v>
      </c>
      <c r="S18" s="4">
        <f>Table1[[#This Row],[Collects]]/Table1[[#This Row],[Age]]</f>
        <v>0</v>
      </c>
      <c r="T18" s="4">
        <f>(4*Table1[[#This Row],[Collects]])+(3*Table1[[#This Row],[Likes]])+(2*Table1[[#This Row],[Downloads]])+Table1[[#This Row],[Views]]</f>
        <v>141</v>
      </c>
      <c r="U18" s="4">
        <f>Table1[[#This Row],[Score]]/Table1[[#This Row],[Age]]</f>
        <v>0.98601398601398604</v>
      </c>
      <c r="V18" s="4">
        <f>Table1[[#This Row],[Score]]/Table1[[#This Row],[Views]]</f>
        <v>1.2155172413793103</v>
      </c>
    </row>
    <row r="19" spans="1:22" x14ac:dyDescent="0.25">
      <c r="A19" s="1">
        <v>46075</v>
      </c>
      <c r="B19" t="s">
        <v>4</v>
      </c>
      <c r="C19" s="1">
        <v>46034</v>
      </c>
      <c r="D19" s="2">
        <f>Table1[[#This Row],[Date]]-Table1[[#This Row],[Published]]</f>
        <v>41</v>
      </c>
      <c r="E19" s="3">
        <v>85</v>
      </c>
      <c r="F19">
        <v>24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 s="4">
        <f>Table1[[#This Row],[Downloads]]/Table1[[#This Row],[Views]]</f>
        <v>0.28235294117647058</v>
      </c>
      <c r="N19" s="4">
        <f>Table1[[#This Row],[Likes]]/Table1[[#This Row],[Views]]</f>
        <v>2.3529411764705882E-2</v>
      </c>
      <c r="O19" s="4">
        <f>Table1[[#This Row],[Collects]]/Table1[[#This Row],[Views]]</f>
        <v>0</v>
      </c>
      <c r="P19" s="4">
        <f>Table1[[#This Row],[Views]]/Table1[[#This Row],[Age]]</f>
        <v>2.0731707317073171</v>
      </c>
      <c r="Q19" s="4">
        <f>Table1[[#This Row],[Downloads]]/Table1[[#This Row],[Age]]</f>
        <v>0.58536585365853655</v>
      </c>
      <c r="R19" s="4">
        <f>Table1[[#This Row],[Likes]]/Table1[[#This Row],[Age]]</f>
        <v>4.878048780487805E-2</v>
      </c>
      <c r="S19" s="4">
        <f>Table1[[#This Row],[Collects]]/Table1[[#This Row],[Age]]</f>
        <v>0</v>
      </c>
      <c r="T19" s="4">
        <f>(4*Table1[[#This Row],[Collects]])+(3*Table1[[#This Row],[Likes]])+(2*Table1[[#This Row],[Downloads]])+Table1[[#This Row],[Views]]</f>
        <v>139</v>
      </c>
      <c r="U19" s="4">
        <f>Table1[[#This Row],[Score]]/Table1[[#This Row],[Age]]</f>
        <v>3.3902439024390243</v>
      </c>
      <c r="V19" s="4">
        <f>Table1[[#This Row],[Score]]/Table1[[#This Row],[Views]]</f>
        <v>1.6352941176470588</v>
      </c>
    </row>
    <row r="20" spans="1:22" x14ac:dyDescent="0.25">
      <c r="A20" s="1">
        <v>46081</v>
      </c>
      <c r="B20" t="s">
        <v>0</v>
      </c>
      <c r="C20" s="1">
        <v>45784</v>
      </c>
      <c r="D20" s="2">
        <f>Table1[[#This Row],[Date]]-Table1[[#This Row],[Published]]</f>
        <v>297</v>
      </c>
      <c r="E20" s="3">
        <v>693</v>
      </c>
      <c r="F20">
        <v>158</v>
      </c>
      <c r="G20">
        <v>12</v>
      </c>
      <c r="H20">
        <v>5</v>
      </c>
      <c r="I20">
        <v>0</v>
      </c>
      <c r="J20">
        <v>0</v>
      </c>
      <c r="K20">
        <v>0</v>
      </c>
      <c r="L20">
        <v>0</v>
      </c>
      <c r="M20" s="4">
        <f>Table1[[#This Row],[Downloads]]/Table1[[#This Row],[Views]]</f>
        <v>0.227994227994228</v>
      </c>
      <c r="N20" s="4">
        <f>Table1[[#This Row],[Likes]]/Table1[[#This Row],[Views]]</f>
        <v>1.7316017316017316E-2</v>
      </c>
      <c r="O20" s="4">
        <f>Table1[[#This Row],[Collects]]/Table1[[#This Row],[Views]]</f>
        <v>7.215007215007215E-3</v>
      </c>
      <c r="P20" s="4">
        <f>Table1[[#This Row],[Views]]/Table1[[#This Row],[Age]]</f>
        <v>2.3333333333333335</v>
      </c>
      <c r="Q20" s="4">
        <f>Table1[[#This Row],[Downloads]]/Table1[[#This Row],[Age]]</f>
        <v>0.53198653198653201</v>
      </c>
      <c r="R20" s="4">
        <f>Table1[[#This Row],[Likes]]/Table1[[#This Row],[Age]]</f>
        <v>4.0404040404040407E-2</v>
      </c>
      <c r="S20" s="4">
        <f>Table1[[#This Row],[Collects]]/Table1[[#This Row],[Age]]</f>
        <v>1.6835016835016835E-2</v>
      </c>
      <c r="T20" s="4">
        <f>(4*Table1[[#This Row],[Collects]])+(3*Table1[[#This Row],[Likes]])+(2*Table1[[#This Row],[Downloads]])+Table1[[#This Row],[Views]]</f>
        <v>1065</v>
      </c>
      <c r="U20" s="4">
        <f>Table1[[#This Row],[Score]]/Table1[[#This Row],[Age]]</f>
        <v>3.5858585858585861</v>
      </c>
      <c r="V20" s="4">
        <f>Table1[[#This Row],[Score]]/Table1[[#This Row],[Views]]</f>
        <v>1.5367965367965368</v>
      </c>
    </row>
    <row r="21" spans="1:22" x14ac:dyDescent="0.25">
      <c r="A21" s="1">
        <v>46081</v>
      </c>
      <c r="B21" t="s">
        <v>1</v>
      </c>
      <c r="C21" s="1">
        <v>45785</v>
      </c>
      <c r="D21" s="2">
        <f>Table1[[#This Row],[Date]]-Table1[[#This Row],[Published]]</f>
        <v>296</v>
      </c>
      <c r="E21" s="3">
        <v>328</v>
      </c>
      <c r="F21">
        <v>85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 s="4">
        <f>Table1[[#This Row],[Downloads]]/Table1[[#This Row],[Views]]</f>
        <v>0.25914634146341464</v>
      </c>
      <c r="N21" s="4">
        <f>Table1[[#This Row],[Likes]]/Table1[[#This Row],[Views]]</f>
        <v>1.2195121951219513E-2</v>
      </c>
      <c r="O21" s="4">
        <f>Table1[[#This Row],[Collects]]/Table1[[#This Row],[Views]]</f>
        <v>0</v>
      </c>
      <c r="P21" s="4">
        <f>Table1[[#This Row],[Views]]/Table1[[#This Row],[Age]]</f>
        <v>1.1081081081081081</v>
      </c>
      <c r="Q21" s="4">
        <f>Table1[[#This Row],[Downloads]]/Table1[[#This Row],[Age]]</f>
        <v>0.28716216216216217</v>
      </c>
      <c r="R21" s="4">
        <f>Table1[[#This Row],[Likes]]/Table1[[#This Row],[Age]]</f>
        <v>1.3513513513513514E-2</v>
      </c>
      <c r="S21" s="4">
        <f>Table1[[#This Row],[Collects]]/Table1[[#This Row],[Age]]</f>
        <v>0</v>
      </c>
      <c r="T21" s="4">
        <f>(4*Table1[[#This Row],[Collects]])+(3*Table1[[#This Row],[Likes]])+(2*Table1[[#This Row],[Downloads]])+Table1[[#This Row],[Views]]</f>
        <v>510</v>
      </c>
      <c r="U21" s="4">
        <f>Table1[[#This Row],[Score]]/Table1[[#This Row],[Age]]</f>
        <v>1.722972972972973</v>
      </c>
      <c r="V21" s="4">
        <f>Table1[[#This Row],[Score]]/Table1[[#This Row],[Views]]</f>
        <v>1.5548780487804879</v>
      </c>
    </row>
    <row r="22" spans="1:22" x14ac:dyDescent="0.25">
      <c r="A22" s="1">
        <v>46081</v>
      </c>
      <c r="B22" t="s">
        <v>2</v>
      </c>
      <c r="C22" s="1">
        <v>45930</v>
      </c>
      <c r="D22" s="2">
        <f>Table1[[#This Row],[Date]]-Table1[[#This Row],[Published]]</f>
        <v>151</v>
      </c>
      <c r="E22" s="3">
        <v>226</v>
      </c>
      <c r="F22">
        <v>100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 s="4">
        <f>Table1[[#This Row],[Downloads]]/Table1[[#This Row],[Views]]</f>
        <v>0.44247787610619471</v>
      </c>
      <c r="N22" s="4">
        <f>Table1[[#This Row],[Likes]]/Table1[[#This Row],[Views]]</f>
        <v>2.2123893805309734E-2</v>
      </c>
      <c r="O22" s="4">
        <f>Table1[[#This Row],[Collects]]/Table1[[#This Row],[Views]]</f>
        <v>0</v>
      </c>
      <c r="P22" s="4">
        <f>Table1[[#This Row],[Views]]/Table1[[#This Row],[Age]]</f>
        <v>1.4966887417218544</v>
      </c>
      <c r="Q22" s="4">
        <f>Table1[[#This Row],[Downloads]]/Table1[[#This Row],[Age]]</f>
        <v>0.66225165562913912</v>
      </c>
      <c r="R22" s="4">
        <f>Table1[[#This Row],[Likes]]/Table1[[#This Row],[Age]]</f>
        <v>3.3112582781456956E-2</v>
      </c>
      <c r="S22" s="4">
        <f>Table1[[#This Row],[Collects]]/Table1[[#This Row],[Age]]</f>
        <v>0</v>
      </c>
      <c r="T22" s="4">
        <f>(4*Table1[[#This Row],[Collects]])+(3*Table1[[#This Row],[Likes]])+(2*Table1[[#This Row],[Downloads]])+Table1[[#This Row],[Views]]</f>
        <v>441</v>
      </c>
      <c r="U22" s="4">
        <f>Table1[[#This Row],[Score]]/Table1[[#This Row],[Age]]</f>
        <v>2.9205298013245033</v>
      </c>
      <c r="V22" s="4">
        <f>Table1[[#This Row],[Score]]/Table1[[#This Row],[Views]]</f>
        <v>1.9513274336283186</v>
      </c>
    </row>
    <row r="23" spans="1:22" x14ac:dyDescent="0.25">
      <c r="A23" s="1">
        <v>46081</v>
      </c>
      <c r="B23" t="s">
        <v>13</v>
      </c>
      <c r="C23" s="1">
        <v>45750</v>
      </c>
      <c r="D23" s="2">
        <f>Table1[[#This Row],[Date]]-Table1[[#This Row],[Published]]</f>
        <v>331</v>
      </c>
      <c r="E23" s="3">
        <v>164</v>
      </c>
      <c r="F23">
        <v>29</v>
      </c>
      <c r="G23">
        <v>3</v>
      </c>
      <c r="H23">
        <v>2</v>
      </c>
      <c r="I23">
        <v>0</v>
      </c>
      <c r="J23">
        <v>0</v>
      </c>
      <c r="K23">
        <v>0</v>
      </c>
      <c r="L23">
        <v>0</v>
      </c>
      <c r="M23" s="4">
        <f>Table1[[#This Row],[Downloads]]/Table1[[#This Row],[Views]]</f>
        <v>0.17682926829268292</v>
      </c>
      <c r="N23" s="4">
        <f>Table1[[#This Row],[Likes]]/Table1[[#This Row],[Views]]</f>
        <v>1.8292682926829267E-2</v>
      </c>
      <c r="O23" s="4">
        <f>Table1[[#This Row],[Collects]]/Table1[[#This Row],[Views]]</f>
        <v>1.2195121951219513E-2</v>
      </c>
      <c r="P23" s="4">
        <f>Table1[[#This Row],[Views]]/Table1[[#This Row],[Age]]</f>
        <v>0.49546827794561932</v>
      </c>
      <c r="Q23" s="4">
        <f>Table1[[#This Row],[Downloads]]/Table1[[#This Row],[Age]]</f>
        <v>8.7613293051359523E-2</v>
      </c>
      <c r="R23" s="4">
        <f>Table1[[#This Row],[Likes]]/Table1[[#This Row],[Age]]</f>
        <v>9.0634441087613302E-3</v>
      </c>
      <c r="S23" s="4">
        <f>Table1[[#This Row],[Collects]]/Table1[[#This Row],[Age]]</f>
        <v>6.0422960725075529E-3</v>
      </c>
      <c r="T23" s="4">
        <f>(4*Table1[[#This Row],[Collects]])+(3*Table1[[#This Row],[Likes]])+(2*Table1[[#This Row],[Downloads]])+Table1[[#This Row],[Views]]</f>
        <v>239</v>
      </c>
      <c r="U23" s="4">
        <f>Table1[[#This Row],[Score]]/Table1[[#This Row],[Age]]</f>
        <v>0.72205438066465255</v>
      </c>
      <c r="V23" s="4">
        <f>Table1[[#This Row],[Score]]/Table1[[#This Row],[Views]]</f>
        <v>1.4573170731707317</v>
      </c>
    </row>
    <row r="24" spans="1:22" x14ac:dyDescent="0.25">
      <c r="A24" s="1">
        <v>46081</v>
      </c>
      <c r="B24" t="s">
        <v>3</v>
      </c>
      <c r="C24" s="1">
        <v>45932</v>
      </c>
      <c r="D24" s="2">
        <f>Table1[[#This Row],[Date]]-Table1[[#This Row],[Published]]</f>
        <v>149</v>
      </c>
      <c r="E24" s="3">
        <v>123</v>
      </c>
      <c r="F24">
        <v>12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 s="4">
        <f>Table1[[#This Row],[Downloads]]/Table1[[#This Row],[Views]]</f>
        <v>9.7560975609756101E-2</v>
      </c>
      <c r="N24" s="4">
        <f>Table1[[#This Row],[Likes]]/Table1[[#This Row],[Views]]</f>
        <v>8.130081300813009E-3</v>
      </c>
      <c r="O24" s="4">
        <f>Table1[[#This Row],[Collects]]/Table1[[#This Row],[Views]]</f>
        <v>8.130081300813009E-3</v>
      </c>
      <c r="P24" s="4">
        <f>Table1[[#This Row],[Views]]/Table1[[#This Row],[Age]]</f>
        <v>0.82550335570469802</v>
      </c>
      <c r="Q24" s="4">
        <f>Table1[[#This Row],[Downloads]]/Table1[[#This Row],[Age]]</f>
        <v>8.0536912751677847E-2</v>
      </c>
      <c r="R24" s="4">
        <f>Table1[[#This Row],[Likes]]/Table1[[#This Row],[Age]]</f>
        <v>6.7114093959731542E-3</v>
      </c>
      <c r="S24" s="4">
        <f>Table1[[#This Row],[Collects]]/Table1[[#This Row],[Age]]</f>
        <v>6.7114093959731542E-3</v>
      </c>
      <c r="T24" s="4">
        <f>(4*Table1[[#This Row],[Collects]])+(3*Table1[[#This Row],[Likes]])+(2*Table1[[#This Row],[Downloads]])+Table1[[#This Row],[Views]]</f>
        <v>154</v>
      </c>
      <c r="U24" s="4">
        <f>Table1[[#This Row],[Score]]/Table1[[#This Row],[Age]]</f>
        <v>1.0335570469798658</v>
      </c>
      <c r="V24" s="4">
        <f>Table1[[#This Row],[Score]]/Table1[[#This Row],[Views]]</f>
        <v>1.2520325203252032</v>
      </c>
    </row>
    <row r="25" spans="1:22" x14ac:dyDescent="0.25">
      <c r="A25" s="1">
        <v>46081</v>
      </c>
      <c r="B25" t="s">
        <v>4</v>
      </c>
      <c r="C25" s="1">
        <v>46034</v>
      </c>
      <c r="D25" s="2">
        <f>Table1[[#This Row],[Date]]-Table1[[#This Row],[Published]]</f>
        <v>47</v>
      </c>
      <c r="E25" s="3">
        <v>86</v>
      </c>
      <c r="F25">
        <v>24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 s="4">
        <f>Table1[[#This Row],[Downloads]]/Table1[[#This Row],[Views]]</f>
        <v>0.27906976744186046</v>
      </c>
      <c r="N25" s="4">
        <f>Table1[[#This Row],[Likes]]/Table1[[#This Row],[Views]]</f>
        <v>2.3255813953488372E-2</v>
      </c>
      <c r="O25" s="4">
        <f>Table1[[#This Row],[Collects]]/Table1[[#This Row],[Views]]</f>
        <v>0</v>
      </c>
      <c r="P25" s="4">
        <f>Table1[[#This Row],[Views]]/Table1[[#This Row],[Age]]</f>
        <v>1.8297872340425532</v>
      </c>
      <c r="Q25" s="4">
        <f>Table1[[#This Row],[Downloads]]/Table1[[#This Row],[Age]]</f>
        <v>0.51063829787234039</v>
      </c>
      <c r="R25" s="4">
        <f>Table1[[#This Row],[Likes]]/Table1[[#This Row],[Age]]</f>
        <v>4.2553191489361701E-2</v>
      </c>
      <c r="S25" s="4">
        <f>Table1[[#This Row],[Collects]]/Table1[[#This Row],[Age]]</f>
        <v>0</v>
      </c>
      <c r="T25" s="4">
        <f>(4*Table1[[#This Row],[Collects]])+(3*Table1[[#This Row],[Likes]])+(2*Table1[[#This Row],[Downloads]])+Table1[[#This Row],[Views]]</f>
        <v>140</v>
      </c>
      <c r="U25" s="4">
        <f>Table1[[#This Row],[Score]]/Table1[[#This Row],[Age]]</f>
        <v>2.978723404255319</v>
      </c>
      <c r="V25" s="4">
        <f>Table1[[#This Row],[Score]]/Table1[[#This Row],[Views]]</f>
        <v>1.6279069767441861</v>
      </c>
    </row>
    <row r="26" spans="1:22" x14ac:dyDescent="0.25">
      <c r="A26" s="1">
        <v>46086</v>
      </c>
      <c r="B26" t="s">
        <v>0</v>
      </c>
      <c r="C26" s="1">
        <v>45784</v>
      </c>
      <c r="D26" s="2">
        <f>Table1[[#This Row],[Date]]-Table1[[#This Row],[Published]]</f>
        <v>302</v>
      </c>
      <c r="E26" s="3">
        <v>697</v>
      </c>
      <c r="F26">
        <v>159</v>
      </c>
      <c r="G26">
        <v>12</v>
      </c>
      <c r="H26">
        <v>5</v>
      </c>
      <c r="I26">
        <v>0</v>
      </c>
      <c r="J26">
        <v>0</v>
      </c>
      <c r="K26">
        <v>0</v>
      </c>
      <c r="L26">
        <v>0</v>
      </c>
      <c r="M26" s="4">
        <f>Table1[[#This Row],[Downloads]]/Table1[[#This Row],[Views]]</f>
        <v>0.22812051649928264</v>
      </c>
      <c r="N26" s="4">
        <f>Table1[[#This Row],[Likes]]/Table1[[#This Row],[Views]]</f>
        <v>1.721664275466284E-2</v>
      </c>
      <c r="O26" s="4">
        <f>Table1[[#This Row],[Collects]]/Table1[[#This Row],[Views]]</f>
        <v>7.1736011477761836E-3</v>
      </c>
      <c r="P26" s="4">
        <f>Table1[[#This Row],[Views]]/Table1[[#This Row],[Age]]</f>
        <v>2.3079470198675498</v>
      </c>
      <c r="Q26" s="4">
        <f>Table1[[#This Row],[Downloads]]/Table1[[#This Row],[Age]]</f>
        <v>0.52649006622516559</v>
      </c>
      <c r="R26" s="4">
        <f>Table1[[#This Row],[Likes]]/Table1[[#This Row],[Age]]</f>
        <v>3.9735099337748346E-2</v>
      </c>
      <c r="S26" s="4">
        <f>Table1[[#This Row],[Collects]]/Table1[[#This Row],[Age]]</f>
        <v>1.6556291390728478E-2</v>
      </c>
      <c r="T26" s="4">
        <f>(4*Table1[[#This Row],[Collects]])+(3*Table1[[#This Row],[Likes]])+(2*Table1[[#This Row],[Downloads]])+Table1[[#This Row],[Views]]</f>
        <v>1071</v>
      </c>
      <c r="U26" s="4">
        <f>Table1[[#This Row],[Score]]/Table1[[#This Row],[Age]]</f>
        <v>3.5463576158940397</v>
      </c>
      <c r="V26" s="4">
        <f>Table1[[#This Row],[Score]]/Table1[[#This Row],[Views]]</f>
        <v>1.5365853658536586</v>
      </c>
    </row>
    <row r="27" spans="1:22" x14ac:dyDescent="0.25">
      <c r="A27" s="1">
        <v>46086</v>
      </c>
      <c r="B27" t="s">
        <v>1</v>
      </c>
      <c r="C27" s="1">
        <v>45785</v>
      </c>
      <c r="D27" s="2">
        <f>Table1[[#This Row],[Date]]-Table1[[#This Row],[Published]]</f>
        <v>301</v>
      </c>
      <c r="E27" s="3">
        <v>337</v>
      </c>
      <c r="F27">
        <v>95</v>
      </c>
      <c r="G27">
        <v>5</v>
      </c>
      <c r="H27">
        <v>1</v>
      </c>
      <c r="I27">
        <v>0</v>
      </c>
      <c r="J27">
        <v>0</v>
      </c>
      <c r="K27">
        <v>0</v>
      </c>
      <c r="L27">
        <v>0</v>
      </c>
      <c r="M27" s="4">
        <f>Table1[[#This Row],[Downloads]]/Table1[[#This Row],[Views]]</f>
        <v>0.28189910979228489</v>
      </c>
      <c r="N27" s="4">
        <f>Table1[[#This Row],[Likes]]/Table1[[#This Row],[Views]]</f>
        <v>1.483679525222552E-2</v>
      </c>
      <c r="O27" s="4">
        <f>Table1[[#This Row],[Collects]]/Table1[[#This Row],[Views]]</f>
        <v>2.967359050445104E-3</v>
      </c>
      <c r="P27" s="4">
        <f>Table1[[#This Row],[Views]]/Table1[[#This Row],[Age]]</f>
        <v>1.1196013289036544</v>
      </c>
      <c r="Q27" s="4">
        <f>Table1[[#This Row],[Downloads]]/Table1[[#This Row],[Age]]</f>
        <v>0.31561461794019935</v>
      </c>
      <c r="R27" s="4">
        <f>Table1[[#This Row],[Likes]]/Table1[[#This Row],[Age]]</f>
        <v>1.6611295681063124E-2</v>
      </c>
      <c r="S27" s="4">
        <f>Table1[[#This Row],[Collects]]/Table1[[#This Row],[Age]]</f>
        <v>3.3222591362126247E-3</v>
      </c>
      <c r="T27" s="4">
        <f>(4*Table1[[#This Row],[Collects]])+(3*Table1[[#This Row],[Likes]])+(2*Table1[[#This Row],[Downloads]])+Table1[[#This Row],[Views]]</f>
        <v>546</v>
      </c>
      <c r="U27" s="4">
        <f>Table1[[#This Row],[Score]]/Table1[[#This Row],[Age]]</f>
        <v>1.8139534883720929</v>
      </c>
      <c r="V27" s="4">
        <f>Table1[[#This Row],[Score]]/Table1[[#This Row],[Views]]</f>
        <v>1.6201780415430267</v>
      </c>
    </row>
    <row r="28" spans="1:22" x14ac:dyDescent="0.25">
      <c r="A28" s="1">
        <v>46086</v>
      </c>
      <c r="B28" t="s">
        <v>2</v>
      </c>
      <c r="C28" s="1">
        <v>45930</v>
      </c>
      <c r="D28" s="2">
        <f>Table1[[#This Row],[Date]]-Table1[[#This Row],[Published]]</f>
        <v>156</v>
      </c>
      <c r="E28" s="3">
        <v>236</v>
      </c>
      <c r="F28">
        <v>102</v>
      </c>
      <c r="G28">
        <v>5</v>
      </c>
      <c r="H28">
        <v>0</v>
      </c>
      <c r="I28">
        <v>0</v>
      </c>
      <c r="J28">
        <v>0</v>
      </c>
      <c r="K28">
        <v>0</v>
      </c>
      <c r="L28">
        <v>0</v>
      </c>
      <c r="M28" s="4">
        <f>Table1[[#This Row],[Downloads]]/Table1[[#This Row],[Views]]</f>
        <v>0.43220338983050849</v>
      </c>
      <c r="N28" s="4">
        <f>Table1[[#This Row],[Likes]]/Table1[[#This Row],[Views]]</f>
        <v>2.1186440677966101E-2</v>
      </c>
      <c r="O28" s="4">
        <f>Table1[[#This Row],[Collects]]/Table1[[#This Row],[Views]]</f>
        <v>0</v>
      </c>
      <c r="P28" s="4">
        <f>Table1[[#This Row],[Views]]/Table1[[#This Row],[Age]]</f>
        <v>1.5128205128205128</v>
      </c>
      <c r="Q28" s="4">
        <f>Table1[[#This Row],[Downloads]]/Table1[[#This Row],[Age]]</f>
        <v>0.65384615384615385</v>
      </c>
      <c r="R28" s="4">
        <f>Table1[[#This Row],[Likes]]/Table1[[#This Row],[Age]]</f>
        <v>3.2051282051282048E-2</v>
      </c>
      <c r="S28" s="4">
        <f>Table1[[#This Row],[Collects]]/Table1[[#This Row],[Age]]</f>
        <v>0</v>
      </c>
      <c r="T28" s="4">
        <f>(4*Table1[[#This Row],[Collects]])+(3*Table1[[#This Row],[Likes]])+(2*Table1[[#This Row],[Downloads]])+Table1[[#This Row],[Views]]</f>
        <v>455</v>
      </c>
      <c r="U28" s="4">
        <f>Table1[[#This Row],[Score]]/Table1[[#This Row],[Age]]</f>
        <v>2.9166666666666665</v>
      </c>
      <c r="V28" s="4">
        <f>Table1[[#This Row],[Score]]/Table1[[#This Row],[Views]]</f>
        <v>1.9279661016949152</v>
      </c>
    </row>
    <row r="29" spans="1:22" x14ac:dyDescent="0.25">
      <c r="A29" s="1">
        <v>46086</v>
      </c>
      <c r="B29" t="s">
        <v>13</v>
      </c>
      <c r="C29" s="1">
        <v>45750</v>
      </c>
      <c r="D29" s="2">
        <f>Table1[[#This Row],[Date]]-Table1[[#This Row],[Published]]</f>
        <v>336</v>
      </c>
      <c r="E29" s="3">
        <v>167</v>
      </c>
      <c r="F29">
        <v>31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 s="4">
        <f>Table1[[#This Row],[Downloads]]/Table1[[#This Row],[Views]]</f>
        <v>0.18562874251497005</v>
      </c>
      <c r="N29" s="4">
        <f>Table1[[#This Row],[Likes]]/Table1[[#This Row],[Views]]</f>
        <v>5.9880239520958087E-3</v>
      </c>
      <c r="O29" s="4">
        <f>Table1[[#This Row],[Collects]]/Table1[[#This Row],[Views]]</f>
        <v>5.9880239520958087E-3</v>
      </c>
      <c r="P29" s="4">
        <f>Table1[[#This Row],[Views]]/Table1[[#This Row],[Age]]</f>
        <v>0.49702380952380953</v>
      </c>
      <c r="Q29" s="4">
        <f>Table1[[#This Row],[Downloads]]/Table1[[#This Row],[Age]]</f>
        <v>9.2261904761904767E-2</v>
      </c>
      <c r="R29" s="4">
        <f>Table1[[#This Row],[Likes]]/Table1[[#This Row],[Age]]</f>
        <v>2.976190476190476E-3</v>
      </c>
      <c r="S29" s="4">
        <f>Table1[[#This Row],[Collects]]/Table1[[#This Row],[Age]]</f>
        <v>2.976190476190476E-3</v>
      </c>
      <c r="T29" s="4">
        <f>(4*Table1[[#This Row],[Collects]])+(3*Table1[[#This Row],[Likes]])+(2*Table1[[#This Row],[Downloads]])+Table1[[#This Row],[Views]]</f>
        <v>236</v>
      </c>
      <c r="U29" s="4">
        <f>Table1[[#This Row],[Score]]/Table1[[#This Row],[Age]]</f>
        <v>0.70238095238095233</v>
      </c>
      <c r="V29" s="4">
        <f>Table1[[#This Row],[Score]]/Table1[[#This Row],[Views]]</f>
        <v>1.4131736526946108</v>
      </c>
    </row>
    <row r="30" spans="1:22" x14ac:dyDescent="0.25">
      <c r="A30" s="1">
        <v>46086</v>
      </c>
      <c r="B30" t="s">
        <v>3</v>
      </c>
      <c r="C30" s="1">
        <v>45932</v>
      </c>
      <c r="D30" s="2">
        <f>Table1[[#This Row],[Date]]-Table1[[#This Row],[Published]]</f>
        <v>154</v>
      </c>
      <c r="E30" s="3">
        <v>125</v>
      </c>
      <c r="F30">
        <v>15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 s="4">
        <f>Table1[[#This Row],[Downloads]]/Table1[[#This Row],[Views]]</f>
        <v>0.12</v>
      </c>
      <c r="N30" s="4">
        <f>Table1[[#This Row],[Likes]]/Table1[[#This Row],[Views]]</f>
        <v>8.0000000000000002E-3</v>
      </c>
      <c r="O30" s="4">
        <f>Table1[[#This Row],[Collects]]/Table1[[#This Row],[Views]]</f>
        <v>8.0000000000000002E-3</v>
      </c>
      <c r="P30" s="4">
        <f>Table1[[#This Row],[Views]]/Table1[[#This Row],[Age]]</f>
        <v>0.81168831168831168</v>
      </c>
      <c r="Q30" s="4">
        <f>Table1[[#This Row],[Downloads]]/Table1[[#This Row],[Age]]</f>
        <v>9.7402597402597407E-2</v>
      </c>
      <c r="R30" s="4">
        <f>Table1[[#This Row],[Likes]]/Table1[[#This Row],[Age]]</f>
        <v>6.4935064935064939E-3</v>
      </c>
      <c r="S30" s="4">
        <f>Table1[[#This Row],[Collects]]/Table1[[#This Row],[Age]]</f>
        <v>6.4935064935064939E-3</v>
      </c>
      <c r="T30" s="4">
        <f>(4*Table1[[#This Row],[Collects]])+(3*Table1[[#This Row],[Likes]])+(2*Table1[[#This Row],[Downloads]])+Table1[[#This Row],[Views]]</f>
        <v>162</v>
      </c>
      <c r="U30" s="4">
        <f>Table1[[#This Row],[Score]]/Table1[[#This Row],[Age]]</f>
        <v>1.051948051948052</v>
      </c>
      <c r="V30" s="4">
        <f>Table1[[#This Row],[Score]]/Table1[[#This Row],[Views]]</f>
        <v>1.296</v>
      </c>
    </row>
    <row r="31" spans="1:22" x14ac:dyDescent="0.25">
      <c r="A31" s="1">
        <v>46086</v>
      </c>
      <c r="B31" t="s">
        <v>4</v>
      </c>
      <c r="C31" s="1">
        <v>46034</v>
      </c>
      <c r="D31" s="2">
        <f>Table1[[#This Row],[Date]]-Table1[[#This Row],[Published]]</f>
        <v>52</v>
      </c>
      <c r="E31" s="3">
        <v>96</v>
      </c>
      <c r="F31">
        <v>27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 s="4">
        <f>Table1[[#This Row],[Downloads]]/Table1[[#This Row],[Views]]</f>
        <v>0.28125</v>
      </c>
      <c r="N31" s="4">
        <f>Table1[[#This Row],[Likes]]/Table1[[#This Row],[Views]]</f>
        <v>2.0833333333333332E-2</v>
      </c>
      <c r="O31" s="4">
        <f>Table1[[#This Row],[Collects]]/Table1[[#This Row],[Views]]</f>
        <v>0</v>
      </c>
      <c r="P31" s="4">
        <f>Table1[[#This Row],[Views]]/Table1[[#This Row],[Age]]</f>
        <v>1.8461538461538463</v>
      </c>
      <c r="Q31" s="4">
        <f>Table1[[#This Row],[Downloads]]/Table1[[#This Row],[Age]]</f>
        <v>0.51923076923076927</v>
      </c>
      <c r="R31" s="4">
        <f>Table1[[#This Row],[Likes]]/Table1[[#This Row],[Age]]</f>
        <v>3.8461538461538464E-2</v>
      </c>
      <c r="S31" s="4">
        <f>Table1[[#This Row],[Collects]]/Table1[[#This Row],[Age]]</f>
        <v>0</v>
      </c>
      <c r="T31" s="4">
        <f>(4*Table1[[#This Row],[Collects]])+(3*Table1[[#This Row],[Likes]])+(2*Table1[[#This Row],[Downloads]])+Table1[[#This Row],[Views]]</f>
        <v>156</v>
      </c>
      <c r="U31" s="4">
        <f>Table1[[#This Row],[Score]]/Table1[[#This Row],[Age]]</f>
        <v>3</v>
      </c>
      <c r="V31" s="4">
        <f>Table1[[#This Row],[Score]]/Table1[[#This Row],[Views]]</f>
        <v>1.625</v>
      </c>
    </row>
    <row r="32" spans="1:22" x14ac:dyDescent="0.25">
      <c r="A32" s="1">
        <v>46092</v>
      </c>
      <c r="B32" t="s">
        <v>0</v>
      </c>
      <c r="C32" s="1">
        <v>45784</v>
      </c>
      <c r="D32" s="2">
        <f>Table1[[#This Row],[Date]]-Table1[[#This Row],[Published]]</f>
        <v>308</v>
      </c>
      <c r="E32" s="3">
        <v>713</v>
      </c>
      <c r="F32">
        <v>162</v>
      </c>
      <c r="G32">
        <v>12</v>
      </c>
      <c r="H32">
        <v>5</v>
      </c>
      <c r="I32">
        <v>0</v>
      </c>
      <c r="J32">
        <v>0</v>
      </c>
      <c r="K32">
        <v>0</v>
      </c>
      <c r="L32">
        <v>0</v>
      </c>
      <c r="M32" s="4">
        <f>Table1[[#This Row],[Downloads]]/Table1[[#This Row],[Views]]</f>
        <v>0.22720897615708274</v>
      </c>
      <c r="N32" s="4">
        <f>Table1[[#This Row],[Likes]]/Table1[[#This Row],[Views]]</f>
        <v>1.6830294530154277E-2</v>
      </c>
      <c r="O32" s="4">
        <f>Table1[[#This Row],[Collects]]/Table1[[#This Row],[Views]]</f>
        <v>7.0126227208976155E-3</v>
      </c>
      <c r="P32" s="4">
        <f>Table1[[#This Row],[Views]]/Table1[[#This Row],[Age]]</f>
        <v>2.3149350649350651</v>
      </c>
      <c r="Q32" s="4">
        <f>Table1[[#This Row],[Downloads]]/Table1[[#This Row],[Age]]</f>
        <v>0.52597402597402598</v>
      </c>
      <c r="R32" s="4">
        <f>Table1[[#This Row],[Likes]]/Table1[[#This Row],[Age]]</f>
        <v>3.896103896103896E-2</v>
      </c>
      <c r="S32" s="4">
        <f>Table1[[#This Row],[Collects]]/Table1[[#This Row],[Age]]</f>
        <v>1.6233766233766232E-2</v>
      </c>
      <c r="T32" s="4">
        <f>(4*Table1[[#This Row],[Collects]])+(3*Table1[[#This Row],[Likes]])+(2*Table1[[#This Row],[Downloads]])+Table1[[#This Row],[Views]]</f>
        <v>1093</v>
      </c>
      <c r="U32" s="4">
        <f>Table1[[#This Row],[Score]]/Table1[[#This Row],[Age]]</f>
        <v>3.5487012987012987</v>
      </c>
      <c r="V32" s="4">
        <f>Table1[[#This Row],[Score]]/Table1[[#This Row],[Views]]</f>
        <v>1.5329593267882189</v>
      </c>
    </row>
    <row r="33" spans="1:22" x14ac:dyDescent="0.25">
      <c r="A33" s="1">
        <v>46092</v>
      </c>
      <c r="B33" t="s">
        <v>1</v>
      </c>
      <c r="C33" s="1">
        <v>45785</v>
      </c>
      <c r="D33" s="2">
        <f>Table1[[#This Row],[Date]]-Table1[[#This Row],[Published]]</f>
        <v>307</v>
      </c>
      <c r="E33" s="3">
        <v>341</v>
      </c>
      <c r="F33">
        <v>96</v>
      </c>
      <c r="G33">
        <v>5</v>
      </c>
      <c r="H33">
        <v>1</v>
      </c>
      <c r="I33">
        <v>0</v>
      </c>
      <c r="J33">
        <v>0</v>
      </c>
      <c r="K33">
        <v>0</v>
      </c>
      <c r="L33">
        <v>0</v>
      </c>
      <c r="M33" s="4">
        <f>Table1[[#This Row],[Downloads]]/Table1[[#This Row],[Views]]</f>
        <v>0.28152492668621704</v>
      </c>
      <c r="N33" s="4">
        <f>Table1[[#This Row],[Likes]]/Table1[[#This Row],[Views]]</f>
        <v>1.466275659824047E-2</v>
      </c>
      <c r="O33" s="4">
        <f>Table1[[#This Row],[Collects]]/Table1[[#This Row],[Views]]</f>
        <v>2.9325513196480938E-3</v>
      </c>
      <c r="P33" s="4">
        <f>Table1[[#This Row],[Views]]/Table1[[#This Row],[Age]]</f>
        <v>1.1107491856677525</v>
      </c>
      <c r="Q33" s="4">
        <f>Table1[[#This Row],[Downloads]]/Table1[[#This Row],[Age]]</f>
        <v>0.31270358306188922</v>
      </c>
      <c r="R33" s="4">
        <f>Table1[[#This Row],[Likes]]/Table1[[#This Row],[Age]]</f>
        <v>1.6286644951140065E-2</v>
      </c>
      <c r="S33" s="4">
        <f>Table1[[#This Row],[Collects]]/Table1[[#This Row],[Age]]</f>
        <v>3.2573289902280132E-3</v>
      </c>
      <c r="T33" s="4">
        <f>(4*Table1[[#This Row],[Collects]])+(3*Table1[[#This Row],[Likes]])+(2*Table1[[#This Row],[Downloads]])+Table1[[#This Row],[Views]]</f>
        <v>552</v>
      </c>
      <c r="U33" s="4">
        <f>Table1[[#This Row],[Score]]/Table1[[#This Row],[Age]]</f>
        <v>1.7980456026058631</v>
      </c>
      <c r="V33" s="4">
        <f>Table1[[#This Row],[Score]]/Table1[[#This Row],[Views]]</f>
        <v>1.6187683284457477</v>
      </c>
    </row>
    <row r="34" spans="1:22" x14ac:dyDescent="0.25">
      <c r="A34" s="1">
        <v>46092</v>
      </c>
      <c r="B34" t="s">
        <v>2</v>
      </c>
      <c r="C34" s="1">
        <v>45930</v>
      </c>
      <c r="D34" s="2">
        <f>Table1[[#This Row],[Date]]-Table1[[#This Row],[Published]]</f>
        <v>162</v>
      </c>
      <c r="E34" s="3">
        <v>242</v>
      </c>
      <c r="F34">
        <v>102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 s="4">
        <f>Table1[[#This Row],[Downloads]]/Table1[[#This Row],[Views]]</f>
        <v>0.42148760330578511</v>
      </c>
      <c r="N34" s="4">
        <f>Table1[[#This Row],[Likes]]/Table1[[#This Row],[Views]]</f>
        <v>2.0661157024793389E-2</v>
      </c>
      <c r="O34" s="4">
        <f>Table1[[#This Row],[Collects]]/Table1[[#This Row],[Views]]</f>
        <v>0</v>
      </c>
      <c r="P34" s="4">
        <f>Table1[[#This Row],[Views]]/Table1[[#This Row],[Age]]</f>
        <v>1.4938271604938271</v>
      </c>
      <c r="Q34" s="4">
        <f>Table1[[#This Row],[Downloads]]/Table1[[#This Row],[Age]]</f>
        <v>0.62962962962962965</v>
      </c>
      <c r="R34" s="4">
        <f>Table1[[#This Row],[Likes]]/Table1[[#This Row],[Age]]</f>
        <v>3.0864197530864196E-2</v>
      </c>
      <c r="S34" s="4">
        <f>Table1[[#This Row],[Collects]]/Table1[[#This Row],[Age]]</f>
        <v>0</v>
      </c>
      <c r="T34" s="4">
        <f>(4*Table1[[#This Row],[Collects]])+(3*Table1[[#This Row],[Likes]])+(2*Table1[[#This Row],[Downloads]])+Table1[[#This Row],[Views]]</f>
        <v>461</v>
      </c>
      <c r="U34" s="4">
        <f>Table1[[#This Row],[Score]]/Table1[[#This Row],[Age]]</f>
        <v>2.8456790123456792</v>
      </c>
      <c r="V34" s="4">
        <f>Table1[[#This Row],[Score]]/Table1[[#This Row],[Views]]</f>
        <v>1.9049586776859504</v>
      </c>
    </row>
    <row r="35" spans="1:22" x14ac:dyDescent="0.25">
      <c r="A35" s="1">
        <v>46092</v>
      </c>
      <c r="B35" t="s">
        <v>13</v>
      </c>
      <c r="C35" s="1">
        <v>45750</v>
      </c>
      <c r="D35" s="2">
        <f>Table1[[#This Row],[Date]]-Table1[[#This Row],[Published]]</f>
        <v>342</v>
      </c>
      <c r="E35" s="3">
        <v>168</v>
      </c>
      <c r="F35">
        <v>31</v>
      </c>
      <c r="G35">
        <v>3</v>
      </c>
      <c r="H35">
        <v>2</v>
      </c>
      <c r="I35">
        <v>0</v>
      </c>
      <c r="J35">
        <v>0</v>
      </c>
      <c r="K35">
        <v>0</v>
      </c>
      <c r="L35">
        <v>0</v>
      </c>
      <c r="M35" s="4">
        <f>Table1[[#This Row],[Downloads]]/Table1[[#This Row],[Views]]</f>
        <v>0.18452380952380953</v>
      </c>
      <c r="N35" s="4">
        <f>Table1[[#This Row],[Likes]]/Table1[[#This Row],[Views]]</f>
        <v>1.7857142857142856E-2</v>
      </c>
      <c r="O35" s="4">
        <f>Table1[[#This Row],[Collects]]/Table1[[#This Row],[Views]]</f>
        <v>1.1904761904761904E-2</v>
      </c>
      <c r="P35" s="4">
        <f>Table1[[#This Row],[Views]]/Table1[[#This Row],[Age]]</f>
        <v>0.49122807017543857</v>
      </c>
      <c r="Q35" s="4">
        <f>Table1[[#This Row],[Downloads]]/Table1[[#This Row],[Age]]</f>
        <v>9.0643274853801165E-2</v>
      </c>
      <c r="R35" s="4">
        <f>Table1[[#This Row],[Likes]]/Table1[[#This Row],[Age]]</f>
        <v>8.771929824561403E-3</v>
      </c>
      <c r="S35" s="4">
        <f>Table1[[#This Row],[Collects]]/Table1[[#This Row],[Age]]</f>
        <v>5.8479532163742687E-3</v>
      </c>
      <c r="T35" s="4">
        <f>(4*Table1[[#This Row],[Collects]])+(3*Table1[[#This Row],[Likes]])+(2*Table1[[#This Row],[Downloads]])+Table1[[#This Row],[Views]]</f>
        <v>247</v>
      </c>
      <c r="U35" s="4">
        <f>Table1[[#This Row],[Score]]/Table1[[#This Row],[Age]]</f>
        <v>0.72222222222222221</v>
      </c>
      <c r="V35" s="4">
        <f>Table1[[#This Row],[Score]]/Table1[[#This Row],[Views]]</f>
        <v>1.4702380952380953</v>
      </c>
    </row>
    <row r="36" spans="1:22" x14ac:dyDescent="0.25">
      <c r="A36" s="1">
        <v>46092</v>
      </c>
      <c r="B36" t="s">
        <v>3</v>
      </c>
      <c r="C36" s="1">
        <v>45932</v>
      </c>
      <c r="D36" s="2">
        <f>Table1[[#This Row],[Date]]-Table1[[#This Row],[Published]]</f>
        <v>160</v>
      </c>
      <c r="E36" s="3">
        <v>126</v>
      </c>
      <c r="F36">
        <v>15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 s="4">
        <f>Table1[[#This Row],[Downloads]]/Table1[[#This Row],[Views]]</f>
        <v>0.11904761904761904</v>
      </c>
      <c r="N36" s="4">
        <f>Table1[[#This Row],[Likes]]/Table1[[#This Row],[Views]]</f>
        <v>7.9365079365079361E-3</v>
      </c>
      <c r="O36" s="4">
        <f>Table1[[#This Row],[Collects]]/Table1[[#This Row],[Views]]</f>
        <v>7.9365079365079361E-3</v>
      </c>
      <c r="P36" s="4">
        <f>Table1[[#This Row],[Views]]/Table1[[#This Row],[Age]]</f>
        <v>0.78749999999999998</v>
      </c>
      <c r="Q36" s="4">
        <f>Table1[[#This Row],[Downloads]]/Table1[[#This Row],[Age]]</f>
        <v>9.375E-2</v>
      </c>
      <c r="R36" s="4">
        <f>Table1[[#This Row],[Likes]]/Table1[[#This Row],[Age]]</f>
        <v>6.2500000000000003E-3</v>
      </c>
      <c r="S36" s="4">
        <f>Table1[[#This Row],[Collects]]/Table1[[#This Row],[Age]]</f>
        <v>6.2500000000000003E-3</v>
      </c>
      <c r="T36" s="4">
        <f>(4*Table1[[#This Row],[Collects]])+(3*Table1[[#This Row],[Likes]])+(2*Table1[[#This Row],[Downloads]])+Table1[[#This Row],[Views]]</f>
        <v>163</v>
      </c>
      <c r="U36" s="4">
        <f>Table1[[#This Row],[Score]]/Table1[[#This Row],[Age]]</f>
        <v>1.01875</v>
      </c>
      <c r="V36" s="4">
        <f>Table1[[#This Row],[Score]]/Table1[[#This Row],[Views]]</f>
        <v>1.2936507936507937</v>
      </c>
    </row>
    <row r="37" spans="1:22" x14ac:dyDescent="0.25">
      <c r="A37" s="1">
        <v>46092</v>
      </c>
      <c r="B37" t="s">
        <v>4</v>
      </c>
      <c r="C37" s="1">
        <v>46034</v>
      </c>
      <c r="D37" s="2">
        <f>Table1[[#This Row],[Date]]-Table1[[#This Row],[Published]]</f>
        <v>58</v>
      </c>
      <c r="E37" s="3">
        <v>99</v>
      </c>
      <c r="F37">
        <v>27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 s="4">
        <f>Table1[[#This Row],[Downloads]]/Table1[[#This Row],[Views]]</f>
        <v>0.27272727272727271</v>
      </c>
      <c r="N37" s="4">
        <f>Table1[[#This Row],[Likes]]/Table1[[#This Row],[Views]]</f>
        <v>2.0202020202020204E-2</v>
      </c>
      <c r="O37" s="4">
        <f>Table1[[#This Row],[Collects]]/Table1[[#This Row],[Views]]</f>
        <v>0</v>
      </c>
      <c r="P37" s="4">
        <f>Table1[[#This Row],[Views]]/Table1[[#This Row],[Age]]</f>
        <v>1.7068965517241379</v>
      </c>
      <c r="Q37" s="4">
        <f>Table1[[#This Row],[Downloads]]/Table1[[#This Row],[Age]]</f>
        <v>0.46551724137931033</v>
      </c>
      <c r="R37" s="4">
        <f>Table1[[#This Row],[Likes]]/Table1[[#This Row],[Age]]</f>
        <v>3.4482758620689655E-2</v>
      </c>
      <c r="S37" s="4">
        <f>Table1[[#This Row],[Collects]]/Table1[[#This Row],[Age]]</f>
        <v>0</v>
      </c>
      <c r="T37" s="4">
        <f>(4*Table1[[#This Row],[Collects]])+(3*Table1[[#This Row],[Likes]])+(2*Table1[[#This Row],[Downloads]])+Table1[[#This Row],[Views]]</f>
        <v>159</v>
      </c>
      <c r="U37" s="4">
        <f>Table1[[#This Row],[Score]]/Table1[[#This Row],[Age]]</f>
        <v>2.7413793103448274</v>
      </c>
      <c r="V37" s="4">
        <f>Table1[[#This Row],[Score]]/Table1[[#This Row],[Views]]</f>
        <v>1.606060606060606</v>
      </c>
    </row>
    <row r="38" spans="1:22" x14ac:dyDescent="0.25">
      <c r="A38" s="1">
        <v>46099</v>
      </c>
      <c r="B38" t="s">
        <v>0</v>
      </c>
      <c r="C38" s="1">
        <v>45784</v>
      </c>
      <c r="D38" s="2">
        <f>Table1[[#This Row],[Date]]-Table1[[#This Row],[Published]]</f>
        <v>315</v>
      </c>
      <c r="E38" s="3">
        <v>733</v>
      </c>
      <c r="F38">
        <v>167</v>
      </c>
      <c r="G38">
        <v>13</v>
      </c>
      <c r="H38">
        <v>5</v>
      </c>
      <c r="I38">
        <v>0</v>
      </c>
      <c r="J38">
        <v>0</v>
      </c>
      <c r="K38">
        <v>0</v>
      </c>
      <c r="L38">
        <v>0</v>
      </c>
      <c r="M38" s="4">
        <f>Table1[[#This Row],[Downloads]]/Table1[[#This Row],[Views]]</f>
        <v>0.22783083219645292</v>
      </c>
      <c r="N38" s="4">
        <f>Table1[[#This Row],[Likes]]/Table1[[#This Row],[Views]]</f>
        <v>1.7735334242837655E-2</v>
      </c>
      <c r="O38" s="4">
        <f>Table1[[#This Row],[Collects]]/Table1[[#This Row],[Views]]</f>
        <v>6.8212824010914054E-3</v>
      </c>
      <c r="P38" s="4">
        <f>Table1[[#This Row],[Views]]/Table1[[#This Row],[Age]]</f>
        <v>2.3269841269841272</v>
      </c>
      <c r="Q38" s="4">
        <f>Table1[[#This Row],[Downloads]]/Table1[[#This Row],[Age]]</f>
        <v>0.53015873015873016</v>
      </c>
      <c r="R38" s="4">
        <f>Table1[[#This Row],[Likes]]/Table1[[#This Row],[Age]]</f>
        <v>4.1269841269841269E-2</v>
      </c>
      <c r="S38" s="4">
        <f>Table1[[#This Row],[Collects]]/Table1[[#This Row],[Age]]</f>
        <v>1.5873015873015872E-2</v>
      </c>
      <c r="T38" s="4">
        <f>(4*Table1[[#This Row],[Collects]])+(3*Table1[[#This Row],[Likes]])+(2*Table1[[#This Row],[Downloads]])+Table1[[#This Row],[Views]]</f>
        <v>1126</v>
      </c>
      <c r="U38" s="4">
        <f>Table1[[#This Row],[Score]]/Table1[[#This Row],[Age]]</f>
        <v>3.5746031746031748</v>
      </c>
      <c r="V38" s="4">
        <f>Table1[[#This Row],[Score]]/Table1[[#This Row],[Views]]</f>
        <v>1.5361527967257844</v>
      </c>
    </row>
    <row r="39" spans="1:22" x14ac:dyDescent="0.25">
      <c r="A39" s="1">
        <v>46099</v>
      </c>
      <c r="B39" t="s">
        <v>1</v>
      </c>
      <c r="C39" s="1">
        <v>45785</v>
      </c>
      <c r="D39" s="2">
        <f>Table1[[#This Row],[Date]]-Table1[[#This Row],[Published]]</f>
        <v>314</v>
      </c>
      <c r="E39" s="3">
        <v>348</v>
      </c>
      <c r="F39">
        <v>103</v>
      </c>
      <c r="G39">
        <v>7</v>
      </c>
      <c r="H39">
        <v>1</v>
      </c>
      <c r="I39">
        <v>0</v>
      </c>
      <c r="J39">
        <v>0</v>
      </c>
      <c r="K39">
        <v>0</v>
      </c>
      <c r="L39">
        <v>0</v>
      </c>
      <c r="M39" s="4">
        <f>Table1[[#This Row],[Downloads]]/Table1[[#This Row],[Views]]</f>
        <v>0.29597701149425287</v>
      </c>
      <c r="N39" s="4">
        <f>Table1[[#This Row],[Likes]]/Table1[[#This Row],[Views]]</f>
        <v>2.0114942528735632E-2</v>
      </c>
      <c r="O39" s="4">
        <f>Table1[[#This Row],[Collects]]/Table1[[#This Row],[Views]]</f>
        <v>2.8735632183908046E-3</v>
      </c>
      <c r="P39" s="4">
        <f>Table1[[#This Row],[Views]]/Table1[[#This Row],[Age]]</f>
        <v>1.10828025477707</v>
      </c>
      <c r="Q39" s="4">
        <f>Table1[[#This Row],[Downloads]]/Table1[[#This Row],[Age]]</f>
        <v>0.32802547770700635</v>
      </c>
      <c r="R39" s="4">
        <f>Table1[[#This Row],[Likes]]/Table1[[#This Row],[Age]]</f>
        <v>2.2292993630573247E-2</v>
      </c>
      <c r="S39" s="4">
        <f>Table1[[#This Row],[Collects]]/Table1[[#This Row],[Age]]</f>
        <v>3.1847133757961785E-3</v>
      </c>
      <c r="T39" s="4">
        <f>(4*Table1[[#This Row],[Collects]])+(3*Table1[[#This Row],[Likes]])+(2*Table1[[#This Row],[Downloads]])+Table1[[#This Row],[Views]]</f>
        <v>579</v>
      </c>
      <c r="U39" s="4">
        <f>Table1[[#This Row],[Score]]/Table1[[#This Row],[Age]]</f>
        <v>1.8439490445859872</v>
      </c>
      <c r="V39" s="4">
        <f>Table1[[#This Row],[Score]]/Table1[[#This Row],[Views]]</f>
        <v>1.6637931034482758</v>
      </c>
    </row>
    <row r="40" spans="1:22" x14ac:dyDescent="0.25">
      <c r="A40" s="1">
        <v>46099</v>
      </c>
      <c r="B40" t="s">
        <v>2</v>
      </c>
      <c r="C40" s="1">
        <v>45930</v>
      </c>
      <c r="D40" s="2">
        <f>Table1[[#This Row],[Date]]-Table1[[#This Row],[Published]]</f>
        <v>169</v>
      </c>
      <c r="E40" s="3">
        <v>246</v>
      </c>
      <c r="F40">
        <v>103</v>
      </c>
      <c r="G40">
        <v>5</v>
      </c>
      <c r="H40">
        <v>0</v>
      </c>
      <c r="I40">
        <v>0</v>
      </c>
      <c r="J40">
        <v>0</v>
      </c>
      <c r="K40">
        <v>0</v>
      </c>
      <c r="L40">
        <v>0</v>
      </c>
      <c r="M40" s="4">
        <f>Table1[[#This Row],[Downloads]]/Table1[[#This Row],[Views]]</f>
        <v>0.41869918699186992</v>
      </c>
      <c r="N40" s="4">
        <f>Table1[[#This Row],[Likes]]/Table1[[#This Row],[Views]]</f>
        <v>2.032520325203252E-2</v>
      </c>
      <c r="O40" s="4">
        <f>Table1[[#This Row],[Collects]]/Table1[[#This Row],[Views]]</f>
        <v>0</v>
      </c>
      <c r="P40" s="4">
        <f>Table1[[#This Row],[Views]]/Table1[[#This Row],[Age]]</f>
        <v>1.455621301775148</v>
      </c>
      <c r="Q40" s="4">
        <f>Table1[[#This Row],[Downloads]]/Table1[[#This Row],[Age]]</f>
        <v>0.60946745562130178</v>
      </c>
      <c r="R40" s="4">
        <f>Table1[[#This Row],[Likes]]/Table1[[#This Row],[Age]]</f>
        <v>2.9585798816568046E-2</v>
      </c>
      <c r="S40" s="4">
        <f>Table1[[#This Row],[Collects]]/Table1[[#This Row],[Age]]</f>
        <v>0</v>
      </c>
      <c r="T40" s="4">
        <f>(4*Table1[[#This Row],[Collects]])+(3*Table1[[#This Row],[Likes]])+(2*Table1[[#This Row],[Downloads]])+Table1[[#This Row],[Views]]</f>
        <v>467</v>
      </c>
      <c r="U40" s="4">
        <f>Table1[[#This Row],[Score]]/Table1[[#This Row],[Age]]</f>
        <v>2.7633136094674557</v>
      </c>
      <c r="V40" s="4">
        <f>Table1[[#This Row],[Score]]/Table1[[#This Row],[Views]]</f>
        <v>1.8983739837398375</v>
      </c>
    </row>
    <row r="41" spans="1:22" x14ac:dyDescent="0.25">
      <c r="A41" s="1">
        <v>46099</v>
      </c>
      <c r="B41" t="s">
        <v>13</v>
      </c>
      <c r="C41" s="1">
        <v>45750</v>
      </c>
      <c r="D41" s="2">
        <f>Table1[[#This Row],[Date]]-Table1[[#This Row],[Published]]</f>
        <v>349</v>
      </c>
      <c r="E41" s="3">
        <v>172</v>
      </c>
      <c r="F41">
        <v>34</v>
      </c>
      <c r="G41">
        <v>3</v>
      </c>
      <c r="H41">
        <v>2</v>
      </c>
      <c r="I41">
        <v>0</v>
      </c>
      <c r="J41">
        <v>0</v>
      </c>
      <c r="K41">
        <v>0</v>
      </c>
      <c r="L41">
        <v>0</v>
      </c>
      <c r="M41" s="4">
        <f>Table1[[#This Row],[Downloads]]/Table1[[#This Row],[Views]]</f>
        <v>0.19767441860465115</v>
      </c>
      <c r="N41" s="4">
        <f>Table1[[#This Row],[Likes]]/Table1[[#This Row],[Views]]</f>
        <v>1.7441860465116279E-2</v>
      </c>
      <c r="O41" s="4">
        <f>Table1[[#This Row],[Collects]]/Table1[[#This Row],[Views]]</f>
        <v>1.1627906976744186E-2</v>
      </c>
      <c r="P41" s="4">
        <f>Table1[[#This Row],[Views]]/Table1[[#This Row],[Age]]</f>
        <v>0.49283667621776506</v>
      </c>
      <c r="Q41" s="4">
        <f>Table1[[#This Row],[Downloads]]/Table1[[#This Row],[Age]]</f>
        <v>9.7421203438395415E-2</v>
      </c>
      <c r="R41" s="4">
        <f>Table1[[#This Row],[Likes]]/Table1[[#This Row],[Age]]</f>
        <v>8.5959885386819486E-3</v>
      </c>
      <c r="S41" s="4">
        <f>Table1[[#This Row],[Collects]]/Table1[[#This Row],[Age]]</f>
        <v>5.7306590257879654E-3</v>
      </c>
      <c r="T41" s="4">
        <f>(4*Table1[[#This Row],[Collects]])+(3*Table1[[#This Row],[Likes]])+(2*Table1[[#This Row],[Downloads]])+Table1[[#This Row],[Views]]</f>
        <v>257</v>
      </c>
      <c r="U41" s="4">
        <f>Table1[[#This Row],[Score]]/Table1[[#This Row],[Age]]</f>
        <v>0.73638968481375355</v>
      </c>
      <c r="V41" s="4">
        <f>Table1[[#This Row],[Score]]/Table1[[#This Row],[Views]]</f>
        <v>1.4941860465116279</v>
      </c>
    </row>
    <row r="42" spans="1:22" x14ac:dyDescent="0.25">
      <c r="A42" s="1">
        <v>46099</v>
      </c>
      <c r="B42" t="s">
        <v>3</v>
      </c>
      <c r="C42" s="1">
        <v>45932</v>
      </c>
      <c r="D42" s="2">
        <f>Table1[[#This Row],[Date]]-Table1[[#This Row],[Published]]</f>
        <v>167</v>
      </c>
      <c r="E42" s="3">
        <v>131</v>
      </c>
      <c r="F42">
        <v>15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 s="4">
        <f>Table1[[#This Row],[Downloads]]/Table1[[#This Row],[Views]]</f>
        <v>0.11450381679389313</v>
      </c>
      <c r="N42" s="4">
        <f>Table1[[#This Row],[Likes]]/Table1[[#This Row],[Views]]</f>
        <v>7.6335877862595417E-3</v>
      </c>
      <c r="O42" s="4">
        <f>Table1[[#This Row],[Collects]]/Table1[[#This Row],[Views]]</f>
        <v>7.6335877862595417E-3</v>
      </c>
      <c r="P42" s="4">
        <f>Table1[[#This Row],[Views]]/Table1[[#This Row],[Age]]</f>
        <v>0.78443113772455086</v>
      </c>
      <c r="Q42" s="4">
        <f>Table1[[#This Row],[Downloads]]/Table1[[#This Row],[Age]]</f>
        <v>8.9820359281437126E-2</v>
      </c>
      <c r="R42" s="4">
        <f>Table1[[#This Row],[Likes]]/Table1[[#This Row],[Age]]</f>
        <v>5.9880239520958087E-3</v>
      </c>
      <c r="S42" s="4">
        <f>Table1[[#This Row],[Collects]]/Table1[[#This Row],[Age]]</f>
        <v>5.9880239520958087E-3</v>
      </c>
      <c r="T42" s="4">
        <f>(4*Table1[[#This Row],[Collects]])+(3*Table1[[#This Row],[Likes]])+(2*Table1[[#This Row],[Downloads]])+Table1[[#This Row],[Views]]</f>
        <v>168</v>
      </c>
      <c r="U42" s="4">
        <f>Table1[[#This Row],[Score]]/Table1[[#This Row],[Age]]</f>
        <v>1.0059880239520957</v>
      </c>
      <c r="V42" s="4">
        <f>Table1[[#This Row],[Score]]/Table1[[#This Row],[Views]]</f>
        <v>1.282442748091603</v>
      </c>
    </row>
    <row r="43" spans="1:22" x14ac:dyDescent="0.25">
      <c r="A43" s="1">
        <v>46099</v>
      </c>
      <c r="B43" t="s">
        <v>4</v>
      </c>
      <c r="C43" s="1">
        <v>46034</v>
      </c>
      <c r="D43" s="2">
        <f>Table1[[#This Row],[Date]]-Table1[[#This Row],[Published]]</f>
        <v>65</v>
      </c>
      <c r="E43" s="3">
        <v>101</v>
      </c>
      <c r="F43">
        <v>28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 s="4">
        <f>Table1[[#This Row],[Downloads]]/Table1[[#This Row],[Views]]</f>
        <v>0.27722772277227725</v>
      </c>
      <c r="N43" s="4">
        <f>Table1[[#This Row],[Likes]]/Table1[[#This Row],[Views]]</f>
        <v>1.9801980198019802E-2</v>
      </c>
      <c r="O43" s="4">
        <f>Table1[[#This Row],[Collects]]/Table1[[#This Row],[Views]]</f>
        <v>0</v>
      </c>
      <c r="P43" s="4">
        <f>Table1[[#This Row],[Views]]/Table1[[#This Row],[Age]]</f>
        <v>1.5538461538461539</v>
      </c>
      <c r="Q43" s="4">
        <f>Table1[[#This Row],[Downloads]]/Table1[[#This Row],[Age]]</f>
        <v>0.43076923076923079</v>
      </c>
      <c r="R43" s="4">
        <f>Table1[[#This Row],[Likes]]/Table1[[#This Row],[Age]]</f>
        <v>3.0769230769230771E-2</v>
      </c>
      <c r="S43" s="4">
        <f>Table1[[#This Row],[Collects]]/Table1[[#This Row],[Age]]</f>
        <v>0</v>
      </c>
      <c r="T43" s="4">
        <f>(4*Table1[[#This Row],[Collects]])+(3*Table1[[#This Row],[Likes]])+(2*Table1[[#This Row],[Downloads]])+Table1[[#This Row],[Views]]</f>
        <v>163</v>
      </c>
      <c r="U43" s="4">
        <f>Table1[[#This Row],[Score]]/Table1[[#This Row],[Age]]</f>
        <v>2.5076923076923077</v>
      </c>
      <c r="V43" s="4">
        <f>Table1[[#This Row],[Score]]/Table1[[#This Row],[Views]]</f>
        <v>1.613861386138614</v>
      </c>
    </row>
    <row r="44" spans="1:22" x14ac:dyDescent="0.25">
      <c r="A44" s="1">
        <v>46106</v>
      </c>
      <c r="B44" t="s">
        <v>0</v>
      </c>
      <c r="C44" s="1">
        <v>45784</v>
      </c>
      <c r="D44" s="2">
        <f>Table1[[#This Row],[Date]]-Table1[[#This Row],[Published]]</f>
        <v>322</v>
      </c>
      <c r="E44" s="3">
        <v>745</v>
      </c>
      <c r="F44">
        <v>173</v>
      </c>
      <c r="G44">
        <v>13</v>
      </c>
      <c r="H44">
        <v>5</v>
      </c>
      <c r="I44">
        <v>0</v>
      </c>
      <c r="J44">
        <v>0</v>
      </c>
      <c r="K44">
        <v>0</v>
      </c>
      <c r="L44">
        <v>0</v>
      </c>
      <c r="M44" s="4">
        <f>Table1[[#This Row],[Downloads]]/Table1[[#This Row],[Views]]</f>
        <v>0.23221476510067113</v>
      </c>
      <c r="N44" s="4">
        <f>Table1[[#This Row],[Likes]]/Table1[[#This Row],[Views]]</f>
        <v>1.74496644295302E-2</v>
      </c>
      <c r="O44" s="4">
        <f>Table1[[#This Row],[Collects]]/Table1[[#This Row],[Views]]</f>
        <v>6.7114093959731542E-3</v>
      </c>
      <c r="P44" s="4">
        <f>Table1[[#This Row],[Views]]/Table1[[#This Row],[Age]]</f>
        <v>2.3136645962732918</v>
      </c>
      <c r="Q44" s="4">
        <f>Table1[[#This Row],[Downloads]]/Table1[[#This Row],[Age]]</f>
        <v>0.53726708074534157</v>
      </c>
      <c r="R44" s="4">
        <f>Table1[[#This Row],[Likes]]/Table1[[#This Row],[Age]]</f>
        <v>4.0372670807453416E-2</v>
      </c>
      <c r="S44" s="4">
        <f>Table1[[#This Row],[Collects]]/Table1[[#This Row],[Age]]</f>
        <v>1.5527950310559006E-2</v>
      </c>
      <c r="T44" s="4">
        <f>(4*Table1[[#This Row],[Collects]])+(3*Table1[[#This Row],[Likes]])+(2*Table1[[#This Row],[Downloads]])+Table1[[#This Row],[Views]]</f>
        <v>1150</v>
      </c>
      <c r="U44" s="4">
        <f>Table1[[#This Row],[Score]]/Table1[[#This Row],[Age]]</f>
        <v>3.5714285714285716</v>
      </c>
      <c r="V44" s="4">
        <f>Table1[[#This Row],[Score]]/Table1[[#This Row],[Views]]</f>
        <v>1.5436241610738255</v>
      </c>
    </row>
    <row r="45" spans="1:22" x14ac:dyDescent="0.25">
      <c r="A45" s="1">
        <v>46106</v>
      </c>
      <c r="B45" t="s">
        <v>1</v>
      </c>
      <c r="C45" s="1">
        <v>45785</v>
      </c>
      <c r="D45" s="2">
        <f>Table1[[#This Row],[Date]]-Table1[[#This Row],[Published]]</f>
        <v>321</v>
      </c>
      <c r="E45" s="3">
        <v>358</v>
      </c>
      <c r="F45">
        <v>108</v>
      </c>
      <c r="G45">
        <v>7</v>
      </c>
      <c r="H45">
        <v>1</v>
      </c>
      <c r="I45">
        <v>0</v>
      </c>
      <c r="J45">
        <v>0</v>
      </c>
      <c r="K45">
        <v>0</v>
      </c>
      <c r="L45">
        <v>0</v>
      </c>
      <c r="M45" s="4">
        <f>Table1[[#This Row],[Downloads]]/Table1[[#This Row],[Views]]</f>
        <v>0.3016759776536313</v>
      </c>
      <c r="N45" s="4">
        <f>Table1[[#This Row],[Likes]]/Table1[[#This Row],[Views]]</f>
        <v>1.9553072625698324E-2</v>
      </c>
      <c r="O45" s="4">
        <f>Table1[[#This Row],[Collects]]/Table1[[#This Row],[Views]]</f>
        <v>2.7932960893854749E-3</v>
      </c>
      <c r="P45" s="4">
        <f>Table1[[#This Row],[Views]]/Table1[[#This Row],[Age]]</f>
        <v>1.1152647975077881</v>
      </c>
      <c r="Q45" s="4">
        <f>Table1[[#This Row],[Downloads]]/Table1[[#This Row],[Age]]</f>
        <v>0.3364485981308411</v>
      </c>
      <c r="R45" s="4">
        <f>Table1[[#This Row],[Likes]]/Table1[[#This Row],[Age]]</f>
        <v>2.1806853582554516E-2</v>
      </c>
      <c r="S45" s="4">
        <f>Table1[[#This Row],[Collects]]/Table1[[#This Row],[Age]]</f>
        <v>3.1152647975077881E-3</v>
      </c>
      <c r="T45" s="4">
        <f>(4*Table1[[#This Row],[Collects]])+(3*Table1[[#This Row],[Likes]])+(2*Table1[[#This Row],[Downloads]])+Table1[[#This Row],[Views]]</f>
        <v>599</v>
      </c>
      <c r="U45" s="4">
        <f>Table1[[#This Row],[Score]]/Table1[[#This Row],[Age]]</f>
        <v>1.8660436137071652</v>
      </c>
      <c r="V45" s="4">
        <f>Table1[[#This Row],[Score]]/Table1[[#This Row],[Views]]</f>
        <v>1.6731843575418994</v>
      </c>
    </row>
    <row r="46" spans="1:22" x14ac:dyDescent="0.25">
      <c r="A46" s="1">
        <v>46106</v>
      </c>
      <c r="B46" t="s">
        <v>2</v>
      </c>
      <c r="C46" s="1">
        <v>45930</v>
      </c>
      <c r="D46" s="2">
        <f>Table1[[#This Row],[Date]]-Table1[[#This Row],[Published]]</f>
        <v>176</v>
      </c>
      <c r="E46" s="3">
        <v>255</v>
      </c>
      <c r="F46">
        <v>104</v>
      </c>
      <c r="G46">
        <v>5</v>
      </c>
      <c r="H46">
        <v>0</v>
      </c>
      <c r="I46">
        <v>0</v>
      </c>
      <c r="J46">
        <v>0</v>
      </c>
      <c r="K46">
        <v>0</v>
      </c>
      <c r="L46">
        <v>0</v>
      </c>
      <c r="M46" s="4">
        <f>Table1[[#This Row],[Downloads]]/Table1[[#This Row],[Views]]</f>
        <v>0.40784313725490196</v>
      </c>
      <c r="N46" s="4">
        <f>Table1[[#This Row],[Likes]]/Table1[[#This Row],[Views]]</f>
        <v>1.9607843137254902E-2</v>
      </c>
      <c r="O46" s="4">
        <f>Table1[[#This Row],[Collects]]/Table1[[#This Row],[Views]]</f>
        <v>0</v>
      </c>
      <c r="P46" s="4">
        <f>Table1[[#This Row],[Views]]/Table1[[#This Row],[Age]]</f>
        <v>1.4488636363636365</v>
      </c>
      <c r="Q46" s="4">
        <f>Table1[[#This Row],[Downloads]]/Table1[[#This Row],[Age]]</f>
        <v>0.59090909090909094</v>
      </c>
      <c r="R46" s="4">
        <f>Table1[[#This Row],[Likes]]/Table1[[#This Row],[Age]]</f>
        <v>2.8409090909090908E-2</v>
      </c>
      <c r="S46" s="4">
        <f>Table1[[#This Row],[Collects]]/Table1[[#This Row],[Age]]</f>
        <v>0</v>
      </c>
      <c r="T46" s="4">
        <f>(4*Table1[[#This Row],[Collects]])+(3*Table1[[#This Row],[Likes]])+(2*Table1[[#This Row],[Downloads]])+Table1[[#This Row],[Views]]</f>
        <v>478</v>
      </c>
      <c r="U46" s="4">
        <f>Table1[[#This Row],[Score]]/Table1[[#This Row],[Age]]</f>
        <v>2.7159090909090908</v>
      </c>
      <c r="V46" s="4">
        <f>Table1[[#This Row],[Score]]/Table1[[#This Row],[Views]]</f>
        <v>1.8745098039215686</v>
      </c>
    </row>
    <row r="47" spans="1:22" x14ac:dyDescent="0.25">
      <c r="A47" s="1">
        <v>46106</v>
      </c>
      <c r="B47" t="s">
        <v>13</v>
      </c>
      <c r="C47" s="1">
        <v>45750</v>
      </c>
      <c r="D47" s="2">
        <f>Table1[[#This Row],[Date]]-Table1[[#This Row],[Published]]</f>
        <v>356</v>
      </c>
      <c r="E47" s="3">
        <v>174</v>
      </c>
      <c r="F47">
        <v>34</v>
      </c>
      <c r="G47">
        <v>3</v>
      </c>
      <c r="H47">
        <v>2</v>
      </c>
      <c r="I47">
        <v>0</v>
      </c>
      <c r="J47">
        <v>0</v>
      </c>
      <c r="K47">
        <v>0</v>
      </c>
      <c r="L47">
        <v>0</v>
      </c>
      <c r="M47" s="4">
        <f>Table1[[#This Row],[Downloads]]/Table1[[#This Row],[Views]]</f>
        <v>0.19540229885057472</v>
      </c>
      <c r="N47" s="4">
        <f>Table1[[#This Row],[Likes]]/Table1[[#This Row],[Views]]</f>
        <v>1.7241379310344827E-2</v>
      </c>
      <c r="O47" s="4">
        <f>Table1[[#This Row],[Collects]]/Table1[[#This Row],[Views]]</f>
        <v>1.1494252873563218E-2</v>
      </c>
      <c r="P47" s="4">
        <f>Table1[[#This Row],[Views]]/Table1[[#This Row],[Age]]</f>
        <v>0.4887640449438202</v>
      </c>
      <c r="Q47" s="4">
        <f>Table1[[#This Row],[Downloads]]/Table1[[#This Row],[Age]]</f>
        <v>9.5505617977528087E-2</v>
      </c>
      <c r="R47" s="4">
        <f>Table1[[#This Row],[Likes]]/Table1[[#This Row],[Age]]</f>
        <v>8.4269662921348312E-3</v>
      </c>
      <c r="S47" s="4">
        <f>Table1[[#This Row],[Collects]]/Table1[[#This Row],[Age]]</f>
        <v>5.6179775280898875E-3</v>
      </c>
      <c r="T47" s="4">
        <f>(4*Table1[[#This Row],[Collects]])+(3*Table1[[#This Row],[Likes]])+(2*Table1[[#This Row],[Downloads]])+Table1[[#This Row],[Views]]</f>
        <v>259</v>
      </c>
      <c r="U47" s="4">
        <f>Table1[[#This Row],[Score]]/Table1[[#This Row],[Age]]</f>
        <v>0.72752808988764039</v>
      </c>
      <c r="V47" s="4">
        <f>Table1[[#This Row],[Score]]/Table1[[#This Row],[Views]]</f>
        <v>1.4885057471264367</v>
      </c>
    </row>
    <row r="48" spans="1:22" x14ac:dyDescent="0.25">
      <c r="A48" s="1">
        <v>46106</v>
      </c>
      <c r="B48" t="s">
        <v>3</v>
      </c>
      <c r="C48" s="1">
        <v>45932</v>
      </c>
      <c r="D48" s="2">
        <f>Table1[[#This Row],[Date]]-Table1[[#This Row],[Published]]</f>
        <v>174</v>
      </c>
      <c r="E48" s="3">
        <v>134</v>
      </c>
      <c r="F48">
        <v>16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 s="4">
        <f>Table1[[#This Row],[Downloads]]/Table1[[#This Row],[Views]]</f>
        <v>0.11940298507462686</v>
      </c>
      <c r="N48" s="4">
        <f>Table1[[#This Row],[Likes]]/Table1[[#This Row],[Views]]</f>
        <v>7.462686567164179E-3</v>
      </c>
      <c r="O48" s="4">
        <f>Table1[[#This Row],[Collects]]/Table1[[#This Row],[Views]]</f>
        <v>7.462686567164179E-3</v>
      </c>
      <c r="P48" s="4">
        <f>Table1[[#This Row],[Views]]/Table1[[#This Row],[Age]]</f>
        <v>0.77011494252873558</v>
      </c>
      <c r="Q48" s="4">
        <f>Table1[[#This Row],[Downloads]]/Table1[[#This Row],[Age]]</f>
        <v>9.1954022988505746E-2</v>
      </c>
      <c r="R48" s="4">
        <f>Table1[[#This Row],[Likes]]/Table1[[#This Row],[Age]]</f>
        <v>5.7471264367816091E-3</v>
      </c>
      <c r="S48" s="4">
        <f>Table1[[#This Row],[Collects]]/Table1[[#This Row],[Age]]</f>
        <v>5.7471264367816091E-3</v>
      </c>
      <c r="T48" s="4">
        <f>(4*Table1[[#This Row],[Collects]])+(3*Table1[[#This Row],[Likes]])+(2*Table1[[#This Row],[Downloads]])+Table1[[#This Row],[Views]]</f>
        <v>173</v>
      </c>
      <c r="U48" s="4">
        <f>Table1[[#This Row],[Score]]/Table1[[#This Row],[Age]]</f>
        <v>0.99425287356321834</v>
      </c>
      <c r="V48" s="4">
        <f>Table1[[#This Row],[Score]]/Table1[[#This Row],[Views]]</f>
        <v>1.291044776119403</v>
      </c>
    </row>
    <row r="49" spans="1:22" x14ac:dyDescent="0.25">
      <c r="A49" s="1">
        <v>46106</v>
      </c>
      <c r="B49" t="s">
        <v>4</v>
      </c>
      <c r="C49" s="1">
        <v>46034</v>
      </c>
      <c r="D49" s="2">
        <f>Table1[[#This Row],[Date]]-Table1[[#This Row],[Published]]</f>
        <v>72</v>
      </c>
      <c r="E49" s="3">
        <v>105</v>
      </c>
      <c r="F49">
        <v>31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 s="4">
        <f>Table1[[#This Row],[Downloads]]/Table1[[#This Row],[Views]]</f>
        <v>0.29523809523809524</v>
      </c>
      <c r="N49" s="4">
        <f>Table1[[#This Row],[Likes]]/Table1[[#This Row],[Views]]</f>
        <v>1.9047619047619049E-2</v>
      </c>
      <c r="O49" s="4">
        <f>Table1[[#This Row],[Collects]]/Table1[[#This Row],[Views]]</f>
        <v>0</v>
      </c>
      <c r="P49" s="4">
        <f>Table1[[#This Row],[Views]]/Table1[[#This Row],[Age]]</f>
        <v>1.4583333333333333</v>
      </c>
      <c r="Q49" s="4">
        <f>Table1[[#This Row],[Downloads]]/Table1[[#This Row],[Age]]</f>
        <v>0.43055555555555558</v>
      </c>
      <c r="R49" s="4">
        <f>Table1[[#This Row],[Likes]]/Table1[[#This Row],[Age]]</f>
        <v>2.7777777777777776E-2</v>
      </c>
      <c r="S49" s="4">
        <f>Table1[[#This Row],[Collects]]/Table1[[#This Row],[Age]]</f>
        <v>0</v>
      </c>
      <c r="T49" s="4">
        <f>(4*Table1[[#This Row],[Collects]])+(3*Table1[[#This Row],[Likes]])+(2*Table1[[#This Row],[Downloads]])+Table1[[#This Row],[Views]]</f>
        <v>173</v>
      </c>
      <c r="U49" s="4">
        <f>Table1[[#This Row],[Score]]/Table1[[#This Row],[Age]]</f>
        <v>2.4027777777777777</v>
      </c>
      <c r="V49" s="4">
        <f>Table1[[#This Row],[Score]]/Table1[[#This Row],[Views]]</f>
        <v>1.6476190476190475</v>
      </c>
    </row>
    <row r="50" spans="1:22" x14ac:dyDescent="0.25">
      <c r="A50" s="1">
        <v>46113</v>
      </c>
      <c r="B50" t="s">
        <v>0</v>
      </c>
      <c r="C50" s="1">
        <v>45784</v>
      </c>
      <c r="D50" s="2">
        <f>Table1[[#This Row],[Date]]-Table1[[#This Row],[Published]]</f>
        <v>329</v>
      </c>
      <c r="E50" s="3">
        <v>750</v>
      </c>
      <c r="F50">
        <v>176</v>
      </c>
      <c r="G50">
        <v>13</v>
      </c>
      <c r="H50">
        <v>5</v>
      </c>
      <c r="I50">
        <v>0</v>
      </c>
      <c r="J50">
        <v>0</v>
      </c>
      <c r="K50">
        <v>0</v>
      </c>
      <c r="L50">
        <v>0</v>
      </c>
      <c r="M50" s="4">
        <f>Table1[[#This Row],[Downloads]]/Table1[[#This Row],[Views]]</f>
        <v>0.23466666666666666</v>
      </c>
      <c r="N50" s="4">
        <f>Table1[[#This Row],[Likes]]/Table1[[#This Row],[Views]]</f>
        <v>1.7333333333333333E-2</v>
      </c>
      <c r="O50" s="4">
        <f>Table1[[#This Row],[Collects]]/Table1[[#This Row],[Views]]</f>
        <v>6.6666666666666671E-3</v>
      </c>
      <c r="P50" s="4">
        <f>Table1[[#This Row],[Views]]/Table1[[#This Row],[Age]]</f>
        <v>2.2796352583586628</v>
      </c>
      <c r="Q50" s="4">
        <f>Table1[[#This Row],[Downloads]]/Table1[[#This Row],[Age]]</f>
        <v>0.53495440729483279</v>
      </c>
      <c r="R50" s="4">
        <f>Table1[[#This Row],[Likes]]/Table1[[#This Row],[Age]]</f>
        <v>3.9513677811550151E-2</v>
      </c>
      <c r="S50" s="4">
        <f>Table1[[#This Row],[Collects]]/Table1[[#This Row],[Age]]</f>
        <v>1.5197568389057751E-2</v>
      </c>
      <c r="T50" s="4">
        <f>(4*Table1[[#This Row],[Collects]])+(3*Table1[[#This Row],[Likes]])+(2*Table1[[#This Row],[Downloads]])+Table1[[#This Row],[Views]]</f>
        <v>1161</v>
      </c>
      <c r="U50" s="4">
        <f>Table1[[#This Row],[Score]]/Table1[[#This Row],[Age]]</f>
        <v>3.5288753799392096</v>
      </c>
      <c r="V50" s="4">
        <f>Table1[[#This Row],[Score]]/Table1[[#This Row],[Views]]</f>
        <v>1.548</v>
      </c>
    </row>
    <row r="51" spans="1:22" x14ac:dyDescent="0.25">
      <c r="A51" s="1">
        <v>46113</v>
      </c>
      <c r="B51" t="s">
        <v>1</v>
      </c>
      <c r="C51" s="1">
        <v>45785</v>
      </c>
      <c r="D51" s="2">
        <f>Table1[[#This Row],[Date]]-Table1[[#This Row],[Published]]</f>
        <v>328</v>
      </c>
      <c r="E51" s="3">
        <v>364</v>
      </c>
      <c r="F51">
        <v>107</v>
      </c>
      <c r="G51">
        <v>8</v>
      </c>
      <c r="H51">
        <v>1</v>
      </c>
      <c r="I51">
        <v>0</v>
      </c>
      <c r="J51">
        <v>0</v>
      </c>
      <c r="K51">
        <v>0</v>
      </c>
      <c r="L51">
        <v>0</v>
      </c>
      <c r="M51" s="4">
        <f>Table1[[#This Row],[Downloads]]/Table1[[#This Row],[Views]]</f>
        <v>0.29395604395604397</v>
      </c>
      <c r="N51" s="4">
        <f>Table1[[#This Row],[Likes]]/Table1[[#This Row],[Views]]</f>
        <v>2.197802197802198E-2</v>
      </c>
      <c r="O51" s="4">
        <f>Table1[[#This Row],[Collects]]/Table1[[#This Row],[Views]]</f>
        <v>2.7472527472527475E-3</v>
      </c>
      <c r="P51" s="4">
        <f>Table1[[#This Row],[Views]]/Table1[[#This Row],[Age]]</f>
        <v>1.1097560975609757</v>
      </c>
      <c r="Q51" s="4">
        <f>Table1[[#This Row],[Downloads]]/Table1[[#This Row],[Age]]</f>
        <v>0.32621951219512196</v>
      </c>
      <c r="R51" s="4">
        <f>Table1[[#This Row],[Likes]]/Table1[[#This Row],[Age]]</f>
        <v>2.4390243902439025E-2</v>
      </c>
      <c r="S51" s="4">
        <f>Table1[[#This Row],[Collects]]/Table1[[#This Row],[Age]]</f>
        <v>3.0487804878048782E-3</v>
      </c>
      <c r="T51" s="4">
        <f>(4*Table1[[#This Row],[Collects]])+(3*Table1[[#This Row],[Likes]])+(2*Table1[[#This Row],[Downloads]])+Table1[[#This Row],[Views]]</f>
        <v>606</v>
      </c>
      <c r="U51" s="4">
        <f>Table1[[#This Row],[Score]]/Table1[[#This Row],[Age]]</f>
        <v>1.8475609756097562</v>
      </c>
      <c r="V51" s="4">
        <f>Table1[[#This Row],[Score]]/Table1[[#This Row],[Views]]</f>
        <v>1.6648351648351649</v>
      </c>
    </row>
    <row r="52" spans="1:22" x14ac:dyDescent="0.25">
      <c r="A52" s="1">
        <v>46113</v>
      </c>
      <c r="B52" t="s">
        <v>2</v>
      </c>
      <c r="C52" s="1">
        <v>45930</v>
      </c>
      <c r="D52" s="2">
        <f>Table1[[#This Row],[Date]]-Table1[[#This Row],[Published]]</f>
        <v>183</v>
      </c>
      <c r="E52" s="3">
        <v>261</v>
      </c>
      <c r="F52">
        <v>106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 s="4">
        <f>Table1[[#This Row],[Downloads]]/Table1[[#This Row],[Views]]</f>
        <v>0.4061302681992337</v>
      </c>
      <c r="N52" s="4">
        <f>Table1[[#This Row],[Likes]]/Table1[[#This Row],[Views]]</f>
        <v>1.9157088122605363E-2</v>
      </c>
      <c r="O52" s="4">
        <f>Table1[[#This Row],[Collects]]/Table1[[#This Row],[Views]]</f>
        <v>0</v>
      </c>
      <c r="P52" s="4">
        <f>Table1[[#This Row],[Views]]/Table1[[#This Row],[Age]]</f>
        <v>1.4262295081967213</v>
      </c>
      <c r="Q52" s="4">
        <f>Table1[[#This Row],[Downloads]]/Table1[[#This Row],[Age]]</f>
        <v>0.57923497267759561</v>
      </c>
      <c r="R52" s="4">
        <f>Table1[[#This Row],[Likes]]/Table1[[#This Row],[Age]]</f>
        <v>2.7322404371584699E-2</v>
      </c>
      <c r="S52" s="4">
        <f>Table1[[#This Row],[Collects]]/Table1[[#This Row],[Age]]</f>
        <v>0</v>
      </c>
      <c r="T52" s="4">
        <f>(4*Table1[[#This Row],[Collects]])+(3*Table1[[#This Row],[Likes]])+(2*Table1[[#This Row],[Downloads]])+Table1[[#This Row],[Views]]</f>
        <v>488</v>
      </c>
      <c r="U52" s="4">
        <f>Table1[[#This Row],[Score]]/Table1[[#This Row],[Age]]</f>
        <v>2.6666666666666665</v>
      </c>
      <c r="V52" s="4">
        <f>Table1[[#This Row],[Score]]/Table1[[#This Row],[Views]]</f>
        <v>1.8697318007662835</v>
      </c>
    </row>
    <row r="53" spans="1:22" x14ac:dyDescent="0.25">
      <c r="A53" s="1">
        <v>46113</v>
      </c>
      <c r="B53" t="s">
        <v>13</v>
      </c>
      <c r="C53" s="1">
        <v>45750</v>
      </c>
      <c r="D53" s="2">
        <f>Table1[[#This Row],[Date]]-Table1[[#This Row],[Published]]</f>
        <v>363</v>
      </c>
      <c r="E53" s="3">
        <v>175</v>
      </c>
      <c r="F53">
        <v>34</v>
      </c>
      <c r="G53">
        <v>3</v>
      </c>
      <c r="H53">
        <v>2</v>
      </c>
      <c r="I53">
        <v>0</v>
      </c>
      <c r="J53">
        <v>0</v>
      </c>
      <c r="K53">
        <v>0</v>
      </c>
      <c r="L53">
        <v>0</v>
      </c>
      <c r="M53" s="4">
        <f>Table1[[#This Row],[Downloads]]/Table1[[#This Row],[Views]]</f>
        <v>0.19428571428571428</v>
      </c>
      <c r="N53" s="4">
        <f>Table1[[#This Row],[Likes]]/Table1[[#This Row],[Views]]</f>
        <v>1.7142857142857144E-2</v>
      </c>
      <c r="O53" s="4">
        <f>Table1[[#This Row],[Collects]]/Table1[[#This Row],[Views]]</f>
        <v>1.1428571428571429E-2</v>
      </c>
      <c r="P53" s="4">
        <f>Table1[[#This Row],[Views]]/Table1[[#This Row],[Age]]</f>
        <v>0.48209366391184572</v>
      </c>
      <c r="Q53" s="4">
        <f>Table1[[#This Row],[Downloads]]/Table1[[#This Row],[Age]]</f>
        <v>9.366391184573003E-2</v>
      </c>
      <c r="R53" s="4">
        <f>Table1[[#This Row],[Likes]]/Table1[[#This Row],[Age]]</f>
        <v>8.2644628099173556E-3</v>
      </c>
      <c r="S53" s="4">
        <f>Table1[[#This Row],[Collects]]/Table1[[#This Row],[Age]]</f>
        <v>5.5096418732782371E-3</v>
      </c>
      <c r="T53" s="4">
        <f>(4*Table1[[#This Row],[Collects]])+(3*Table1[[#This Row],[Likes]])+(2*Table1[[#This Row],[Downloads]])+Table1[[#This Row],[Views]]</f>
        <v>260</v>
      </c>
      <c r="U53" s="4">
        <f>Table1[[#This Row],[Score]]/Table1[[#This Row],[Age]]</f>
        <v>0.71625344352617082</v>
      </c>
      <c r="V53" s="4">
        <f>Table1[[#This Row],[Score]]/Table1[[#This Row],[Views]]</f>
        <v>1.4857142857142858</v>
      </c>
    </row>
    <row r="54" spans="1:22" x14ac:dyDescent="0.25">
      <c r="A54" s="1">
        <v>46113</v>
      </c>
      <c r="B54" t="s">
        <v>3</v>
      </c>
      <c r="C54" s="1">
        <v>45932</v>
      </c>
      <c r="D54" s="2">
        <f>Table1[[#This Row],[Date]]-Table1[[#This Row],[Published]]</f>
        <v>181</v>
      </c>
      <c r="E54" s="3">
        <v>139</v>
      </c>
      <c r="F54">
        <v>16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 s="4">
        <f>Table1[[#This Row],[Downloads]]/Table1[[#This Row],[Views]]</f>
        <v>0.11510791366906475</v>
      </c>
      <c r="N54" s="4">
        <f>Table1[[#This Row],[Likes]]/Table1[[#This Row],[Views]]</f>
        <v>7.1942446043165471E-3</v>
      </c>
      <c r="O54" s="4">
        <f>Table1[[#This Row],[Collects]]/Table1[[#This Row],[Views]]</f>
        <v>7.1942446043165471E-3</v>
      </c>
      <c r="P54" s="4">
        <f>Table1[[#This Row],[Views]]/Table1[[#This Row],[Age]]</f>
        <v>0.76795580110497241</v>
      </c>
      <c r="Q54" s="4">
        <f>Table1[[#This Row],[Downloads]]/Table1[[#This Row],[Age]]</f>
        <v>8.8397790055248615E-2</v>
      </c>
      <c r="R54" s="4">
        <f>Table1[[#This Row],[Likes]]/Table1[[#This Row],[Age]]</f>
        <v>5.5248618784530384E-3</v>
      </c>
      <c r="S54" s="4">
        <f>Table1[[#This Row],[Collects]]/Table1[[#This Row],[Age]]</f>
        <v>5.5248618784530384E-3</v>
      </c>
      <c r="T54" s="4">
        <f>(4*Table1[[#This Row],[Collects]])+(3*Table1[[#This Row],[Likes]])+(2*Table1[[#This Row],[Downloads]])+Table1[[#This Row],[Views]]</f>
        <v>178</v>
      </c>
      <c r="U54" s="4">
        <f>Table1[[#This Row],[Score]]/Table1[[#This Row],[Age]]</f>
        <v>0.98342541436464093</v>
      </c>
      <c r="V54" s="4">
        <f>Table1[[#This Row],[Score]]/Table1[[#This Row],[Views]]</f>
        <v>1.2805755395683454</v>
      </c>
    </row>
    <row r="55" spans="1:22" x14ac:dyDescent="0.25">
      <c r="A55" s="1">
        <v>46113</v>
      </c>
      <c r="B55" t="s">
        <v>4</v>
      </c>
      <c r="C55" s="1">
        <v>46034</v>
      </c>
      <c r="D55" s="2">
        <f>Table1[[#This Row],[Date]]-Table1[[#This Row],[Published]]</f>
        <v>79</v>
      </c>
      <c r="E55" s="3">
        <v>110</v>
      </c>
      <c r="F55">
        <v>33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 s="4">
        <f>Table1[[#This Row],[Downloads]]/Table1[[#This Row],[Views]]</f>
        <v>0.3</v>
      </c>
      <c r="N55" s="4">
        <f>Table1[[#This Row],[Likes]]/Table1[[#This Row],[Views]]</f>
        <v>1.8181818181818181E-2</v>
      </c>
      <c r="O55" s="4">
        <f>Table1[[#This Row],[Collects]]/Table1[[#This Row],[Views]]</f>
        <v>0</v>
      </c>
      <c r="P55" s="4">
        <f>Table1[[#This Row],[Views]]/Table1[[#This Row],[Age]]</f>
        <v>1.3924050632911393</v>
      </c>
      <c r="Q55" s="4">
        <f>Table1[[#This Row],[Downloads]]/Table1[[#This Row],[Age]]</f>
        <v>0.41772151898734178</v>
      </c>
      <c r="R55" s="4">
        <f>Table1[[#This Row],[Likes]]/Table1[[#This Row],[Age]]</f>
        <v>2.5316455696202531E-2</v>
      </c>
      <c r="S55" s="4">
        <f>Table1[[#This Row],[Collects]]/Table1[[#This Row],[Age]]</f>
        <v>0</v>
      </c>
      <c r="T55" s="4">
        <f>(4*Table1[[#This Row],[Collects]])+(3*Table1[[#This Row],[Likes]])+(2*Table1[[#This Row],[Downloads]])+Table1[[#This Row],[Views]]</f>
        <v>182</v>
      </c>
      <c r="U55" s="4">
        <f>Table1[[#This Row],[Score]]/Table1[[#This Row],[Age]]</f>
        <v>2.3037974683544302</v>
      </c>
      <c r="V55" s="4">
        <f>Table1[[#This Row],[Score]]/Table1[[#This Row],[Views]]</f>
        <v>1.6545454545454545</v>
      </c>
    </row>
    <row r="56" spans="1:22" x14ac:dyDescent="0.25">
      <c r="A56" s="1">
        <v>46120</v>
      </c>
      <c r="B56" t="s">
        <v>0</v>
      </c>
      <c r="C56" s="1">
        <v>45784</v>
      </c>
      <c r="D56" s="2">
        <f>Table1[[#This Row],[Date]]-Table1[[#This Row],[Published]]</f>
        <v>336</v>
      </c>
      <c r="E56" s="3">
        <v>764</v>
      </c>
      <c r="F56">
        <v>181</v>
      </c>
      <c r="G56">
        <v>13</v>
      </c>
      <c r="H56">
        <v>5</v>
      </c>
      <c r="I56">
        <v>0</v>
      </c>
      <c r="J56">
        <v>0</v>
      </c>
      <c r="K56">
        <v>0</v>
      </c>
      <c r="L56">
        <v>0</v>
      </c>
      <c r="M56" s="4">
        <f>Table1[[#This Row],[Downloads]]/Table1[[#This Row],[Views]]</f>
        <v>0.23691099476439789</v>
      </c>
      <c r="N56" s="4">
        <f>Table1[[#This Row],[Likes]]/Table1[[#This Row],[Views]]</f>
        <v>1.7015706806282723E-2</v>
      </c>
      <c r="O56" s="4">
        <f>Table1[[#This Row],[Collects]]/Table1[[#This Row],[Views]]</f>
        <v>6.5445026178010471E-3</v>
      </c>
      <c r="P56" s="4">
        <f>Table1[[#This Row],[Views]]/Table1[[#This Row],[Age]]</f>
        <v>2.2738095238095237</v>
      </c>
      <c r="Q56" s="4">
        <f>Table1[[#This Row],[Downloads]]/Table1[[#This Row],[Age]]</f>
        <v>0.53869047619047616</v>
      </c>
      <c r="R56" s="4">
        <f>Table1[[#This Row],[Likes]]/Table1[[#This Row],[Age]]</f>
        <v>3.8690476190476192E-2</v>
      </c>
      <c r="S56" s="4">
        <f>Table1[[#This Row],[Collects]]/Table1[[#This Row],[Age]]</f>
        <v>1.488095238095238E-2</v>
      </c>
      <c r="T56" s="4">
        <f>(4*Table1[[#This Row],[Collects]])+(3*Table1[[#This Row],[Likes]])+(2*Table1[[#This Row],[Downloads]])+Table1[[#This Row],[Views]]</f>
        <v>1185</v>
      </c>
      <c r="U56" s="4">
        <f>Table1[[#This Row],[Score]]/Table1[[#This Row],[Age]]</f>
        <v>3.5267857142857144</v>
      </c>
      <c r="V56" s="4">
        <f>Table1[[#This Row],[Score]]/Table1[[#This Row],[Views]]</f>
        <v>1.5510471204188481</v>
      </c>
    </row>
    <row r="57" spans="1:22" x14ac:dyDescent="0.25">
      <c r="A57" s="1">
        <v>46120</v>
      </c>
      <c r="B57" t="s">
        <v>1</v>
      </c>
      <c r="C57" s="1">
        <v>45785</v>
      </c>
      <c r="D57" s="2">
        <f>Table1[[#This Row],[Date]]-Table1[[#This Row],[Published]]</f>
        <v>335</v>
      </c>
      <c r="E57" s="3">
        <v>369</v>
      </c>
      <c r="F57">
        <v>108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 s="4">
        <f>Table1[[#This Row],[Downloads]]/Table1[[#This Row],[Views]]</f>
        <v>0.29268292682926828</v>
      </c>
      <c r="N57" s="4">
        <f>Table1[[#This Row],[Likes]]/Table1[[#This Row],[Views]]</f>
        <v>2.1680216802168022E-2</v>
      </c>
      <c r="O57" s="4">
        <f>Table1[[#This Row],[Collects]]/Table1[[#This Row],[Views]]</f>
        <v>2.7100271002710027E-3</v>
      </c>
      <c r="P57" s="4">
        <f>Table1[[#This Row],[Views]]/Table1[[#This Row],[Age]]</f>
        <v>1.1014925373134328</v>
      </c>
      <c r="Q57" s="4">
        <f>Table1[[#This Row],[Downloads]]/Table1[[#This Row],[Age]]</f>
        <v>0.32238805970149254</v>
      </c>
      <c r="R57" s="4">
        <f>Table1[[#This Row],[Likes]]/Table1[[#This Row],[Age]]</f>
        <v>2.3880597014925373E-2</v>
      </c>
      <c r="S57" s="4">
        <f>Table1[[#This Row],[Collects]]/Table1[[#This Row],[Age]]</f>
        <v>2.9850746268656717E-3</v>
      </c>
      <c r="T57" s="4">
        <f>(4*Table1[[#This Row],[Collects]])+(3*Table1[[#This Row],[Likes]])+(2*Table1[[#This Row],[Downloads]])+Table1[[#This Row],[Views]]</f>
        <v>613</v>
      </c>
      <c r="U57" s="4">
        <f>Table1[[#This Row],[Score]]/Table1[[#This Row],[Age]]</f>
        <v>1.8298507462686566</v>
      </c>
      <c r="V57" s="4">
        <f>Table1[[#This Row],[Score]]/Table1[[#This Row],[Views]]</f>
        <v>1.6612466124661247</v>
      </c>
    </row>
    <row r="58" spans="1:22" x14ac:dyDescent="0.25">
      <c r="A58" s="1">
        <v>46120</v>
      </c>
      <c r="B58" t="s">
        <v>2</v>
      </c>
      <c r="C58" s="1">
        <v>45930</v>
      </c>
      <c r="D58" s="2">
        <f>Table1[[#This Row],[Date]]-Table1[[#This Row],[Published]]</f>
        <v>190</v>
      </c>
      <c r="E58" s="3">
        <v>263</v>
      </c>
      <c r="F58">
        <v>106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 s="4">
        <f>Table1[[#This Row],[Downloads]]/Table1[[#This Row],[Views]]</f>
        <v>0.40304182509505704</v>
      </c>
      <c r="N58" s="4">
        <f>Table1[[#This Row],[Likes]]/Table1[[#This Row],[Views]]</f>
        <v>2.2813688212927757E-2</v>
      </c>
      <c r="O58" s="4">
        <f>Table1[[#This Row],[Collects]]/Table1[[#This Row],[Views]]</f>
        <v>0</v>
      </c>
      <c r="P58" s="4">
        <f>Table1[[#This Row],[Views]]/Table1[[#This Row],[Age]]</f>
        <v>1.3842105263157896</v>
      </c>
      <c r="Q58" s="4">
        <f>Table1[[#This Row],[Downloads]]/Table1[[#This Row],[Age]]</f>
        <v>0.55789473684210522</v>
      </c>
      <c r="R58" s="4">
        <f>Table1[[#This Row],[Likes]]/Table1[[#This Row],[Age]]</f>
        <v>3.1578947368421054E-2</v>
      </c>
      <c r="S58" s="4">
        <f>Table1[[#This Row],[Collects]]/Table1[[#This Row],[Age]]</f>
        <v>0</v>
      </c>
      <c r="T58" s="4">
        <f>(4*Table1[[#This Row],[Collects]])+(3*Table1[[#This Row],[Likes]])+(2*Table1[[#This Row],[Downloads]])+Table1[[#This Row],[Views]]</f>
        <v>493</v>
      </c>
      <c r="U58" s="4">
        <f>Table1[[#This Row],[Score]]/Table1[[#This Row],[Age]]</f>
        <v>2.594736842105263</v>
      </c>
      <c r="V58" s="4">
        <f>Table1[[#This Row],[Score]]/Table1[[#This Row],[Views]]</f>
        <v>1.8745247148288973</v>
      </c>
    </row>
    <row r="59" spans="1:22" x14ac:dyDescent="0.25">
      <c r="A59" s="1">
        <v>46120</v>
      </c>
      <c r="B59" t="s">
        <v>13</v>
      </c>
      <c r="C59" s="1">
        <v>45750</v>
      </c>
      <c r="D59" s="2">
        <f>Table1[[#This Row],[Date]]-Table1[[#This Row],[Published]]</f>
        <v>370</v>
      </c>
      <c r="E59" s="3">
        <v>177</v>
      </c>
      <c r="F59">
        <v>34</v>
      </c>
      <c r="G59">
        <v>3</v>
      </c>
      <c r="H59">
        <v>2</v>
      </c>
      <c r="I59">
        <v>0</v>
      </c>
      <c r="J59">
        <v>0</v>
      </c>
      <c r="K59">
        <v>0</v>
      </c>
      <c r="L59">
        <v>0</v>
      </c>
      <c r="M59" s="4">
        <f>Table1[[#This Row],[Downloads]]/Table1[[#This Row],[Views]]</f>
        <v>0.19209039548022599</v>
      </c>
      <c r="N59" s="4">
        <f>Table1[[#This Row],[Likes]]/Table1[[#This Row],[Views]]</f>
        <v>1.6949152542372881E-2</v>
      </c>
      <c r="O59" s="4">
        <f>Table1[[#This Row],[Collects]]/Table1[[#This Row],[Views]]</f>
        <v>1.1299435028248588E-2</v>
      </c>
      <c r="P59" s="4">
        <f>Table1[[#This Row],[Views]]/Table1[[#This Row],[Age]]</f>
        <v>0.47837837837837838</v>
      </c>
      <c r="Q59" s="4">
        <f>Table1[[#This Row],[Downloads]]/Table1[[#This Row],[Age]]</f>
        <v>9.1891891891891897E-2</v>
      </c>
      <c r="R59" s="4">
        <f>Table1[[#This Row],[Likes]]/Table1[[#This Row],[Age]]</f>
        <v>8.1081081081081086E-3</v>
      </c>
      <c r="S59" s="4">
        <f>Table1[[#This Row],[Collects]]/Table1[[#This Row],[Age]]</f>
        <v>5.4054054054054057E-3</v>
      </c>
      <c r="T59" s="4">
        <f>(4*Table1[[#This Row],[Collects]])+(3*Table1[[#This Row],[Likes]])+(2*Table1[[#This Row],[Downloads]])+Table1[[#This Row],[Views]]</f>
        <v>262</v>
      </c>
      <c r="U59" s="4">
        <f>Table1[[#This Row],[Score]]/Table1[[#This Row],[Age]]</f>
        <v>0.70810810810810809</v>
      </c>
      <c r="V59" s="4">
        <f>Table1[[#This Row],[Score]]/Table1[[#This Row],[Views]]</f>
        <v>1.4802259887005649</v>
      </c>
    </row>
    <row r="60" spans="1:22" x14ac:dyDescent="0.25">
      <c r="A60" s="1">
        <v>46120</v>
      </c>
      <c r="B60" t="s">
        <v>3</v>
      </c>
      <c r="C60" s="1">
        <v>45932</v>
      </c>
      <c r="D60" s="2">
        <f>Table1[[#This Row],[Date]]-Table1[[#This Row],[Published]]</f>
        <v>188</v>
      </c>
      <c r="E60" s="3">
        <v>141</v>
      </c>
      <c r="F60">
        <v>17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 s="4">
        <f>Table1[[#This Row],[Downloads]]/Table1[[#This Row],[Views]]</f>
        <v>0.12056737588652482</v>
      </c>
      <c r="N60" s="4">
        <f>Table1[[#This Row],[Likes]]/Table1[[#This Row],[Views]]</f>
        <v>7.0921985815602835E-3</v>
      </c>
      <c r="O60" s="4">
        <f>Table1[[#This Row],[Collects]]/Table1[[#This Row],[Views]]</f>
        <v>7.0921985815602835E-3</v>
      </c>
      <c r="P60" s="4">
        <f>Table1[[#This Row],[Views]]/Table1[[#This Row],[Age]]</f>
        <v>0.75</v>
      </c>
      <c r="Q60" s="4">
        <f>Table1[[#This Row],[Downloads]]/Table1[[#This Row],[Age]]</f>
        <v>9.0425531914893623E-2</v>
      </c>
      <c r="R60" s="4">
        <f>Table1[[#This Row],[Likes]]/Table1[[#This Row],[Age]]</f>
        <v>5.3191489361702126E-3</v>
      </c>
      <c r="S60" s="4">
        <f>Table1[[#This Row],[Collects]]/Table1[[#This Row],[Age]]</f>
        <v>5.3191489361702126E-3</v>
      </c>
      <c r="T60" s="4">
        <f>(4*Table1[[#This Row],[Collects]])+(3*Table1[[#This Row],[Likes]])+(2*Table1[[#This Row],[Downloads]])+Table1[[#This Row],[Views]]</f>
        <v>182</v>
      </c>
      <c r="U60" s="4">
        <f>Table1[[#This Row],[Score]]/Table1[[#This Row],[Age]]</f>
        <v>0.96808510638297873</v>
      </c>
      <c r="V60" s="4">
        <f>Table1[[#This Row],[Score]]/Table1[[#This Row],[Views]]</f>
        <v>1.2907801418439717</v>
      </c>
    </row>
    <row r="61" spans="1:22" x14ac:dyDescent="0.25">
      <c r="A61" s="1">
        <v>46120</v>
      </c>
      <c r="B61" t="s">
        <v>4</v>
      </c>
      <c r="C61" s="1">
        <v>46034</v>
      </c>
      <c r="D61" s="2">
        <f>Table1[[#This Row],[Date]]-Table1[[#This Row],[Published]]</f>
        <v>86</v>
      </c>
      <c r="E61" s="3">
        <v>115</v>
      </c>
      <c r="F61">
        <v>35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 s="4">
        <f>Table1[[#This Row],[Downloads]]/Table1[[#This Row],[Views]]</f>
        <v>0.30434782608695654</v>
      </c>
      <c r="N61" s="4">
        <f>Table1[[#This Row],[Likes]]/Table1[[#This Row],[Views]]</f>
        <v>1.7391304347826087E-2</v>
      </c>
      <c r="O61" s="4">
        <f>Table1[[#This Row],[Collects]]/Table1[[#This Row],[Views]]</f>
        <v>0</v>
      </c>
      <c r="P61" s="4">
        <f>Table1[[#This Row],[Views]]/Table1[[#This Row],[Age]]</f>
        <v>1.3372093023255813</v>
      </c>
      <c r="Q61" s="4">
        <f>Table1[[#This Row],[Downloads]]/Table1[[#This Row],[Age]]</f>
        <v>0.40697674418604651</v>
      </c>
      <c r="R61" s="4">
        <f>Table1[[#This Row],[Likes]]/Table1[[#This Row],[Age]]</f>
        <v>2.3255813953488372E-2</v>
      </c>
      <c r="S61" s="4">
        <f>Table1[[#This Row],[Collects]]/Table1[[#This Row],[Age]]</f>
        <v>0</v>
      </c>
      <c r="T61" s="4">
        <f>(4*Table1[[#This Row],[Collects]])+(3*Table1[[#This Row],[Likes]])+(2*Table1[[#This Row],[Downloads]])+Table1[[#This Row],[Views]]</f>
        <v>191</v>
      </c>
      <c r="U61" s="4">
        <f>Table1[[#This Row],[Score]]/Table1[[#This Row],[Age]]</f>
        <v>2.2209302325581395</v>
      </c>
      <c r="V61" s="4">
        <f>Table1[[#This Row],[Score]]/Table1[[#This Row],[Views]]</f>
        <v>1.6608695652173913</v>
      </c>
    </row>
    <row r="62" spans="1:22" x14ac:dyDescent="0.25">
      <c r="A62" s="1">
        <v>46127</v>
      </c>
      <c r="B62" t="s">
        <v>0</v>
      </c>
      <c r="C62" s="1">
        <v>45784</v>
      </c>
      <c r="D62" s="2">
        <f>Table1[[#This Row],[Date]]-Table1[[#This Row],[Published]]</f>
        <v>343</v>
      </c>
      <c r="E62" s="3">
        <v>782</v>
      </c>
      <c r="F62">
        <v>184</v>
      </c>
      <c r="G62">
        <v>13</v>
      </c>
      <c r="H62">
        <v>5</v>
      </c>
      <c r="I62">
        <v>0</v>
      </c>
      <c r="J62">
        <v>0</v>
      </c>
      <c r="K62">
        <v>0</v>
      </c>
      <c r="L62">
        <v>0</v>
      </c>
      <c r="M62" s="4">
        <f>Table1[[#This Row],[Downloads]]/Table1[[#This Row],[Views]]</f>
        <v>0.23529411764705882</v>
      </c>
      <c r="N62" s="4">
        <f>Table1[[#This Row],[Likes]]/Table1[[#This Row],[Views]]</f>
        <v>1.6624040920716114E-2</v>
      </c>
      <c r="O62" s="4">
        <f>Table1[[#This Row],[Collects]]/Table1[[#This Row],[Views]]</f>
        <v>6.3938618925831201E-3</v>
      </c>
      <c r="P62" s="4">
        <f>Table1[[#This Row],[Views]]/Table1[[#This Row],[Age]]</f>
        <v>2.2798833819241984</v>
      </c>
      <c r="Q62" s="4">
        <f>Table1[[#This Row],[Downloads]]/Table1[[#This Row],[Age]]</f>
        <v>0.53644314868804666</v>
      </c>
      <c r="R62" s="4">
        <f>Table1[[#This Row],[Likes]]/Table1[[#This Row],[Age]]</f>
        <v>3.7900874635568516E-2</v>
      </c>
      <c r="S62" s="4">
        <f>Table1[[#This Row],[Collects]]/Table1[[#This Row],[Age]]</f>
        <v>1.4577259475218658E-2</v>
      </c>
      <c r="T62" s="4">
        <f>(4*Table1[[#This Row],[Collects]])+(3*Table1[[#This Row],[Likes]])+(2*Table1[[#This Row],[Downloads]])+Table1[[#This Row],[Views]]</f>
        <v>1209</v>
      </c>
      <c r="U62" s="4">
        <f>Table1[[#This Row],[Score]]/Table1[[#This Row],[Age]]</f>
        <v>3.5247813411078717</v>
      </c>
      <c r="V62" s="4">
        <f>Table1[[#This Row],[Score]]/Table1[[#This Row],[Views]]</f>
        <v>1.5460358056265984</v>
      </c>
    </row>
    <row r="63" spans="1:22" x14ac:dyDescent="0.25">
      <c r="A63" s="1">
        <v>46127</v>
      </c>
      <c r="B63" t="s">
        <v>1</v>
      </c>
      <c r="C63" s="1">
        <v>45785</v>
      </c>
      <c r="D63" s="2">
        <f>Table1[[#This Row],[Date]]-Table1[[#This Row],[Published]]</f>
        <v>342</v>
      </c>
      <c r="E63" s="3">
        <v>379</v>
      </c>
      <c r="F63">
        <v>111</v>
      </c>
      <c r="G63">
        <v>8</v>
      </c>
      <c r="H63">
        <v>1</v>
      </c>
      <c r="I63">
        <v>0</v>
      </c>
      <c r="J63">
        <v>0</v>
      </c>
      <c r="K63">
        <v>0</v>
      </c>
      <c r="L63">
        <v>0</v>
      </c>
      <c r="M63" s="4">
        <f>Table1[[#This Row],[Downloads]]/Table1[[#This Row],[Views]]</f>
        <v>0.29287598944591031</v>
      </c>
      <c r="N63" s="4">
        <f>Table1[[#This Row],[Likes]]/Table1[[#This Row],[Views]]</f>
        <v>2.1108179419525065E-2</v>
      </c>
      <c r="O63" s="4">
        <f>Table1[[#This Row],[Collects]]/Table1[[#This Row],[Views]]</f>
        <v>2.6385224274406332E-3</v>
      </c>
      <c r="P63" s="4">
        <f>Table1[[#This Row],[Views]]/Table1[[#This Row],[Age]]</f>
        <v>1.1081871345029239</v>
      </c>
      <c r="Q63" s="4">
        <f>Table1[[#This Row],[Downloads]]/Table1[[#This Row],[Age]]</f>
        <v>0.32456140350877194</v>
      </c>
      <c r="R63" s="4">
        <f>Table1[[#This Row],[Likes]]/Table1[[#This Row],[Age]]</f>
        <v>2.3391812865497075E-2</v>
      </c>
      <c r="S63" s="4">
        <f>Table1[[#This Row],[Collects]]/Table1[[#This Row],[Age]]</f>
        <v>2.9239766081871343E-3</v>
      </c>
      <c r="T63" s="4">
        <f>(4*Table1[[#This Row],[Collects]])+(3*Table1[[#This Row],[Likes]])+(2*Table1[[#This Row],[Downloads]])+Table1[[#This Row],[Views]]</f>
        <v>629</v>
      </c>
      <c r="U63" s="4">
        <f>Table1[[#This Row],[Score]]/Table1[[#This Row],[Age]]</f>
        <v>1.8391812865497077</v>
      </c>
      <c r="V63" s="4">
        <f>Table1[[#This Row],[Score]]/Table1[[#This Row],[Views]]</f>
        <v>1.6596306068601583</v>
      </c>
    </row>
    <row r="64" spans="1:22" x14ac:dyDescent="0.25">
      <c r="A64" s="1">
        <v>46127</v>
      </c>
      <c r="B64" t="s">
        <v>2</v>
      </c>
      <c r="C64" s="1">
        <v>45930</v>
      </c>
      <c r="D64" s="2">
        <f>Table1[[#This Row],[Date]]-Table1[[#This Row],[Published]]</f>
        <v>197</v>
      </c>
      <c r="E64" s="3">
        <v>272</v>
      </c>
      <c r="F64">
        <v>108</v>
      </c>
      <c r="G64">
        <v>6</v>
      </c>
      <c r="H64">
        <v>0</v>
      </c>
      <c r="I64">
        <v>0</v>
      </c>
      <c r="J64">
        <v>0</v>
      </c>
      <c r="K64">
        <v>0</v>
      </c>
      <c r="L64">
        <v>0</v>
      </c>
      <c r="M64" s="4">
        <f>Table1[[#This Row],[Downloads]]/Table1[[#This Row],[Views]]</f>
        <v>0.39705882352941174</v>
      </c>
      <c r="N64" s="4">
        <f>Table1[[#This Row],[Likes]]/Table1[[#This Row],[Views]]</f>
        <v>2.2058823529411766E-2</v>
      </c>
      <c r="O64" s="4">
        <f>Table1[[#This Row],[Collects]]/Table1[[#This Row],[Views]]</f>
        <v>0</v>
      </c>
      <c r="P64" s="4">
        <f>Table1[[#This Row],[Views]]/Table1[[#This Row],[Age]]</f>
        <v>1.3807106598984771</v>
      </c>
      <c r="Q64" s="4">
        <f>Table1[[#This Row],[Downloads]]/Table1[[#This Row],[Age]]</f>
        <v>0.54822335025380708</v>
      </c>
      <c r="R64" s="4">
        <f>Table1[[#This Row],[Likes]]/Table1[[#This Row],[Age]]</f>
        <v>3.0456852791878174E-2</v>
      </c>
      <c r="S64" s="4">
        <f>Table1[[#This Row],[Collects]]/Table1[[#This Row],[Age]]</f>
        <v>0</v>
      </c>
      <c r="T64" s="4">
        <f>(4*Table1[[#This Row],[Collects]])+(3*Table1[[#This Row],[Likes]])+(2*Table1[[#This Row],[Downloads]])+Table1[[#This Row],[Views]]</f>
        <v>506</v>
      </c>
      <c r="U64" s="4">
        <f>Table1[[#This Row],[Score]]/Table1[[#This Row],[Age]]</f>
        <v>2.5685279187817258</v>
      </c>
      <c r="V64" s="4">
        <f>Table1[[#This Row],[Score]]/Table1[[#This Row],[Views]]</f>
        <v>1.8602941176470589</v>
      </c>
    </row>
    <row r="65" spans="1:22" x14ac:dyDescent="0.25">
      <c r="A65" s="1">
        <v>46127</v>
      </c>
      <c r="B65" t="s">
        <v>13</v>
      </c>
      <c r="C65" s="1">
        <v>45750</v>
      </c>
      <c r="D65" s="2">
        <f>Table1[[#This Row],[Date]]-Table1[[#This Row],[Published]]</f>
        <v>377</v>
      </c>
      <c r="E65" s="3">
        <v>178</v>
      </c>
      <c r="F65">
        <v>35</v>
      </c>
      <c r="G65">
        <v>3</v>
      </c>
      <c r="H65">
        <v>2</v>
      </c>
      <c r="I65">
        <v>0</v>
      </c>
      <c r="J65">
        <v>0</v>
      </c>
      <c r="K65">
        <v>0</v>
      </c>
      <c r="L65">
        <v>0</v>
      </c>
      <c r="M65" s="4">
        <f>Table1[[#This Row],[Downloads]]/Table1[[#This Row],[Views]]</f>
        <v>0.19662921348314608</v>
      </c>
      <c r="N65" s="4">
        <f>Table1[[#This Row],[Likes]]/Table1[[#This Row],[Views]]</f>
        <v>1.6853932584269662E-2</v>
      </c>
      <c r="O65" s="4">
        <f>Table1[[#This Row],[Collects]]/Table1[[#This Row],[Views]]</f>
        <v>1.1235955056179775E-2</v>
      </c>
      <c r="P65" s="4">
        <f>Table1[[#This Row],[Views]]/Table1[[#This Row],[Age]]</f>
        <v>0.47214854111405835</v>
      </c>
      <c r="Q65" s="4">
        <f>Table1[[#This Row],[Downloads]]/Table1[[#This Row],[Age]]</f>
        <v>9.2838196286472149E-2</v>
      </c>
      <c r="R65" s="4">
        <f>Table1[[#This Row],[Likes]]/Table1[[#This Row],[Age]]</f>
        <v>7.9575596816976128E-3</v>
      </c>
      <c r="S65" s="4">
        <f>Table1[[#This Row],[Collects]]/Table1[[#This Row],[Age]]</f>
        <v>5.3050397877984082E-3</v>
      </c>
      <c r="T65" s="4">
        <f>(4*Table1[[#This Row],[Collects]])+(3*Table1[[#This Row],[Likes]])+(2*Table1[[#This Row],[Downloads]])+Table1[[#This Row],[Views]]</f>
        <v>265</v>
      </c>
      <c r="U65" s="4">
        <f>Table1[[#This Row],[Score]]/Table1[[#This Row],[Age]]</f>
        <v>0.70291777188328908</v>
      </c>
      <c r="V65" s="4">
        <f>Table1[[#This Row],[Score]]/Table1[[#This Row],[Views]]</f>
        <v>1.4887640449438202</v>
      </c>
    </row>
    <row r="66" spans="1:22" x14ac:dyDescent="0.25">
      <c r="A66" s="1">
        <v>46127</v>
      </c>
      <c r="B66" t="s">
        <v>3</v>
      </c>
      <c r="C66" s="1">
        <v>45932</v>
      </c>
      <c r="D66" s="2">
        <f>Table1[[#This Row],[Date]]-Table1[[#This Row],[Published]]</f>
        <v>195</v>
      </c>
      <c r="E66" s="3">
        <v>158</v>
      </c>
      <c r="F66">
        <v>23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 s="4">
        <f>Table1[[#This Row],[Downloads]]/Table1[[#This Row],[Views]]</f>
        <v>0.14556962025316456</v>
      </c>
      <c r="N66" s="4">
        <f>Table1[[#This Row],[Likes]]/Table1[[#This Row],[Views]]</f>
        <v>6.3291139240506328E-3</v>
      </c>
      <c r="O66" s="4">
        <f>Table1[[#This Row],[Collects]]/Table1[[#This Row],[Views]]</f>
        <v>6.3291139240506328E-3</v>
      </c>
      <c r="P66" s="4">
        <f>Table1[[#This Row],[Views]]/Table1[[#This Row],[Age]]</f>
        <v>0.81025641025641026</v>
      </c>
      <c r="Q66" s="4">
        <f>Table1[[#This Row],[Downloads]]/Table1[[#This Row],[Age]]</f>
        <v>0.11794871794871795</v>
      </c>
      <c r="R66" s="4">
        <f>Table1[[#This Row],[Likes]]/Table1[[#This Row],[Age]]</f>
        <v>5.1282051282051282E-3</v>
      </c>
      <c r="S66" s="4">
        <f>Table1[[#This Row],[Collects]]/Table1[[#This Row],[Age]]</f>
        <v>5.1282051282051282E-3</v>
      </c>
      <c r="T66" s="4">
        <f>(4*Table1[[#This Row],[Collects]])+(3*Table1[[#This Row],[Likes]])+(2*Table1[[#This Row],[Downloads]])+Table1[[#This Row],[Views]]</f>
        <v>211</v>
      </c>
      <c r="U66" s="4">
        <f>Table1[[#This Row],[Score]]/Table1[[#This Row],[Age]]</f>
        <v>1.082051282051282</v>
      </c>
      <c r="V66" s="4">
        <f>Table1[[#This Row],[Score]]/Table1[[#This Row],[Views]]</f>
        <v>1.3354430379746836</v>
      </c>
    </row>
    <row r="67" spans="1:22" x14ac:dyDescent="0.25">
      <c r="A67" s="1">
        <v>46127</v>
      </c>
      <c r="B67" t="s">
        <v>4</v>
      </c>
      <c r="C67" s="1">
        <v>46034</v>
      </c>
      <c r="D67" s="2">
        <f>Table1[[#This Row],[Date]]-Table1[[#This Row],[Published]]</f>
        <v>93</v>
      </c>
      <c r="E67" s="3">
        <v>122</v>
      </c>
      <c r="F67">
        <v>36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 s="4">
        <f>Table1[[#This Row],[Downloads]]/Table1[[#This Row],[Views]]</f>
        <v>0.29508196721311475</v>
      </c>
      <c r="N67" s="4">
        <f>Table1[[#This Row],[Likes]]/Table1[[#This Row],[Views]]</f>
        <v>1.6393442622950821E-2</v>
      </c>
      <c r="O67" s="4">
        <f>Table1[[#This Row],[Collects]]/Table1[[#This Row],[Views]]</f>
        <v>0</v>
      </c>
      <c r="P67" s="4">
        <f>Table1[[#This Row],[Views]]/Table1[[#This Row],[Age]]</f>
        <v>1.3118279569892473</v>
      </c>
      <c r="Q67" s="4">
        <f>Table1[[#This Row],[Downloads]]/Table1[[#This Row],[Age]]</f>
        <v>0.38709677419354838</v>
      </c>
      <c r="R67" s="4">
        <f>Table1[[#This Row],[Likes]]/Table1[[#This Row],[Age]]</f>
        <v>2.1505376344086023E-2</v>
      </c>
      <c r="S67" s="4">
        <f>Table1[[#This Row],[Collects]]/Table1[[#This Row],[Age]]</f>
        <v>0</v>
      </c>
      <c r="T67" s="4">
        <f>(4*Table1[[#This Row],[Collects]])+(3*Table1[[#This Row],[Likes]])+(2*Table1[[#This Row],[Downloads]])+Table1[[#This Row],[Views]]</f>
        <v>200</v>
      </c>
      <c r="U67" s="4">
        <f>Table1[[#This Row],[Score]]/Table1[[#This Row],[Age]]</f>
        <v>2.150537634408602</v>
      </c>
      <c r="V67" s="4">
        <f>Table1[[#This Row],[Score]]/Table1[[#This Row],[Views]]</f>
        <v>1.639344262295082</v>
      </c>
    </row>
    <row r="68" spans="1:22" x14ac:dyDescent="0.25">
      <c r="A68" s="1">
        <v>46134</v>
      </c>
      <c r="B68" t="s">
        <v>0</v>
      </c>
      <c r="C68" s="1">
        <v>45784</v>
      </c>
      <c r="D68" s="2">
        <f>Table1[[#This Row],[Date]]-Table1[[#This Row],[Published]]</f>
        <v>350</v>
      </c>
      <c r="E68" s="3">
        <v>799</v>
      </c>
      <c r="F68">
        <v>189</v>
      </c>
      <c r="G68">
        <v>13</v>
      </c>
      <c r="H68">
        <v>5</v>
      </c>
      <c r="I68">
        <v>0</v>
      </c>
      <c r="J68">
        <v>0</v>
      </c>
      <c r="K68">
        <v>0</v>
      </c>
      <c r="L68">
        <v>0</v>
      </c>
      <c r="M68" s="4">
        <f>Table1[[#This Row],[Downloads]]/Table1[[#This Row],[Views]]</f>
        <v>0.23654568210262827</v>
      </c>
      <c r="N68" s="4">
        <f>Table1[[#This Row],[Likes]]/Table1[[#This Row],[Views]]</f>
        <v>1.6270337922403004E-2</v>
      </c>
      <c r="O68" s="4">
        <f>Table1[[#This Row],[Collects]]/Table1[[#This Row],[Views]]</f>
        <v>6.2578222778473091E-3</v>
      </c>
      <c r="P68" s="4">
        <f>Table1[[#This Row],[Views]]/Table1[[#This Row],[Age]]</f>
        <v>2.2828571428571429</v>
      </c>
      <c r="Q68" s="4">
        <f>Table1[[#This Row],[Downloads]]/Table1[[#This Row],[Age]]</f>
        <v>0.54</v>
      </c>
      <c r="R68" s="4">
        <f>Table1[[#This Row],[Likes]]/Table1[[#This Row],[Age]]</f>
        <v>3.7142857142857144E-2</v>
      </c>
      <c r="S68" s="4">
        <f>Table1[[#This Row],[Collects]]/Table1[[#This Row],[Age]]</f>
        <v>1.4285714285714285E-2</v>
      </c>
      <c r="T68" s="4">
        <f>(4*Table1[[#This Row],[Collects]])+(3*Table1[[#This Row],[Likes]])+(2*Table1[[#This Row],[Downloads]])+Table1[[#This Row],[Views]]</f>
        <v>1236</v>
      </c>
      <c r="U68" s="4">
        <f>Table1[[#This Row],[Score]]/Table1[[#This Row],[Age]]</f>
        <v>3.5314285714285716</v>
      </c>
      <c r="V68" s="4">
        <f>Table1[[#This Row],[Score]]/Table1[[#This Row],[Views]]</f>
        <v>1.5469336670838547</v>
      </c>
    </row>
    <row r="69" spans="1:22" x14ac:dyDescent="0.25">
      <c r="A69" s="1">
        <v>46134</v>
      </c>
      <c r="B69" t="s">
        <v>1</v>
      </c>
      <c r="C69" s="1">
        <v>45785</v>
      </c>
      <c r="D69" s="2">
        <f>Table1[[#This Row],[Date]]-Table1[[#This Row],[Published]]</f>
        <v>349</v>
      </c>
      <c r="E69" s="3">
        <v>388</v>
      </c>
      <c r="F69">
        <v>111</v>
      </c>
      <c r="G69">
        <v>8</v>
      </c>
      <c r="H69">
        <v>1</v>
      </c>
      <c r="I69">
        <v>0</v>
      </c>
      <c r="J69">
        <v>0</v>
      </c>
      <c r="K69">
        <v>0</v>
      </c>
      <c r="L69">
        <v>0</v>
      </c>
      <c r="M69" s="4">
        <f>Table1[[#This Row],[Downloads]]/Table1[[#This Row],[Views]]</f>
        <v>0.28608247422680411</v>
      </c>
      <c r="N69" s="4">
        <f>Table1[[#This Row],[Likes]]/Table1[[#This Row],[Views]]</f>
        <v>2.0618556701030927E-2</v>
      </c>
      <c r="O69" s="4">
        <f>Table1[[#This Row],[Collects]]/Table1[[#This Row],[Views]]</f>
        <v>2.5773195876288659E-3</v>
      </c>
      <c r="P69" s="4">
        <f>Table1[[#This Row],[Views]]/Table1[[#This Row],[Age]]</f>
        <v>1.1117478510028653</v>
      </c>
      <c r="Q69" s="4">
        <f>Table1[[#This Row],[Downloads]]/Table1[[#This Row],[Age]]</f>
        <v>0.31805157593123207</v>
      </c>
      <c r="R69" s="4">
        <f>Table1[[#This Row],[Likes]]/Table1[[#This Row],[Age]]</f>
        <v>2.2922636103151862E-2</v>
      </c>
      <c r="S69" s="4">
        <f>Table1[[#This Row],[Collects]]/Table1[[#This Row],[Age]]</f>
        <v>2.8653295128939827E-3</v>
      </c>
      <c r="T69" s="4">
        <f>(4*Table1[[#This Row],[Collects]])+(3*Table1[[#This Row],[Likes]])+(2*Table1[[#This Row],[Downloads]])+Table1[[#This Row],[Views]]</f>
        <v>638</v>
      </c>
      <c r="U69" s="4">
        <f>Table1[[#This Row],[Score]]/Table1[[#This Row],[Age]]</f>
        <v>1.8280802292263609</v>
      </c>
      <c r="V69" s="4">
        <f>Table1[[#This Row],[Score]]/Table1[[#This Row],[Views]]</f>
        <v>1.6443298969072164</v>
      </c>
    </row>
    <row r="70" spans="1:22" x14ac:dyDescent="0.25">
      <c r="A70" s="1">
        <v>46134</v>
      </c>
      <c r="B70" t="s">
        <v>2</v>
      </c>
      <c r="C70" s="1">
        <v>45930</v>
      </c>
      <c r="D70" s="2">
        <f>Table1[[#This Row],[Date]]-Table1[[#This Row],[Published]]</f>
        <v>204</v>
      </c>
      <c r="E70" s="3">
        <v>278</v>
      </c>
      <c r="F70">
        <v>110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  <c r="M70" s="4">
        <f>Table1[[#This Row],[Downloads]]/Table1[[#This Row],[Views]]</f>
        <v>0.39568345323741005</v>
      </c>
      <c r="N70" s="4">
        <f>Table1[[#This Row],[Likes]]/Table1[[#This Row],[Views]]</f>
        <v>2.1582733812949641E-2</v>
      </c>
      <c r="O70" s="4">
        <f>Table1[[#This Row],[Collects]]/Table1[[#This Row],[Views]]</f>
        <v>0</v>
      </c>
      <c r="P70" s="4">
        <f>Table1[[#This Row],[Views]]/Table1[[#This Row],[Age]]</f>
        <v>1.3627450980392157</v>
      </c>
      <c r="Q70" s="4">
        <f>Table1[[#This Row],[Downloads]]/Table1[[#This Row],[Age]]</f>
        <v>0.53921568627450978</v>
      </c>
      <c r="R70" s="4">
        <f>Table1[[#This Row],[Likes]]/Table1[[#This Row],[Age]]</f>
        <v>2.9411764705882353E-2</v>
      </c>
      <c r="S70" s="4">
        <f>Table1[[#This Row],[Collects]]/Table1[[#This Row],[Age]]</f>
        <v>0</v>
      </c>
      <c r="T70" s="4">
        <f>(4*Table1[[#This Row],[Collects]])+(3*Table1[[#This Row],[Likes]])+(2*Table1[[#This Row],[Downloads]])+Table1[[#This Row],[Views]]</f>
        <v>516</v>
      </c>
      <c r="U70" s="4">
        <f>Table1[[#This Row],[Score]]/Table1[[#This Row],[Age]]</f>
        <v>2.5294117647058822</v>
      </c>
      <c r="V70" s="4">
        <f>Table1[[#This Row],[Score]]/Table1[[#This Row],[Views]]</f>
        <v>1.8561151079136691</v>
      </c>
    </row>
    <row r="71" spans="1:22" x14ac:dyDescent="0.25">
      <c r="A71" s="1">
        <v>46134</v>
      </c>
      <c r="B71" t="s">
        <v>13</v>
      </c>
      <c r="C71" s="1">
        <v>45750</v>
      </c>
      <c r="D71" s="2">
        <f>Table1[[#This Row],[Date]]-Table1[[#This Row],[Published]]</f>
        <v>384</v>
      </c>
      <c r="E71" s="3">
        <v>181</v>
      </c>
      <c r="F71">
        <v>37</v>
      </c>
      <c r="G71">
        <v>3</v>
      </c>
      <c r="H71">
        <v>2</v>
      </c>
      <c r="I71">
        <v>0</v>
      </c>
      <c r="J71">
        <v>0</v>
      </c>
      <c r="K71">
        <v>0</v>
      </c>
      <c r="L71">
        <v>0</v>
      </c>
      <c r="M71" s="4">
        <f>Table1[[#This Row],[Downloads]]/Table1[[#This Row],[Views]]</f>
        <v>0.20441988950276244</v>
      </c>
      <c r="N71" s="4">
        <f>Table1[[#This Row],[Likes]]/Table1[[#This Row],[Views]]</f>
        <v>1.6574585635359115E-2</v>
      </c>
      <c r="O71" s="4">
        <f>Table1[[#This Row],[Collects]]/Table1[[#This Row],[Views]]</f>
        <v>1.1049723756906077E-2</v>
      </c>
      <c r="P71" s="4">
        <f>Table1[[#This Row],[Views]]/Table1[[#This Row],[Age]]</f>
        <v>0.47135416666666669</v>
      </c>
      <c r="Q71" s="4">
        <f>Table1[[#This Row],[Downloads]]/Table1[[#This Row],[Age]]</f>
        <v>9.6354166666666671E-2</v>
      </c>
      <c r="R71" s="4">
        <f>Table1[[#This Row],[Likes]]/Table1[[#This Row],[Age]]</f>
        <v>7.8125E-3</v>
      </c>
      <c r="S71" s="4">
        <f>Table1[[#This Row],[Collects]]/Table1[[#This Row],[Age]]</f>
        <v>5.208333333333333E-3</v>
      </c>
      <c r="T71" s="4">
        <f>(4*Table1[[#This Row],[Collects]])+(3*Table1[[#This Row],[Likes]])+(2*Table1[[#This Row],[Downloads]])+Table1[[#This Row],[Views]]</f>
        <v>272</v>
      </c>
      <c r="U71" s="4">
        <f>Table1[[#This Row],[Score]]/Table1[[#This Row],[Age]]</f>
        <v>0.70833333333333337</v>
      </c>
      <c r="V71" s="4">
        <f>Table1[[#This Row],[Score]]/Table1[[#This Row],[Views]]</f>
        <v>1.5027624309392265</v>
      </c>
    </row>
    <row r="72" spans="1:22" x14ac:dyDescent="0.25">
      <c r="A72" s="1">
        <v>46134</v>
      </c>
      <c r="B72" t="s">
        <v>3</v>
      </c>
      <c r="C72" s="1">
        <v>45932</v>
      </c>
      <c r="D72" s="2">
        <f>Table1[[#This Row],[Date]]-Table1[[#This Row],[Published]]</f>
        <v>202</v>
      </c>
      <c r="E72" s="3">
        <v>161</v>
      </c>
      <c r="F72">
        <v>23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 s="4">
        <f>Table1[[#This Row],[Downloads]]/Table1[[#This Row],[Views]]</f>
        <v>0.14285714285714285</v>
      </c>
      <c r="N72" s="4">
        <f>Table1[[#This Row],[Likes]]/Table1[[#This Row],[Views]]</f>
        <v>6.2111801242236021E-3</v>
      </c>
      <c r="O72" s="4">
        <f>Table1[[#This Row],[Collects]]/Table1[[#This Row],[Views]]</f>
        <v>6.2111801242236021E-3</v>
      </c>
      <c r="P72" s="4">
        <f>Table1[[#This Row],[Views]]/Table1[[#This Row],[Age]]</f>
        <v>0.79702970297029707</v>
      </c>
      <c r="Q72" s="4">
        <f>Table1[[#This Row],[Downloads]]/Table1[[#This Row],[Age]]</f>
        <v>0.11386138613861387</v>
      </c>
      <c r="R72" s="4">
        <f>Table1[[#This Row],[Likes]]/Table1[[#This Row],[Age]]</f>
        <v>4.9504950495049506E-3</v>
      </c>
      <c r="S72" s="4">
        <f>Table1[[#This Row],[Collects]]/Table1[[#This Row],[Age]]</f>
        <v>4.9504950495049506E-3</v>
      </c>
      <c r="T72" s="4">
        <f>(4*Table1[[#This Row],[Collects]])+(3*Table1[[#This Row],[Likes]])+(2*Table1[[#This Row],[Downloads]])+Table1[[#This Row],[Views]]</f>
        <v>214</v>
      </c>
      <c r="U72" s="4">
        <f>Table1[[#This Row],[Score]]/Table1[[#This Row],[Age]]</f>
        <v>1.0594059405940595</v>
      </c>
      <c r="V72" s="4">
        <f>Table1[[#This Row],[Score]]/Table1[[#This Row],[Views]]</f>
        <v>1.329192546583851</v>
      </c>
    </row>
    <row r="73" spans="1:22" x14ac:dyDescent="0.25">
      <c r="A73" s="1">
        <v>46134</v>
      </c>
      <c r="B73" t="s">
        <v>4</v>
      </c>
      <c r="C73" s="1">
        <v>46034</v>
      </c>
      <c r="D73" s="2">
        <f>Table1[[#This Row],[Date]]-Table1[[#This Row],[Published]]</f>
        <v>100</v>
      </c>
      <c r="E73" s="3">
        <v>126</v>
      </c>
      <c r="F73">
        <v>61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 s="4">
        <f>Table1[[#This Row],[Downloads]]/Table1[[#This Row],[Views]]</f>
        <v>0.48412698412698413</v>
      </c>
      <c r="N73" s="4">
        <f>Table1[[#This Row],[Likes]]/Table1[[#This Row],[Views]]</f>
        <v>1.5873015873015872E-2</v>
      </c>
      <c r="O73" s="4">
        <f>Table1[[#This Row],[Collects]]/Table1[[#This Row],[Views]]</f>
        <v>0</v>
      </c>
      <c r="P73" s="4">
        <f>Table1[[#This Row],[Views]]/Table1[[#This Row],[Age]]</f>
        <v>1.26</v>
      </c>
      <c r="Q73" s="4">
        <f>Table1[[#This Row],[Downloads]]/Table1[[#This Row],[Age]]</f>
        <v>0.61</v>
      </c>
      <c r="R73" s="4">
        <f>Table1[[#This Row],[Likes]]/Table1[[#This Row],[Age]]</f>
        <v>0.02</v>
      </c>
      <c r="S73" s="4">
        <f>Table1[[#This Row],[Collects]]/Table1[[#This Row],[Age]]</f>
        <v>0</v>
      </c>
      <c r="T73" s="4">
        <f>(4*Table1[[#This Row],[Collects]])+(3*Table1[[#This Row],[Likes]])+(2*Table1[[#This Row],[Downloads]])+Table1[[#This Row],[Views]]</f>
        <v>254</v>
      </c>
      <c r="U73" s="4">
        <f>Table1[[#This Row],[Score]]/Table1[[#This Row],[Age]]</f>
        <v>2.54</v>
      </c>
      <c r="V73" s="4">
        <f>Table1[[#This Row],[Score]]/Table1[[#This Row],[Views]]</f>
        <v>2.0158730158730158</v>
      </c>
    </row>
    <row r="74" spans="1:22" x14ac:dyDescent="0.25">
      <c r="A74" s="1">
        <v>46141</v>
      </c>
      <c r="B74" t="s">
        <v>0</v>
      </c>
      <c r="C74" s="1">
        <v>45784</v>
      </c>
      <c r="D74" s="2">
        <f>Table1[[#This Row],[Date]]-Table1[[#This Row],[Published]]</f>
        <v>357</v>
      </c>
      <c r="E74" s="3">
        <v>819</v>
      </c>
      <c r="F74">
        <v>198</v>
      </c>
      <c r="G74">
        <v>13</v>
      </c>
      <c r="H74">
        <v>5</v>
      </c>
      <c r="I74">
        <v>0</v>
      </c>
      <c r="J74">
        <v>0</v>
      </c>
      <c r="K74">
        <v>0</v>
      </c>
      <c r="L74">
        <v>0</v>
      </c>
      <c r="M74" s="4">
        <f>Table1[[#This Row],[Downloads]]/Table1[[#This Row],[Views]]</f>
        <v>0.24175824175824176</v>
      </c>
      <c r="N74" s="4">
        <f>Table1[[#This Row],[Likes]]/Table1[[#This Row],[Views]]</f>
        <v>1.5873015873015872E-2</v>
      </c>
      <c r="O74" s="4">
        <f>Table1[[#This Row],[Collects]]/Table1[[#This Row],[Views]]</f>
        <v>6.105006105006105E-3</v>
      </c>
      <c r="P74" s="4">
        <f>Table1[[#This Row],[Views]]/Table1[[#This Row],[Age]]</f>
        <v>2.2941176470588234</v>
      </c>
      <c r="Q74" s="4">
        <f>Table1[[#This Row],[Downloads]]/Table1[[#This Row],[Age]]</f>
        <v>0.55462184873949583</v>
      </c>
      <c r="R74" s="4">
        <f>Table1[[#This Row],[Likes]]/Table1[[#This Row],[Age]]</f>
        <v>3.6414565826330535E-2</v>
      </c>
      <c r="S74" s="4">
        <f>Table1[[#This Row],[Collects]]/Table1[[#This Row],[Age]]</f>
        <v>1.4005602240896359E-2</v>
      </c>
      <c r="T74" s="4">
        <f>(4*Table1[[#This Row],[Collects]])+(3*Table1[[#This Row],[Likes]])+(2*Table1[[#This Row],[Downloads]])+Table1[[#This Row],[Views]]</f>
        <v>1274</v>
      </c>
      <c r="U74" s="4">
        <f>Table1[[#This Row],[Score]]/Table1[[#This Row],[Age]]</f>
        <v>3.5686274509803924</v>
      </c>
      <c r="V74" s="4">
        <f>Table1[[#This Row],[Score]]/Table1[[#This Row],[Views]]</f>
        <v>1.5555555555555556</v>
      </c>
    </row>
    <row r="75" spans="1:22" x14ac:dyDescent="0.25">
      <c r="A75" s="1">
        <v>46141</v>
      </c>
      <c r="B75" t="s">
        <v>1</v>
      </c>
      <c r="C75" s="1">
        <v>45785</v>
      </c>
      <c r="D75" s="2">
        <f>Table1[[#This Row],[Date]]-Table1[[#This Row],[Published]]</f>
        <v>356</v>
      </c>
      <c r="E75" s="3">
        <v>392</v>
      </c>
      <c r="F75">
        <v>111</v>
      </c>
      <c r="G75">
        <v>8</v>
      </c>
      <c r="H75">
        <v>1</v>
      </c>
      <c r="I75">
        <v>0</v>
      </c>
      <c r="J75">
        <v>0</v>
      </c>
      <c r="K75">
        <v>0</v>
      </c>
      <c r="L75">
        <v>0</v>
      </c>
      <c r="M75" s="4">
        <f>Table1[[#This Row],[Downloads]]/Table1[[#This Row],[Views]]</f>
        <v>0.28316326530612246</v>
      </c>
      <c r="N75" s="4">
        <f>Table1[[#This Row],[Likes]]/Table1[[#This Row],[Views]]</f>
        <v>2.0408163265306121E-2</v>
      </c>
      <c r="O75" s="4">
        <f>Table1[[#This Row],[Collects]]/Table1[[#This Row],[Views]]</f>
        <v>2.5510204081632651E-3</v>
      </c>
      <c r="P75" s="4">
        <f>Table1[[#This Row],[Views]]/Table1[[#This Row],[Age]]</f>
        <v>1.101123595505618</v>
      </c>
      <c r="Q75" s="4">
        <f>Table1[[#This Row],[Downloads]]/Table1[[#This Row],[Age]]</f>
        <v>0.31179775280898875</v>
      </c>
      <c r="R75" s="4">
        <f>Table1[[#This Row],[Likes]]/Table1[[#This Row],[Age]]</f>
        <v>2.247191011235955E-2</v>
      </c>
      <c r="S75" s="4">
        <f>Table1[[#This Row],[Collects]]/Table1[[#This Row],[Age]]</f>
        <v>2.8089887640449437E-3</v>
      </c>
      <c r="T75" s="4">
        <f>(4*Table1[[#This Row],[Collects]])+(3*Table1[[#This Row],[Likes]])+(2*Table1[[#This Row],[Downloads]])+Table1[[#This Row],[Views]]</f>
        <v>642</v>
      </c>
      <c r="U75" s="4">
        <f>Table1[[#This Row],[Score]]/Table1[[#This Row],[Age]]</f>
        <v>1.803370786516854</v>
      </c>
      <c r="V75" s="4">
        <f>Table1[[#This Row],[Score]]/Table1[[#This Row],[Views]]</f>
        <v>1.6377551020408163</v>
      </c>
    </row>
    <row r="76" spans="1:22" x14ac:dyDescent="0.25">
      <c r="A76" s="1">
        <v>46141</v>
      </c>
      <c r="B76" t="s">
        <v>2</v>
      </c>
      <c r="C76" s="1">
        <v>45930</v>
      </c>
      <c r="D76" s="2">
        <f>Table1[[#This Row],[Date]]-Table1[[#This Row],[Published]]</f>
        <v>211</v>
      </c>
      <c r="E76" s="3">
        <v>307</v>
      </c>
      <c r="F76">
        <v>184</v>
      </c>
      <c r="G76">
        <v>7</v>
      </c>
      <c r="H76">
        <v>0</v>
      </c>
      <c r="I76">
        <v>0</v>
      </c>
      <c r="J76">
        <v>0</v>
      </c>
      <c r="K76">
        <v>0</v>
      </c>
      <c r="L76">
        <v>0</v>
      </c>
      <c r="M76" s="4">
        <f>Table1[[#This Row],[Downloads]]/Table1[[#This Row],[Views]]</f>
        <v>0.59934853420195444</v>
      </c>
      <c r="N76" s="4">
        <f>Table1[[#This Row],[Likes]]/Table1[[#This Row],[Views]]</f>
        <v>2.2801302931596091E-2</v>
      </c>
      <c r="O76" s="4">
        <f>Table1[[#This Row],[Collects]]/Table1[[#This Row],[Views]]</f>
        <v>0</v>
      </c>
      <c r="P76" s="4">
        <f>Table1[[#This Row],[Views]]/Table1[[#This Row],[Age]]</f>
        <v>1.4549763033175356</v>
      </c>
      <c r="Q76" s="4">
        <f>Table1[[#This Row],[Downloads]]/Table1[[#This Row],[Age]]</f>
        <v>0.87203791469194314</v>
      </c>
      <c r="R76" s="4">
        <f>Table1[[#This Row],[Likes]]/Table1[[#This Row],[Age]]</f>
        <v>3.3175355450236969E-2</v>
      </c>
      <c r="S76" s="4">
        <f>Table1[[#This Row],[Collects]]/Table1[[#This Row],[Age]]</f>
        <v>0</v>
      </c>
      <c r="T76" s="4">
        <f>(4*Table1[[#This Row],[Collects]])+(3*Table1[[#This Row],[Likes]])+(2*Table1[[#This Row],[Downloads]])+Table1[[#This Row],[Views]]</f>
        <v>696</v>
      </c>
      <c r="U76" s="4">
        <f>Table1[[#This Row],[Score]]/Table1[[#This Row],[Age]]</f>
        <v>3.2985781990521326</v>
      </c>
      <c r="V76" s="4">
        <f>Table1[[#This Row],[Score]]/Table1[[#This Row],[Views]]</f>
        <v>2.2671009771986972</v>
      </c>
    </row>
    <row r="77" spans="1:22" x14ac:dyDescent="0.25">
      <c r="A77" s="1">
        <v>46141</v>
      </c>
      <c r="B77" t="s">
        <v>13</v>
      </c>
      <c r="C77" s="1">
        <v>45750</v>
      </c>
      <c r="D77" s="2">
        <f>Table1[[#This Row],[Date]]-Table1[[#This Row],[Published]]</f>
        <v>391</v>
      </c>
      <c r="E77" s="3">
        <v>184</v>
      </c>
      <c r="F77">
        <v>37</v>
      </c>
      <c r="G77">
        <v>3</v>
      </c>
      <c r="H77">
        <v>2</v>
      </c>
      <c r="I77">
        <v>0</v>
      </c>
      <c r="J77">
        <v>0</v>
      </c>
      <c r="K77">
        <v>0</v>
      </c>
      <c r="L77">
        <v>0</v>
      </c>
      <c r="M77" s="4">
        <f>Table1[[#This Row],[Downloads]]/Table1[[#This Row],[Views]]</f>
        <v>0.20108695652173914</v>
      </c>
      <c r="N77" s="4">
        <f>Table1[[#This Row],[Likes]]/Table1[[#This Row],[Views]]</f>
        <v>1.6304347826086956E-2</v>
      </c>
      <c r="O77" s="4">
        <f>Table1[[#This Row],[Collects]]/Table1[[#This Row],[Views]]</f>
        <v>1.0869565217391304E-2</v>
      </c>
      <c r="P77" s="4">
        <f>Table1[[#This Row],[Views]]/Table1[[#This Row],[Age]]</f>
        <v>0.47058823529411764</v>
      </c>
      <c r="Q77" s="4">
        <f>Table1[[#This Row],[Downloads]]/Table1[[#This Row],[Age]]</f>
        <v>9.4629156010230184E-2</v>
      </c>
      <c r="R77" s="4">
        <f>Table1[[#This Row],[Likes]]/Table1[[#This Row],[Age]]</f>
        <v>7.6726342710997444E-3</v>
      </c>
      <c r="S77" s="4">
        <f>Table1[[#This Row],[Collects]]/Table1[[#This Row],[Age]]</f>
        <v>5.1150895140664966E-3</v>
      </c>
      <c r="T77" s="4">
        <f>(4*Table1[[#This Row],[Collects]])+(3*Table1[[#This Row],[Likes]])+(2*Table1[[#This Row],[Downloads]])+Table1[[#This Row],[Views]]</f>
        <v>275</v>
      </c>
      <c r="U77" s="4">
        <f>Table1[[#This Row],[Score]]/Table1[[#This Row],[Age]]</f>
        <v>0.70332480818414322</v>
      </c>
      <c r="V77" s="4">
        <f>Table1[[#This Row],[Score]]/Table1[[#This Row],[Views]]</f>
        <v>1.4945652173913044</v>
      </c>
    </row>
    <row r="78" spans="1:22" x14ac:dyDescent="0.25">
      <c r="A78" s="1">
        <v>46141</v>
      </c>
      <c r="B78" t="s">
        <v>3</v>
      </c>
      <c r="C78" s="1">
        <v>45932</v>
      </c>
      <c r="D78" s="2">
        <f>Table1[[#This Row],[Date]]-Table1[[#This Row],[Published]]</f>
        <v>209</v>
      </c>
      <c r="E78" s="3">
        <v>163</v>
      </c>
      <c r="F78">
        <v>23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 s="4">
        <f>Table1[[#This Row],[Downloads]]/Table1[[#This Row],[Views]]</f>
        <v>0.1411042944785276</v>
      </c>
      <c r="N78" s="4">
        <f>Table1[[#This Row],[Likes]]/Table1[[#This Row],[Views]]</f>
        <v>6.1349693251533744E-3</v>
      </c>
      <c r="O78" s="4">
        <f>Table1[[#This Row],[Collects]]/Table1[[#This Row],[Views]]</f>
        <v>6.1349693251533744E-3</v>
      </c>
      <c r="P78" s="4">
        <f>Table1[[#This Row],[Views]]/Table1[[#This Row],[Age]]</f>
        <v>0.77990430622009566</v>
      </c>
      <c r="Q78" s="4">
        <f>Table1[[#This Row],[Downloads]]/Table1[[#This Row],[Age]]</f>
        <v>0.11004784688995216</v>
      </c>
      <c r="R78" s="4">
        <f>Table1[[#This Row],[Likes]]/Table1[[#This Row],[Age]]</f>
        <v>4.7846889952153108E-3</v>
      </c>
      <c r="S78" s="4">
        <f>Table1[[#This Row],[Collects]]/Table1[[#This Row],[Age]]</f>
        <v>4.7846889952153108E-3</v>
      </c>
      <c r="T78" s="4">
        <f>(4*Table1[[#This Row],[Collects]])+(3*Table1[[#This Row],[Likes]])+(2*Table1[[#This Row],[Downloads]])+Table1[[#This Row],[Views]]</f>
        <v>216</v>
      </c>
      <c r="U78" s="4">
        <f>Table1[[#This Row],[Score]]/Table1[[#This Row],[Age]]</f>
        <v>1.0334928229665072</v>
      </c>
      <c r="V78" s="4">
        <f>Table1[[#This Row],[Score]]/Table1[[#This Row],[Views]]</f>
        <v>1.3251533742331287</v>
      </c>
    </row>
    <row r="79" spans="1:22" x14ac:dyDescent="0.25">
      <c r="A79" s="1">
        <v>46141</v>
      </c>
      <c r="B79" t="s">
        <v>4</v>
      </c>
      <c r="C79" s="1">
        <v>46034</v>
      </c>
      <c r="D79" s="2">
        <f>Table1[[#This Row],[Date]]-Table1[[#This Row],[Published]]</f>
        <v>107</v>
      </c>
      <c r="E79" s="3">
        <v>129</v>
      </c>
      <c r="F79">
        <v>63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 s="4">
        <f>Table1[[#This Row],[Downloads]]/Table1[[#This Row],[Views]]</f>
        <v>0.48837209302325579</v>
      </c>
      <c r="N79" s="4">
        <f>Table1[[#This Row],[Likes]]/Table1[[#This Row],[Views]]</f>
        <v>1.5503875968992248E-2</v>
      </c>
      <c r="O79" s="4">
        <f>Table1[[#This Row],[Collects]]/Table1[[#This Row],[Views]]</f>
        <v>0</v>
      </c>
      <c r="P79" s="4">
        <f>Table1[[#This Row],[Views]]/Table1[[#This Row],[Age]]</f>
        <v>1.205607476635514</v>
      </c>
      <c r="Q79" s="4">
        <f>Table1[[#This Row],[Downloads]]/Table1[[#This Row],[Age]]</f>
        <v>0.58878504672897192</v>
      </c>
      <c r="R79" s="4">
        <f>Table1[[#This Row],[Likes]]/Table1[[#This Row],[Age]]</f>
        <v>1.8691588785046728E-2</v>
      </c>
      <c r="S79" s="4">
        <f>Table1[[#This Row],[Collects]]/Table1[[#This Row],[Age]]</f>
        <v>0</v>
      </c>
      <c r="T79" s="4">
        <f>(4*Table1[[#This Row],[Collects]])+(3*Table1[[#This Row],[Likes]])+(2*Table1[[#This Row],[Downloads]])+Table1[[#This Row],[Views]]</f>
        <v>261</v>
      </c>
      <c r="U79" s="4">
        <f>Table1[[#This Row],[Score]]/Table1[[#This Row],[Age]]</f>
        <v>2.4392523364485981</v>
      </c>
      <c r="V79" s="4">
        <f>Table1[[#This Row],[Score]]/Table1[[#This Row],[Views]]</f>
        <v>2.0232558139534884</v>
      </c>
    </row>
    <row r="80" spans="1:22" x14ac:dyDescent="0.25">
      <c r="A80" s="1">
        <v>46148</v>
      </c>
      <c r="B80" t="s">
        <v>0</v>
      </c>
      <c r="C80" s="1">
        <v>45784</v>
      </c>
      <c r="D80" s="2">
        <f>Table1[[#This Row],[Date]]-Table1[[#This Row],[Published]]</f>
        <v>364</v>
      </c>
      <c r="E80" s="3">
        <v>839</v>
      </c>
      <c r="F80">
        <v>206</v>
      </c>
      <c r="G80">
        <v>13</v>
      </c>
      <c r="H80">
        <v>5</v>
      </c>
      <c r="I80">
        <v>0</v>
      </c>
      <c r="J80">
        <v>0</v>
      </c>
      <c r="K80">
        <v>0</v>
      </c>
      <c r="L80">
        <v>0</v>
      </c>
      <c r="M80" s="4">
        <f>Table1[[#This Row],[Downloads]]/Table1[[#This Row],[Views]]</f>
        <v>0.24553039332538737</v>
      </c>
      <c r="N80" s="4">
        <f>Table1[[#This Row],[Likes]]/Table1[[#This Row],[Views]]</f>
        <v>1.5494636471990465E-2</v>
      </c>
      <c r="O80" s="4">
        <f>Table1[[#This Row],[Collects]]/Table1[[#This Row],[Views]]</f>
        <v>5.9594755661501785E-3</v>
      </c>
      <c r="P80" s="4">
        <f>Table1[[#This Row],[Views]]/Table1[[#This Row],[Age]]</f>
        <v>2.3049450549450547</v>
      </c>
      <c r="Q80" s="4">
        <f>Table1[[#This Row],[Downloads]]/Table1[[#This Row],[Age]]</f>
        <v>0.56593406593406592</v>
      </c>
      <c r="R80" s="4">
        <f>Table1[[#This Row],[Likes]]/Table1[[#This Row],[Age]]</f>
        <v>3.5714285714285712E-2</v>
      </c>
      <c r="S80" s="4">
        <f>Table1[[#This Row],[Collects]]/Table1[[#This Row],[Age]]</f>
        <v>1.3736263736263736E-2</v>
      </c>
      <c r="T80" s="4">
        <f>(4*Table1[[#This Row],[Collects]])+(3*Table1[[#This Row],[Likes]])+(2*Table1[[#This Row],[Downloads]])+Table1[[#This Row],[Views]]</f>
        <v>1310</v>
      </c>
      <c r="U80" s="4">
        <f>Table1[[#This Row],[Score]]/Table1[[#This Row],[Age]]</f>
        <v>3.598901098901099</v>
      </c>
      <c r="V80" s="4">
        <f>Table1[[#This Row],[Score]]/Table1[[#This Row],[Views]]</f>
        <v>1.5613825983313467</v>
      </c>
    </row>
    <row r="81" spans="1:22" x14ac:dyDescent="0.25">
      <c r="A81" s="1">
        <v>46148</v>
      </c>
      <c r="B81" t="s">
        <v>1</v>
      </c>
      <c r="C81" s="1">
        <v>45785</v>
      </c>
      <c r="D81" s="2">
        <f>Table1[[#This Row],[Date]]-Table1[[#This Row],[Published]]</f>
        <v>363</v>
      </c>
      <c r="E81" s="3">
        <v>403</v>
      </c>
      <c r="F81">
        <v>124</v>
      </c>
      <c r="G81">
        <v>8</v>
      </c>
      <c r="H81">
        <v>1</v>
      </c>
      <c r="I81">
        <v>0</v>
      </c>
      <c r="J81">
        <v>0</v>
      </c>
      <c r="K81">
        <v>0</v>
      </c>
      <c r="L81">
        <v>0</v>
      </c>
      <c r="M81" s="4">
        <f>Table1[[#This Row],[Downloads]]/Table1[[#This Row],[Views]]</f>
        <v>0.30769230769230771</v>
      </c>
      <c r="N81" s="4">
        <f>Table1[[#This Row],[Likes]]/Table1[[#This Row],[Views]]</f>
        <v>1.9851116625310174E-2</v>
      </c>
      <c r="O81" s="4">
        <f>Table1[[#This Row],[Collects]]/Table1[[#This Row],[Views]]</f>
        <v>2.4813895781637717E-3</v>
      </c>
      <c r="P81" s="4">
        <f>Table1[[#This Row],[Views]]/Table1[[#This Row],[Age]]</f>
        <v>1.1101928374655647</v>
      </c>
      <c r="Q81" s="4">
        <f>Table1[[#This Row],[Downloads]]/Table1[[#This Row],[Age]]</f>
        <v>0.3415977961432507</v>
      </c>
      <c r="R81" s="4">
        <f>Table1[[#This Row],[Likes]]/Table1[[#This Row],[Age]]</f>
        <v>2.2038567493112948E-2</v>
      </c>
      <c r="S81" s="4">
        <f>Table1[[#This Row],[Collects]]/Table1[[#This Row],[Age]]</f>
        <v>2.7548209366391185E-3</v>
      </c>
      <c r="T81" s="4">
        <f>(4*Table1[[#This Row],[Collects]])+(3*Table1[[#This Row],[Likes]])+(2*Table1[[#This Row],[Downloads]])+Table1[[#This Row],[Views]]</f>
        <v>679</v>
      </c>
      <c r="U81" s="4">
        <f>Table1[[#This Row],[Score]]/Table1[[#This Row],[Age]]</f>
        <v>1.8705234159779613</v>
      </c>
      <c r="V81" s="4">
        <f>Table1[[#This Row],[Score]]/Table1[[#This Row],[Views]]</f>
        <v>1.684863523573201</v>
      </c>
    </row>
    <row r="82" spans="1:22" x14ac:dyDescent="0.25">
      <c r="A82" s="1">
        <v>46148</v>
      </c>
      <c r="B82" t="s">
        <v>2</v>
      </c>
      <c r="C82" s="1">
        <v>45930</v>
      </c>
      <c r="D82" s="2">
        <f>Table1[[#This Row],[Date]]-Table1[[#This Row],[Published]]</f>
        <v>218</v>
      </c>
      <c r="E82" s="3">
        <v>327</v>
      </c>
      <c r="F82">
        <v>200</v>
      </c>
      <c r="G82">
        <v>8</v>
      </c>
      <c r="H82">
        <v>0</v>
      </c>
      <c r="I82">
        <v>0</v>
      </c>
      <c r="J82">
        <v>0</v>
      </c>
      <c r="K82">
        <v>0</v>
      </c>
      <c r="L82">
        <v>0</v>
      </c>
      <c r="M82" s="4">
        <f>Table1[[#This Row],[Downloads]]/Table1[[#This Row],[Views]]</f>
        <v>0.6116207951070336</v>
      </c>
      <c r="N82" s="4">
        <f>Table1[[#This Row],[Likes]]/Table1[[#This Row],[Views]]</f>
        <v>2.4464831804281346E-2</v>
      </c>
      <c r="O82" s="4">
        <f>Table1[[#This Row],[Collects]]/Table1[[#This Row],[Views]]</f>
        <v>0</v>
      </c>
      <c r="P82" s="4">
        <f>Table1[[#This Row],[Views]]/Table1[[#This Row],[Age]]</f>
        <v>1.5</v>
      </c>
      <c r="Q82" s="4">
        <f>Table1[[#This Row],[Downloads]]/Table1[[#This Row],[Age]]</f>
        <v>0.91743119266055051</v>
      </c>
      <c r="R82" s="4">
        <f>Table1[[#This Row],[Likes]]/Table1[[#This Row],[Age]]</f>
        <v>3.669724770642202E-2</v>
      </c>
      <c r="S82" s="4">
        <f>Table1[[#This Row],[Collects]]/Table1[[#This Row],[Age]]</f>
        <v>0</v>
      </c>
      <c r="T82" s="4">
        <f>(4*Table1[[#This Row],[Collects]])+(3*Table1[[#This Row],[Likes]])+(2*Table1[[#This Row],[Downloads]])+Table1[[#This Row],[Views]]</f>
        <v>751</v>
      </c>
      <c r="U82" s="4">
        <f>Table1[[#This Row],[Score]]/Table1[[#This Row],[Age]]</f>
        <v>3.4449541284403669</v>
      </c>
      <c r="V82" s="4">
        <f>Table1[[#This Row],[Score]]/Table1[[#This Row],[Views]]</f>
        <v>2.2966360856269112</v>
      </c>
    </row>
    <row r="83" spans="1:22" x14ac:dyDescent="0.25">
      <c r="A83" s="1">
        <v>46148</v>
      </c>
      <c r="B83" t="s">
        <v>13</v>
      </c>
      <c r="C83" s="1">
        <v>45750</v>
      </c>
      <c r="D83" s="2">
        <f>Table1[[#This Row],[Date]]-Table1[[#This Row],[Published]]</f>
        <v>398</v>
      </c>
      <c r="E83" s="3">
        <v>190</v>
      </c>
      <c r="F83">
        <v>39</v>
      </c>
      <c r="G83">
        <v>3</v>
      </c>
      <c r="H83">
        <v>2</v>
      </c>
      <c r="I83">
        <v>0</v>
      </c>
      <c r="J83">
        <v>0</v>
      </c>
      <c r="K83">
        <v>0</v>
      </c>
      <c r="L83">
        <v>0</v>
      </c>
      <c r="M83" s="4">
        <f>Table1[[#This Row],[Downloads]]/Table1[[#This Row],[Views]]</f>
        <v>0.20526315789473684</v>
      </c>
      <c r="N83" s="4">
        <f>Table1[[#This Row],[Likes]]/Table1[[#This Row],[Views]]</f>
        <v>1.5789473684210527E-2</v>
      </c>
      <c r="O83" s="4">
        <f>Table1[[#This Row],[Collects]]/Table1[[#This Row],[Views]]</f>
        <v>1.0526315789473684E-2</v>
      </c>
      <c r="P83" s="4">
        <f>Table1[[#This Row],[Views]]/Table1[[#This Row],[Age]]</f>
        <v>0.47738693467336685</v>
      </c>
      <c r="Q83" s="4">
        <f>Table1[[#This Row],[Downloads]]/Table1[[#This Row],[Age]]</f>
        <v>9.7989949748743713E-2</v>
      </c>
      <c r="R83" s="4">
        <f>Table1[[#This Row],[Likes]]/Table1[[#This Row],[Age]]</f>
        <v>7.537688442211055E-3</v>
      </c>
      <c r="S83" s="4">
        <f>Table1[[#This Row],[Collects]]/Table1[[#This Row],[Age]]</f>
        <v>5.0251256281407036E-3</v>
      </c>
      <c r="T83" s="4">
        <f>(4*Table1[[#This Row],[Collects]])+(3*Table1[[#This Row],[Likes]])+(2*Table1[[#This Row],[Downloads]])+Table1[[#This Row],[Views]]</f>
        <v>285</v>
      </c>
      <c r="U83" s="4">
        <f>Table1[[#This Row],[Score]]/Table1[[#This Row],[Age]]</f>
        <v>0.7160804020100503</v>
      </c>
      <c r="V83" s="4">
        <f>Table1[[#This Row],[Score]]/Table1[[#This Row],[Views]]</f>
        <v>1.5</v>
      </c>
    </row>
    <row r="84" spans="1:22" x14ac:dyDescent="0.25">
      <c r="A84" s="1">
        <v>46148</v>
      </c>
      <c r="B84" t="s">
        <v>3</v>
      </c>
      <c r="C84" s="1">
        <v>45932</v>
      </c>
      <c r="D84" s="2">
        <f>Table1[[#This Row],[Date]]-Table1[[#This Row],[Published]]</f>
        <v>216</v>
      </c>
      <c r="E84" s="3">
        <v>166</v>
      </c>
      <c r="F84">
        <v>23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 s="4">
        <f>Table1[[#This Row],[Downloads]]/Table1[[#This Row],[Views]]</f>
        <v>0.13855421686746988</v>
      </c>
      <c r="N84" s="4">
        <f>Table1[[#This Row],[Likes]]/Table1[[#This Row],[Views]]</f>
        <v>6.024096385542169E-3</v>
      </c>
      <c r="O84" s="4">
        <f>Table1[[#This Row],[Collects]]/Table1[[#This Row],[Views]]</f>
        <v>6.024096385542169E-3</v>
      </c>
      <c r="P84" s="4">
        <f>Table1[[#This Row],[Views]]/Table1[[#This Row],[Age]]</f>
        <v>0.76851851851851849</v>
      </c>
      <c r="Q84" s="4">
        <f>Table1[[#This Row],[Downloads]]/Table1[[#This Row],[Age]]</f>
        <v>0.10648148148148148</v>
      </c>
      <c r="R84" s="4">
        <f>Table1[[#This Row],[Likes]]/Table1[[#This Row],[Age]]</f>
        <v>4.6296296296296294E-3</v>
      </c>
      <c r="S84" s="4">
        <f>Table1[[#This Row],[Collects]]/Table1[[#This Row],[Age]]</f>
        <v>4.6296296296296294E-3</v>
      </c>
      <c r="T84" s="4">
        <f>(4*Table1[[#This Row],[Collects]])+(3*Table1[[#This Row],[Likes]])+(2*Table1[[#This Row],[Downloads]])+Table1[[#This Row],[Views]]</f>
        <v>219</v>
      </c>
      <c r="U84" s="4">
        <f>Table1[[#This Row],[Score]]/Table1[[#This Row],[Age]]</f>
        <v>1.0138888888888888</v>
      </c>
      <c r="V84" s="4">
        <f>Table1[[#This Row],[Score]]/Table1[[#This Row],[Views]]</f>
        <v>1.3192771084337349</v>
      </c>
    </row>
    <row r="85" spans="1:22" x14ac:dyDescent="0.25">
      <c r="A85" s="1">
        <v>46148</v>
      </c>
      <c r="B85" t="s">
        <v>4</v>
      </c>
      <c r="C85" s="1">
        <v>46034</v>
      </c>
      <c r="D85" s="2">
        <f>Table1[[#This Row],[Date]]-Table1[[#This Row],[Published]]</f>
        <v>114</v>
      </c>
      <c r="E85" s="3">
        <v>130</v>
      </c>
      <c r="F85">
        <v>63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 s="4">
        <f>Table1[[#This Row],[Downloads]]/Table1[[#This Row],[Views]]</f>
        <v>0.48461538461538461</v>
      </c>
      <c r="N85" s="4">
        <f>Table1[[#This Row],[Likes]]/Table1[[#This Row],[Views]]</f>
        <v>1.5384615384615385E-2</v>
      </c>
      <c r="O85" s="4">
        <f>Table1[[#This Row],[Collects]]/Table1[[#This Row],[Views]]</f>
        <v>0</v>
      </c>
      <c r="P85" s="4">
        <f>Table1[[#This Row],[Views]]/Table1[[#This Row],[Age]]</f>
        <v>1.1403508771929824</v>
      </c>
      <c r="Q85" s="4">
        <f>Table1[[#This Row],[Downloads]]/Table1[[#This Row],[Age]]</f>
        <v>0.55263157894736847</v>
      </c>
      <c r="R85" s="4">
        <f>Table1[[#This Row],[Likes]]/Table1[[#This Row],[Age]]</f>
        <v>1.7543859649122806E-2</v>
      </c>
      <c r="S85" s="4">
        <f>Table1[[#This Row],[Collects]]/Table1[[#This Row],[Age]]</f>
        <v>0</v>
      </c>
      <c r="T85" s="4">
        <f>(4*Table1[[#This Row],[Collects]])+(3*Table1[[#This Row],[Likes]])+(2*Table1[[#This Row],[Downloads]])+Table1[[#This Row],[Views]]</f>
        <v>262</v>
      </c>
      <c r="U85" s="4">
        <f>Table1[[#This Row],[Score]]/Table1[[#This Row],[Age]]</f>
        <v>2.2982456140350878</v>
      </c>
      <c r="V85" s="4">
        <f>Table1[[#This Row],[Score]]/Table1[[#This Row],[Views]]</f>
        <v>2.0153846153846153</v>
      </c>
    </row>
    <row r="86" spans="1:22" x14ac:dyDescent="0.25">
      <c r="A86" s="1">
        <v>46155</v>
      </c>
      <c r="B86" t="s">
        <v>0</v>
      </c>
      <c r="C86" s="1">
        <v>45784</v>
      </c>
      <c r="D86" s="2">
        <f>Table1[[#This Row],[Date]]-Table1[[#This Row],[Published]]</f>
        <v>371</v>
      </c>
      <c r="E86" s="3">
        <v>845</v>
      </c>
      <c r="F86">
        <v>207</v>
      </c>
      <c r="G86">
        <v>13</v>
      </c>
      <c r="H86">
        <v>5</v>
      </c>
      <c r="I86">
        <v>0</v>
      </c>
      <c r="J86">
        <v>0</v>
      </c>
      <c r="K86">
        <v>0</v>
      </c>
      <c r="L86">
        <v>0</v>
      </c>
      <c r="M86" s="4">
        <f>Table1[[#This Row],[Downloads]]/Table1[[#This Row],[Views]]</f>
        <v>0.24497041420118343</v>
      </c>
      <c r="N86" s="4">
        <f>Table1[[#This Row],[Likes]]/Table1[[#This Row],[Views]]</f>
        <v>1.5384615384615385E-2</v>
      </c>
      <c r="O86" s="4">
        <f>Table1[[#This Row],[Collects]]/Table1[[#This Row],[Views]]</f>
        <v>5.9171597633136093E-3</v>
      </c>
      <c r="P86" s="4">
        <f>Table1[[#This Row],[Views]]/Table1[[#This Row],[Age]]</f>
        <v>2.2776280323450133</v>
      </c>
      <c r="Q86" s="4">
        <f>Table1[[#This Row],[Downloads]]/Table1[[#This Row],[Age]]</f>
        <v>0.55795148247978432</v>
      </c>
      <c r="R86" s="4">
        <f>Table1[[#This Row],[Likes]]/Table1[[#This Row],[Age]]</f>
        <v>3.5040431266846361E-2</v>
      </c>
      <c r="S86" s="4">
        <f>Table1[[#This Row],[Collects]]/Table1[[#This Row],[Age]]</f>
        <v>1.3477088948787063E-2</v>
      </c>
      <c r="T86" s="4">
        <f>(4*Table1[[#This Row],[Collects]])+(3*Table1[[#This Row],[Likes]])+(2*Table1[[#This Row],[Downloads]])+Table1[[#This Row],[Views]]</f>
        <v>1318</v>
      </c>
      <c r="U86" s="4">
        <f>Table1[[#This Row],[Score]]/Table1[[#This Row],[Age]]</f>
        <v>3.5525606469002695</v>
      </c>
      <c r="V86" s="4">
        <f>Table1[[#This Row],[Score]]/Table1[[#This Row],[Views]]</f>
        <v>1.5597633136094675</v>
      </c>
    </row>
    <row r="87" spans="1:22" x14ac:dyDescent="0.25">
      <c r="A87" s="1">
        <v>46155</v>
      </c>
      <c r="B87" t="s">
        <v>1</v>
      </c>
      <c r="C87" s="1">
        <v>45785</v>
      </c>
      <c r="D87" s="2">
        <f>Table1[[#This Row],[Date]]-Table1[[#This Row],[Published]]</f>
        <v>370</v>
      </c>
      <c r="E87" s="3">
        <v>413</v>
      </c>
      <c r="F87">
        <v>126</v>
      </c>
      <c r="G87">
        <v>8</v>
      </c>
      <c r="H87">
        <v>1</v>
      </c>
      <c r="I87">
        <v>0</v>
      </c>
      <c r="J87">
        <v>0</v>
      </c>
      <c r="K87">
        <v>0</v>
      </c>
      <c r="L87">
        <v>0</v>
      </c>
      <c r="M87" s="4">
        <f>Table1[[#This Row],[Downloads]]/Table1[[#This Row],[Views]]</f>
        <v>0.30508474576271188</v>
      </c>
      <c r="N87" s="4">
        <f>Table1[[#This Row],[Likes]]/Table1[[#This Row],[Views]]</f>
        <v>1.9370460048426151E-2</v>
      </c>
      <c r="O87" s="4">
        <f>Table1[[#This Row],[Collects]]/Table1[[#This Row],[Views]]</f>
        <v>2.4213075060532689E-3</v>
      </c>
      <c r="P87" s="4">
        <f>Table1[[#This Row],[Views]]/Table1[[#This Row],[Age]]</f>
        <v>1.1162162162162161</v>
      </c>
      <c r="Q87" s="4">
        <f>Table1[[#This Row],[Downloads]]/Table1[[#This Row],[Age]]</f>
        <v>0.34054054054054056</v>
      </c>
      <c r="R87" s="4">
        <f>Table1[[#This Row],[Likes]]/Table1[[#This Row],[Age]]</f>
        <v>2.1621621621621623E-2</v>
      </c>
      <c r="S87" s="4">
        <f>Table1[[#This Row],[Collects]]/Table1[[#This Row],[Age]]</f>
        <v>2.7027027027027029E-3</v>
      </c>
      <c r="T87" s="4">
        <f>(4*Table1[[#This Row],[Collects]])+(3*Table1[[#This Row],[Likes]])+(2*Table1[[#This Row],[Downloads]])+Table1[[#This Row],[Views]]</f>
        <v>693</v>
      </c>
      <c r="U87" s="4">
        <f>Table1[[#This Row],[Score]]/Table1[[#This Row],[Age]]</f>
        <v>1.8729729729729729</v>
      </c>
      <c r="V87" s="4">
        <f>Table1[[#This Row],[Score]]/Table1[[#This Row],[Views]]</f>
        <v>1.6779661016949152</v>
      </c>
    </row>
    <row r="88" spans="1:22" x14ac:dyDescent="0.25">
      <c r="A88" s="1">
        <v>46155</v>
      </c>
      <c r="B88" t="s">
        <v>2</v>
      </c>
      <c r="C88" s="1">
        <v>45930</v>
      </c>
      <c r="D88" s="2">
        <f>Table1[[#This Row],[Date]]-Table1[[#This Row],[Published]]</f>
        <v>225</v>
      </c>
      <c r="E88" s="3">
        <v>336</v>
      </c>
      <c r="F88">
        <v>201</v>
      </c>
      <c r="G88">
        <v>8</v>
      </c>
      <c r="H88">
        <v>0</v>
      </c>
      <c r="I88">
        <v>0</v>
      </c>
      <c r="J88">
        <v>0</v>
      </c>
      <c r="K88">
        <v>0</v>
      </c>
      <c r="L88">
        <v>0</v>
      </c>
      <c r="M88" s="4">
        <f>Table1[[#This Row],[Downloads]]/Table1[[#This Row],[Views]]</f>
        <v>0.5982142857142857</v>
      </c>
      <c r="N88" s="4">
        <f>Table1[[#This Row],[Likes]]/Table1[[#This Row],[Views]]</f>
        <v>2.3809523809523808E-2</v>
      </c>
      <c r="O88" s="4">
        <f>Table1[[#This Row],[Collects]]/Table1[[#This Row],[Views]]</f>
        <v>0</v>
      </c>
      <c r="P88" s="4">
        <f>Table1[[#This Row],[Views]]/Table1[[#This Row],[Age]]</f>
        <v>1.4933333333333334</v>
      </c>
      <c r="Q88" s="4">
        <f>Table1[[#This Row],[Downloads]]/Table1[[#This Row],[Age]]</f>
        <v>0.89333333333333331</v>
      </c>
      <c r="R88" s="4">
        <f>Table1[[#This Row],[Likes]]/Table1[[#This Row],[Age]]</f>
        <v>3.5555555555555556E-2</v>
      </c>
      <c r="S88" s="4">
        <f>Table1[[#This Row],[Collects]]/Table1[[#This Row],[Age]]</f>
        <v>0</v>
      </c>
      <c r="T88" s="4">
        <f>(4*Table1[[#This Row],[Collects]])+(3*Table1[[#This Row],[Likes]])+(2*Table1[[#This Row],[Downloads]])+Table1[[#This Row],[Views]]</f>
        <v>762</v>
      </c>
      <c r="U88" s="4">
        <f>Table1[[#This Row],[Score]]/Table1[[#This Row],[Age]]</f>
        <v>3.3866666666666667</v>
      </c>
      <c r="V88" s="4">
        <f>Table1[[#This Row],[Score]]/Table1[[#This Row],[Views]]</f>
        <v>2.2678571428571428</v>
      </c>
    </row>
    <row r="89" spans="1:22" x14ac:dyDescent="0.25">
      <c r="A89" s="1">
        <v>46155</v>
      </c>
      <c r="B89" t="s">
        <v>13</v>
      </c>
      <c r="C89" s="1">
        <v>45750</v>
      </c>
      <c r="D89" s="2">
        <f>Table1[[#This Row],[Date]]-Table1[[#This Row],[Published]]</f>
        <v>405</v>
      </c>
      <c r="E89" s="3">
        <v>190</v>
      </c>
      <c r="F89">
        <v>39</v>
      </c>
      <c r="G89">
        <v>3</v>
      </c>
      <c r="H89">
        <v>2</v>
      </c>
      <c r="I89">
        <v>0</v>
      </c>
      <c r="J89">
        <v>0</v>
      </c>
      <c r="K89">
        <v>0</v>
      </c>
      <c r="L89">
        <v>0</v>
      </c>
      <c r="M89" s="4">
        <f>Table1[[#This Row],[Downloads]]/Table1[[#This Row],[Views]]</f>
        <v>0.20526315789473684</v>
      </c>
      <c r="N89" s="4">
        <f>Table1[[#This Row],[Likes]]/Table1[[#This Row],[Views]]</f>
        <v>1.5789473684210527E-2</v>
      </c>
      <c r="O89" s="4">
        <f>Table1[[#This Row],[Collects]]/Table1[[#This Row],[Views]]</f>
        <v>1.0526315789473684E-2</v>
      </c>
      <c r="P89" s="4">
        <f>Table1[[#This Row],[Views]]/Table1[[#This Row],[Age]]</f>
        <v>0.46913580246913578</v>
      </c>
      <c r="Q89" s="4">
        <f>Table1[[#This Row],[Downloads]]/Table1[[#This Row],[Age]]</f>
        <v>9.6296296296296297E-2</v>
      </c>
      <c r="R89" s="4">
        <f>Table1[[#This Row],[Likes]]/Table1[[#This Row],[Age]]</f>
        <v>7.4074074074074077E-3</v>
      </c>
      <c r="S89" s="4">
        <f>Table1[[#This Row],[Collects]]/Table1[[#This Row],[Age]]</f>
        <v>4.9382716049382715E-3</v>
      </c>
      <c r="T89" s="4">
        <f>(4*Table1[[#This Row],[Collects]])+(3*Table1[[#This Row],[Likes]])+(2*Table1[[#This Row],[Downloads]])+Table1[[#This Row],[Views]]</f>
        <v>285</v>
      </c>
      <c r="U89" s="4">
        <f>Table1[[#This Row],[Score]]/Table1[[#This Row],[Age]]</f>
        <v>0.70370370370370372</v>
      </c>
      <c r="V89" s="4">
        <f>Table1[[#This Row],[Score]]/Table1[[#This Row],[Views]]</f>
        <v>1.5</v>
      </c>
    </row>
    <row r="90" spans="1:22" x14ac:dyDescent="0.25">
      <c r="A90" s="1">
        <v>46155</v>
      </c>
      <c r="B90" t="s">
        <v>3</v>
      </c>
      <c r="C90" s="1">
        <v>45932</v>
      </c>
      <c r="D90" s="2">
        <f>Table1[[#This Row],[Date]]-Table1[[#This Row],[Published]]</f>
        <v>223</v>
      </c>
      <c r="E90" s="3">
        <v>175</v>
      </c>
      <c r="F90">
        <v>25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 s="4">
        <f>Table1[[#This Row],[Downloads]]/Table1[[#This Row],[Views]]</f>
        <v>0.14285714285714285</v>
      </c>
      <c r="N90" s="4">
        <f>Table1[[#This Row],[Likes]]/Table1[[#This Row],[Views]]</f>
        <v>5.7142857142857143E-3</v>
      </c>
      <c r="O90" s="4">
        <f>Table1[[#This Row],[Collects]]/Table1[[#This Row],[Views]]</f>
        <v>5.7142857142857143E-3</v>
      </c>
      <c r="P90" s="4">
        <f>Table1[[#This Row],[Views]]/Table1[[#This Row],[Age]]</f>
        <v>0.7847533632286996</v>
      </c>
      <c r="Q90" s="4">
        <f>Table1[[#This Row],[Downloads]]/Table1[[#This Row],[Age]]</f>
        <v>0.11210762331838565</v>
      </c>
      <c r="R90" s="4">
        <f>Table1[[#This Row],[Likes]]/Table1[[#This Row],[Age]]</f>
        <v>4.4843049327354259E-3</v>
      </c>
      <c r="S90" s="4">
        <f>Table1[[#This Row],[Collects]]/Table1[[#This Row],[Age]]</f>
        <v>4.4843049327354259E-3</v>
      </c>
      <c r="T90" s="4">
        <f>(4*Table1[[#This Row],[Collects]])+(3*Table1[[#This Row],[Likes]])+(2*Table1[[#This Row],[Downloads]])+Table1[[#This Row],[Views]]</f>
        <v>232</v>
      </c>
      <c r="U90" s="4">
        <f>Table1[[#This Row],[Score]]/Table1[[#This Row],[Age]]</f>
        <v>1.0403587443946187</v>
      </c>
      <c r="V90" s="4">
        <f>Table1[[#This Row],[Score]]/Table1[[#This Row],[Views]]</f>
        <v>1.3257142857142856</v>
      </c>
    </row>
    <row r="91" spans="1:22" x14ac:dyDescent="0.25">
      <c r="A91" s="1">
        <v>46155</v>
      </c>
      <c r="B91" t="s">
        <v>4</v>
      </c>
      <c r="C91" s="1">
        <v>46034</v>
      </c>
      <c r="D91" s="2">
        <f>Table1[[#This Row],[Date]]-Table1[[#This Row],[Published]]</f>
        <v>121</v>
      </c>
      <c r="E91" s="3">
        <v>135</v>
      </c>
      <c r="F91">
        <v>82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 s="4">
        <f>Table1[[#This Row],[Downloads]]/Table1[[#This Row],[Views]]</f>
        <v>0.6074074074074074</v>
      </c>
      <c r="N91" s="4">
        <f>Table1[[#This Row],[Likes]]/Table1[[#This Row],[Views]]</f>
        <v>1.4814814814814815E-2</v>
      </c>
      <c r="O91" s="4">
        <f>Table1[[#This Row],[Collects]]/Table1[[#This Row],[Views]]</f>
        <v>0</v>
      </c>
      <c r="P91" s="4">
        <f>Table1[[#This Row],[Views]]/Table1[[#This Row],[Age]]</f>
        <v>1.115702479338843</v>
      </c>
      <c r="Q91" s="4">
        <f>Table1[[#This Row],[Downloads]]/Table1[[#This Row],[Age]]</f>
        <v>0.6776859504132231</v>
      </c>
      <c r="R91" s="4">
        <f>Table1[[#This Row],[Likes]]/Table1[[#This Row],[Age]]</f>
        <v>1.6528925619834711E-2</v>
      </c>
      <c r="S91" s="4">
        <f>Table1[[#This Row],[Collects]]/Table1[[#This Row],[Age]]</f>
        <v>0</v>
      </c>
      <c r="T91" s="4">
        <f>(4*Table1[[#This Row],[Collects]])+(3*Table1[[#This Row],[Likes]])+(2*Table1[[#This Row],[Downloads]])+Table1[[#This Row],[Views]]</f>
        <v>305</v>
      </c>
      <c r="U91" s="4">
        <f>Table1[[#This Row],[Score]]/Table1[[#This Row],[Age]]</f>
        <v>2.5206611570247932</v>
      </c>
      <c r="V91" s="4">
        <f>Table1[[#This Row],[Score]]/Table1[[#This Row],[Views]]</f>
        <v>2.2592592592592591</v>
      </c>
    </row>
    <row r="92" spans="1:22" x14ac:dyDescent="0.25">
      <c r="A92" s="1">
        <v>46162</v>
      </c>
      <c r="B92" t="s">
        <v>0</v>
      </c>
      <c r="C92" s="1">
        <v>45784</v>
      </c>
      <c r="D92" s="2">
        <f>Table1[[#This Row],[Date]]-Table1[[#This Row],[Published]]</f>
        <v>378</v>
      </c>
      <c r="E92" s="3">
        <v>861</v>
      </c>
      <c r="F92">
        <v>210</v>
      </c>
      <c r="G92">
        <v>13</v>
      </c>
      <c r="H92">
        <v>5</v>
      </c>
      <c r="I92">
        <v>0</v>
      </c>
      <c r="J92">
        <v>0</v>
      </c>
      <c r="K92">
        <v>0</v>
      </c>
      <c r="L92">
        <v>0</v>
      </c>
      <c r="M92" s="4">
        <f>Table1[[#This Row],[Downloads]]/Table1[[#This Row],[Views]]</f>
        <v>0.24390243902439024</v>
      </c>
      <c r="N92" s="4">
        <f>Table1[[#This Row],[Likes]]/Table1[[#This Row],[Views]]</f>
        <v>1.5098722415795587E-2</v>
      </c>
      <c r="O92" s="4">
        <f>Table1[[#This Row],[Collects]]/Table1[[#This Row],[Views]]</f>
        <v>5.8072009291521487E-3</v>
      </c>
      <c r="P92" s="4">
        <f>Table1[[#This Row],[Views]]/Table1[[#This Row],[Age]]</f>
        <v>2.2777777777777777</v>
      </c>
      <c r="Q92" s="4">
        <f>Table1[[#This Row],[Downloads]]/Table1[[#This Row],[Age]]</f>
        <v>0.55555555555555558</v>
      </c>
      <c r="R92" s="4">
        <f>Table1[[#This Row],[Likes]]/Table1[[#This Row],[Age]]</f>
        <v>3.439153439153439E-2</v>
      </c>
      <c r="S92" s="4">
        <f>Table1[[#This Row],[Collects]]/Table1[[#This Row],[Age]]</f>
        <v>1.3227513227513227E-2</v>
      </c>
      <c r="T92" s="4">
        <f>(4*Table1[[#This Row],[Collects]])+(3*Table1[[#This Row],[Likes]])+(2*Table1[[#This Row],[Downloads]])+Table1[[#This Row],[Views]]</f>
        <v>1340</v>
      </c>
      <c r="U92" s="4">
        <f>Table1[[#This Row],[Score]]/Table1[[#This Row],[Age]]</f>
        <v>3.5449735449735451</v>
      </c>
      <c r="V92" s="4">
        <f>Table1[[#This Row],[Score]]/Table1[[#This Row],[Views]]</f>
        <v>1.5563298490127759</v>
      </c>
    </row>
    <row r="93" spans="1:22" x14ac:dyDescent="0.25">
      <c r="A93" s="1">
        <v>46162</v>
      </c>
      <c r="B93" t="s">
        <v>1</v>
      </c>
      <c r="C93" s="1">
        <v>45785</v>
      </c>
      <c r="D93" s="2">
        <f>Table1[[#This Row],[Date]]-Table1[[#This Row],[Published]]</f>
        <v>377</v>
      </c>
      <c r="E93" s="3">
        <v>422</v>
      </c>
      <c r="F93">
        <v>127</v>
      </c>
      <c r="G93">
        <v>8</v>
      </c>
      <c r="H93">
        <v>1</v>
      </c>
      <c r="I93">
        <v>0</v>
      </c>
      <c r="J93">
        <v>0</v>
      </c>
      <c r="K93">
        <v>0</v>
      </c>
      <c r="L93">
        <v>0</v>
      </c>
      <c r="M93" s="4">
        <f>Table1[[#This Row],[Downloads]]/Table1[[#This Row],[Views]]</f>
        <v>0.3009478672985782</v>
      </c>
      <c r="N93" s="4">
        <f>Table1[[#This Row],[Likes]]/Table1[[#This Row],[Views]]</f>
        <v>1.8957345971563982E-2</v>
      </c>
      <c r="O93" s="4">
        <f>Table1[[#This Row],[Collects]]/Table1[[#This Row],[Views]]</f>
        <v>2.3696682464454978E-3</v>
      </c>
      <c r="P93" s="4">
        <f>Table1[[#This Row],[Views]]/Table1[[#This Row],[Age]]</f>
        <v>1.1193633952254642</v>
      </c>
      <c r="Q93" s="4">
        <f>Table1[[#This Row],[Downloads]]/Table1[[#This Row],[Age]]</f>
        <v>0.33687002652519893</v>
      </c>
      <c r="R93" s="4">
        <f>Table1[[#This Row],[Likes]]/Table1[[#This Row],[Age]]</f>
        <v>2.1220159151193633E-2</v>
      </c>
      <c r="S93" s="4">
        <f>Table1[[#This Row],[Collects]]/Table1[[#This Row],[Age]]</f>
        <v>2.6525198938992041E-3</v>
      </c>
      <c r="T93" s="4">
        <f>(4*Table1[[#This Row],[Collects]])+(3*Table1[[#This Row],[Likes]])+(2*Table1[[#This Row],[Downloads]])+Table1[[#This Row],[Views]]</f>
        <v>704</v>
      </c>
      <c r="U93" s="4">
        <f>Table1[[#This Row],[Score]]/Table1[[#This Row],[Age]]</f>
        <v>1.8673740053050398</v>
      </c>
      <c r="V93" s="4">
        <f>Table1[[#This Row],[Score]]/Table1[[#This Row],[Views]]</f>
        <v>1.6682464454976302</v>
      </c>
    </row>
    <row r="94" spans="1:22" x14ac:dyDescent="0.25">
      <c r="A94" s="1">
        <v>46162</v>
      </c>
      <c r="B94" t="s">
        <v>2</v>
      </c>
      <c r="C94" s="1">
        <v>45930</v>
      </c>
      <c r="D94" s="2">
        <f>Table1[[#This Row],[Date]]-Table1[[#This Row],[Published]]</f>
        <v>232</v>
      </c>
      <c r="E94" s="3">
        <v>349</v>
      </c>
      <c r="F94">
        <v>202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 s="4">
        <f>Table1[[#This Row],[Downloads]]/Table1[[#This Row],[Views]]</f>
        <v>0.57879656160458448</v>
      </c>
      <c r="N94" s="4">
        <f>Table1[[#This Row],[Likes]]/Table1[[#This Row],[Views]]</f>
        <v>2.2922636103151862E-2</v>
      </c>
      <c r="O94" s="4">
        <f>Table1[[#This Row],[Collects]]/Table1[[#This Row],[Views]]</f>
        <v>0</v>
      </c>
      <c r="P94" s="4">
        <f>Table1[[#This Row],[Views]]/Table1[[#This Row],[Age]]</f>
        <v>1.5043103448275863</v>
      </c>
      <c r="Q94" s="4">
        <f>Table1[[#This Row],[Downloads]]/Table1[[#This Row],[Age]]</f>
        <v>0.87068965517241381</v>
      </c>
      <c r="R94" s="4">
        <f>Table1[[#This Row],[Likes]]/Table1[[#This Row],[Age]]</f>
        <v>3.4482758620689655E-2</v>
      </c>
      <c r="S94" s="4">
        <f>Table1[[#This Row],[Collects]]/Table1[[#This Row],[Age]]</f>
        <v>0</v>
      </c>
      <c r="T94" s="4">
        <f>(4*Table1[[#This Row],[Collects]])+(3*Table1[[#This Row],[Likes]])+(2*Table1[[#This Row],[Downloads]])+Table1[[#This Row],[Views]]</f>
        <v>777</v>
      </c>
      <c r="U94" s="4">
        <f>Table1[[#This Row],[Score]]/Table1[[#This Row],[Age]]</f>
        <v>3.3491379310344827</v>
      </c>
      <c r="V94" s="4">
        <f>Table1[[#This Row],[Score]]/Table1[[#This Row],[Views]]</f>
        <v>2.2263610315186249</v>
      </c>
    </row>
    <row r="95" spans="1:22" x14ac:dyDescent="0.25">
      <c r="A95" s="1">
        <v>46162</v>
      </c>
      <c r="B95" t="s">
        <v>13</v>
      </c>
      <c r="C95" s="1">
        <v>45750</v>
      </c>
      <c r="D95" s="2">
        <f>Table1[[#This Row],[Date]]-Table1[[#This Row],[Published]]</f>
        <v>412</v>
      </c>
      <c r="E95" s="3">
        <v>195</v>
      </c>
      <c r="F95">
        <v>39</v>
      </c>
      <c r="G95">
        <v>3</v>
      </c>
      <c r="H95">
        <v>2</v>
      </c>
      <c r="I95">
        <v>0</v>
      </c>
      <c r="J95">
        <v>0</v>
      </c>
      <c r="K95">
        <v>0</v>
      </c>
      <c r="L95">
        <v>0</v>
      </c>
      <c r="M95" s="4">
        <f>Table1[[#This Row],[Downloads]]/Table1[[#This Row],[Views]]</f>
        <v>0.2</v>
      </c>
      <c r="N95" s="4">
        <f>Table1[[#This Row],[Likes]]/Table1[[#This Row],[Views]]</f>
        <v>1.5384615384615385E-2</v>
      </c>
      <c r="O95" s="4">
        <f>Table1[[#This Row],[Collects]]/Table1[[#This Row],[Views]]</f>
        <v>1.0256410256410256E-2</v>
      </c>
      <c r="P95" s="4">
        <f>Table1[[#This Row],[Views]]/Table1[[#This Row],[Age]]</f>
        <v>0.47330097087378642</v>
      </c>
      <c r="Q95" s="4">
        <f>Table1[[#This Row],[Downloads]]/Table1[[#This Row],[Age]]</f>
        <v>9.4660194174757281E-2</v>
      </c>
      <c r="R95" s="4">
        <f>Table1[[#This Row],[Likes]]/Table1[[#This Row],[Age]]</f>
        <v>7.2815533980582527E-3</v>
      </c>
      <c r="S95" s="4">
        <f>Table1[[#This Row],[Collects]]/Table1[[#This Row],[Age]]</f>
        <v>4.8543689320388345E-3</v>
      </c>
      <c r="T95" s="4">
        <f>(4*Table1[[#This Row],[Collects]])+(3*Table1[[#This Row],[Likes]])+(2*Table1[[#This Row],[Downloads]])+Table1[[#This Row],[Views]]</f>
        <v>290</v>
      </c>
      <c r="U95" s="4">
        <f>Table1[[#This Row],[Score]]/Table1[[#This Row],[Age]]</f>
        <v>0.70388349514563109</v>
      </c>
      <c r="V95" s="4">
        <f>Table1[[#This Row],[Score]]/Table1[[#This Row],[Views]]</f>
        <v>1.4871794871794872</v>
      </c>
    </row>
    <row r="96" spans="1:22" x14ac:dyDescent="0.25">
      <c r="A96" s="1">
        <v>46162</v>
      </c>
      <c r="B96" t="s">
        <v>3</v>
      </c>
      <c r="C96" s="1">
        <v>45932</v>
      </c>
      <c r="D96" s="2">
        <f>Table1[[#This Row],[Date]]-Table1[[#This Row],[Published]]</f>
        <v>230</v>
      </c>
      <c r="E96" s="3">
        <v>182</v>
      </c>
      <c r="F96">
        <v>25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 s="4">
        <f>Table1[[#This Row],[Downloads]]/Table1[[#This Row],[Views]]</f>
        <v>0.13736263736263737</v>
      </c>
      <c r="N96" s="4">
        <f>Table1[[#This Row],[Likes]]/Table1[[#This Row],[Views]]</f>
        <v>5.4945054945054949E-3</v>
      </c>
      <c r="O96" s="4">
        <f>Table1[[#This Row],[Collects]]/Table1[[#This Row],[Views]]</f>
        <v>5.4945054945054949E-3</v>
      </c>
      <c r="P96" s="4">
        <f>Table1[[#This Row],[Views]]/Table1[[#This Row],[Age]]</f>
        <v>0.79130434782608694</v>
      </c>
      <c r="Q96" s="4">
        <f>Table1[[#This Row],[Downloads]]/Table1[[#This Row],[Age]]</f>
        <v>0.10869565217391304</v>
      </c>
      <c r="R96" s="4">
        <f>Table1[[#This Row],[Likes]]/Table1[[#This Row],[Age]]</f>
        <v>4.3478260869565218E-3</v>
      </c>
      <c r="S96" s="4">
        <f>Table1[[#This Row],[Collects]]/Table1[[#This Row],[Age]]</f>
        <v>4.3478260869565218E-3</v>
      </c>
      <c r="T96" s="4">
        <f>(4*Table1[[#This Row],[Collects]])+(3*Table1[[#This Row],[Likes]])+(2*Table1[[#This Row],[Downloads]])+Table1[[#This Row],[Views]]</f>
        <v>239</v>
      </c>
      <c r="U96" s="4">
        <f>Table1[[#This Row],[Score]]/Table1[[#This Row],[Age]]</f>
        <v>1.0391304347826087</v>
      </c>
      <c r="V96" s="4">
        <f>Table1[[#This Row],[Score]]/Table1[[#This Row],[Views]]</f>
        <v>1.3131868131868132</v>
      </c>
    </row>
    <row r="97" spans="1:22" x14ac:dyDescent="0.25">
      <c r="A97" s="1">
        <v>46162</v>
      </c>
      <c r="B97" t="s">
        <v>4</v>
      </c>
      <c r="C97" s="1">
        <v>46034</v>
      </c>
      <c r="D97" s="2">
        <f>Table1[[#This Row],[Date]]-Table1[[#This Row],[Published]]</f>
        <v>128</v>
      </c>
      <c r="E97" s="3">
        <v>137</v>
      </c>
      <c r="F97">
        <v>82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 s="4">
        <f>Table1[[#This Row],[Downloads]]/Table1[[#This Row],[Views]]</f>
        <v>0.59854014598540151</v>
      </c>
      <c r="N97" s="4">
        <f>Table1[[#This Row],[Likes]]/Table1[[#This Row],[Views]]</f>
        <v>1.4598540145985401E-2</v>
      </c>
      <c r="O97" s="4">
        <f>Table1[[#This Row],[Collects]]/Table1[[#This Row],[Views]]</f>
        <v>0</v>
      </c>
      <c r="P97" s="4">
        <f>Table1[[#This Row],[Views]]/Table1[[#This Row],[Age]]</f>
        <v>1.0703125</v>
      </c>
      <c r="Q97" s="4">
        <f>Table1[[#This Row],[Downloads]]/Table1[[#This Row],[Age]]</f>
        <v>0.640625</v>
      </c>
      <c r="R97" s="4">
        <f>Table1[[#This Row],[Likes]]/Table1[[#This Row],[Age]]</f>
        <v>1.5625E-2</v>
      </c>
      <c r="S97" s="4">
        <f>Table1[[#This Row],[Collects]]/Table1[[#This Row],[Age]]</f>
        <v>0</v>
      </c>
      <c r="T97" s="4">
        <f>(4*Table1[[#This Row],[Collects]])+(3*Table1[[#This Row],[Likes]])+(2*Table1[[#This Row],[Downloads]])+Table1[[#This Row],[Views]]</f>
        <v>307</v>
      </c>
      <c r="U97" s="4">
        <f>Table1[[#This Row],[Score]]/Table1[[#This Row],[Age]]</f>
        <v>2.3984375</v>
      </c>
      <c r="V97" s="4">
        <f>Table1[[#This Row],[Score]]/Table1[[#This Row],[Views]]</f>
        <v>2.2408759124087592</v>
      </c>
    </row>
    <row r="98" spans="1:22" x14ac:dyDescent="0.25">
      <c r="A98" s="1">
        <v>46169</v>
      </c>
      <c r="B98" t="s">
        <v>0</v>
      </c>
      <c r="C98" s="1">
        <v>45784</v>
      </c>
      <c r="D98" s="2">
        <f>Table1[[#This Row],[Date]]-Table1[[#This Row],[Published]]</f>
        <v>385</v>
      </c>
      <c r="E98" s="3">
        <v>871</v>
      </c>
      <c r="F98">
        <v>216</v>
      </c>
      <c r="G98">
        <v>13</v>
      </c>
      <c r="H98">
        <v>5</v>
      </c>
      <c r="I98">
        <v>0</v>
      </c>
      <c r="J98">
        <v>0</v>
      </c>
      <c r="K98">
        <v>0</v>
      </c>
      <c r="L98">
        <v>0</v>
      </c>
      <c r="M98" s="4">
        <f>Table1[[#This Row],[Downloads]]/Table1[[#This Row],[Views]]</f>
        <v>0.24799081515499427</v>
      </c>
      <c r="N98" s="4">
        <f>Table1[[#This Row],[Likes]]/Table1[[#This Row],[Views]]</f>
        <v>1.4925373134328358E-2</v>
      </c>
      <c r="O98" s="4">
        <f>Table1[[#This Row],[Collects]]/Table1[[#This Row],[Views]]</f>
        <v>5.7405281285878304E-3</v>
      </c>
      <c r="P98" s="4">
        <f>Table1[[#This Row],[Views]]/Table1[[#This Row],[Age]]</f>
        <v>2.2623376623376625</v>
      </c>
      <c r="Q98" s="4">
        <f>Table1[[#This Row],[Downloads]]/Table1[[#This Row],[Age]]</f>
        <v>0.561038961038961</v>
      </c>
      <c r="R98" s="4">
        <f>Table1[[#This Row],[Likes]]/Table1[[#This Row],[Age]]</f>
        <v>3.3766233766233764E-2</v>
      </c>
      <c r="S98" s="4">
        <f>Table1[[#This Row],[Collects]]/Table1[[#This Row],[Age]]</f>
        <v>1.2987012987012988E-2</v>
      </c>
      <c r="T98" s="4">
        <f>(4*Table1[[#This Row],[Collects]])+(3*Table1[[#This Row],[Likes]])+(2*Table1[[#This Row],[Downloads]])+Table1[[#This Row],[Views]]</f>
        <v>1362</v>
      </c>
      <c r="U98" s="4">
        <f>Table1[[#This Row],[Score]]/Table1[[#This Row],[Age]]</f>
        <v>3.5376623376623377</v>
      </c>
      <c r="V98" s="4">
        <f>Table1[[#This Row],[Score]]/Table1[[#This Row],[Views]]</f>
        <v>1.563719862227325</v>
      </c>
    </row>
    <row r="99" spans="1:22" x14ac:dyDescent="0.25">
      <c r="A99" s="1">
        <v>46169</v>
      </c>
      <c r="B99" t="s">
        <v>1</v>
      </c>
      <c r="C99" s="1">
        <v>45785</v>
      </c>
      <c r="D99" s="2">
        <f>Table1[[#This Row],[Date]]-Table1[[#This Row],[Published]]</f>
        <v>384</v>
      </c>
      <c r="E99" s="3">
        <v>426</v>
      </c>
      <c r="F99">
        <v>127</v>
      </c>
      <c r="G99">
        <v>8</v>
      </c>
      <c r="H99">
        <v>1</v>
      </c>
      <c r="I99">
        <v>0</v>
      </c>
      <c r="J99">
        <v>0</v>
      </c>
      <c r="K99">
        <v>0</v>
      </c>
      <c r="L99">
        <v>0</v>
      </c>
      <c r="M99" s="4">
        <f>Table1[[#This Row],[Downloads]]/Table1[[#This Row],[Views]]</f>
        <v>0.2981220657276995</v>
      </c>
      <c r="N99" s="4">
        <f>Table1[[#This Row],[Likes]]/Table1[[#This Row],[Views]]</f>
        <v>1.8779342723004695E-2</v>
      </c>
      <c r="O99" s="4">
        <f>Table1[[#This Row],[Collects]]/Table1[[#This Row],[Views]]</f>
        <v>2.3474178403755869E-3</v>
      </c>
      <c r="P99" s="4">
        <f>Table1[[#This Row],[Views]]/Table1[[#This Row],[Age]]</f>
        <v>1.109375</v>
      </c>
      <c r="Q99" s="4">
        <f>Table1[[#This Row],[Downloads]]/Table1[[#This Row],[Age]]</f>
        <v>0.33072916666666669</v>
      </c>
      <c r="R99" s="4">
        <f>Table1[[#This Row],[Likes]]/Table1[[#This Row],[Age]]</f>
        <v>2.0833333333333332E-2</v>
      </c>
      <c r="S99" s="4">
        <f>Table1[[#This Row],[Collects]]/Table1[[#This Row],[Age]]</f>
        <v>2.6041666666666665E-3</v>
      </c>
      <c r="T99" s="4">
        <f>(4*Table1[[#This Row],[Collects]])+(3*Table1[[#This Row],[Likes]])+(2*Table1[[#This Row],[Downloads]])+Table1[[#This Row],[Views]]</f>
        <v>708</v>
      </c>
      <c r="U99" s="4">
        <f>Table1[[#This Row],[Score]]/Table1[[#This Row],[Age]]</f>
        <v>1.84375</v>
      </c>
      <c r="V99" s="4">
        <f>Table1[[#This Row],[Score]]/Table1[[#This Row],[Views]]</f>
        <v>1.6619718309859155</v>
      </c>
    </row>
    <row r="100" spans="1:22" x14ac:dyDescent="0.25">
      <c r="A100" s="1">
        <v>46169</v>
      </c>
      <c r="B100" t="s">
        <v>2</v>
      </c>
      <c r="C100" s="1">
        <v>45930</v>
      </c>
      <c r="D100" s="2">
        <f>Table1[[#This Row],[Date]]-Table1[[#This Row],[Published]]</f>
        <v>239</v>
      </c>
      <c r="E100" s="3">
        <v>360</v>
      </c>
      <c r="F100">
        <v>206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 s="4">
        <f>Table1[[#This Row],[Downloads]]/Table1[[#This Row],[Views]]</f>
        <v>0.57222222222222219</v>
      </c>
      <c r="N100" s="4">
        <f>Table1[[#This Row],[Likes]]/Table1[[#This Row],[Views]]</f>
        <v>2.2222222222222223E-2</v>
      </c>
      <c r="O100" s="4">
        <f>Table1[[#This Row],[Collects]]/Table1[[#This Row],[Views]]</f>
        <v>0</v>
      </c>
      <c r="P100" s="4">
        <f>Table1[[#This Row],[Views]]/Table1[[#This Row],[Age]]</f>
        <v>1.506276150627615</v>
      </c>
      <c r="Q100" s="4">
        <f>Table1[[#This Row],[Downloads]]/Table1[[#This Row],[Age]]</f>
        <v>0.86192468619246865</v>
      </c>
      <c r="R100" s="4">
        <f>Table1[[#This Row],[Likes]]/Table1[[#This Row],[Age]]</f>
        <v>3.3472803347280332E-2</v>
      </c>
      <c r="S100" s="4">
        <f>Table1[[#This Row],[Collects]]/Table1[[#This Row],[Age]]</f>
        <v>0</v>
      </c>
      <c r="T100" s="4">
        <f>(4*Table1[[#This Row],[Collects]])+(3*Table1[[#This Row],[Likes]])+(2*Table1[[#This Row],[Downloads]])+Table1[[#This Row],[Views]]</f>
        <v>796</v>
      </c>
      <c r="U100" s="4">
        <f>Table1[[#This Row],[Score]]/Table1[[#This Row],[Age]]</f>
        <v>3.3305439330543933</v>
      </c>
      <c r="V100" s="4">
        <f>Table1[[#This Row],[Score]]/Table1[[#This Row],[Views]]</f>
        <v>2.2111111111111112</v>
      </c>
    </row>
    <row r="101" spans="1:22" x14ac:dyDescent="0.25">
      <c r="A101" s="1">
        <v>46169</v>
      </c>
      <c r="B101" t="s">
        <v>13</v>
      </c>
      <c r="C101" s="1">
        <v>45750</v>
      </c>
      <c r="D101" s="2">
        <f>Table1[[#This Row],[Date]]-Table1[[#This Row],[Published]]</f>
        <v>419</v>
      </c>
      <c r="E101" s="3">
        <v>197</v>
      </c>
      <c r="F101">
        <v>39</v>
      </c>
      <c r="G101">
        <v>3</v>
      </c>
      <c r="H101">
        <v>2</v>
      </c>
      <c r="I101">
        <v>0</v>
      </c>
      <c r="J101">
        <v>0</v>
      </c>
      <c r="K101">
        <v>0</v>
      </c>
      <c r="L101">
        <v>0</v>
      </c>
      <c r="M101" s="4">
        <f>Table1[[#This Row],[Downloads]]/Table1[[#This Row],[Views]]</f>
        <v>0.19796954314720813</v>
      </c>
      <c r="N101" s="4">
        <f>Table1[[#This Row],[Likes]]/Table1[[#This Row],[Views]]</f>
        <v>1.5228426395939087E-2</v>
      </c>
      <c r="O101" s="4">
        <f>Table1[[#This Row],[Collects]]/Table1[[#This Row],[Views]]</f>
        <v>1.015228426395939E-2</v>
      </c>
      <c r="P101" s="4">
        <f>Table1[[#This Row],[Views]]/Table1[[#This Row],[Age]]</f>
        <v>0.4701670644391408</v>
      </c>
      <c r="Q101" s="4">
        <f>Table1[[#This Row],[Downloads]]/Table1[[#This Row],[Age]]</f>
        <v>9.3078758949880672E-2</v>
      </c>
      <c r="R101" s="4">
        <f>Table1[[#This Row],[Likes]]/Table1[[#This Row],[Age]]</f>
        <v>7.1599045346062056E-3</v>
      </c>
      <c r="S101" s="4">
        <f>Table1[[#This Row],[Collects]]/Table1[[#This Row],[Age]]</f>
        <v>4.7732696897374704E-3</v>
      </c>
      <c r="T101" s="4">
        <f>(4*Table1[[#This Row],[Collects]])+(3*Table1[[#This Row],[Likes]])+(2*Table1[[#This Row],[Downloads]])+Table1[[#This Row],[Views]]</f>
        <v>292</v>
      </c>
      <c r="U101" s="4">
        <f>Table1[[#This Row],[Score]]/Table1[[#This Row],[Age]]</f>
        <v>0.69689737470167068</v>
      </c>
      <c r="V101" s="4">
        <f>Table1[[#This Row],[Score]]/Table1[[#This Row],[Views]]</f>
        <v>1.4822335025380711</v>
      </c>
    </row>
    <row r="102" spans="1:22" x14ac:dyDescent="0.25">
      <c r="A102" s="1">
        <v>46169</v>
      </c>
      <c r="B102" t="s">
        <v>3</v>
      </c>
      <c r="C102" s="1">
        <v>45932</v>
      </c>
      <c r="D102" s="2">
        <f>Table1[[#This Row],[Date]]-Table1[[#This Row],[Published]]</f>
        <v>237</v>
      </c>
      <c r="E102" s="3">
        <v>187</v>
      </c>
      <c r="F102">
        <v>25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 s="4">
        <f>Table1[[#This Row],[Downloads]]/Table1[[#This Row],[Views]]</f>
        <v>0.13368983957219252</v>
      </c>
      <c r="N102" s="4">
        <f>Table1[[#This Row],[Likes]]/Table1[[#This Row],[Views]]</f>
        <v>5.3475935828877002E-3</v>
      </c>
      <c r="O102" s="4">
        <f>Table1[[#This Row],[Collects]]/Table1[[#This Row],[Views]]</f>
        <v>5.3475935828877002E-3</v>
      </c>
      <c r="P102" s="4">
        <f>Table1[[#This Row],[Views]]/Table1[[#This Row],[Age]]</f>
        <v>0.78902953586497893</v>
      </c>
      <c r="Q102" s="4">
        <f>Table1[[#This Row],[Downloads]]/Table1[[#This Row],[Age]]</f>
        <v>0.10548523206751055</v>
      </c>
      <c r="R102" s="4">
        <f>Table1[[#This Row],[Likes]]/Table1[[#This Row],[Age]]</f>
        <v>4.2194092827004216E-3</v>
      </c>
      <c r="S102" s="4">
        <f>Table1[[#This Row],[Collects]]/Table1[[#This Row],[Age]]</f>
        <v>4.2194092827004216E-3</v>
      </c>
      <c r="T102" s="4">
        <f>(4*Table1[[#This Row],[Collects]])+(3*Table1[[#This Row],[Likes]])+(2*Table1[[#This Row],[Downloads]])+Table1[[#This Row],[Views]]</f>
        <v>244</v>
      </c>
      <c r="U102" s="4">
        <f>Table1[[#This Row],[Score]]/Table1[[#This Row],[Age]]</f>
        <v>1.029535864978903</v>
      </c>
      <c r="V102" s="4">
        <f>Table1[[#This Row],[Score]]/Table1[[#This Row],[Views]]</f>
        <v>1.304812834224599</v>
      </c>
    </row>
    <row r="103" spans="1:22" x14ac:dyDescent="0.25">
      <c r="A103" s="1">
        <v>46169</v>
      </c>
      <c r="B103" t="s">
        <v>4</v>
      </c>
      <c r="C103" s="1">
        <v>46034</v>
      </c>
      <c r="D103" s="2">
        <f>Table1[[#This Row],[Date]]-Table1[[#This Row],[Published]]</f>
        <v>135</v>
      </c>
      <c r="E103" s="3">
        <v>141</v>
      </c>
      <c r="F103">
        <v>82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 s="4">
        <f>Table1[[#This Row],[Downloads]]/Table1[[#This Row],[Views]]</f>
        <v>0.58156028368794321</v>
      </c>
      <c r="N103" s="4">
        <f>Table1[[#This Row],[Likes]]/Table1[[#This Row],[Views]]</f>
        <v>1.4184397163120567E-2</v>
      </c>
      <c r="O103" s="4">
        <f>Table1[[#This Row],[Collects]]/Table1[[#This Row],[Views]]</f>
        <v>0</v>
      </c>
      <c r="P103" s="4">
        <f>Table1[[#This Row],[Views]]/Table1[[#This Row],[Age]]</f>
        <v>1.0444444444444445</v>
      </c>
      <c r="Q103" s="4">
        <f>Table1[[#This Row],[Downloads]]/Table1[[#This Row],[Age]]</f>
        <v>0.6074074074074074</v>
      </c>
      <c r="R103" s="4">
        <f>Table1[[#This Row],[Likes]]/Table1[[#This Row],[Age]]</f>
        <v>1.4814814814814815E-2</v>
      </c>
      <c r="S103" s="4">
        <f>Table1[[#This Row],[Collects]]/Table1[[#This Row],[Age]]</f>
        <v>0</v>
      </c>
      <c r="T103" s="4">
        <f>(4*Table1[[#This Row],[Collects]])+(3*Table1[[#This Row],[Likes]])+(2*Table1[[#This Row],[Downloads]])+Table1[[#This Row],[Views]]</f>
        <v>311</v>
      </c>
      <c r="U103" s="4">
        <f>Table1[[#This Row],[Score]]/Table1[[#This Row],[Age]]</f>
        <v>2.3037037037037038</v>
      </c>
      <c r="V103" s="4">
        <f>Table1[[#This Row],[Score]]/Table1[[#This Row],[Views]]</f>
        <v>2.2056737588652484</v>
      </c>
    </row>
    <row r="104" spans="1:22" x14ac:dyDescent="0.25">
      <c r="A104" s="1">
        <v>46176</v>
      </c>
      <c r="B104" t="s">
        <v>0</v>
      </c>
      <c r="C104" s="1">
        <v>45784</v>
      </c>
      <c r="D104" s="2">
        <f>Table1[[#This Row],[Date]]-Table1[[#This Row],[Published]]</f>
        <v>392</v>
      </c>
      <c r="E104" s="3">
        <v>881</v>
      </c>
      <c r="F104">
        <v>217</v>
      </c>
      <c r="G104">
        <v>13</v>
      </c>
      <c r="H104">
        <v>5</v>
      </c>
      <c r="I104">
        <v>0</v>
      </c>
      <c r="J104">
        <v>0</v>
      </c>
      <c r="K104">
        <v>0</v>
      </c>
      <c r="L104">
        <v>0</v>
      </c>
      <c r="M104" s="4">
        <f>Table1[[#This Row],[Downloads]]/Table1[[#This Row],[Views]]</f>
        <v>0.24631101021566401</v>
      </c>
      <c r="N104" s="4">
        <f>Table1[[#This Row],[Likes]]/Table1[[#This Row],[Views]]</f>
        <v>1.4755959137343927E-2</v>
      </c>
      <c r="O104" s="4">
        <f>Table1[[#This Row],[Collects]]/Table1[[#This Row],[Views]]</f>
        <v>5.6753688989784334E-3</v>
      </c>
      <c r="P104" s="4">
        <f>Table1[[#This Row],[Views]]/Table1[[#This Row],[Age]]</f>
        <v>2.2474489795918369</v>
      </c>
      <c r="Q104" s="4">
        <f>Table1[[#This Row],[Downloads]]/Table1[[#This Row],[Age]]</f>
        <v>0.5535714285714286</v>
      </c>
      <c r="R104" s="4">
        <f>Table1[[#This Row],[Likes]]/Table1[[#This Row],[Age]]</f>
        <v>3.3163265306122451E-2</v>
      </c>
      <c r="S104" s="4">
        <f>Table1[[#This Row],[Collects]]/Table1[[#This Row],[Age]]</f>
        <v>1.2755102040816327E-2</v>
      </c>
      <c r="T104" s="4">
        <f>(4*Table1[[#This Row],[Collects]])+(3*Table1[[#This Row],[Likes]])+(2*Table1[[#This Row],[Downloads]])+Table1[[#This Row],[Views]]</f>
        <v>1374</v>
      </c>
      <c r="U104" s="4">
        <f>Table1[[#This Row],[Score]]/Table1[[#This Row],[Age]]</f>
        <v>3.5051020408163267</v>
      </c>
      <c r="V104" s="4">
        <f>Table1[[#This Row],[Score]]/Table1[[#This Row],[Views]]</f>
        <v>1.5595913734392735</v>
      </c>
    </row>
    <row r="105" spans="1:22" x14ac:dyDescent="0.25">
      <c r="A105" s="1">
        <v>46176</v>
      </c>
      <c r="B105" t="s">
        <v>1</v>
      </c>
      <c r="C105" s="1">
        <v>45785</v>
      </c>
      <c r="D105" s="2">
        <f>Table1[[#This Row],[Date]]-Table1[[#This Row],[Published]]</f>
        <v>391</v>
      </c>
      <c r="E105" s="3">
        <v>432</v>
      </c>
      <c r="F105">
        <v>128</v>
      </c>
      <c r="G105">
        <v>8</v>
      </c>
      <c r="H105">
        <v>1</v>
      </c>
      <c r="I105">
        <v>0</v>
      </c>
      <c r="J105">
        <v>0</v>
      </c>
      <c r="K105">
        <v>0</v>
      </c>
      <c r="L105">
        <v>0</v>
      </c>
      <c r="M105" s="4">
        <f>Table1[[#This Row],[Downloads]]/Table1[[#This Row],[Views]]</f>
        <v>0.29629629629629628</v>
      </c>
      <c r="N105" s="4">
        <f>Table1[[#This Row],[Likes]]/Table1[[#This Row],[Views]]</f>
        <v>1.8518518518518517E-2</v>
      </c>
      <c r="O105" s="4">
        <f>Table1[[#This Row],[Collects]]/Table1[[#This Row],[Views]]</f>
        <v>2.3148148148148147E-3</v>
      </c>
      <c r="P105" s="4">
        <f>Table1[[#This Row],[Views]]/Table1[[#This Row],[Age]]</f>
        <v>1.1048593350383631</v>
      </c>
      <c r="Q105" s="4">
        <f>Table1[[#This Row],[Downloads]]/Table1[[#This Row],[Age]]</f>
        <v>0.32736572890025578</v>
      </c>
      <c r="R105" s="4">
        <f>Table1[[#This Row],[Likes]]/Table1[[#This Row],[Age]]</f>
        <v>2.0460358056265986E-2</v>
      </c>
      <c r="S105" s="4">
        <f>Table1[[#This Row],[Collects]]/Table1[[#This Row],[Age]]</f>
        <v>2.5575447570332483E-3</v>
      </c>
      <c r="T105" s="4">
        <f>(4*Table1[[#This Row],[Collects]])+(3*Table1[[#This Row],[Likes]])+(2*Table1[[#This Row],[Downloads]])+Table1[[#This Row],[Views]]</f>
        <v>716</v>
      </c>
      <c r="U105" s="4">
        <f>Table1[[#This Row],[Score]]/Table1[[#This Row],[Age]]</f>
        <v>1.8312020460358056</v>
      </c>
      <c r="V105" s="4">
        <f>Table1[[#This Row],[Score]]/Table1[[#This Row],[Views]]</f>
        <v>1.6574074074074074</v>
      </c>
    </row>
    <row r="106" spans="1:22" x14ac:dyDescent="0.25">
      <c r="A106" s="1">
        <v>46176</v>
      </c>
      <c r="B106" t="s">
        <v>2</v>
      </c>
      <c r="C106" s="1">
        <v>45930</v>
      </c>
      <c r="D106" s="2">
        <f>Table1[[#This Row],[Date]]-Table1[[#This Row],[Published]]</f>
        <v>246</v>
      </c>
      <c r="E106" s="3">
        <v>371</v>
      </c>
      <c r="F106">
        <v>207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 s="4">
        <f>Table1[[#This Row],[Downloads]]/Table1[[#This Row],[Views]]</f>
        <v>0.55795148247978432</v>
      </c>
      <c r="N106" s="4">
        <f>Table1[[#This Row],[Likes]]/Table1[[#This Row],[Views]]</f>
        <v>2.15633423180593E-2</v>
      </c>
      <c r="O106" s="4">
        <f>Table1[[#This Row],[Collects]]/Table1[[#This Row],[Views]]</f>
        <v>0</v>
      </c>
      <c r="P106" s="4">
        <f>Table1[[#This Row],[Views]]/Table1[[#This Row],[Age]]</f>
        <v>1.5081300813008129</v>
      </c>
      <c r="Q106" s="4">
        <f>Table1[[#This Row],[Downloads]]/Table1[[#This Row],[Age]]</f>
        <v>0.84146341463414631</v>
      </c>
      <c r="R106" s="4">
        <f>Table1[[#This Row],[Likes]]/Table1[[#This Row],[Age]]</f>
        <v>3.2520325203252036E-2</v>
      </c>
      <c r="S106" s="4">
        <f>Table1[[#This Row],[Collects]]/Table1[[#This Row],[Age]]</f>
        <v>0</v>
      </c>
      <c r="T106" s="4">
        <f>(4*Table1[[#This Row],[Collects]])+(3*Table1[[#This Row],[Likes]])+(2*Table1[[#This Row],[Downloads]])+Table1[[#This Row],[Views]]</f>
        <v>809</v>
      </c>
      <c r="U106" s="4">
        <f>Table1[[#This Row],[Score]]/Table1[[#This Row],[Age]]</f>
        <v>3.2886178861788617</v>
      </c>
      <c r="V106" s="4">
        <f>Table1[[#This Row],[Score]]/Table1[[#This Row],[Views]]</f>
        <v>2.1805929919137466</v>
      </c>
    </row>
    <row r="107" spans="1:22" x14ac:dyDescent="0.25">
      <c r="A107" s="1">
        <v>46176</v>
      </c>
      <c r="B107" t="s">
        <v>13</v>
      </c>
      <c r="C107" s="1">
        <v>45750</v>
      </c>
      <c r="D107" s="2">
        <f>Table1[[#This Row],[Date]]-Table1[[#This Row],[Published]]</f>
        <v>426</v>
      </c>
      <c r="E107" s="3">
        <v>199</v>
      </c>
      <c r="F107">
        <v>39</v>
      </c>
      <c r="G107">
        <v>3</v>
      </c>
      <c r="H107">
        <v>2</v>
      </c>
      <c r="I107">
        <v>0</v>
      </c>
      <c r="J107">
        <v>0</v>
      </c>
      <c r="K107">
        <v>0</v>
      </c>
      <c r="L107">
        <v>0</v>
      </c>
      <c r="M107" s="4">
        <f>Table1[[#This Row],[Downloads]]/Table1[[#This Row],[Views]]</f>
        <v>0.19597989949748743</v>
      </c>
      <c r="N107" s="4">
        <f>Table1[[#This Row],[Likes]]/Table1[[#This Row],[Views]]</f>
        <v>1.507537688442211E-2</v>
      </c>
      <c r="O107" s="4">
        <f>Table1[[#This Row],[Collects]]/Table1[[#This Row],[Views]]</f>
        <v>1.0050251256281407E-2</v>
      </c>
      <c r="P107" s="4">
        <f>Table1[[#This Row],[Views]]/Table1[[#This Row],[Age]]</f>
        <v>0.46713615023474181</v>
      </c>
      <c r="Q107" s="4">
        <f>Table1[[#This Row],[Downloads]]/Table1[[#This Row],[Age]]</f>
        <v>9.154929577464789E-2</v>
      </c>
      <c r="R107" s="4">
        <f>Table1[[#This Row],[Likes]]/Table1[[#This Row],[Age]]</f>
        <v>7.0422535211267607E-3</v>
      </c>
      <c r="S107" s="4">
        <f>Table1[[#This Row],[Collects]]/Table1[[#This Row],[Age]]</f>
        <v>4.6948356807511738E-3</v>
      </c>
      <c r="T107" s="4">
        <f>(4*Table1[[#This Row],[Collects]])+(3*Table1[[#This Row],[Likes]])+(2*Table1[[#This Row],[Downloads]])+Table1[[#This Row],[Views]]</f>
        <v>294</v>
      </c>
      <c r="U107" s="4">
        <f>Table1[[#This Row],[Score]]/Table1[[#This Row],[Age]]</f>
        <v>0.6901408450704225</v>
      </c>
      <c r="V107" s="4">
        <f>Table1[[#This Row],[Score]]/Table1[[#This Row],[Views]]</f>
        <v>1.4773869346733668</v>
      </c>
    </row>
    <row r="108" spans="1:22" x14ac:dyDescent="0.25">
      <c r="A108" s="1">
        <v>46176</v>
      </c>
      <c r="B108" t="s">
        <v>3</v>
      </c>
      <c r="C108" s="1">
        <v>45932</v>
      </c>
      <c r="D108" s="2">
        <f>Table1[[#This Row],[Date]]-Table1[[#This Row],[Published]]</f>
        <v>244</v>
      </c>
      <c r="E108" s="3">
        <v>193</v>
      </c>
      <c r="F108">
        <v>25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 s="4">
        <f>Table1[[#This Row],[Downloads]]/Table1[[#This Row],[Views]]</f>
        <v>0.12953367875647667</v>
      </c>
      <c r="N108" s="4">
        <f>Table1[[#This Row],[Likes]]/Table1[[#This Row],[Views]]</f>
        <v>5.1813471502590676E-3</v>
      </c>
      <c r="O108" s="4">
        <f>Table1[[#This Row],[Collects]]/Table1[[#This Row],[Views]]</f>
        <v>5.1813471502590676E-3</v>
      </c>
      <c r="P108" s="4">
        <f>Table1[[#This Row],[Views]]/Table1[[#This Row],[Age]]</f>
        <v>0.79098360655737709</v>
      </c>
      <c r="Q108" s="4">
        <f>Table1[[#This Row],[Downloads]]/Table1[[#This Row],[Age]]</f>
        <v>0.10245901639344263</v>
      </c>
      <c r="R108" s="4">
        <f>Table1[[#This Row],[Likes]]/Table1[[#This Row],[Age]]</f>
        <v>4.0983606557377051E-3</v>
      </c>
      <c r="S108" s="4">
        <f>Table1[[#This Row],[Collects]]/Table1[[#This Row],[Age]]</f>
        <v>4.0983606557377051E-3</v>
      </c>
      <c r="T108" s="4">
        <f>(4*Table1[[#This Row],[Collects]])+(3*Table1[[#This Row],[Likes]])+(2*Table1[[#This Row],[Downloads]])+Table1[[#This Row],[Views]]</f>
        <v>250</v>
      </c>
      <c r="U108" s="4">
        <f>Table1[[#This Row],[Score]]/Table1[[#This Row],[Age]]</f>
        <v>1.0245901639344261</v>
      </c>
      <c r="V108" s="4">
        <f>Table1[[#This Row],[Score]]/Table1[[#This Row],[Views]]</f>
        <v>1.2953367875647668</v>
      </c>
    </row>
    <row r="109" spans="1:22" x14ac:dyDescent="0.25">
      <c r="A109" s="1">
        <v>46176</v>
      </c>
      <c r="B109" t="s">
        <v>4</v>
      </c>
      <c r="C109" s="1">
        <v>46034</v>
      </c>
      <c r="D109" s="2">
        <f>Table1[[#This Row],[Date]]-Table1[[#This Row],[Published]]</f>
        <v>142</v>
      </c>
      <c r="E109" s="3">
        <v>144</v>
      </c>
      <c r="F109">
        <v>82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 s="4">
        <f>Table1[[#This Row],[Downloads]]/Table1[[#This Row],[Views]]</f>
        <v>0.56944444444444442</v>
      </c>
      <c r="N109" s="4">
        <f>Table1[[#This Row],[Likes]]/Table1[[#This Row],[Views]]</f>
        <v>1.3888888888888888E-2</v>
      </c>
      <c r="O109" s="4">
        <f>Table1[[#This Row],[Collects]]/Table1[[#This Row],[Views]]</f>
        <v>0</v>
      </c>
      <c r="P109" s="4">
        <f>Table1[[#This Row],[Views]]/Table1[[#This Row],[Age]]</f>
        <v>1.0140845070422535</v>
      </c>
      <c r="Q109" s="4">
        <f>Table1[[#This Row],[Downloads]]/Table1[[#This Row],[Age]]</f>
        <v>0.57746478873239437</v>
      </c>
      <c r="R109" s="4">
        <f>Table1[[#This Row],[Likes]]/Table1[[#This Row],[Age]]</f>
        <v>1.4084507042253521E-2</v>
      </c>
      <c r="S109" s="4">
        <f>Table1[[#This Row],[Collects]]/Table1[[#This Row],[Age]]</f>
        <v>0</v>
      </c>
      <c r="T109" s="4">
        <f>(4*Table1[[#This Row],[Collects]])+(3*Table1[[#This Row],[Likes]])+(2*Table1[[#This Row],[Downloads]])+Table1[[#This Row],[Views]]</f>
        <v>314</v>
      </c>
      <c r="U109" s="4">
        <f>Table1[[#This Row],[Score]]/Table1[[#This Row],[Age]]</f>
        <v>2.211267605633803</v>
      </c>
      <c r="V109" s="4">
        <f>Table1[[#This Row],[Score]]/Table1[[#This Row],[Views]]</f>
        <v>2.1805555555555554</v>
      </c>
    </row>
    <row r="110" spans="1:22" x14ac:dyDescent="0.25">
      <c r="A110" s="1">
        <v>46183</v>
      </c>
      <c r="B110" t="s">
        <v>0</v>
      </c>
      <c r="C110" s="1">
        <v>45784</v>
      </c>
      <c r="D110" s="2">
        <f>Table1[[#This Row],[Date]]-Table1[[#This Row],[Published]]</f>
        <v>399</v>
      </c>
      <c r="E110" s="3">
        <v>888</v>
      </c>
      <c r="F110">
        <v>218</v>
      </c>
      <c r="G110">
        <v>13</v>
      </c>
      <c r="H110">
        <v>5</v>
      </c>
      <c r="I110">
        <v>0</v>
      </c>
      <c r="J110">
        <v>0</v>
      </c>
      <c r="K110">
        <v>0</v>
      </c>
      <c r="L110">
        <v>0</v>
      </c>
      <c r="M110" s="4">
        <f>Table1[[#This Row],[Downloads]]/Table1[[#This Row],[Views]]</f>
        <v>0.24549549549549549</v>
      </c>
      <c r="N110" s="4">
        <f>Table1[[#This Row],[Likes]]/Table1[[#This Row],[Views]]</f>
        <v>1.4639639639639639E-2</v>
      </c>
      <c r="O110" s="4">
        <f>Table1[[#This Row],[Collects]]/Table1[[#This Row],[Views]]</f>
        <v>5.6306306306306304E-3</v>
      </c>
      <c r="P110" s="4">
        <f>Table1[[#This Row],[Views]]/Table1[[#This Row],[Age]]</f>
        <v>2.225563909774436</v>
      </c>
      <c r="Q110" s="4">
        <f>Table1[[#This Row],[Downloads]]/Table1[[#This Row],[Age]]</f>
        <v>0.54636591478696739</v>
      </c>
      <c r="R110" s="4">
        <f>Table1[[#This Row],[Likes]]/Table1[[#This Row],[Age]]</f>
        <v>3.2581453634085211E-2</v>
      </c>
      <c r="S110" s="4">
        <f>Table1[[#This Row],[Collects]]/Table1[[#This Row],[Age]]</f>
        <v>1.2531328320802004E-2</v>
      </c>
      <c r="T110" s="4">
        <f>(4*Table1[[#This Row],[Collects]])+(3*Table1[[#This Row],[Likes]])+(2*Table1[[#This Row],[Downloads]])+Table1[[#This Row],[Views]]</f>
        <v>1383</v>
      </c>
      <c r="U110" s="4">
        <f>Table1[[#This Row],[Score]]/Table1[[#This Row],[Age]]</f>
        <v>3.4661654135338344</v>
      </c>
      <c r="V110" s="4">
        <f>Table1[[#This Row],[Score]]/Table1[[#This Row],[Views]]</f>
        <v>1.5574324324324325</v>
      </c>
    </row>
    <row r="111" spans="1:22" x14ac:dyDescent="0.25">
      <c r="A111" s="1">
        <v>46183</v>
      </c>
      <c r="B111" t="s">
        <v>1</v>
      </c>
      <c r="C111" s="1">
        <v>45785</v>
      </c>
      <c r="D111" s="2">
        <f>Table1[[#This Row],[Date]]-Table1[[#This Row],[Published]]</f>
        <v>398</v>
      </c>
      <c r="E111" s="3">
        <v>444</v>
      </c>
      <c r="F111">
        <v>133</v>
      </c>
      <c r="G111">
        <v>8</v>
      </c>
      <c r="H111">
        <v>1</v>
      </c>
      <c r="I111">
        <v>0</v>
      </c>
      <c r="J111">
        <v>0</v>
      </c>
      <c r="K111">
        <v>0</v>
      </c>
      <c r="L111">
        <v>0</v>
      </c>
      <c r="M111" s="4">
        <f>Table1[[#This Row],[Downloads]]/Table1[[#This Row],[Views]]</f>
        <v>0.29954954954954954</v>
      </c>
      <c r="N111" s="4">
        <f>Table1[[#This Row],[Likes]]/Table1[[#This Row],[Views]]</f>
        <v>1.8018018018018018E-2</v>
      </c>
      <c r="O111" s="4">
        <f>Table1[[#This Row],[Collects]]/Table1[[#This Row],[Views]]</f>
        <v>2.2522522522522522E-3</v>
      </c>
      <c r="P111" s="4">
        <f>Table1[[#This Row],[Views]]/Table1[[#This Row],[Age]]</f>
        <v>1.1155778894472361</v>
      </c>
      <c r="Q111" s="4">
        <f>Table1[[#This Row],[Downloads]]/Table1[[#This Row],[Age]]</f>
        <v>0.33417085427135679</v>
      </c>
      <c r="R111" s="4">
        <f>Table1[[#This Row],[Likes]]/Table1[[#This Row],[Age]]</f>
        <v>2.0100502512562814E-2</v>
      </c>
      <c r="S111" s="4">
        <f>Table1[[#This Row],[Collects]]/Table1[[#This Row],[Age]]</f>
        <v>2.5125628140703518E-3</v>
      </c>
      <c r="T111" s="4">
        <f>(4*Table1[[#This Row],[Collects]])+(3*Table1[[#This Row],[Likes]])+(2*Table1[[#This Row],[Downloads]])+Table1[[#This Row],[Views]]</f>
        <v>738</v>
      </c>
      <c r="U111" s="4">
        <f>Table1[[#This Row],[Score]]/Table1[[#This Row],[Age]]</f>
        <v>1.8542713567839195</v>
      </c>
      <c r="V111" s="4">
        <f>Table1[[#This Row],[Score]]/Table1[[#This Row],[Views]]</f>
        <v>1.6621621621621621</v>
      </c>
    </row>
    <row r="112" spans="1:22" x14ac:dyDescent="0.25">
      <c r="A112" s="1">
        <v>46183</v>
      </c>
      <c r="B112" t="s">
        <v>2</v>
      </c>
      <c r="C112" s="1">
        <v>45930</v>
      </c>
      <c r="D112" s="2">
        <f>Table1[[#This Row],[Date]]-Table1[[#This Row],[Published]]</f>
        <v>253</v>
      </c>
      <c r="E112" s="3">
        <v>387</v>
      </c>
      <c r="F112">
        <v>208</v>
      </c>
      <c r="G112">
        <v>8</v>
      </c>
      <c r="H112">
        <v>1</v>
      </c>
      <c r="I112">
        <v>0</v>
      </c>
      <c r="J112">
        <v>0</v>
      </c>
      <c r="K112">
        <v>0</v>
      </c>
      <c r="L112">
        <v>0</v>
      </c>
      <c r="M112" s="4">
        <f>Table1[[#This Row],[Downloads]]/Table1[[#This Row],[Views]]</f>
        <v>0.53746770025839796</v>
      </c>
      <c r="N112" s="4">
        <f>Table1[[#This Row],[Likes]]/Table1[[#This Row],[Views]]</f>
        <v>2.0671834625322998E-2</v>
      </c>
      <c r="O112" s="4">
        <f>Table1[[#This Row],[Collects]]/Table1[[#This Row],[Views]]</f>
        <v>2.5839793281653748E-3</v>
      </c>
      <c r="P112" s="4">
        <f>Table1[[#This Row],[Views]]/Table1[[#This Row],[Age]]</f>
        <v>1.5296442687747036</v>
      </c>
      <c r="Q112" s="4">
        <f>Table1[[#This Row],[Downloads]]/Table1[[#This Row],[Age]]</f>
        <v>0.82213438735177868</v>
      </c>
      <c r="R112" s="4">
        <f>Table1[[#This Row],[Likes]]/Table1[[#This Row],[Age]]</f>
        <v>3.1620553359683792E-2</v>
      </c>
      <c r="S112" s="4">
        <f>Table1[[#This Row],[Collects]]/Table1[[#This Row],[Age]]</f>
        <v>3.952569169960474E-3</v>
      </c>
      <c r="T112" s="4">
        <f>(4*Table1[[#This Row],[Collects]])+(3*Table1[[#This Row],[Likes]])+(2*Table1[[#This Row],[Downloads]])+Table1[[#This Row],[Views]]</f>
        <v>831</v>
      </c>
      <c r="U112" s="4">
        <f>Table1[[#This Row],[Score]]/Table1[[#This Row],[Age]]</f>
        <v>3.2845849802371543</v>
      </c>
      <c r="V112" s="4">
        <f>Table1[[#This Row],[Score]]/Table1[[#This Row],[Views]]</f>
        <v>2.1472868217054262</v>
      </c>
    </row>
    <row r="113" spans="1:22" x14ac:dyDescent="0.25">
      <c r="A113" s="1">
        <v>46183</v>
      </c>
      <c r="B113" t="s">
        <v>13</v>
      </c>
      <c r="C113" s="1">
        <v>45750</v>
      </c>
      <c r="D113" s="2">
        <f>Table1[[#This Row],[Date]]-Table1[[#This Row],[Published]]</f>
        <v>433</v>
      </c>
      <c r="E113" s="3">
        <v>201</v>
      </c>
      <c r="F113">
        <v>39</v>
      </c>
      <c r="G113">
        <v>3</v>
      </c>
      <c r="H113">
        <v>2</v>
      </c>
      <c r="I113">
        <v>0</v>
      </c>
      <c r="J113">
        <v>0</v>
      </c>
      <c r="K113">
        <v>0</v>
      </c>
      <c r="L113">
        <v>0</v>
      </c>
      <c r="M113" s="4">
        <f>Table1[[#This Row],[Downloads]]/Table1[[#This Row],[Views]]</f>
        <v>0.19402985074626866</v>
      </c>
      <c r="N113" s="4">
        <f>Table1[[#This Row],[Likes]]/Table1[[#This Row],[Views]]</f>
        <v>1.4925373134328358E-2</v>
      </c>
      <c r="O113" s="4">
        <f>Table1[[#This Row],[Collects]]/Table1[[#This Row],[Views]]</f>
        <v>9.9502487562189053E-3</v>
      </c>
      <c r="P113" s="4">
        <f>Table1[[#This Row],[Views]]/Table1[[#This Row],[Age]]</f>
        <v>0.46420323325635104</v>
      </c>
      <c r="Q113" s="4">
        <f>Table1[[#This Row],[Downloads]]/Table1[[#This Row],[Age]]</f>
        <v>9.0069284064665134E-2</v>
      </c>
      <c r="R113" s="4">
        <f>Table1[[#This Row],[Likes]]/Table1[[#This Row],[Age]]</f>
        <v>6.9284064665127024E-3</v>
      </c>
      <c r="S113" s="4">
        <f>Table1[[#This Row],[Collects]]/Table1[[#This Row],[Age]]</f>
        <v>4.6189376443418013E-3</v>
      </c>
      <c r="T113" s="4">
        <f>(4*Table1[[#This Row],[Collects]])+(3*Table1[[#This Row],[Likes]])+(2*Table1[[#This Row],[Downloads]])+Table1[[#This Row],[Views]]</f>
        <v>296</v>
      </c>
      <c r="U113" s="4">
        <f>Table1[[#This Row],[Score]]/Table1[[#This Row],[Age]]</f>
        <v>0.68360277136258663</v>
      </c>
      <c r="V113" s="4">
        <f>Table1[[#This Row],[Score]]/Table1[[#This Row],[Views]]</f>
        <v>1.472636815920398</v>
      </c>
    </row>
    <row r="114" spans="1:22" x14ac:dyDescent="0.25">
      <c r="A114" s="1">
        <v>46183</v>
      </c>
      <c r="B114" t="s">
        <v>3</v>
      </c>
      <c r="C114" s="1">
        <v>45932</v>
      </c>
      <c r="D114" s="2">
        <f>Table1[[#This Row],[Date]]-Table1[[#This Row],[Published]]</f>
        <v>251</v>
      </c>
      <c r="E114" s="3">
        <v>198</v>
      </c>
      <c r="F114">
        <v>25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 s="4">
        <f>Table1[[#This Row],[Downloads]]/Table1[[#This Row],[Views]]</f>
        <v>0.12626262626262627</v>
      </c>
      <c r="N114" s="4">
        <f>Table1[[#This Row],[Likes]]/Table1[[#This Row],[Views]]</f>
        <v>5.0505050505050509E-3</v>
      </c>
      <c r="O114" s="4">
        <f>Table1[[#This Row],[Collects]]/Table1[[#This Row],[Views]]</f>
        <v>5.0505050505050509E-3</v>
      </c>
      <c r="P114" s="4">
        <f>Table1[[#This Row],[Views]]/Table1[[#This Row],[Age]]</f>
        <v>0.78884462151394419</v>
      </c>
      <c r="Q114" s="4">
        <f>Table1[[#This Row],[Downloads]]/Table1[[#This Row],[Age]]</f>
        <v>9.9601593625498003E-2</v>
      </c>
      <c r="R114" s="4">
        <f>Table1[[#This Row],[Likes]]/Table1[[#This Row],[Age]]</f>
        <v>3.9840637450199202E-3</v>
      </c>
      <c r="S114" s="4">
        <f>Table1[[#This Row],[Collects]]/Table1[[#This Row],[Age]]</f>
        <v>3.9840637450199202E-3</v>
      </c>
      <c r="T114" s="4">
        <f>(4*Table1[[#This Row],[Collects]])+(3*Table1[[#This Row],[Likes]])+(2*Table1[[#This Row],[Downloads]])+Table1[[#This Row],[Views]]</f>
        <v>255</v>
      </c>
      <c r="U114" s="4">
        <f>Table1[[#This Row],[Score]]/Table1[[#This Row],[Age]]</f>
        <v>1.0159362549800797</v>
      </c>
      <c r="V114" s="4">
        <f>Table1[[#This Row],[Score]]/Table1[[#This Row],[Views]]</f>
        <v>1.2878787878787878</v>
      </c>
    </row>
    <row r="115" spans="1:22" x14ac:dyDescent="0.25">
      <c r="A115" s="1">
        <v>46183</v>
      </c>
      <c r="B115" t="s">
        <v>4</v>
      </c>
      <c r="C115" s="1">
        <v>46034</v>
      </c>
      <c r="D115" s="2">
        <f>Table1[[#This Row],[Date]]-Table1[[#This Row],[Published]]</f>
        <v>149</v>
      </c>
      <c r="E115" s="3">
        <v>146</v>
      </c>
      <c r="F115">
        <v>82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 s="4">
        <f>Table1[[#This Row],[Downloads]]/Table1[[#This Row],[Views]]</f>
        <v>0.56164383561643838</v>
      </c>
      <c r="N115" s="4">
        <f>Table1[[#This Row],[Likes]]/Table1[[#This Row],[Views]]</f>
        <v>1.3698630136986301E-2</v>
      </c>
      <c r="O115" s="4">
        <f>Table1[[#This Row],[Collects]]/Table1[[#This Row],[Views]]</f>
        <v>0</v>
      </c>
      <c r="P115" s="4">
        <f>Table1[[#This Row],[Views]]/Table1[[#This Row],[Age]]</f>
        <v>0.97986577181208057</v>
      </c>
      <c r="Q115" s="4">
        <f>Table1[[#This Row],[Downloads]]/Table1[[#This Row],[Age]]</f>
        <v>0.55033557046979864</v>
      </c>
      <c r="R115" s="4">
        <f>Table1[[#This Row],[Likes]]/Table1[[#This Row],[Age]]</f>
        <v>1.3422818791946308E-2</v>
      </c>
      <c r="S115" s="4">
        <f>Table1[[#This Row],[Collects]]/Table1[[#This Row],[Age]]</f>
        <v>0</v>
      </c>
      <c r="T115" s="4">
        <f>(4*Table1[[#This Row],[Collects]])+(3*Table1[[#This Row],[Likes]])+(2*Table1[[#This Row],[Downloads]])+Table1[[#This Row],[Views]]</f>
        <v>316</v>
      </c>
      <c r="U115" s="4">
        <f>Table1[[#This Row],[Score]]/Table1[[#This Row],[Age]]</f>
        <v>2.1208053691275168</v>
      </c>
      <c r="V115" s="4">
        <f>Table1[[#This Row],[Score]]/Table1[[#This Row],[Views]]</f>
        <v>2.1643835616438358</v>
      </c>
    </row>
    <row r="116" spans="1:22" x14ac:dyDescent="0.25">
      <c r="A116" s="1">
        <v>46190</v>
      </c>
      <c r="B116" t="s">
        <v>0</v>
      </c>
      <c r="C116" s="1">
        <v>45784</v>
      </c>
      <c r="D116" s="2">
        <f>Table1[[#This Row],[Date]]-Table1[[#This Row],[Published]]</f>
        <v>406</v>
      </c>
      <c r="E116" s="3">
        <v>899</v>
      </c>
      <c r="F116">
        <v>220</v>
      </c>
      <c r="G116">
        <v>13</v>
      </c>
      <c r="H116">
        <v>5</v>
      </c>
      <c r="I116">
        <v>0</v>
      </c>
      <c r="J116">
        <v>0</v>
      </c>
      <c r="K116">
        <v>0</v>
      </c>
      <c r="L116">
        <v>0</v>
      </c>
      <c r="M116" s="4">
        <f>Table1[[#This Row],[Downloads]]/Table1[[#This Row],[Views]]</f>
        <v>0.24471635150166851</v>
      </c>
      <c r="N116" s="4">
        <f>Table1[[#This Row],[Likes]]/Table1[[#This Row],[Views]]</f>
        <v>1.4460511679644048E-2</v>
      </c>
      <c r="O116" s="4">
        <f>Table1[[#This Row],[Collects]]/Table1[[#This Row],[Views]]</f>
        <v>5.5617352614015575E-3</v>
      </c>
      <c r="P116" s="4">
        <f>Table1[[#This Row],[Views]]/Table1[[#This Row],[Age]]</f>
        <v>2.2142857142857144</v>
      </c>
      <c r="Q116" s="4">
        <f>Table1[[#This Row],[Downloads]]/Table1[[#This Row],[Age]]</f>
        <v>0.54187192118226601</v>
      </c>
      <c r="R116" s="4">
        <f>Table1[[#This Row],[Likes]]/Table1[[#This Row],[Age]]</f>
        <v>3.2019704433497539E-2</v>
      </c>
      <c r="S116" s="4">
        <f>Table1[[#This Row],[Collects]]/Table1[[#This Row],[Age]]</f>
        <v>1.2315270935960592E-2</v>
      </c>
      <c r="T116" s="4">
        <f>(4*Table1[[#This Row],[Collects]])+(3*Table1[[#This Row],[Likes]])+(2*Table1[[#This Row],[Downloads]])+Table1[[#This Row],[Views]]</f>
        <v>1398</v>
      </c>
      <c r="U116" s="4">
        <f>Table1[[#This Row],[Score]]/Table1[[#This Row],[Age]]</f>
        <v>3.4433497536945814</v>
      </c>
      <c r="V116" s="4">
        <f>Table1[[#This Row],[Score]]/Table1[[#This Row],[Views]]</f>
        <v>1.5550611790878754</v>
      </c>
    </row>
    <row r="117" spans="1:22" x14ac:dyDescent="0.25">
      <c r="A117" s="1">
        <v>46190</v>
      </c>
      <c r="B117" t="s">
        <v>1</v>
      </c>
      <c r="C117" s="1">
        <v>45785</v>
      </c>
      <c r="D117" s="2">
        <f>Table1[[#This Row],[Date]]-Table1[[#This Row],[Published]]</f>
        <v>405</v>
      </c>
      <c r="E117" s="3">
        <v>447</v>
      </c>
      <c r="F117">
        <v>133</v>
      </c>
      <c r="G117">
        <v>8</v>
      </c>
      <c r="H117">
        <v>1</v>
      </c>
      <c r="I117">
        <v>0</v>
      </c>
      <c r="J117">
        <v>0</v>
      </c>
      <c r="K117">
        <v>0</v>
      </c>
      <c r="L117">
        <v>0</v>
      </c>
      <c r="M117" s="4">
        <f>Table1[[#This Row],[Downloads]]/Table1[[#This Row],[Views]]</f>
        <v>0.29753914988814317</v>
      </c>
      <c r="N117" s="4">
        <f>Table1[[#This Row],[Likes]]/Table1[[#This Row],[Views]]</f>
        <v>1.7897091722595078E-2</v>
      </c>
      <c r="O117" s="4">
        <f>Table1[[#This Row],[Collects]]/Table1[[#This Row],[Views]]</f>
        <v>2.2371364653243847E-3</v>
      </c>
      <c r="P117" s="4">
        <f>Table1[[#This Row],[Views]]/Table1[[#This Row],[Age]]</f>
        <v>1.1037037037037036</v>
      </c>
      <c r="Q117" s="4">
        <f>Table1[[#This Row],[Downloads]]/Table1[[#This Row],[Age]]</f>
        <v>0.32839506172839505</v>
      </c>
      <c r="R117" s="4">
        <f>Table1[[#This Row],[Likes]]/Table1[[#This Row],[Age]]</f>
        <v>1.9753086419753086E-2</v>
      </c>
      <c r="S117" s="4">
        <f>Table1[[#This Row],[Collects]]/Table1[[#This Row],[Age]]</f>
        <v>2.4691358024691358E-3</v>
      </c>
      <c r="T117" s="4">
        <f>(4*Table1[[#This Row],[Collects]])+(3*Table1[[#This Row],[Likes]])+(2*Table1[[#This Row],[Downloads]])+Table1[[#This Row],[Views]]</f>
        <v>741</v>
      </c>
      <c r="U117" s="4">
        <f>Table1[[#This Row],[Score]]/Table1[[#This Row],[Age]]</f>
        <v>1.8296296296296297</v>
      </c>
      <c r="V117" s="4">
        <f>Table1[[#This Row],[Score]]/Table1[[#This Row],[Views]]</f>
        <v>1.6577181208053691</v>
      </c>
    </row>
    <row r="118" spans="1:22" x14ac:dyDescent="0.25">
      <c r="A118" s="1">
        <v>46190</v>
      </c>
      <c r="B118" t="s">
        <v>2</v>
      </c>
      <c r="C118" s="1">
        <v>45930</v>
      </c>
      <c r="D118" s="2">
        <f>Table1[[#This Row],[Date]]-Table1[[#This Row],[Published]]</f>
        <v>260</v>
      </c>
      <c r="E118" s="3">
        <v>404</v>
      </c>
      <c r="F118">
        <v>209</v>
      </c>
      <c r="G118">
        <v>8</v>
      </c>
      <c r="H118">
        <v>1</v>
      </c>
      <c r="I118">
        <v>0</v>
      </c>
      <c r="J118">
        <v>0</v>
      </c>
      <c r="K118">
        <v>0</v>
      </c>
      <c r="L118">
        <v>0</v>
      </c>
      <c r="M118" s="4">
        <f>Table1[[#This Row],[Downloads]]/Table1[[#This Row],[Views]]</f>
        <v>0.51732673267326734</v>
      </c>
      <c r="N118" s="4">
        <f>Table1[[#This Row],[Likes]]/Table1[[#This Row],[Views]]</f>
        <v>1.9801980198019802E-2</v>
      </c>
      <c r="O118" s="4">
        <f>Table1[[#This Row],[Collects]]/Table1[[#This Row],[Views]]</f>
        <v>2.4752475247524753E-3</v>
      </c>
      <c r="P118" s="4">
        <f>Table1[[#This Row],[Views]]/Table1[[#This Row],[Age]]</f>
        <v>1.5538461538461539</v>
      </c>
      <c r="Q118" s="4">
        <f>Table1[[#This Row],[Downloads]]/Table1[[#This Row],[Age]]</f>
        <v>0.80384615384615388</v>
      </c>
      <c r="R118" s="4">
        <f>Table1[[#This Row],[Likes]]/Table1[[#This Row],[Age]]</f>
        <v>3.0769230769230771E-2</v>
      </c>
      <c r="S118" s="4">
        <f>Table1[[#This Row],[Collects]]/Table1[[#This Row],[Age]]</f>
        <v>3.8461538461538464E-3</v>
      </c>
      <c r="T118" s="4">
        <f>(4*Table1[[#This Row],[Collects]])+(3*Table1[[#This Row],[Likes]])+(2*Table1[[#This Row],[Downloads]])+Table1[[#This Row],[Views]]</f>
        <v>850</v>
      </c>
      <c r="U118" s="4">
        <f>Table1[[#This Row],[Score]]/Table1[[#This Row],[Age]]</f>
        <v>3.2692307692307692</v>
      </c>
      <c r="V118" s="4">
        <f>Table1[[#This Row],[Score]]/Table1[[#This Row],[Views]]</f>
        <v>2.1039603960396041</v>
      </c>
    </row>
    <row r="119" spans="1:22" x14ac:dyDescent="0.25">
      <c r="A119" s="1">
        <v>46190</v>
      </c>
      <c r="B119" t="s">
        <v>13</v>
      </c>
      <c r="C119" s="1">
        <v>45750</v>
      </c>
      <c r="D119" s="2">
        <f>Table1[[#This Row],[Date]]-Table1[[#This Row],[Published]]</f>
        <v>440</v>
      </c>
      <c r="E119" s="3">
        <v>202</v>
      </c>
      <c r="F119">
        <v>39</v>
      </c>
      <c r="G119">
        <v>3</v>
      </c>
      <c r="H119">
        <v>2</v>
      </c>
      <c r="I119">
        <v>0</v>
      </c>
      <c r="J119">
        <v>0</v>
      </c>
      <c r="K119">
        <v>0</v>
      </c>
      <c r="L119">
        <v>0</v>
      </c>
      <c r="M119" s="4">
        <f>Table1[[#This Row],[Downloads]]/Table1[[#This Row],[Views]]</f>
        <v>0.19306930693069307</v>
      </c>
      <c r="N119" s="4">
        <f>Table1[[#This Row],[Likes]]/Table1[[#This Row],[Views]]</f>
        <v>1.4851485148514851E-2</v>
      </c>
      <c r="O119" s="4">
        <f>Table1[[#This Row],[Collects]]/Table1[[#This Row],[Views]]</f>
        <v>9.9009900990099011E-3</v>
      </c>
      <c r="P119" s="4">
        <f>Table1[[#This Row],[Views]]/Table1[[#This Row],[Age]]</f>
        <v>0.45909090909090911</v>
      </c>
      <c r="Q119" s="4">
        <f>Table1[[#This Row],[Downloads]]/Table1[[#This Row],[Age]]</f>
        <v>8.8636363636363638E-2</v>
      </c>
      <c r="R119" s="4">
        <f>Table1[[#This Row],[Likes]]/Table1[[#This Row],[Age]]</f>
        <v>6.8181818181818179E-3</v>
      </c>
      <c r="S119" s="4">
        <f>Table1[[#This Row],[Collects]]/Table1[[#This Row],[Age]]</f>
        <v>4.5454545454545452E-3</v>
      </c>
      <c r="T119" s="4">
        <f>(4*Table1[[#This Row],[Collects]])+(3*Table1[[#This Row],[Likes]])+(2*Table1[[#This Row],[Downloads]])+Table1[[#This Row],[Views]]</f>
        <v>297</v>
      </c>
      <c r="U119" s="4">
        <f>Table1[[#This Row],[Score]]/Table1[[#This Row],[Age]]</f>
        <v>0.67500000000000004</v>
      </c>
      <c r="V119" s="4">
        <f>Table1[[#This Row],[Score]]/Table1[[#This Row],[Views]]</f>
        <v>1.4702970297029703</v>
      </c>
    </row>
    <row r="120" spans="1:22" x14ac:dyDescent="0.25">
      <c r="A120" s="1">
        <v>46190</v>
      </c>
      <c r="B120" t="s">
        <v>3</v>
      </c>
      <c r="C120" s="1">
        <v>45932</v>
      </c>
      <c r="D120" s="2">
        <f>Table1[[#This Row],[Date]]-Table1[[#This Row],[Published]]</f>
        <v>258</v>
      </c>
      <c r="E120" s="3">
        <v>209</v>
      </c>
      <c r="F120">
        <v>25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 s="4">
        <f>Table1[[#This Row],[Downloads]]/Table1[[#This Row],[Views]]</f>
        <v>0.11961722488038277</v>
      </c>
      <c r="N120" s="4">
        <f>Table1[[#This Row],[Likes]]/Table1[[#This Row],[Views]]</f>
        <v>4.7846889952153108E-3</v>
      </c>
      <c r="O120" s="4">
        <f>Table1[[#This Row],[Collects]]/Table1[[#This Row],[Views]]</f>
        <v>4.7846889952153108E-3</v>
      </c>
      <c r="P120" s="4">
        <f>Table1[[#This Row],[Views]]/Table1[[#This Row],[Age]]</f>
        <v>0.81007751937984496</v>
      </c>
      <c r="Q120" s="4">
        <f>Table1[[#This Row],[Downloads]]/Table1[[#This Row],[Age]]</f>
        <v>9.6899224806201556E-2</v>
      </c>
      <c r="R120" s="4">
        <f>Table1[[#This Row],[Likes]]/Table1[[#This Row],[Age]]</f>
        <v>3.875968992248062E-3</v>
      </c>
      <c r="S120" s="4">
        <f>Table1[[#This Row],[Collects]]/Table1[[#This Row],[Age]]</f>
        <v>3.875968992248062E-3</v>
      </c>
      <c r="T120" s="4">
        <f>(4*Table1[[#This Row],[Collects]])+(3*Table1[[#This Row],[Likes]])+(2*Table1[[#This Row],[Downloads]])+Table1[[#This Row],[Views]]</f>
        <v>266</v>
      </c>
      <c r="U120" s="4">
        <f>Table1[[#This Row],[Score]]/Table1[[#This Row],[Age]]</f>
        <v>1.0310077519379846</v>
      </c>
      <c r="V120" s="4">
        <f>Table1[[#This Row],[Score]]/Table1[[#This Row],[Views]]</f>
        <v>1.2727272727272727</v>
      </c>
    </row>
    <row r="121" spans="1:22" x14ac:dyDescent="0.25">
      <c r="A121" s="1">
        <v>46190</v>
      </c>
      <c r="B121" t="s">
        <v>4</v>
      </c>
      <c r="C121" s="1">
        <v>46034</v>
      </c>
      <c r="D121" s="2">
        <f>Table1[[#This Row],[Date]]-Table1[[#This Row],[Published]]</f>
        <v>156</v>
      </c>
      <c r="E121" s="3">
        <v>149</v>
      </c>
      <c r="F121">
        <v>82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 s="4">
        <f>Table1[[#This Row],[Downloads]]/Table1[[#This Row],[Views]]</f>
        <v>0.55033557046979864</v>
      </c>
      <c r="N121" s="4">
        <f>Table1[[#This Row],[Likes]]/Table1[[#This Row],[Views]]</f>
        <v>1.3422818791946308E-2</v>
      </c>
      <c r="O121" s="4">
        <f>Table1[[#This Row],[Collects]]/Table1[[#This Row],[Views]]</f>
        <v>0</v>
      </c>
      <c r="P121" s="4">
        <f>Table1[[#This Row],[Views]]/Table1[[#This Row],[Age]]</f>
        <v>0.95512820512820518</v>
      </c>
      <c r="Q121" s="4">
        <f>Table1[[#This Row],[Downloads]]/Table1[[#This Row],[Age]]</f>
        <v>0.52564102564102566</v>
      </c>
      <c r="R121" s="4">
        <f>Table1[[#This Row],[Likes]]/Table1[[#This Row],[Age]]</f>
        <v>1.282051282051282E-2</v>
      </c>
      <c r="S121" s="4">
        <f>Table1[[#This Row],[Collects]]/Table1[[#This Row],[Age]]</f>
        <v>0</v>
      </c>
      <c r="T121" s="4">
        <f>(4*Table1[[#This Row],[Collects]])+(3*Table1[[#This Row],[Likes]])+(2*Table1[[#This Row],[Downloads]])+Table1[[#This Row],[Views]]</f>
        <v>319</v>
      </c>
      <c r="U121" s="4">
        <f>Table1[[#This Row],[Score]]/Table1[[#This Row],[Age]]</f>
        <v>2.0448717948717947</v>
      </c>
      <c r="V121" s="4">
        <f>Table1[[#This Row],[Score]]/Table1[[#This Row],[Views]]</f>
        <v>2.1409395973154361</v>
      </c>
    </row>
    <row r="122" spans="1:22" x14ac:dyDescent="0.25">
      <c r="A122" s="1">
        <v>46196</v>
      </c>
      <c r="B122" t="s">
        <v>0</v>
      </c>
      <c r="C122" s="1">
        <v>45784</v>
      </c>
      <c r="D122" s="2">
        <f>Table1[[#This Row],[Date]]-Table1[[#This Row],[Published]]</f>
        <v>412</v>
      </c>
      <c r="E122" s="3">
        <v>909</v>
      </c>
      <c r="F122">
        <v>221</v>
      </c>
      <c r="G122">
        <v>13</v>
      </c>
      <c r="H122">
        <v>5</v>
      </c>
      <c r="I122">
        <v>0</v>
      </c>
      <c r="J122">
        <v>0</v>
      </c>
      <c r="K122">
        <v>0</v>
      </c>
      <c r="L122">
        <v>0</v>
      </c>
      <c r="M122" s="4">
        <f>Table1[[#This Row],[Downloads]]/Table1[[#This Row],[Views]]</f>
        <v>0.24312431243124313</v>
      </c>
      <c r="N122" s="4">
        <f>Table1[[#This Row],[Likes]]/Table1[[#This Row],[Views]]</f>
        <v>1.4301430143014302E-2</v>
      </c>
      <c r="O122" s="4">
        <f>Table1[[#This Row],[Collects]]/Table1[[#This Row],[Views]]</f>
        <v>5.5005500550055009E-3</v>
      </c>
      <c r="P122" s="4">
        <f>Table1[[#This Row],[Views]]/Table1[[#This Row],[Age]]</f>
        <v>2.2063106796116503</v>
      </c>
      <c r="Q122" s="4">
        <f>Table1[[#This Row],[Downloads]]/Table1[[#This Row],[Age]]</f>
        <v>0.53640776699029125</v>
      </c>
      <c r="R122" s="4">
        <f>Table1[[#This Row],[Likes]]/Table1[[#This Row],[Age]]</f>
        <v>3.1553398058252427E-2</v>
      </c>
      <c r="S122" s="4">
        <f>Table1[[#This Row],[Collects]]/Table1[[#This Row],[Age]]</f>
        <v>1.2135922330097087E-2</v>
      </c>
      <c r="T122" s="4">
        <f>(4*Table1[[#This Row],[Collects]])+(3*Table1[[#This Row],[Likes]])+(2*Table1[[#This Row],[Downloads]])+Table1[[#This Row],[Views]]</f>
        <v>1410</v>
      </c>
      <c r="U122" s="4">
        <f>Table1[[#This Row],[Score]]/Table1[[#This Row],[Age]]</f>
        <v>3.4223300970873787</v>
      </c>
      <c r="V122" s="4">
        <f>Table1[[#This Row],[Score]]/Table1[[#This Row],[Views]]</f>
        <v>1.5511551155115511</v>
      </c>
    </row>
    <row r="123" spans="1:22" x14ac:dyDescent="0.25">
      <c r="A123" s="1">
        <v>46196</v>
      </c>
      <c r="B123" t="s">
        <v>1</v>
      </c>
      <c r="C123" s="1">
        <v>45785</v>
      </c>
      <c r="D123" s="2">
        <f>Table1[[#This Row],[Date]]-Table1[[#This Row],[Published]]</f>
        <v>411</v>
      </c>
      <c r="E123" s="3">
        <v>451</v>
      </c>
      <c r="F123">
        <v>134</v>
      </c>
      <c r="G123">
        <v>8</v>
      </c>
      <c r="H123">
        <v>1</v>
      </c>
      <c r="I123">
        <v>0</v>
      </c>
      <c r="J123">
        <v>0</v>
      </c>
      <c r="K123">
        <v>0</v>
      </c>
      <c r="L123">
        <v>0</v>
      </c>
      <c r="M123" s="4">
        <f>Table1[[#This Row],[Downloads]]/Table1[[#This Row],[Views]]</f>
        <v>0.29711751662971175</v>
      </c>
      <c r="N123" s="4">
        <f>Table1[[#This Row],[Likes]]/Table1[[#This Row],[Views]]</f>
        <v>1.7738359201773836E-2</v>
      </c>
      <c r="O123" s="4">
        <f>Table1[[#This Row],[Collects]]/Table1[[#This Row],[Views]]</f>
        <v>2.2172949002217295E-3</v>
      </c>
      <c r="P123" s="4">
        <f>Table1[[#This Row],[Views]]/Table1[[#This Row],[Age]]</f>
        <v>1.0973236009732361</v>
      </c>
      <c r="Q123" s="4">
        <f>Table1[[#This Row],[Downloads]]/Table1[[#This Row],[Age]]</f>
        <v>0.32603406326034062</v>
      </c>
      <c r="R123" s="4">
        <f>Table1[[#This Row],[Likes]]/Table1[[#This Row],[Age]]</f>
        <v>1.9464720194647202E-2</v>
      </c>
      <c r="S123" s="4">
        <f>Table1[[#This Row],[Collects]]/Table1[[#This Row],[Age]]</f>
        <v>2.4330900243309003E-3</v>
      </c>
      <c r="T123" s="4">
        <f>(4*Table1[[#This Row],[Collects]])+(3*Table1[[#This Row],[Likes]])+(2*Table1[[#This Row],[Downloads]])+Table1[[#This Row],[Views]]</f>
        <v>747</v>
      </c>
      <c r="U123" s="4">
        <f>Table1[[#This Row],[Score]]/Table1[[#This Row],[Age]]</f>
        <v>1.8175182481751824</v>
      </c>
      <c r="V123" s="4">
        <f>Table1[[#This Row],[Score]]/Table1[[#This Row],[Views]]</f>
        <v>1.6563192904656319</v>
      </c>
    </row>
    <row r="124" spans="1:22" x14ac:dyDescent="0.25">
      <c r="A124" s="1">
        <v>46196</v>
      </c>
      <c r="B124" t="s">
        <v>2</v>
      </c>
      <c r="C124" s="1">
        <v>45930</v>
      </c>
      <c r="D124" s="2">
        <f>Table1[[#This Row],[Date]]-Table1[[#This Row],[Published]]</f>
        <v>266</v>
      </c>
      <c r="E124" s="3">
        <v>411</v>
      </c>
      <c r="F124">
        <v>211</v>
      </c>
      <c r="G124">
        <v>8</v>
      </c>
      <c r="H124">
        <v>1</v>
      </c>
      <c r="I124">
        <v>0</v>
      </c>
      <c r="J124">
        <v>0</v>
      </c>
      <c r="K124">
        <v>0</v>
      </c>
      <c r="L124">
        <v>0</v>
      </c>
      <c r="M124" s="4">
        <f>Table1[[#This Row],[Downloads]]/Table1[[#This Row],[Views]]</f>
        <v>0.51338199513381999</v>
      </c>
      <c r="N124" s="4">
        <f>Table1[[#This Row],[Likes]]/Table1[[#This Row],[Views]]</f>
        <v>1.9464720194647202E-2</v>
      </c>
      <c r="O124" s="4">
        <f>Table1[[#This Row],[Collects]]/Table1[[#This Row],[Views]]</f>
        <v>2.4330900243309003E-3</v>
      </c>
      <c r="P124" s="4">
        <f>Table1[[#This Row],[Views]]/Table1[[#This Row],[Age]]</f>
        <v>1.5451127819548873</v>
      </c>
      <c r="Q124" s="4">
        <f>Table1[[#This Row],[Downloads]]/Table1[[#This Row],[Age]]</f>
        <v>0.79323308270676696</v>
      </c>
      <c r="R124" s="4">
        <f>Table1[[#This Row],[Likes]]/Table1[[#This Row],[Age]]</f>
        <v>3.007518796992481E-2</v>
      </c>
      <c r="S124" s="4">
        <f>Table1[[#This Row],[Collects]]/Table1[[#This Row],[Age]]</f>
        <v>3.7593984962406013E-3</v>
      </c>
      <c r="T124" s="4">
        <f>(4*Table1[[#This Row],[Collects]])+(3*Table1[[#This Row],[Likes]])+(2*Table1[[#This Row],[Downloads]])+Table1[[#This Row],[Views]]</f>
        <v>861</v>
      </c>
      <c r="U124" s="4">
        <f>Table1[[#This Row],[Score]]/Table1[[#This Row],[Age]]</f>
        <v>3.236842105263158</v>
      </c>
      <c r="V124" s="4">
        <f>Table1[[#This Row],[Score]]/Table1[[#This Row],[Views]]</f>
        <v>2.0948905109489053</v>
      </c>
    </row>
    <row r="125" spans="1:22" x14ac:dyDescent="0.25">
      <c r="A125" s="1">
        <v>46196</v>
      </c>
      <c r="B125" t="s">
        <v>13</v>
      </c>
      <c r="C125" s="1">
        <v>45750</v>
      </c>
      <c r="D125" s="2">
        <f>Table1[[#This Row],[Date]]-Table1[[#This Row],[Published]]</f>
        <v>446</v>
      </c>
      <c r="E125" s="3">
        <v>205</v>
      </c>
      <c r="F125">
        <v>39</v>
      </c>
      <c r="G125">
        <v>3</v>
      </c>
      <c r="H125">
        <v>2</v>
      </c>
      <c r="I125">
        <v>0</v>
      </c>
      <c r="J125">
        <v>0</v>
      </c>
      <c r="K125">
        <v>0</v>
      </c>
      <c r="L125">
        <v>0</v>
      </c>
      <c r="M125" s="4">
        <f>Table1[[#This Row],[Downloads]]/Table1[[#This Row],[Views]]</f>
        <v>0.19024390243902439</v>
      </c>
      <c r="N125" s="4">
        <f>Table1[[#This Row],[Likes]]/Table1[[#This Row],[Views]]</f>
        <v>1.4634146341463415E-2</v>
      </c>
      <c r="O125" s="4">
        <f>Table1[[#This Row],[Collects]]/Table1[[#This Row],[Views]]</f>
        <v>9.7560975609756097E-3</v>
      </c>
      <c r="P125" s="4">
        <f>Table1[[#This Row],[Views]]/Table1[[#This Row],[Age]]</f>
        <v>0.45964125560538116</v>
      </c>
      <c r="Q125" s="4">
        <f>Table1[[#This Row],[Downloads]]/Table1[[#This Row],[Age]]</f>
        <v>8.744394618834081E-2</v>
      </c>
      <c r="R125" s="4">
        <f>Table1[[#This Row],[Likes]]/Table1[[#This Row],[Age]]</f>
        <v>6.7264573991031393E-3</v>
      </c>
      <c r="S125" s="4">
        <f>Table1[[#This Row],[Collects]]/Table1[[#This Row],[Age]]</f>
        <v>4.4843049327354259E-3</v>
      </c>
      <c r="T125" s="4">
        <f>(4*Table1[[#This Row],[Collects]])+(3*Table1[[#This Row],[Likes]])+(2*Table1[[#This Row],[Downloads]])+Table1[[#This Row],[Views]]</f>
        <v>300</v>
      </c>
      <c r="U125" s="4">
        <f>Table1[[#This Row],[Score]]/Table1[[#This Row],[Age]]</f>
        <v>0.67264573991031396</v>
      </c>
      <c r="V125" s="4">
        <f>Table1[[#This Row],[Score]]/Table1[[#This Row],[Views]]</f>
        <v>1.4634146341463414</v>
      </c>
    </row>
    <row r="126" spans="1:22" x14ac:dyDescent="0.25">
      <c r="A126" s="1">
        <v>46196</v>
      </c>
      <c r="B126" t="s">
        <v>3</v>
      </c>
      <c r="C126" s="1">
        <v>45932</v>
      </c>
      <c r="D126" s="2">
        <f>Table1[[#This Row],[Date]]-Table1[[#This Row],[Published]]</f>
        <v>264</v>
      </c>
      <c r="E126" s="3">
        <v>216</v>
      </c>
      <c r="F126">
        <v>25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 s="4">
        <f>Table1[[#This Row],[Downloads]]/Table1[[#This Row],[Views]]</f>
        <v>0.11574074074074074</v>
      </c>
      <c r="N126" s="4">
        <f>Table1[[#This Row],[Likes]]/Table1[[#This Row],[Views]]</f>
        <v>4.6296296296296294E-3</v>
      </c>
      <c r="O126" s="4">
        <f>Table1[[#This Row],[Collects]]/Table1[[#This Row],[Views]]</f>
        <v>4.6296296296296294E-3</v>
      </c>
      <c r="P126" s="4">
        <f>Table1[[#This Row],[Views]]/Table1[[#This Row],[Age]]</f>
        <v>0.81818181818181823</v>
      </c>
      <c r="Q126" s="4">
        <f>Table1[[#This Row],[Downloads]]/Table1[[#This Row],[Age]]</f>
        <v>9.4696969696969696E-2</v>
      </c>
      <c r="R126" s="4">
        <f>Table1[[#This Row],[Likes]]/Table1[[#This Row],[Age]]</f>
        <v>3.787878787878788E-3</v>
      </c>
      <c r="S126" s="4">
        <f>Table1[[#This Row],[Collects]]/Table1[[#This Row],[Age]]</f>
        <v>3.787878787878788E-3</v>
      </c>
      <c r="T126" s="4">
        <f>(4*Table1[[#This Row],[Collects]])+(3*Table1[[#This Row],[Likes]])+(2*Table1[[#This Row],[Downloads]])+Table1[[#This Row],[Views]]</f>
        <v>273</v>
      </c>
      <c r="U126" s="4">
        <f>Table1[[#This Row],[Score]]/Table1[[#This Row],[Age]]</f>
        <v>1.0340909090909092</v>
      </c>
      <c r="V126" s="4">
        <f>Table1[[#This Row],[Score]]/Table1[[#This Row],[Views]]</f>
        <v>1.2638888888888888</v>
      </c>
    </row>
    <row r="127" spans="1:22" x14ac:dyDescent="0.25">
      <c r="A127" s="1">
        <v>46196</v>
      </c>
      <c r="B127" t="s">
        <v>4</v>
      </c>
      <c r="C127" s="1">
        <v>46034</v>
      </c>
      <c r="D127" s="2">
        <f>Table1[[#This Row],[Date]]-Table1[[#This Row],[Published]]</f>
        <v>162</v>
      </c>
      <c r="E127" s="3">
        <v>153</v>
      </c>
      <c r="F127">
        <v>82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 s="4">
        <f>Table1[[#This Row],[Downloads]]/Table1[[#This Row],[Views]]</f>
        <v>0.53594771241830064</v>
      </c>
      <c r="N127" s="4">
        <f>Table1[[#This Row],[Likes]]/Table1[[#This Row],[Views]]</f>
        <v>1.3071895424836602E-2</v>
      </c>
      <c r="O127" s="4">
        <f>Table1[[#This Row],[Collects]]/Table1[[#This Row],[Views]]</f>
        <v>0</v>
      </c>
      <c r="P127" s="4">
        <f>Table1[[#This Row],[Views]]/Table1[[#This Row],[Age]]</f>
        <v>0.94444444444444442</v>
      </c>
      <c r="Q127" s="4">
        <f>Table1[[#This Row],[Downloads]]/Table1[[#This Row],[Age]]</f>
        <v>0.50617283950617287</v>
      </c>
      <c r="R127" s="4">
        <f>Table1[[#This Row],[Likes]]/Table1[[#This Row],[Age]]</f>
        <v>1.2345679012345678E-2</v>
      </c>
      <c r="S127" s="4">
        <f>Table1[[#This Row],[Collects]]/Table1[[#This Row],[Age]]</f>
        <v>0</v>
      </c>
      <c r="T127" s="4">
        <f>(4*Table1[[#This Row],[Collects]])+(3*Table1[[#This Row],[Likes]])+(2*Table1[[#This Row],[Downloads]])+Table1[[#This Row],[Views]]</f>
        <v>323</v>
      </c>
      <c r="U127" s="4">
        <f>Table1[[#This Row],[Score]]/Table1[[#This Row],[Age]]</f>
        <v>1.9938271604938271</v>
      </c>
      <c r="V127" s="4">
        <f>Table1[[#This Row],[Score]]/Table1[[#This Row],[Views]]</f>
        <v>2.1111111111111112</v>
      </c>
    </row>
    <row r="128" spans="1:22" x14ac:dyDescent="0.25">
      <c r="A128" s="1">
        <v>46267</v>
      </c>
      <c r="B128" t="s">
        <v>0</v>
      </c>
      <c r="C128" s="1">
        <v>45784</v>
      </c>
      <c r="D128" s="2">
        <f>Table1[[#This Row],[Date]]-Table1[[#This Row],[Published]]</f>
        <v>483</v>
      </c>
      <c r="E128" s="3">
        <v>954</v>
      </c>
      <c r="F128">
        <v>225</v>
      </c>
      <c r="G128">
        <v>14</v>
      </c>
      <c r="H128">
        <v>6</v>
      </c>
      <c r="I128">
        <v>0</v>
      </c>
      <c r="J128">
        <v>0</v>
      </c>
      <c r="K128">
        <v>0</v>
      </c>
      <c r="L128">
        <v>0</v>
      </c>
      <c r="M128" s="4">
        <f>Table1[[#This Row],[Downloads]]/Table1[[#This Row],[Views]]</f>
        <v>0.23584905660377359</v>
      </c>
      <c r="N128" s="4">
        <f>Table1[[#This Row],[Likes]]/Table1[[#This Row],[Views]]</f>
        <v>1.4675052410901468E-2</v>
      </c>
      <c r="O128" s="4">
        <f>Table1[[#This Row],[Collects]]/Table1[[#This Row],[Views]]</f>
        <v>6.2893081761006293E-3</v>
      </c>
      <c r="P128" s="4">
        <f>Table1[[#This Row],[Views]]/Table1[[#This Row],[Age]]</f>
        <v>1.9751552795031055</v>
      </c>
      <c r="Q128" s="4">
        <f>Table1[[#This Row],[Downloads]]/Table1[[#This Row],[Age]]</f>
        <v>0.46583850931677018</v>
      </c>
      <c r="R128" s="4">
        <f>Table1[[#This Row],[Likes]]/Table1[[#This Row],[Age]]</f>
        <v>2.8985507246376812E-2</v>
      </c>
      <c r="S128" s="4">
        <f>Table1[[#This Row],[Collects]]/Table1[[#This Row],[Age]]</f>
        <v>1.2422360248447204E-2</v>
      </c>
      <c r="T128" s="4">
        <f>(4*Table1[[#This Row],[Collects]])+(3*Table1[[#This Row],[Likes]])+(2*Table1[[#This Row],[Downloads]])+Table1[[#This Row],[Views]]</f>
        <v>1470</v>
      </c>
      <c r="U128" s="4">
        <f>Table1[[#This Row],[Score]]/Table1[[#This Row],[Age]]</f>
        <v>3.0434782608695654</v>
      </c>
      <c r="V128" s="4">
        <f>Table1[[#This Row],[Score]]/Table1[[#This Row],[Views]]</f>
        <v>1.5408805031446542</v>
      </c>
    </row>
    <row r="129" spans="1:22" x14ac:dyDescent="0.25">
      <c r="A129" s="1">
        <v>46267</v>
      </c>
      <c r="B129" t="s">
        <v>1</v>
      </c>
      <c r="C129" s="1">
        <v>45785</v>
      </c>
      <c r="D129" s="2">
        <f>Table1[[#This Row],[Date]]-Table1[[#This Row],[Published]]</f>
        <v>482</v>
      </c>
      <c r="E129" s="3">
        <v>478</v>
      </c>
      <c r="F129">
        <v>144</v>
      </c>
      <c r="G129">
        <v>8</v>
      </c>
      <c r="H129">
        <v>1</v>
      </c>
      <c r="I129">
        <v>0</v>
      </c>
      <c r="J129">
        <v>0</v>
      </c>
      <c r="K129">
        <v>0</v>
      </c>
      <c r="L129">
        <v>0</v>
      </c>
      <c r="M129" s="4">
        <f>Table1[[#This Row],[Downloads]]/Table1[[#This Row],[Views]]</f>
        <v>0.30125523012552302</v>
      </c>
      <c r="N129" s="4">
        <f>Table1[[#This Row],[Likes]]/Table1[[#This Row],[Views]]</f>
        <v>1.6736401673640166E-2</v>
      </c>
      <c r="O129" s="4">
        <f>Table1[[#This Row],[Collects]]/Table1[[#This Row],[Views]]</f>
        <v>2.0920502092050207E-3</v>
      </c>
      <c r="P129" s="4">
        <f>Table1[[#This Row],[Views]]/Table1[[#This Row],[Age]]</f>
        <v>0.99170124481327804</v>
      </c>
      <c r="Q129" s="4">
        <f>Table1[[#This Row],[Downloads]]/Table1[[#This Row],[Age]]</f>
        <v>0.29875518672199169</v>
      </c>
      <c r="R129" s="4">
        <f>Table1[[#This Row],[Likes]]/Table1[[#This Row],[Age]]</f>
        <v>1.6597510373443983E-2</v>
      </c>
      <c r="S129" s="4">
        <f>Table1[[#This Row],[Collects]]/Table1[[#This Row],[Age]]</f>
        <v>2.0746887966804979E-3</v>
      </c>
      <c r="T129" s="4">
        <f>(4*Table1[[#This Row],[Collects]])+(3*Table1[[#This Row],[Likes]])+(2*Table1[[#This Row],[Downloads]])+Table1[[#This Row],[Views]]</f>
        <v>794</v>
      </c>
      <c r="U129" s="4">
        <f>Table1[[#This Row],[Score]]/Table1[[#This Row],[Age]]</f>
        <v>1.6473029045643153</v>
      </c>
      <c r="V129" s="4">
        <f>Table1[[#This Row],[Score]]/Table1[[#This Row],[Views]]</f>
        <v>1.6610878661087867</v>
      </c>
    </row>
    <row r="130" spans="1:22" x14ac:dyDescent="0.25">
      <c r="A130" s="1">
        <v>46267</v>
      </c>
      <c r="B130" t="s">
        <v>2</v>
      </c>
      <c r="C130" s="1">
        <v>45930</v>
      </c>
      <c r="D130" s="2">
        <f>Table1[[#This Row],[Date]]-Table1[[#This Row],[Published]]</f>
        <v>337</v>
      </c>
      <c r="E130" s="3">
        <v>519</v>
      </c>
      <c r="F130">
        <v>264</v>
      </c>
      <c r="G130">
        <v>9</v>
      </c>
      <c r="H130">
        <v>1</v>
      </c>
      <c r="I130">
        <v>0</v>
      </c>
      <c r="J130">
        <v>0</v>
      </c>
      <c r="K130">
        <v>0</v>
      </c>
      <c r="L130">
        <v>0</v>
      </c>
      <c r="M130" s="4">
        <f>Table1[[#This Row],[Downloads]]/Table1[[#This Row],[Views]]</f>
        <v>0.50867052023121384</v>
      </c>
      <c r="N130" s="4">
        <f>Table1[[#This Row],[Likes]]/Table1[[#This Row],[Views]]</f>
        <v>1.7341040462427744E-2</v>
      </c>
      <c r="O130" s="4">
        <f>Table1[[#This Row],[Collects]]/Table1[[#This Row],[Views]]</f>
        <v>1.9267822736030828E-3</v>
      </c>
      <c r="P130" s="4">
        <f>Table1[[#This Row],[Views]]/Table1[[#This Row],[Age]]</f>
        <v>1.5400593471810089</v>
      </c>
      <c r="Q130" s="4">
        <f>Table1[[#This Row],[Downloads]]/Table1[[#This Row],[Age]]</f>
        <v>0.78338278931750738</v>
      </c>
      <c r="R130" s="4">
        <f>Table1[[#This Row],[Likes]]/Table1[[#This Row],[Age]]</f>
        <v>2.6706231454005934E-2</v>
      </c>
      <c r="S130" s="4">
        <f>Table1[[#This Row],[Collects]]/Table1[[#This Row],[Age]]</f>
        <v>2.967359050445104E-3</v>
      </c>
      <c r="T130" s="4">
        <f>(4*Table1[[#This Row],[Collects]])+(3*Table1[[#This Row],[Likes]])+(2*Table1[[#This Row],[Downloads]])+Table1[[#This Row],[Views]]</f>
        <v>1078</v>
      </c>
      <c r="U130" s="4">
        <f>Table1[[#This Row],[Score]]/Table1[[#This Row],[Age]]</f>
        <v>3.1988130563798221</v>
      </c>
      <c r="V130" s="4">
        <f>Table1[[#This Row],[Score]]/Table1[[#This Row],[Views]]</f>
        <v>2.0770712909441231</v>
      </c>
    </row>
    <row r="131" spans="1:22" x14ac:dyDescent="0.25">
      <c r="A131" s="1">
        <v>46267</v>
      </c>
      <c r="B131" t="s">
        <v>13</v>
      </c>
      <c r="C131" s="1">
        <v>45750</v>
      </c>
      <c r="D131" s="2">
        <f>Table1[[#This Row],[Date]]-Table1[[#This Row],[Published]]</f>
        <v>517</v>
      </c>
      <c r="E131" s="3">
        <v>208</v>
      </c>
      <c r="F131">
        <v>41</v>
      </c>
      <c r="G131">
        <v>3</v>
      </c>
      <c r="H131">
        <v>2</v>
      </c>
      <c r="I131">
        <v>0</v>
      </c>
      <c r="J131">
        <v>0</v>
      </c>
      <c r="K131">
        <v>0</v>
      </c>
      <c r="L131">
        <v>0</v>
      </c>
      <c r="M131" s="4">
        <f>Table1[[#This Row],[Downloads]]/Table1[[#This Row],[Views]]</f>
        <v>0.19711538461538461</v>
      </c>
      <c r="N131" s="4">
        <f>Table1[[#This Row],[Likes]]/Table1[[#This Row],[Views]]</f>
        <v>1.4423076923076924E-2</v>
      </c>
      <c r="O131" s="4">
        <f>Table1[[#This Row],[Collects]]/Table1[[#This Row],[Views]]</f>
        <v>9.6153846153846159E-3</v>
      </c>
      <c r="P131" s="4">
        <f>Table1[[#This Row],[Views]]/Table1[[#This Row],[Age]]</f>
        <v>0.40232108317214699</v>
      </c>
      <c r="Q131" s="4">
        <f>Table1[[#This Row],[Downloads]]/Table1[[#This Row],[Age]]</f>
        <v>7.9303675048355893E-2</v>
      </c>
      <c r="R131" s="4">
        <f>Table1[[#This Row],[Likes]]/Table1[[#This Row],[Age]]</f>
        <v>5.8027079303675051E-3</v>
      </c>
      <c r="S131" s="4">
        <f>Table1[[#This Row],[Collects]]/Table1[[#This Row],[Age]]</f>
        <v>3.8684719535783366E-3</v>
      </c>
      <c r="T131" s="4">
        <f>(4*Table1[[#This Row],[Collects]])+(3*Table1[[#This Row],[Likes]])+(2*Table1[[#This Row],[Downloads]])+Table1[[#This Row],[Views]]</f>
        <v>307</v>
      </c>
      <c r="U131" s="4">
        <f>Table1[[#This Row],[Score]]/Table1[[#This Row],[Age]]</f>
        <v>0.5938104448742747</v>
      </c>
      <c r="V131" s="4">
        <f>Table1[[#This Row],[Score]]/Table1[[#This Row],[Views]]</f>
        <v>1.4759615384615385</v>
      </c>
    </row>
    <row r="132" spans="1:22" x14ac:dyDescent="0.25">
      <c r="A132" s="1">
        <v>46267</v>
      </c>
      <c r="B132" t="s">
        <v>3</v>
      </c>
      <c r="C132" s="1">
        <v>45932</v>
      </c>
      <c r="D132" s="2">
        <f>Table1[[#This Row],[Date]]-Table1[[#This Row],[Published]]</f>
        <v>335</v>
      </c>
      <c r="E132" s="3">
        <v>296</v>
      </c>
      <c r="F132">
        <v>31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 s="4">
        <f>Table1[[#This Row],[Downloads]]/Table1[[#This Row],[Views]]</f>
        <v>0.10472972972972973</v>
      </c>
      <c r="N132" s="4">
        <f>Table1[[#This Row],[Likes]]/Table1[[#This Row],[Views]]</f>
        <v>3.3783783783783786E-3</v>
      </c>
      <c r="O132" s="4">
        <f>Table1[[#This Row],[Collects]]/Table1[[#This Row],[Views]]</f>
        <v>3.3783783783783786E-3</v>
      </c>
      <c r="P132" s="4">
        <f>Table1[[#This Row],[Views]]/Table1[[#This Row],[Age]]</f>
        <v>0.88358208955223883</v>
      </c>
      <c r="Q132" s="4">
        <f>Table1[[#This Row],[Downloads]]/Table1[[#This Row],[Age]]</f>
        <v>9.2537313432835819E-2</v>
      </c>
      <c r="R132" s="4">
        <f>Table1[[#This Row],[Likes]]/Table1[[#This Row],[Age]]</f>
        <v>2.9850746268656717E-3</v>
      </c>
      <c r="S132" s="4">
        <f>Table1[[#This Row],[Collects]]/Table1[[#This Row],[Age]]</f>
        <v>2.9850746268656717E-3</v>
      </c>
      <c r="T132" s="4">
        <f>(4*Table1[[#This Row],[Collects]])+(3*Table1[[#This Row],[Likes]])+(2*Table1[[#This Row],[Downloads]])+Table1[[#This Row],[Views]]</f>
        <v>365</v>
      </c>
      <c r="U132" s="4">
        <f>Table1[[#This Row],[Score]]/Table1[[#This Row],[Age]]</f>
        <v>1.0895522388059702</v>
      </c>
      <c r="V132" s="4">
        <f>Table1[[#This Row],[Score]]/Table1[[#This Row],[Views]]</f>
        <v>1.2331081081081081</v>
      </c>
    </row>
    <row r="133" spans="1:22" x14ac:dyDescent="0.25">
      <c r="A133" s="1">
        <v>46267</v>
      </c>
      <c r="B133" t="s">
        <v>4</v>
      </c>
      <c r="C133" s="1">
        <v>46034</v>
      </c>
      <c r="D133" s="2">
        <f>Table1[[#This Row],[Date]]-Table1[[#This Row],[Published]]</f>
        <v>233</v>
      </c>
      <c r="E133" s="3">
        <v>179</v>
      </c>
      <c r="F133">
        <v>104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 s="4">
        <f>Table1[[#This Row],[Downloads]]/Table1[[#This Row],[Views]]</f>
        <v>0.58100558659217882</v>
      </c>
      <c r="N133" s="4">
        <f>Table1[[#This Row],[Likes]]/Table1[[#This Row],[Views]]</f>
        <v>1.11731843575419E-2</v>
      </c>
      <c r="O133" s="4">
        <f>Table1[[#This Row],[Collects]]/Table1[[#This Row],[Views]]</f>
        <v>0</v>
      </c>
      <c r="P133" s="4">
        <f>Table1[[#This Row],[Views]]/Table1[[#This Row],[Age]]</f>
        <v>0.76824034334763946</v>
      </c>
      <c r="Q133" s="4">
        <f>Table1[[#This Row],[Downloads]]/Table1[[#This Row],[Age]]</f>
        <v>0.44635193133047213</v>
      </c>
      <c r="R133" s="4">
        <f>Table1[[#This Row],[Likes]]/Table1[[#This Row],[Age]]</f>
        <v>8.5836909871244635E-3</v>
      </c>
      <c r="S133" s="4">
        <f>Table1[[#This Row],[Collects]]/Table1[[#This Row],[Age]]</f>
        <v>0</v>
      </c>
      <c r="T133" s="4">
        <f>(4*Table1[[#This Row],[Collects]])+(3*Table1[[#This Row],[Likes]])+(2*Table1[[#This Row],[Downloads]])+Table1[[#This Row],[Views]]</f>
        <v>393</v>
      </c>
      <c r="U133" s="4">
        <f>Table1[[#This Row],[Score]]/Table1[[#This Row],[Age]]</f>
        <v>1.6866952789699572</v>
      </c>
      <c r="V133" s="4">
        <f>Table1[[#This Row],[Score]]/Table1[[#This Row],[Views]]</f>
        <v>2.1955307262569832</v>
      </c>
    </row>
    <row r="134" spans="1:22" x14ac:dyDescent="0.25">
      <c r="A134" s="1">
        <v>46274</v>
      </c>
      <c r="B134" t="s">
        <v>0</v>
      </c>
      <c r="C134" s="1">
        <v>45784</v>
      </c>
      <c r="D134" s="2">
        <f>Table1[[#This Row],[Date]]-Table1[[#This Row],[Published]]</f>
        <v>490</v>
      </c>
      <c r="E134" s="3">
        <v>960</v>
      </c>
      <c r="F134">
        <v>225</v>
      </c>
      <c r="G134">
        <v>14</v>
      </c>
      <c r="H134">
        <v>6</v>
      </c>
      <c r="I134">
        <v>0</v>
      </c>
      <c r="J134">
        <v>0</v>
      </c>
      <c r="K134">
        <v>0</v>
      </c>
      <c r="L134">
        <v>0</v>
      </c>
      <c r="M134" s="4">
        <f>Table1[[#This Row],[Downloads]]/Table1[[#This Row],[Views]]</f>
        <v>0.234375</v>
      </c>
      <c r="N134" s="4">
        <f>Table1[[#This Row],[Likes]]/Table1[[#This Row],[Views]]</f>
        <v>1.4583333333333334E-2</v>
      </c>
      <c r="O134" s="4">
        <f>Table1[[#This Row],[Collects]]/Table1[[#This Row],[Views]]</f>
        <v>6.2500000000000003E-3</v>
      </c>
      <c r="P134" s="4">
        <f>Table1[[#This Row],[Views]]/Table1[[#This Row],[Age]]</f>
        <v>1.9591836734693877</v>
      </c>
      <c r="Q134" s="4">
        <f>Table1[[#This Row],[Downloads]]/Table1[[#This Row],[Age]]</f>
        <v>0.45918367346938777</v>
      </c>
      <c r="R134" s="4">
        <f>Table1[[#This Row],[Likes]]/Table1[[#This Row],[Age]]</f>
        <v>2.8571428571428571E-2</v>
      </c>
      <c r="S134" s="4">
        <f>Table1[[#This Row],[Collects]]/Table1[[#This Row],[Age]]</f>
        <v>1.2244897959183673E-2</v>
      </c>
      <c r="T134" s="4">
        <f>(4*Table1[[#This Row],[Collects]])+(3*Table1[[#This Row],[Likes]])+(2*Table1[[#This Row],[Downloads]])+Table1[[#This Row],[Views]]</f>
        <v>1476</v>
      </c>
      <c r="U134" s="4">
        <f>Table1[[#This Row],[Score]]/Table1[[#This Row],[Age]]</f>
        <v>3.0122448979591838</v>
      </c>
      <c r="V134" s="4">
        <f>Table1[[#This Row],[Score]]/Table1[[#This Row],[Views]]</f>
        <v>1.5375000000000001</v>
      </c>
    </row>
    <row r="135" spans="1:22" x14ac:dyDescent="0.25">
      <c r="A135" s="1">
        <v>46274</v>
      </c>
      <c r="B135" t="s">
        <v>1</v>
      </c>
      <c r="C135" s="1">
        <v>45785</v>
      </c>
      <c r="D135" s="2">
        <f>Table1[[#This Row],[Date]]-Table1[[#This Row],[Published]]</f>
        <v>489</v>
      </c>
      <c r="E135" s="3">
        <v>483</v>
      </c>
      <c r="F135">
        <v>144</v>
      </c>
      <c r="G135">
        <v>8</v>
      </c>
      <c r="H135">
        <v>1</v>
      </c>
      <c r="I135">
        <v>0</v>
      </c>
      <c r="J135">
        <v>0</v>
      </c>
      <c r="K135">
        <v>0</v>
      </c>
      <c r="L135">
        <v>0</v>
      </c>
      <c r="M135" s="4">
        <f>Table1[[#This Row],[Downloads]]/Table1[[#This Row],[Views]]</f>
        <v>0.29813664596273293</v>
      </c>
      <c r="N135" s="4">
        <f>Table1[[#This Row],[Likes]]/Table1[[#This Row],[Views]]</f>
        <v>1.6563146997929608E-2</v>
      </c>
      <c r="O135" s="4">
        <f>Table1[[#This Row],[Collects]]/Table1[[#This Row],[Views]]</f>
        <v>2.070393374741201E-3</v>
      </c>
      <c r="P135" s="4">
        <f>Table1[[#This Row],[Views]]/Table1[[#This Row],[Age]]</f>
        <v>0.98773006134969321</v>
      </c>
      <c r="Q135" s="4">
        <f>Table1[[#This Row],[Downloads]]/Table1[[#This Row],[Age]]</f>
        <v>0.29447852760736198</v>
      </c>
      <c r="R135" s="4">
        <f>Table1[[#This Row],[Likes]]/Table1[[#This Row],[Age]]</f>
        <v>1.6359918200408999E-2</v>
      </c>
      <c r="S135" s="4">
        <f>Table1[[#This Row],[Collects]]/Table1[[#This Row],[Age]]</f>
        <v>2.0449897750511249E-3</v>
      </c>
      <c r="T135" s="4">
        <f>(4*Table1[[#This Row],[Collects]])+(3*Table1[[#This Row],[Likes]])+(2*Table1[[#This Row],[Downloads]])+Table1[[#This Row],[Views]]</f>
        <v>799</v>
      </c>
      <c r="U135" s="4">
        <f>Table1[[#This Row],[Score]]/Table1[[#This Row],[Age]]</f>
        <v>1.6339468302658486</v>
      </c>
      <c r="V135" s="4">
        <f>Table1[[#This Row],[Score]]/Table1[[#This Row],[Views]]</f>
        <v>1.6542443064182195</v>
      </c>
    </row>
    <row r="136" spans="1:22" x14ac:dyDescent="0.25">
      <c r="A136" s="1">
        <v>46274</v>
      </c>
      <c r="B136" t="s">
        <v>2</v>
      </c>
      <c r="C136" s="1">
        <v>45930</v>
      </c>
      <c r="D136" s="2">
        <f>Table1[[#This Row],[Date]]-Table1[[#This Row],[Published]]</f>
        <v>344</v>
      </c>
      <c r="E136" s="3">
        <v>535</v>
      </c>
      <c r="F136">
        <v>265</v>
      </c>
      <c r="G136">
        <v>9</v>
      </c>
      <c r="H136">
        <v>1</v>
      </c>
      <c r="I136">
        <v>0</v>
      </c>
      <c r="J136">
        <v>0</v>
      </c>
      <c r="K136">
        <v>0</v>
      </c>
      <c r="L136">
        <v>0</v>
      </c>
      <c r="M136" s="4">
        <f>Table1[[#This Row],[Downloads]]/Table1[[#This Row],[Views]]</f>
        <v>0.49532710280373832</v>
      </c>
      <c r="N136" s="4">
        <f>Table1[[#This Row],[Likes]]/Table1[[#This Row],[Views]]</f>
        <v>1.6822429906542057E-2</v>
      </c>
      <c r="O136" s="4">
        <f>Table1[[#This Row],[Collects]]/Table1[[#This Row],[Views]]</f>
        <v>1.869158878504673E-3</v>
      </c>
      <c r="P136" s="4">
        <f>Table1[[#This Row],[Views]]/Table1[[#This Row],[Age]]</f>
        <v>1.555232558139535</v>
      </c>
      <c r="Q136" s="4">
        <f>Table1[[#This Row],[Downloads]]/Table1[[#This Row],[Age]]</f>
        <v>0.77034883720930236</v>
      </c>
      <c r="R136" s="4">
        <f>Table1[[#This Row],[Likes]]/Table1[[#This Row],[Age]]</f>
        <v>2.616279069767442E-2</v>
      </c>
      <c r="S136" s="4">
        <f>Table1[[#This Row],[Collects]]/Table1[[#This Row],[Age]]</f>
        <v>2.9069767441860465E-3</v>
      </c>
      <c r="T136" s="4">
        <f>(4*Table1[[#This Row],[Collects]])+(3*Table1[[#This Row],[Likes]])+(2*Table1[[#This Row],[Downloads]])+Table1[[#This Row],[Views]]</f>
        <v>1096</v>
      </c>
      <c r="U136" s="4">
        <f>Table1[[#This Row],[Score]]/Table1[[#This Row],[Age]]</f>
        <v>3.1860465116279069</v>
      </c>
      <c r="V136" s="4">
        <f>Table1[[#This Row],[Score]]/Table1[[#This Row],[Views]]</f>
        <v>2.0485981308411216</v>
      </c>
    </row>
    <row r="137" spans="1:22" x14ac:dyDescent="0.25">
      <c r="A137" s="1">
        <v>46274</v>
      </c>
      <c r="B137" t="s">
        <v>13</v>
      </c>
      <c r="C137" s="1">
        <v>45750</v>
      </c>
      <c r="D137" s="2">
        <f>Table1[[#This Row],[Date]]-Table1[[#This Row],[Published]]</f>
        <v>524</v>
      </c>
      <c r="E137" s="3">
        <v>214</v>
      </c>
      <c r="F137">
        <v>42</v>
      </c>
      <c r="G137">
        <v>3</v>
      </c>
      <c r="H137">
        <v>2</v>
      </c>
      <c r="I137">
        <v>0</v>
      </c>
      <c r="J137">
        <v>0</v>
      </c>
      <c r="K137">
        <v>0</v>
      </c>
      <c r="L137">
        <v>0</v>
      </c>
      <c r="M137" s="4">
        <f>Table1[[#This Row],[Downloads]]/Table1[[#This Row],[Views]]</f>
        <v>0.19626168224299065</v>
      </c>
      <c r="N137" s="4">
        <f>Table1[[#This Row],[Likes]]/Table1[[#This Row],[Views]]</f>
        <v>1.4018691588785047E-2</v>
      </c>
      <c r="O137" s="4">
        <f>Table1[[#This Row],[Collects]]/Table1[[#This Row],[Views]]</f>
        <v>9.3457943925233638E-3</v>
      </c>
      <c r="P137" s="4">
        <f>Table1[[#This Row],[Views]]/Table1[[#This Row],[Age]]</f>
        <v>0.40839694656488551</v>
      </c>
      <c r="Q137" s="4">
        <f>Table1[[#This Row],[Downloads]]/Table1[[#This Row],[Age]]</f>
        <v>8.0152671755725186E-2</v>
      </c>
      <c r="R137" s="4">
        <f>Table1[[#This Row],[Likes]]/Table1[[#This Row],[Age]]</f>
        <v>5.7251908396946565E-3</v>
      </c>
      <c r="S137" s="4">
        <f>Table1[[#This Row],[Collects]]/Table1[[#This Row],[Age]]</f>
        <v>3.8167938931297708E-3</v>
      </c>
      <c r="T137" s="4">
        <f>(4*Table1[[#This Row],[Collects]])+(3*Table1[[#This Row],[Likes]])+(2*Table1[[#This Row],[Downloads]])+Table1[[#This Row],[Views]]</f>
        <v>315</v>
      </c>
      <c r="U137" s="4">
        <f>Table1[[#This Row],[Score]]/Table1[[#This Row],[Age]]</f>
        <v>0.60114503816793896</v>
      </c>
      <c r="V137" s="4">
        <f>Table1[[#This Row],[Score]]/Table1[[#This Row],[Views]]</f>
        <v>1.47196261682243</v>
      </c>
    </row>
    <row r="138" spans="1:22" x14ac:dyDescent="0.25">
      <c r="A138" s="1">
        <v>46274</v>
      </c>
      <c r="B138" t="s">
        <v>3</v>
      </c>
      <c r="C138" s="1">
        <v>45932</v>
      </c>
      <c r="D138" s="2">
        <f>Table1[[#This Row],[Date]]-Table1[[#This Row],[Published]]</f>
        <v>342</v>
      </c>
      <c r="E138" s="3">
        <v>303</v>
      </c>
      <c r="F138">
        <v>32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 s="4">
        <f>Table1[[#This Row],[Downloads]]/Table1[[#This Row],[Views]]</f>
        <v>0.10561056105610561</v>
      </c>
      <c r="N138" s="4">
        <f>Table1[[#This Row],[Likes]]/Table1[[#This Row],[Views]]</f>
        <v>3.3003300330033004E-3</v>
      </c>
      <c r="O138" s="4">
        <f>Table1[[#This Row],[Collects]]/Table1[[#This Row],[Views]]</f>
        <v>3.3003300330033004E-3</v>
      </c>
      <c r="P138" s="4">
        <f>Table1[[#This Row],[Views]]/Table1[[#This Row],[Age]]</f>
        <v>0.88596491228070173</v>
      </c>
      <c r="Q138" s="4">
        <f>Table1[[#This Row],[Downloads]]/Table1[[#This Row],[Age]]</f>
        <v>9.3567251461988299E-2</v>
      </c>
      <c r="R138" s="4">
        <f>Table1[[#This Row],[Likes]]/Table1[[#This Row],[Age]]</f>
        <v>2.9239766081871343E-3</v>
      </c>
      <c r="S138" s="4">
        <f>Table1[[#This Row],[Collects]]/Table1[[#This Row],[Age]]</f>
        <v>2.9239766081871343E-3</v>
      </c>
      <c r="T138" s="4">
        <f>(4*Table1[[#This Row],[Collects]])+(3*Table1[[#This Row],[Likes]])+(2*Table1[[#This Row],[Downloads]])+Table1[[#This Row],[Views]]</f>
        <v>374</v>
      </c>
      <c r="U138" s="4">
        <f>Table1[[#This Row],[Score]]/Table1[[#This Row],[Age]]</f>
        <v>1.0935672514619883</v>
      </c>
      <c r="V138" s="4">
        <f>Table1[[#This Row],[Score]]/Table1[[#This Row],[Views]]</f>
        <v>1.2343234323432344</v>
      </c>
    </row>
    <row r="139" spans="1:22" x14ac:dyDescent="0.25">
      <c r="A139" s="1">
        <v>46274</v>
      </c>
      <c r="B139" t="s">
        <v>4</v>
      </c>
      <c r="C139" s="1">
        <v>46034</v>
      </c>
      <c r="D139" s="2">
        <f>Table1[[#This Row],[Date]]-Table1[[#This Row],[Published]]</f>
        <v>240</v>
      </c>
      <c r="E139" s="3">
        <v>184</v>
      </c>
      <c r="F139">
        <v>105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 s="4">
        <f>Table1[[#This Row],[Downloads]]/Table1[[#This Row],[Views]]</f>
        <v>0.57065217391304346</v>
      </c>
      <c r="N139" s="4">
        <f>Table1[[#This Row],[Likes]]/Table1[[#This Row],[Views]]</f>
        <v>1.6304347826086956E-2</v>
      </c>
      <c r="O139" s="4">
        <f>Table1[[#This Row],[Collects]]/Table1[[#This Row],[Views]]</f>
        <v>0</v>
      </c>
      <c r="P139" s="4">
        <f>Table1[[#This Row],[Views]]/Table1[[#This Row],[Age]]</f>
        <v>0.76666666666666672</v>
      </c>
      <c r="Q139" s="4">
        <f>Table1[[#This Row],[Downloads]]/Table1[[#This Row],[Age]]</f>
        <v>0.4375</v>
      </c>
      <c r="R139" s="4">
        <f>Table1[[#This Row],[Likes]]/Table1[[#This Row],[Age]]</f>
        <v>1.2500000000000001E-2</v>
      </c>
      <c r="S139" s="4">
        <f>Table1[[#This Row],[Collects]]/Table1[[#This Row],[Age]]</f>
        <v>0</v>
      </c>
      <c r="T139" s="4">
        <f>(4*Table1[[#This Row],[Collects]])+(3*Table1[[#This Row],[Likes]])+(2*Table1[[#This Row],[Downloads]])+Table1[[#This Row],[Views]]</f>
        <v>403</v>
      </c>
      <c r="U139" s="4">
        <f>Table1[[#This Row],[Score]]/Table1[[#This Row],[Age]]</f>
        <v>1.6791666666666667</v>
      </c>
      <c r="V139" s="4">
        <f>Table1[[#This Row],[Score]]/Table1[[#This Row],[Views]]</f>
        <v>2.1902173913043477</v>
      </c>
    </row>
  </sheetData>
  <conditionalFormatting sqref="C2:C1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8:C13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D7 D98:E1048576 C8:E9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E91 D1:D91 E98:E1048576 D92:E9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91 E1:E91 F98:F1048576 E92:F9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G91 F1:F91 G98:G1048576 F92:G9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3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H91 G1:G91 H98:H1048576 G92:H9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2">
      <colorScale>
        <cfvo type="min"/>
        <cfvo type="max"/>
        <color rgb="FFFFEF9C"/>
        <color rgb="FF63BE7B"/>
      </colorScale>
    </cfRule>
  </conditionalFormatting>
  <conditionalFormatting sqref="N2:N13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:N91 M1:M91 N98:N1048576 M92:N9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O91 N1:N91 O98:O1048576 N92:O9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8:Q91 O1:P91 P98:Q1048576 O92:Q9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:R91 Q1:Q91 R98:R1048576 Q92:R9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3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S91 R1:R91 S98:S1048576 R92:S9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:T91 S1:S91 T98:T1048576 S92:T9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:U91 T1:T91 U98:U1048576 T92:U9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:V91 U1:U91 V98:V1048576 U92:V9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:W1048576 V1:V13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EBD8-EF7F-4C29-BE2F-F33FA3B429D9}">
  <sheetPr codeName="Sheet2"/>
  <dimension ref="A1:F47"/>
  <sheetViews>
    <sheetView workbookViewId="0">
      <selection activeCell="E45" sqref="E45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52.5703125" bestFit="1" customWidth="1"/>
    <col min="4" max="4" width="29.85546875" bestFit="1" customWidth="1"/>
    <col min="5" max="5" width="29.85546875" customWidth="1"/>
    <col min="6" max="6" width="41.42578125" bestFit="1" customWidth="1"/>
  </cols>
  <sheetData>
    <row r="1" spans="1:6" x14ac:dyDescent="0.25">
      <c r="A1" t="s">
        <v>17</v>
      </c>
      <c r="B1" t="s">
        <v>28</v>
      </c>
      <c r="C1" t="s">
        <v>29</v>
      </c>
      <c r="D1" t="s">
        <v>30</v>
      </c>
      <c r="E1" t="s">
        <v>129</v>
      </c>
      <c r="F1" t="s">
        <v>123</v>
      </c>
    </row>
    <row r="2" spans="1:6" x14ac:dyDescent="0.25">
      <c r="A2" s="1">
        <v>45784</v>
      </c>
      <c r="B2" t="s">
        <v>0</v>
      </c>
      <c r="C2" t="s">
        <v>31</v>
      </c>
      <c r="D2" t="s">
        <v>32</v>
      </c>
      <c r="E2">
        <v>7031788</v>
      </c>
      <c r="F2" t="s">
        <v>126</v>
      </c>
    </row>
    <row r="3" spans="1:6" x14ac:dyDescent="0.25">
      <c r="A3" s="1">
        <v>45784</v>
      </c>
      <c r="B3" t="s">
        <v>1</v>
      </c>
      <c r="C3" t="s">
        <v>33</v>
      </c>
      <c r="D3" t="s">
        <v>34</v>
      </c>
      <c r="E3">
        <v>7031806</v>
      </c>
      <c r="F3" t="s">
        <v>127</v>
      </c>
    </row>
    <row r="4" spans="1:6" x14ac:dyDescent="0.25">
      <c r="A4" s="1">
        <v>45784</v>
      </c>
      <c r="B4" t="s">
        <v>1</v>
      </c>
      <c r="C4" t="s">
        <v>35</v>
      </c>
      <c r="D4" t="s">
        <v>36</v>
      </c>
      <c r="E4">
        <v>7031806</v>
      </c>
      <c r="F4" t="s">
        <v>127</v>
      </c>
    </row>
    <row r="5" spans="1:6" x14ac:dyDescent="0.25">
      <c r="A5" s="1">
        <v>45784</v>
      </c>
      <c r="B5" t="s">
        <v>1</v>
      </c>
      <c r="C5" t="s">
        <v>37</v>
      </c>
      <c r="D5" t="s">
        <v>38</v>
      </c>
      <c r="E5">
        <v>7031806</v>
      </c>
      <c r="F5" t="s">
        <v>127</v>
      </c>
    </row>
    <row r="6" spans="1:6" x14ac:dyDescent="0.25">
      <c r="A6" s="1">
        <v>45784</v>
      </c>
      <c r="B6" t="s">
        <v>1</v>
      </c>
      <c r="C6" t="s">
        <v>39</v>
      </c>
      <c r="D6" t="s">
        <v>40</v>
      </c>
      <c r="E6">
        <v>7031806</v>
      </c>
      <c r="F6" t="s">
        <v>127</v>
      </c>
    </row>
    <row r="7" spans="1:6" x14ac:dyDescent="0.25">
      <c r="A7" s="1">
        <v>45784</v>
      </c>
      <c r="B7" t="s">
        <v>1</v>
      </c>
      <c r="C7" t="s">
        <v>41</v>
      </c>
      <c r="D7" t="s">
        <v>42</v>
      </c>
      <c r="E7">
        <v>7031806</v>
      </c>
      <c r="F7" t="s">
        <v>127</v>
      </c>
    </row>
    <row r="8" spans="1:6" x14ac:dyDescent="0.25">
      <c r="A8" s="1">
        <v>45784</v>
      </c>
      <c r="B8" t="s">
        <v>1</v>
      </c>
      <c r="C8" t="s">
        <v>43</v>
      </c>
      <c r="D8" t="s">
        <v>44</v>
      </c>
      <c r="E8">
        <v>7031806</v>
      </c>
      <c r="F8" t="s">
        <v>127</v>
      </c>
    </row>
    <row r="9" spans="1:6" x14ac:dyDescent="0.25">
      <c r="A9" s="1">
        <v>46020</v>
      </c>
      <c r="B9" t="s">
        <v>1</v>
      </c>
      <c r="C9" t="s">
        <v>45</v>
      </c>
      <c r="D9" t="s">
        <v>46</v>
      </c>
      <c r="E9">
        <v>7031806</v>
      </c>
      <c r="F9" t="s">
        <v>127</v>
      </c>
    </row>
    <row r="10" spans="1:6" x14ac:dyDescent="0.25">
      <c r="A10" s="1">
        <v>45784</v>
      </c>
      <c r="B10" t="s">
        <v>1</v>
      </c>
      <c r="C10" t="s">
        <v>47</v>
      </c>
      <c r="D10" t="s">
        <v>48</v>
      </c>
      <c r="E10">
        <v>7031806</v>
      </c>
      <c r="F10" t="s">
        <v>127</v>
      </c>
    </row>
    <row r="11" spans="1:6" x14ac:dyDescent="0.25">
      <c r="A11" s="1">
        <v>46020</v>
      </c>
      <c r="B11" t="s">
        <v>1</v>
      </c>
      <c r="C11" t="s">
        <v>49</v>
      </c>
      <c r="D11" t="s">
        <v>50</v>
      </c>
      <c r="E11">
        <v>7031806</v>
      </c>
      <c r="F11" t="s">
        <v>127</v>
      </c>
    </row>
    <row r="12" spans="1:6" x14ac:dyDescent="0.25">
      <c r="A12" s="1">
        <v>45810</v>
      </c>
      <c r="B12" t="s">
        <v>2</v>
      </c>
      <c r="C12" t="s">
        <v>51</v>
      </c>
      <c r="D12" t="s">
        <v>52</v>
      </c>
      <c r="E12">
        <v>7054629</v>
      </c>
      <c r="F12" t="s">
        <v>128</v>
      </c>
    </row>
    <row r="13" spans="1:6" x14ac:dyDescent="0.25">
      <c r="A13" s="1">
        <v>45810</v>
      </c>
      <c r="B13" t="s">
        <v>2</v>
      </c>
      <c r="C13" t="s">
        <v>53</v>
      </c>
      <c r="D13" t="s">
        <v>54</v>
      </c>
      <c r="E13">
        <v>7054629</v>
      </c>
      <c r="F13" t="s">
        <v>128</v>
      </c>
    </row>
    <row r="14" spans="1:6" x14ac:dyDescent="0.25">
      <c r="A14" s="1">
        <v>45810</v>
      </c>
      <c r="B14" t="s">
        <v>2</v>
      </c>
      <c r="C14" t="s">
        <v>55</v>
      </c>
      <c r="D14" t="s">
        <v>56</v>
      </c>
      <c r="E14">
        <v>7054629</v>
      </c>
      <c r="F14" t="s">
        <v>128</v>
      </c>
    </row>
    <row r="15" spans="1:6" x14ac:dyDescent="0.25">
      <c r="A15" s="1">
        <v>45810</v>
      </c>
      <c r="B15" t="s">
        <v>2</v>
      </c>
      <c r="C15" t="s">
        <v>57</v>
      </c>
      <c r="D15" t="s">
        <v>58</v>
      </c>
      <c r="E15">
        <v>7054629</v>
      </c>
      <c r="F15" t="s">
        <v>128</v>
      </c>
    </row>
    <row r="16" spans="1:6" x14ac:dyDescent="0.25">
      <c r="A16" s="1">
        <v>45810</v>
      </c>
      <c r="B16" t="s">
        <v>2</v>
      </c>
      <c r="C16" t="s">
        <v>59</v>
      </c>
      <c r="D16" t="s">
        <v>60</v>
      </c>
      <c r="E16">
        <v>7054629</v>
      </c>
      <c r="F16" t="s">
        <v>128</v>
      </c>
    </row>
    <row r="17" spans="1:6" x14ac:dyDescent="0.25">
      <c r="A17" s="1">
        <v>45810</v>
      </c>
      <c r="B17" t="s">
        <v>2</v>
      </c>
      <c r="C17" t="s">
        <v>61</v>
      </c>
      <c r="D17" t="s">
        <v>62</v>
      </c>
      <c r="E17">
        <v>7054629</v>
      </c>
      <c r="F17" t="s">
        <v>128</v>
      </c>
    </row>
    <row r="18" spans="1:6" x14ac:dyDescent="0.25">
      <c r="A18" s="1">
        <v>45810</v>
      </c>
      <c r="B18" t="s">
        <v>2</v>
      </c>
      <c r="C18" t="s">
        <v>63</v>
      </c>
      <c r="D18" t="s">
        <v>64</v>
      </c>
      <c r="E18">
        <v>7054629</v>
      </c>
      <c r="F18" t="s">
        <v>128</v>
      </c>
    </row>
    <row r="19" spans="1:6" x14ac:dyDescent="0.25">
      <c r="A19" s="1">
        <v>45930</v>
      </c>
      <c r="B19" t="s">
        <v>2</v>
      </c>
      <c r="C19" t="s">
        <v>65</v>
      </c>
      <c r="D19" t="s">
        <v>66</v>
      </c>
      <c r="E19">
        <v>7054629</v>
      </c>
      <c r="F19" t="s">
        <v>128</v>
      </c>
    </row>
    <row r="20" spans="1:6" x14ac:dyDescent="0.25">
      <c r="A20" s="1">
        <v>45810</v>
      </c>
      <c r="B20" t="s">
        <v>2</v>
      </c>
      <c r="C20" t="s">
        <v>67</v>
      </c>
      <c r="D20" t="s">
        <v>68</v>
      </c>
      <c r="E20">
        <v>7054629</v>
      </c>
      <c r="F20" t="s">
        <v>128</v>
      </c>
    </row>
    <row r="21" spans="1:6" x14ac:dyDescent="0.25">
      <c r="A21" s="1">
        <v>45810</v>
      </c>
      <c r="B21" t="s">
        <v>2</v>
      </c>
      <c r="C21" t="s">
        <v>69</v>
      </c>
      <c r="D21" t="s">
        <v>70</v>
      </c>
      <c r="E21">
        <v>7054629</v>
      </c>
      <c r="F21" t="s">
        <v>128</v>
      </c>
    </row>
    <row r="22" spans="1:6" x14ac:dyDescent="0.25">
      <c r="A22" s="1">
        <v>45810</v>
      </c>
      <c r="B22" t="s">
        <v>2</v>
      </c>
      <c r="C22" t="s">
        <v>71</v>
      </c>
      <c r="D22" t="s">
        <v>72</v>
      </c>
      <c r="E22">
        <v>7054629</v>
      </c>
      <c r="F22" t="s">
        <v>128</v>
      </c>
    </row>
    <row r="23" spans="1:6" x14ac:dyDescent="0.25">
      <c r="A23" s="1">
        <v>45810</v>
      </c>
      <c r="B23" t="s">
        <v>2</v>
      </c>
      <c r="C23" t="s">
        <v>73</v>
      </c>
      <c r="D23" t="s">
        <v>74</v>
      </c>
      <c r="E23">
        <v>7054629</v>
      </c>
      <c r="F23" t="s">
        <v>128</v>
      </c>
    </row>
    <row r="24" spans="1:6" x14ac:dyDescent="0.25">
      <c r="A24" s="1">
        <v>45810</v>
      </c>
      <c r="B24" t="s">
        <v>2</v>
      </c>
      <c r="C24" t="s">
        <v>75</v>
      </c>
      <c r="D24" t="s">
        <v>76</v>
      </c>
      <c r="E24">
        <v>7054629</v>
      </c>
      <c r="F24" t="s">
        <v>128</v>
      </c>
    </row>
    <row r="25" spans="1:6" x14ac:dyDescent="0.25">
      <c r="A25" s="1">
        <v>45810</v>
      </c>
      <c r="B25" t="s">
        <v>2</v>
      </c>
      <c r="C25" t="s">
        <v>77</v>
      </c>
      <c r="D25" t="s">
        <v>78</v>
      </c>
      <c r="E25">
        <v>7054629</v>
      </c>
      <c r="F25" t="s">
        <v>128</v>
      </c>
    </row>
    <row r="26" spans="1:6" x14ac:dyDescent="0.25">
      <c r="A26" s="1">
        <v>45810</v>
      </c>
      <c r="B26" t="s">
        <v>2</v>
      </c>
      <c r="C26" t="s">
        <v>79</v>
      </c>
      <c r="D26" t="s">
        <v>80</v>
      </c>
      <c r="E26">
        <v>7054629</v>
      </c>
      <c r="F26" t="s">
        <v>128</v>
      </c>
    </row>
    <row r="27" spans="1:6" x14ac:dyDescent="0.25">
      <c r="A27" s="1">
        <v>45750</v>
      </c>
      <c r="B27" t="s">
        <v>13</v>
      </c>
      <c r="C27" t="s">
        <v>81</v>
      </c>
      <c r="D27" t="s">
        <v>82</v>
      </c>
      <c r="E27">
        <v>6999906</v>
      </c>
      <c r="F27" t="s">
        <v>125</v>
      </c>
    </row>
    <row r="28" spans="1:6" x14ac:dyDescent="0.25">
      <c r="A28" s="1">
        <v>45932</v>
      </c>
      <c r="B28" t="s">
        <v>3</v>
      </c>
      <c r="C28" t="s">
        <v>83</v>
      </c>
      <c r="D28" t="s">
        <v>84</v>
      </c>
      <c r="E28">
        <v>7160565</v>
      </c>
      <c r="F28" t="s">
        <v>124</v>
      </c>
    </row>
    <row r="29" spans="1:6" x14ac:dyDescent="0.25">
      <c r="A29" s="1">
        <v>46033</v>
      </c>
      <c r="B29" t="s">
        <v>4</v>
      </c>
      <c r="C29" t="s">
        <v>85</v>
      </c>
      <c r="D29" t="s">
        <v>86</v>
      </c>
      <c r="E29">
        <v>7267989</v>
      </c>
      <c r="F29" t="s">
        <v>130</v>
      </c>
    </row>
    <row r="30" spans="1:6" x14ac:dyDescent="0.25">
      <c r="A30" s="1">
        <v>46033</v>
      </c>
      <c r="B30" t="s">
        <v>4</v>
      </c>
      <c r="C30" t="s">
        <v>87</v>
      </c>
      <c r="D30" t="s">
        <v>88</v>
      </c>
      <c r="E30">
        <v>7267989</v>
      </c>
      <c r="F30" t="s">
        <v>130</v>
      </c>
    </row>
    <row r="31" spans="1:6" x14ac:dyDescent="0.25">
      <c r="A31" s="1">
        <v>46033</v>
      </c>
      <c r="B31" t="s">
        <v>4</v>
      </c>
      <c r="C31" t="s">
        <v>89</v>
      </c>
      <c r="D31" t="s">
        <v>90</v>
      </c>
      <c r="E31">
        <v>7267989</v>
      </c>
      <c r="F31" t="s">
        <v>130</v>
      </c>
    </row>
    <row r="32" spans="1:6" x14ac:dyDescent="0.25">
      <c r="A32" s="1">
        <v>46033</v>
      </c>
      <c r="B32" t="s">
        <v>4</v>
      </c>
      <c r="C32" t="s">
        <v>91</v>
      </c>
      <c r="D32" t="s">
        <v>92</v>
      </c>
      <c r="E32">
        <v>7267989</v>
      </c>
      <c r="F32" t="s">
        <v>130</v>
      </c>
    </row>
    <row r="33" spans="1:6" x14ac:dyDescent="0.25">
      <c r="A33" s="1">
        <v>46033</v>
      </c>
      <c r="B33" t="s">
        <v>4</v>
      </c>
      <c r="C33" t="s">
        <v>93</v>
      </c>
      <c r="D33" t="s">
        <v>94</v>
      </c>
      <c r="E33">
        <v>7267989</v>
      </c>
      <c r="F33" t="s">
        <v>130</v>
      </c>
    </row>
    <row r="34" spans="1:6" x14ac:dyDescent="0.25">
      <c r="A34" s="1">
        <v>46033</v>
      </c>
      <c r="B34" t="s">
        <v>4</v>
      </c>
      <c r="C34" t="s">
        <v>95</v>
      </c>
      <c r="D34" t="s">
        <v>96</v>
      </c>
      <c r="E34">
        <v>7267989</v>
      </c>
      <c r="F34" t="s">
        <v>130</v>
      </c>
    </row>
    <row r="35" spans="1:6" x14ac:dyDescent="0.25">
      <c r="A35" s="1">
        <v>46033</v>
      </c>
      <c r="B35" t="s">
        <v>4</v>
      </c>
      <c r="C35" t="s">
        <v>97</v>
      </c>
      <c r="D35" t="s">
        <v>98</v>
      </c>
      <c r="E35">
        <v>7267989</v>
      </c>
      <c r="F35" t="s">
        <v>130</v>
      </c>
    </row>
    <row r="36" spans="1:6" x14ac:dyDescent="0.25">
      <c r="A36" s="1">
        <v>46033</v>
      </c>
      <c r="B36" t="s">
        <v>4</v>
      </c>
      <c r="C36" t="s">
        <v>99</v>
      </c>
      <c r="D36" t="s">
        <v>100</v>
      </c>
      <c r="E36">
        <v>7267989</v>
      </c>
      <c r="F36" t="s">
        <v>130</v>
      </c>
    </row>
    <row r="37" spans="1:6" x14ac:dyDescent="0.25">
      <c r="A37" s="1">
        <v>46033</v>
      </c>
      <c r="B37" t="s">
        <v>4</v>
      </c>
      <c r="C37" t="s">
        <v>101</v>
      </c>
      <c r="D37" t="s">
        <v>102</v>
      </c>
      <c r="E37">
        <v>7267989</v>
      </c>
      <c r="F37" t="s">
        <v>130</v>
      </c>
    </row>
    <row r="38" spans="1:6" x14ac:dyDescent="0.25">
      <c r="A38" s="1">
        <v>46033</v>
      </c>
      <c r="B38" t="s">
        <v>4</v>
      </c>
      <c r="C38" t="s">
        <v>103</v>
      </c>
      <c r="D38" t="s">
        <v>104</v>
      </c>
      <c r="E38">
        <v>7267989</v>
      </c>
      <c r="F38" t="s">
        <v>130</v>
      </c>
    </row>
    <row r="39" spans="1:6" x14ac:dyDescent="0.25">
      <c r="A39" s="1">
        <v>46033</v>
      </c>
      <c r="B39" t="s">
        <v>4</v>
      </c>
      <c r="C39" t="s">
        <v>105</v>
      </c>
      <c r="D39" t="s">
        <v>106</v>
      </c>
      <c r="E39">
        <v>7267989</v>
      </c>
      <c r="F39" t="s">
        <v>130</v>
      </c>
    </row>
    <row r="40" spans="1:6" x14ac:dyDescent="0.25">
      <c r="A40" s="1">
        <v>46033</v>
      </c>
      <c r="B40" t="s">
        <v>4</v>
      </c>
      <c r="C40" t="s">
        <v>107</v>
      </c>
      <c r="D40" t="s">
        <v>108</v>
      </c>
      <c r="E40">
        <v>7267989</v>
      </c>
      <c r="F40" t="s">
        <v>130</v>
      </c>
    </row>
    <row r="41" spans="1:6" x14ac:dyDescent="0.25">
      <c r="A41" s="1">
        <v>46033</v>
      </c>
      <c r="B41" t="s">
        <v>4</v>
      </c>
      <c r="C41" t="s">
        <v>109</v>
      </c>
      <c r="D41" t="s">
        <v>110</v>
      </c>
      <c r="E41">
        <v>7267989</v>
      </c>
      <c r="F41" t="s">
        <v>130</v>
      </c>
    </row>
    <row r="42" spans="1:6" x14ac:dyDescent="0.25">
      <c r="A42" s="1">
        <v>46033</v>
      </c>
      <c r="B42" t="s">
        <v>4</v>
      </c>
      <c r="C42" t="s">
        <v>111</v>
      </c>
      <c r="D42" t="s">
        <v>112</v>
      </c>
      <c r="E42">
        <v>7267989</v>
      </c>
      <c r="F42" t="s">
        <v>130</v>
      </c>
    </row>
    <row r="43" spans="1:6" x14ac:dyDescent="0.25">
      <c r="A43" s="1">
        <v>46033</v>
      </c>
      <c r="B43" t="s">
        <v>4</v>
      </c>
      <c r="C43" t="s">
        <v>113</v>
      </c>
      <c r="D43" t="s">
        <v>114</v>
      </c>
      <c r="E43">
        <v>7267989</v>
      </c>
      <c r="F43" t="s">
        <v>130</v>
      </c>
    </row>
    <row r="44" spans="1:6" x14ac:dyDescent="0.25">
      <c r="A44" s="1">
        <v>46033</v>
      </c>
      <c r="B44" t="s">
        <v>4</v>
      </c>
      <c r="C44" t="s">
        <v>115</v>
      </c>
      <c r="D44" t="s">
        <v>116</v>
      </c>
      <c r="E44">
        <v>7267989</v>
      </c>
      <c r="F44" t="s">
        <v>130</v>
      </c>
    </row>
    <row r="45" spans="1:6" x14ac:dyDescent="0.25">
      <c r="A45" s="1">
        <v>46033</v>
      </c>
      <c r="B45" t="s">
        <v>4</v>
      </c>
      <c r="C45" t="s">
        <v>117</v>
      </c>
      <c r="D45" t="s">
        <v>118</v>
      </c>
      <c r="E45">
        <v>7267989</v>
      </c>
      <c r="F45" t="s">
        <v>130</v>
      </c>
    </row>
    <row r="46" spans="1:6" x14ac:dyDescent="0.25">
      <c r="A46" s="1">
        <v>46033</v>
      </c>
      <c r="B46" t="s">
        <v>4</v>
      </c>
      <c r="C46" t="s">
        <v>119</v>
      </c>
      <c r="D46" t="s">
        <v>120</v>
      </c>
      <c r="E46">
        <v>7267989</v>
      </c>
      <c r="F46" t="s">
        <v>130</v>
      </c>
    </row>
    <row r="47" spans="1:6" x14ac:dyDescent="0.25">
      <c r="A47" s="1">
        <v>46034</v>
      </c>
      <c r="B47" t="s">
        <v>4</v>
      </c>
      <c r="C47" t="s">
        <v>121</v>
      </c>
      <c r="D47" t="s">
        <v>122</v>
      </c>
      <c r="E47">
        <v>7267989</v>
      </c>
      <c r="F47" t="s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DCFF-7BE9-4E03-A7FB-F5958C6B535A}">
  <sheetPr codeName="Sheet3"/>
  <dimension ref="A1:D415"/>
  <sheetViews>
    <sheetView tabSelected="1" topLeftCell="A387" workbookViewId="0">
      <selection activeCell="I374" sqref="I374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29.85546875" bestFit="1" customWidth="1"/>
    <col min="4" max="4" width="13" customWidth="1"/>
  </cols>
  <sheetData>
    <row r="1" spans="1:4" x14ac:dyDescent="0.25">
      <c r="A1" t="s">
        <v>26</v>
      </c>
      <c r="B1" t="s">
        <v>28</v>
      </c>
      <c r="C1" t="s">
        <v>30</v>
      </c>
      <c r="D1" t="s">
        <v>6</v>
      </c>
    </row>
    <row r="2" spans="1:4" x14ac:dyDescent="0.25">
      <c r="A2" s="1">
        <v>46155</v>
      </c>
      <c r="B2" t="s">
        <v>0</v>
      </c>
      <c r="C2" t="s">
        <v>32</v>
      </c>
      <c r="D2">
        <v>206</v>
      </c>
    </row>
    <row r="3" spans="1:4" x14ac:dyDescent="0.25">
      <c r="A3" s="1">
        <v>46155</v>
      </c>
      <c r="B3" t="s">
        <v>1</v>
      </c>
      <c r="C3" t="s">
        <v>34</v>
      </c>
      <c r="D3">
        <v>38</v>
      </c>
    </row>
    <row r="4" spans="1:4" x14ac:dyDescent="0.25">
      <c r="A4" s="1">
        <v>46155</v>
      </c>
      <c r="B4" t="s">
        <v>1</v>
      </c>
      <c r="C4" t="s">
        <v>36</v>
      </c>
      <c r="D4">
        <v>42</v>
      </c>
    </row>
    <row r="5" spans="1:4" x14ac:dyDescent="0.25">
      <c r="A5" s="1">
        <v>46155</v>
      </c>
      <c r="B5" t="s">
        <v>1</v>
      </c>
      <c r="C5" t="s">
        <v>38</v>
      </c>
      <c r="D5">
        <v>47</v>
      </c>
    </row>
    <row r="6" spans="1:4" x14ac:dyDescent="0.25">
      <c r="A6" s="1">
        <v>46155</v>
      </c>
      <c r="B6" t="s">
        <v>1</v>
      </c>
      <c r="C6" t="s">
        <v>40</v>
      </c>
      <c r="D6">
        <v>40</v>
      </c>
    </row>
    <row r="7" spans="1:4" x14ac:dyDescent="0.25">
      <c r="A7" s="1">
        <v>46155</v>
      </c>
      <c r="B7" t="s">
        <v>1</v>
      </c>
      <c r="C7" t="s">
        <v>42</v>
      </c>
      <c r="D7">
        <v>36</v>
      </c>
    </row>
    <row r="8" spans="1:4" x14ac:dyDescent="0.25">
      <c r="A8" s="1">
        <v>46155</v>
      </c>
      <c r="B8" t="s">
        <v>1</v>
      </c>
      <c r="C8" t="s">
        <v>44</v>
      </c>
      <c r="D8">
        <v>37</v>
      </c>
    </row>
    <row r="9" spans="1:4" x14ac:dyDescent="0.25">
      <c r="A9" s="1">
        <v>46155</v>
      </c>
      <c r="B9" t="s">
        <v>1</v>
      </c>
      <c r="C9" t="s">
        <v>46</v>
      </c>
      <c r="D9">
        <v>34</v>
      </c>
    </row>
    <row r="10" spans="1:4" x14ac:dyDescent="0.25">
      <c r="A10" s="1">
        <v>46155</v>
      </c>
      <c r="B10" t="s">
        <v>1</v>
      </c>
      <c r="C10" t="s">
        <v>48</v>
      </c>
      <c r="D10">
        <v>38</v>
      </c>
    </row>
    <row r="11" spans="1:4" x14ac:dyDescent="0.25">
      <c r="A11" s="1">
        <v>46155</v>
      </c>
      <c r="B11" t="s">
        <v>1</v>
      </c>
      <c r="C11" t="s">
        <v>50</v>
      </c>
      <c r="D11">
        <v>26</v>
      </c>
    </row>
    <row r="12" spans="1:4" x14ac:dyDescent="0.25">
      <c r="A12" s="1">
        <v>46155</v>
      </c>
      <c r="B12" t="s">
        <v>2</v>
      </c>
      <c r="C12" t="s">
        <v>52</v>
      </c>
      <c r="D12">
        <v>31</v>
      </c>
    </row>
    <row r="13" spans="1:4" x14ac:dyDescent="0.25">
      <c r="A13" s="1">
        <v>46155</v>
      </c>
      <c r="B13" t="s">
        <v>2</v>
      </c>
      <c r="C13" t="s">
        <v>54</v>
      </c>
      <c r="D13">
        <v>30</v>
      </c>
    </row>
    <row r="14" spans="1:4" x14ac:dyDescent="0.25">
      <c r="A14" s="1">
        <v>46155</v>
      </c>
      <c r="B14" t="s">
        <v>2</v>
      </c>
      <c r="C14" t="s">
        <v>56</v>
      </c>
      <c r="D14">
        <v>39</v>
      </c>
    </row>
    <row r="15" spans="1:4" x14ac:dyDescent="0.25">
      <c r="A15" s="1">
        <v>46155</v>
      </c>
      <c r="B15" t="s">
        <v>2</v>
      </c>
      <c r="C15" t="s">
        <v>58</v>
      </c>
      <c r="D15">
        <v>34</v>
      </c>
    </row>
    <row r="16" spans="1:4" x14ac:dyDescent="0.25">
      <c r="A16" s="1">
        <v>46155</v>
      </c>
      <c r="B16" t="s">
        <v>2</v>
      </c>
      <c r="C16" t="s">
        <v>60</v>
      </c>
      <c r="D16">
        <v>33</v>
      </c>
    </row>
    <row r="17" spans="1:4" x14ac:dyDescent="0.25">
      <c r="A17" s="1">
        <v>46155</v>
      </c>
      <c r="B17" t="s">
        <v>2</v>
      </c>
      <c r="C17" t="s">
        <v>62</v>
      </c>
      <c r="D17">
        <v>40</v>
      </c>
    </row>
    <row r="18" spans="1:4" x14ac:dyDescent="0.25">
      <c r="A18" s="1">
        <v>46155</v>
      </c>
      <c r="B18" t="s">
        <v>2</v>
      </c>
      <c r="C18" t="s">
        <v>64</v>
      </c>
      <c r="D18">
        <v>37</v>
      </c>
    </row>
    <row r="19" spans="1:4" x14ac:dyDescent="0.25">
      <c r="A19" s="1">
        <v>46155</v>
      </c>
      <c r="B19" t="s">
        <v>2</v>
      </c>
      <c r="C19" t="s">
        <v>66</v>
      </c>
      <c r="D19">
        <v>31</v>
      </c>
    </row>
    <row r="20" spans="1:4" x14ac:dyDescent="0.25">
      <c r="A20" s="1">
        <v>46155</v>
      </c>
      <c r="B20" t="s">
        <v>2</v>
      </c>
      <c r="C20" t="s">
        <v>68</v>
      </c>
      <c r="D20">
        <v>35</v>
      </c>
    </row>
    <row r="21" spans="1:4" x14ac:dyDescent="0.25">
      <c r="A21" s="1">
        <v>46155</v>
      </c>
      <c r="B21" t="s">
        <v>2</v>
      </c>
      <c r="C21" t="s">
        <v>70</v>
      </c>
      <c r="D21">
        <v>34</v>
      </c>
    </row>
    <row r="22" spans="1:4" x14ac:dyDescent="0.25">
      <c r="A22" s="1">
        <v>46155</v>
      </c>
      <c r="B22" t="s">
        <v>2</v>
      </c>
      <c r="C22" t="s">
        <v>72</v>
      </c>
      <c r="D22">
        <v>30</v>
      </c>
    </row>
    <row r="23" spans="1:4" x14ac:dyDescent="0.25">
      <c r="A23" s="1">
        <v>46155</v>
      </c>
      <c r="B23" t="s">
        <v>2</v>
      </c>
      <c r="C23" t="s">
        <v>74</v>
      </c>
      <c r="D23">
        <v>31</v>
      </c>
    </row>
    <row r="24" spans="1:4" x14ac:dyDescent="0.25">
      <c r="A24" s="1">
        <v>46155</v>
      </c>
      <c r="B24" t="s">
        <v>2</v>
      </c>
      <c r="C24" t="s">
        <v>76</v>
      </c>
      <c r="D24">
        <v>30</v>
      </c>
    </row>
    <row r="25" spans="1:4" x14ac:dyDescent="0.25">
      <c r="A25" s="1">
        <v>46155</v>
      </c>
      <c r="B25" t="s">
        <v>2</v>
      </c>
      <c r="C25" t="s">
        <v>78</v>
      </c>
      <c r="D25">
        <v>31</v>
      </c>
    </row>
    <row r="26" spans="1:4" x14ac:dyDescent="0.25">
      <c r="A26" s="1">
        <v>46155</v>
      </c>
      <c r="B26" t="s">
        <v>2</v>
      </c>
      <c r="C26" t="s">
        <v>80</v>
      </c>
      <c r="D26">
        <v>29</v>
      </c>
    </row>
    <row r="27" spans="1:4" x14ac:dyDescent="0.25">
      <c r="A27" s="1">
        <v>46155</v>
      </c>
      <c r="B27" t="s">
        <v>13</v>
      </c>
      <c r="C27" t="s">
        <v>82</v>
      </c>
      <c r="D27">
        <v>39</v>
      </c>
    </row>
    <row r="28" spans="1:4" x14ac:dyDescent="0.25">
      <c r="A28" s="1">
        <v>46155</v>
      </c>
      <c r="B28" t="s">
        <v>3</v>
      </c>
      <c r="C28" t="s">
        <v>84</v>
      </c>
      <c r="D28">
        <v>25</v>
      </c>
    </row>
    <row r="29" spans="1:4" x14ac:dyDescent="0.25">
      <c r="A29" s="1">
        <v>46155</v>
      </c>
      <c r="B29" t="s">
        <v>4</v>
      </c>
      <c r="C29" t="s">
        <v>86</v>
      </c>
      <c r="D29">
        <v>13</v>
      </c>
    </row>
    <row r="30" spans="1:4" x14ac:dyDescent="0.25">
      <c r="A30" s="1">
        <v>46155</v>
      </c>
      <c r="B30" t="s">
        <v>4</v>
      </c>
      <c r="C30" t="s">
        <v>88</v>
      </c>
      <c r="D30">
        <v>16</v>
      </c>
    </row>
    <row r="31" spans="1:4" x14ac:dyDescent="0.25">
      <c r="A31" s="1">
        <v>46155</v>
      </c>
      <c r="B31" t="s">
        <v>4</v>
      </c>
      <c r="C31" t="s">
        <v>90</v>
      </c>
      <c r="D31">
        <v>10</v>
      </c>
    </row>
    <row r="32" spans="1:4" x14ac:dyDescent="0.25">
      <c r="A32" s="1">
        <v>46155</v>
      </c>
      <c r="B32" t="s">
        <v>4</v>
      </c>
      <c r="C32" t="s">
        <v>92</v>
      </c>
      <c r="D32">
        <v>14</v>
      </c>
    </row>
    <row r="33" spans="1:4" x14ac:dyDescent="0.25">
      <c r="A33" s="1">
        <v>46155</v>
      </c>
      <c r="B33" t="s">
        <v>4</v>
      </c>
      <c r="C33" t="s">
        <v>94</v>
      </c>
      <c r="D33">
        <v>11</v>
      </c>
    </row>
    <row r="34" spans="1:4" x14ac:dyDescent="0.25">
      <c r="A34" s="1">
        <v>46155</v>
      </c>
      <c r="B34" t="s">
        <v>4</v>
      </c>
      <c r="C34" t="s">
        <v>96</v>
      </c>
      <c r="D34">
        <v>10</v>
      </c>
    </row>
    <row r="35" spans="1:4" x14ac:dyDescent="0.25">
      <c r="A35" s="1">
        <v>46155</v>
      </c>
      <c r="B35" t="s">
        <v>4</v>
      </c>
      <c r="C35" t="s">
        <v>98</v>
      </c>
      <c r="D35">
        <v>10</v>
      </c>
    </row>
    <row r="36" spans="1:4" x14ac:dyDescent="0.25">
      <c r="A36" s="1">
        <v>46155</v>
      </c>
      <c r="B36" t="s">
        <v>4</v>
      </c>
      <c r="C36" t="s">
        <v>100</v>
      </c>
      <c r="D36">
        <v>10</v>
      </c>
    </row>
    <row r="37" spans="1:4" x14ac:dyDescent="0.25">
      <c r="A37" s="1">
        <v>46155</v>
      </c>
      <c r="B37" t="s">
        <v>4</v>
      </c>
      <c r="C37" t="s">
        <v>102</v>
      </c>
      <c r="D37">
        <v>14</v>
      </c>
    </row>
    <row r="38" spans="1:4" x14ac:dyDescent="0.25">
      <c r="A38" s="1">
        <v>46155</v>
      </c>
      <c r="B38" t="s">
        <v>4</v>
      </c>
      <c r="C38" t="s">
        <v>104</v>
      </c>
      <c r="D38">
        <v>10</v>
      </c>
    </row>
    <row r="39" spans="1:4" x14ac:dyDescent="0.25">
      <c r="A39" s="1">
        <v>46155</v>
      </c>
      <c r="B39" t="s">
        <v>4</v>
      </c>
      <c r="C39" t="s">
        <v>106</v>
      </c>
      <c r="D39">
        <v>10</v>
      </c>
    </row>
    <row r="40" spans="1:4" x14ac:dyDescent="0.25">
      <c r="A40" s="1">
        <v>46155</v>
      </c>
      <c r="B40" t="s">
        <v>4</v>
      </c>
      <c r="C40" t="s">
        <v>108</v>
      </c>
      <c r="D40">
        <v>10</v>
      </c>
    </row>
    <row r="41" spans="1:4" x14ac:dyDescent="0.25">
      <c r="A41" s="1">
        <v>46155</v>
      </c>
      <c r="B41" t="s">
        <v>4</v>
      </c>
      <c r="C41" t="s">
        <v>110</v>
      </c>
      <c r="D41">
        <v>10</v>
      </c>
    </row>
    <row r="42" spans="1:4" x14ac:dyDescent="0.25">
      <c r="A42" s="1">
        <v>46155</v>
      </c>
      <c r="B42" t="s">
        <v>4</v>
      </c>
      <c r="C42" t="s">
        <v>112</v>
      </c>
      <c r="D42">
        <v>10</v>
      </c>
    </row>
    <row r="43" spans="1:4" x14ac:dyDescent="0.25">
      <c r="A43" s="1">
        <v>46155</v>
      </c>
      <c r="B43" t="s">
        <v>4</v>
      </c>
      <c r="C43" t="s">
        <v>114</v>
      </c>
      <c r="D43">
        <v>10</v>
      </c>
    </row>
    <row r="44" spans="1:4" x14ac:dyDescent="0.25">
      <c r="A44" s="1">
        <v>46155</v>
      </c>
      <c r="B44" t="s">
        <v>4</v>
      </c>
      <c r="C44" t="s">
        <v>116</v>
      </c>
      <c r="D44">
        <v>10</v>
      </c>
    </row>
    <row r="45" spans="1:4" x14ac:dyDescent="0.25">
      <c r="A45" s="1">
        <v>46155</v>
      </c>
      <c r="B45" t="s">
        <v>4</v>
      </c>
      <c r="C45" t="s">
        <v>118</v>
      </c>
      <c r="D45">
        <v>10</v>
      </c>
    </row>
    <row r="46" spans="1:4" x14ac:dyDescent="0.25">
      <c r="A46" s="1">
        <v>46155</v>
      </c>
      <c r="B46" t="s">
        <v>4</v>
      </c>
      <c r="C46" t="s">
        <v>120</v>
      </c>
      <c r="D46">
        <v>10</v>
      </c>
    </row>
    <row r="47" spans="1:4" x14ac:dyDescent="0.25">
      <c r="A47" s="1">
        <v>46155</v>
      </c>
      <c r="B47" t="s">
        <v>4</v>
      </c>
      <c r="C47" t="s">
        <v>122</v>
      </c>
      <c r="D47">
        <v>10</v>
      </c>
    </row>
    <row r="48" spans="1:4" x14ac:dyDescent="0.25">
      <c r="A48" s="1">
        <v>46162</v>
      </c>
      <c r="B48" t="s">
        <v>0</v>
      </c>
      <c r="C48" t="s">
        <v>32</v>
      </c>
      <c r="D48">
        <v>209</v>
      </c>
    </row>
    <row r="49" spans="1:4" x14ac:dyDescent="0.25">
      <c r="A49" s="1">
        <v>46162</v>
      </c>
      <c r="B49" t="s">
        <v>1</v>
      </c>
      <c r="C49" t="s">
        <v>34</v>
      </c>
      <c r="D49">
        <v>38</v>
      </c>
    </row>
    <row r="50" spans="1:4" x14ac:dyDescent="0.25">
      <c r="A50" s="1">
        <v>46162</v>
      </c>
      <c r="B50" t="s">
        <v>1</v>
      </c>
      <c r="C50" t="s">
        <v>36</v>
      </c>
      <c r="D50">
        <v>43</v>
      </c>
    </row>
    <row r="51" spans="1:4" x14ac:dyDescent="0.25">
      <c r="A51" s="1">
        <v>46162</v>
      </c>
      <c r="B51" t="s">
        <v>1</v>
      </c>
      <c r="C51" t="s">
        <v>38</v>
      </c>
      <c r="D51">
        <v>47</v>
      </c>
    </row>
    <row r="52" spans="1:4" x14ac:dyDescent="0.25">
      <c r="A52" s="1">
        <v>46162</v>
      </c>
      <c r="B52" t="s">
        <v>1</v>
      </c>
      <c r="C52" t="s">
        <v>40</v>
      </c>
      <c r="D52">
        <v>40</v>
      </c>
    </row>
    <row r="53" spans="1:4" x14ac:dyDescent="0.25">
      <c r="A53" s="1">
        <v>46162</v>
      </c>
      <c r="B53" t="s">
        <v>1</v>
      </c>
      <c r="C53" t="s">
        <v>42</v>
      </c>
      <c r="D53">
        <v>36</v>
      </c>
    </row>
    <row r="54" spans="1:4" x14ac:dyDescent="0.25">
      <c r="A54" s="1">
        <v>46162</v>
      </c>
      <c r="B54" t="s">
        <v>1</v>
      </c>
      <c r="C54" t="s">
        <v>44</v>
      </c>
      <c r="D54">
        <v>37</v>
      </c>
    </row>
    <row r="55" spans="1:4" x14ac:dyDescent="0.25">
      <c r="A55" s="1">
        <v>46162</v>
      </c>
      <c r="B55" t="s">
        <v>1</v>
      </c>
      <c r="C55" t="s">
        <v>46</v>
      </c>
      <c r="D55">
        <v>34</v>
      </c>
    </row>
    <row r="56" spans="1:4" x14ac:dyDescent="0.25">
      <c r="A56" s="1">
        <v>46162</v>
      </c>
      <c r="B56" t="s">
        <v>1</v>
      </c>
      <c r="C56" t="s">
        <v>48</v>
      </c>
      <c r="D56">
        <v>38</v>
      </c>
    </row>
    <row r="57" spans="1:4" x14ac:dyDescent="0.25">
      <c r="A57" s="1">
        <v>46162</v>
      </c>
      <c r="B57" t="s">
        <v>1</v>
      </c>
      <c r="C57" t="s">
        <v>50</v>
      </c>
      <c r="D57">
        <v>26</v>
      </c>
    </row>
    <row r="58" spans="1:4" x14ac:dyDescent="0.25">
      <c r="A58" s="1">
        <v>46162</v>
      </c>
      <c r="B58" t="s">
        <v>2</v>
      </c>
      <c r="C58" t="s">
        <v>52</v>
      </c>
      <c r="D58">
        <v>32</v>
      </c>
    </row>
    <row r="59" spans="1:4" x14ac:dyDescent="0.25">
      <c r="A59" s="1">
        <v>46162</v>
      </c>
      <c r="B59" t="s">
        <v>2</v>
      </c>
      <c r="C59" t="s">
        <v>54</v>
      </c>
      <c r="D59">
        <v>31</v>
      </c>
    </row>
    <row r="60" spans="1:4" x14ac:dyDescent="0.25">
      <c r="A60" s="1">
        <v>46162</v>
      </c>
      <c r="B60" t="s">
        <v>2</v>
      </c>
      <c r="C60" t="s">
        <v>56</v>
      </c>
      <c r="D60">
        <v>40</v>
      </c>
    </row>
    <row r="61" spans="1:4" x14ac:dyDescent="0.25">
      <c r="A61" s="1">
        <v>46162</v>
      </c>
      <c r="B61" t="s">
        <v>2</v>
      </c>
      <c r="C61" t="s">
        <v>58</v>
      </c>
      <c r="D61">
        <v>35</v>
      </c>
    </row>
    <row r="62" spans="1:4" x14ac:dyDescent="0.25">
      <c r="A62" s="1">
        <v>46162</v>
      </c>
      <c r="B62" t="s">
        <v>2</v>
      </c>
      <c r="C62" t="s">
        <v>60</v>
      </c>
      <c r="D62">
        <v>34</v>
      </c>
    </row>
    <row r="63" spans="1:4" x14ac:dyDescent="0.25">
      <c r="A63" s="1">
        <v>46162</v>
      </c>
      <c r="B63" t="s">
        <v>2</v>
      </c>
      <c r="C63" t="s">
        <v>62</v>
      </c>
      <c r="D63">
        <v>41</v>
      </c>
    </row>
    <row r="64" spans="1:4" x14ac:dyDescent="0.25">
      <c r="A64" s="1">
        <v>46162</v>
      </c>
      <c r="B64" t="s">
        <v>2</v>
      </c>
      <c r="C64" t="s">
        <v>64</v>
      </c>
      <c r="D64">
        <v>38</v>
      </c>
    </row>
    <row r="65" spans="1:4" x14ac:dyDescent="0.25">
      <c r="A65" s="1">
        <v>46162</v>
      </c>
      <c r="B65" t="s">
        <v>2</v>
      </c>
      <c r="C65" t="s">
        <v>66</v>
      </c>
      <c r="D65">
        <v>32</v>
      </c>
    </row>
    <row r="66" spans="1:4" x14ac:dyDescent="0.25">
      <c r="A66" s="1">
        <v>46162</v>
      </c>
      <c r="B66" t="s">
        <v>2</v>
      </c>
      <c r="C66" t="s">
        <v>68</v>
      </c>
      <c r="D66">
        <v>36</v>
      </c>
    </row>
    <row r="67" spans="1:4" x14ac:dyDescent="0.25">
      <c r="A67" s="1">
        <v>46162</v>
      </c>
      <c r="B67" t="s">
        <v>2</v>
      </c>
      <c r="C67" t="s">
        <v>70</v>
      </c>
      <c r="D67">
        <v>35</v>
      </c>
    </row>
    <row r="68" spans="1:4" x14ac:dyDescent="0.25">
      <c r="A68" s="1">
        <v>46162</v>
      </c>
      <c r="B68" t="s">
        <v>2</v>
      </c>
      <c r="C68" t="s">
        <v>72</v>
      </c>
      <c r="D68">
        <v>31</v>
      </c>
    </row>
    <row r="69" spans="1:4" x14ac:dyDescent="0.25">
      <c r="A69" s="1">
        <v>46162</v>
      </c>
      <c r="B69" t="s">
        <v>2</v>
      </c>
      <c r="C69" t="s">
        <v>74</v>
      </c>
      <c r="D69">
        <v>32</v>
      </c>
    </row>
    <row r="70" spans="1:4" x14ac:dyDescent="0.25">
      <c r="A70" s="1">
        <v>46162</v>
      </c>
      <c r="B70" t="s">
        <v>2</v>
      </c>
      <c r="C70" t="s">
        <v>76</v>
      </c>
      <c r="D70">
        <v>31</v>
      </c>
    </row>
    <row r="71" spans="1:4" x14ac:dyDescent="0.25">
      <c r="A71" s="1">
        <v>46162</v>
      </c>
      <c r="B71" t="s">
        <v>2</v>
      </c>
      <c r="C71" t="s">
        <v>78</v>
      </c>
      <c r="D71">
        <v>32</v>
      </c>
    </row>
    <row r="72" spans="1:4" x14ac:dyDescent="0.25">
      <c r="A72" s="1">
        <v>46162</v>
      </c>
      <c r="B72" t="s">
        <v>2</v>
      </c>
      <c r="C72" t="s">
        <v>80</v>
      </c>
      <c r="D72">
        <v>30</v>
      </c>
    </row>
    <row r="73" spans="1:4" x14ac:dyDescent="0.25">
      <c r="A73" s="1">
        <v>46162</v>
      </c>
      <c r="B73" t="s">
        <v>13</v>
      </c>
      <c r="C73" t="s">
        <v>82</v>
      </c>
      <c r="D73">
        <v>39</v>
      </c>
    </row>
    <row r="74" spans="1:4" x14ac:dyDescent="0.25">
      <c r="A74" s="1">
        <v>46162</v>
      </c>
      <c r="B74" t="s">
        <v>3</v>
      </c>
      <c r="C74" t="s">
        <v>84</v>
      </c>
      <c r="D74">
        <v>25</v>
      </c>
    </row>
    <row r="75" spans="1:4" x14ac:dyDescent="0.25">
      <c r="A75" s="1">
        <v>46162</v>
      </c>
      <c r="B75" t="s">
        <v>4</v>
      </c>
      <c r="C75" t="s">
        <v>86</v>
      </c>
      <c r="D75">
        <v>13</v>
      </c>
    </row>
    <row r="76" spans="1:4" x14ac:dyDescent="0.25">
      <c r="A76" s="1">
        <v>46162</v>
      </c>
      <c r="B76" t="s">
        <v>4</v>
      </c>
      <c r="C76" t="s">
        <v>88</v>
      </c>
      <c r="D76">
        <v>16</v>
      </c>
    </row>
    <row r="77" spans="1:4" x14ac:dyDescent="0.25">
      <c r="A77" s="1">
        <v>46162</v>
      </c>
      <c r="B77" t="s">
        <v>4</v>
      </c>
      <c r="C77" t="s">
        <v>90</v>
      </c>
      <c r="D77">
        <v>10</v>
      </c>
    </row>
    <row r="78" spans="1:4" x14ac:dyDescent="0.25">
      <c r="A78" s="1">
        <v>46162</v>
      </c>
      <c r="B78" t="s">
        <v>4</v>
      </c>
      <c r="C78" t="s">
        <v>92</v>
      </c>
      <c r="D78">
        <v>14</v>
      </c>
    </row>
    <row r="79" spans="1:4" x14ac:dyDescent="0.25">
      <c r="A79" s="1">
        <v>46162</v>
      </c>
      <c r="B79" t="s">
        <v>4</v>
      </c>
      <c r="C79" t="s">
        <v>94</v>
      </c>
      <c r="D79">
        <v>11</v>
      </c>
    </row>
    <row r="80" spans="1:4" x14ac:dyDescent="0.25">
      <c r="A80" s="1">
        <v>46162</v>
      </c>
      <c r="B80" t="s">
        <v>4</v>
      </c>
      <c r="C80" t="s">
        <v>96</v>
      </c>
      <c r="D80">
        <v>10</v>
      </c>
    </row>
    <row r="81" spans="1:4" x14ac:dyDescent="0.25">
      <c r="A81" s="1">
        <v>46162</v>
      </c>
      <c r="B81" t="s">
        <v>4</v>
      </c>
      <c r="C81" t="s">
        <v>98</v>
      </c>
      <c r="D81">
        <v>10</v>
      </c>
    </row>
    <row r="82" spans="1:4" x14ac:dyDescent="0.25">
      <c r="A82" s="1">
        <v>46162</v>
      </c>
      <c r="B82" t="s">
        <v>4</v>
      </c>
      <c r="C82" t="s">
        <v>100</v>
      </c>
      <c r="D82">
        <v>10</v>
      </c>
    </row>
    <row r="83" spans="1:4" x14ac:dyDescent="0.25">
      <c r="A83" s="1">
        <v>46162</v>
      </c>
      <c r="B83" t="s">
        <v>4</v>
      </c>
      <c r="C83" t="s">
        <v>102</v>
      </c>
      <c r="D83">
        <v>14</v>
      </c>
    </row>
    <row r="84" spans="1:4" x14ac:dyDescent="0.25">
      <c r="A84" s="1">
        <v>46162</v>
      </c>
      <c r="B84" t="s">
        <v>4</v>
      </c>
      <c r="C84" t="s">
        <v>104</v>
      </c>
      <c r="D84">
        <v>10</v>
      </c>
    </row>
    <row r="85" spans="1:4" x14ac:dyDescent="0.25">
      <c r="A85" s="1">
        <v>46162</v>
      </c>
      <c r="B85" t="s">
        <v>4</v>
      </c>
      <c r="C85" t="s">
        <v>106</v>
      </c>
      <c r="D85">
        <v>10</v>
      </c>
    </row>
    <row r="86" spans="1:4" x14ac:dyDescent="0.25">
      <c r="A86" s="1">
        <v>46162</v>
      </c>
      <c r="B86" t="s">
        <v>4</v>
      </c>
      <c r="C86" t="s">
        <v>108</v>
      </c>
      <c r="D86">
        <v>10</v>
      </c>
    </row>
    <row r="87" spans="1:4" x14ac:dyDescent="0.25">
      <c r="A87" s="1">
        <v>46162</v>
      </c>
      <c r="B87" t="s">
        <v>4</v>
      </c>
      <c r="C87" t="s">
        <v>110</v>
      </c>
      <c r="D87">
        <v>10</v>
      </c>
    </row>
    <row r="88" spans="1:4" x14ac:dyDescent="0.25">
      <c r="A88" s="1">
        <v>46162</v>
      </c>
      <c r="B88" t="s">
        <v>4</v>
      </c>
      <c r="C88" t="s">
        <v>112</v>
      </c>
      <c r="D88">
        <v>10</v>
      </c>
    </row>
    <row r="89" spans="1:4" x14ac:dyDescent="0.25">
      <c r="A89" s="1">
        <v>46162</v>
      </c>
      <c r="B89" t="s">
        <v>4</v>
      </c>
      <c r="C89" t="s">
        <v>114</v>
      </c>
      <c r="D89">
        <v>10</v>
      </c>
    </row>
    <row r="90" spans="1:4" x14ac:dyDescent="0.25">
      <c r="A90" s="1">
        <v>46162</v>
      </c>
      <c r="B90" t="s">
        <v>4</v>
      </c>
      <c r="C90" t="s">
        <v>116</v>
      </c>
      <c r="D90">
        <v>10</v>
      </c>
    </row>
    <row r="91" spans="1:4" x14ac:dyDescent="0.25">
      <c r="A91" s="1">
        <v>46162</v>
      </c>
      <c r="B91" t="s">
        <v>4</v>
      </c>
      <c r="C91" t="s">
        <v>118</v>
      </c>
      <c r="D91">
        <v>10</v>
      </c>
    </row>
    <row r="92" spans="1:4" x14ac:dyDescent="0.25">
      <c r="A92" s="1">
        <v>46162</v>
      </c>
      <c r="B92" t="s">
        <v>4</v>
      </c>
      <c r="C92" t="s">
        <v>120</v>
      </c>
      <c r="D92">
        <v>10</v>
      </c>
    </row>
    <row r="93" spans="1:4" x14ac:dyDescent="0.25">
      <c r="A93" s="1">
        <v>46162</v>
      </c>
      <c r="B93" t="s">
        <v>4</v>
      </c>
      <c r="C93" t="s">
        <v>122</v>
      </c>
      <c r="D93">
        <v>10</v>
      </c>
    </row>
    <row r="94" spans="1:4" x14ac:dyDescent="0.25">
      <c r="A94" s="1">
        <v>46169</v>
      </c>
      <c r="B94" t="s">
        <v>0</v>
      </c>
      <c r="C94" t="s">
        <v>32</v>
      </c>
      <c r="D94">
        <v>215</v>
      </c>
    </row>
    <row r="95" spans="1:4" x14ac:dyDescent="0.25">
      <c r="A95" s="1">
        <v>46169</v>
      </c>
      <c r="B95" t="s">
        <v>1</v>
      </c>
      <c r="C95" t="s">
        <v>34</v>
      </c>
      <c r="D95">
        <v>38</v>
      </c>
    </row>
    <row r="96" spans="1:4" x14ac:dyDescent="0.25">
      <c r="A96" s="1">
        <v>46169</v>
      </c>
      <c r="B96" t="s">
        <v>1</v>
      </c>
      <c r="C96" t="s">
        <v>36</v>
      </c>
      <c r="D96">
        <v>43</v>
      </c>
    </row>
    <row r="97" spans="1:4" x14ac:dyDescent="0.25">
      <c r="A97" s="1">
        <v>46169</v>
      </c>
      <c r="B97" t="s">
        <v>1</v>
      </c>
      <c r="C97" t="s">
        <v>38</v>
      </c>
      <c r="D97">
        <v>47</v>
      </c>
    </row>
    <row r="98" spans="1:4" x14ac:dyDescent="0.25">
      <c r="A98" s="1">
        <v>46169</v>
      </c>
      <c r="B98" t="s">
        <v>1</v>
      </c>
      <c r="C98" t="s">
        <v>40</v>
      </c>
      <c r="D98">
        <v>40</v>
      </c>
    </row>
    <row r="99" spans="1:4" x14ac:dyDescent="0.25">
      <c r="A99" s="1">
        <v>46169</v>
      </c>
      <c r="B99" t="s">
        <v>1</v>
      </c>
      <c r="C99" t="s">
        <v>42</v>
      </c>
      <c r="D99">
        <v>36</v>
      </c>
    </row>
    <row r="100" spans="1:4" x14ac:dyDescent="0.25">
      <c r="A100" s="1">
        <v>46169</v>
      </c>
      <c r="B100" t="s">
        <v>1</v>
      </c>
      <c r="C100" t="s">
        <v>44</v>
      </c>
      <c r="D100">
        <v>37</v>
      </c>
    </row>
    <row r="101" spans="1:4" x14ac:dyDescent="0.25">
      <c r="A101" s="1">
        <v>46169</v>
      </c>
      <c r="B101" t="s">
        <v>1</v>
      </c>
      <c r="C101" t="s">
        <v>46</v>
      </c>
      <c r="D101">
        <v>34</v>
      </c>
    </row>
    <row r="102" spans="1:4" x14ac:dyDescent="0.25">
      <c r="A102" s="1">
        <v>46169</v>
      </c>
      <c r="B102" t="s">
        <v>1</v>
      </c>
      <c r="C102" t="s">
        <v>48</v>
      </c>
      <c r="D102">
        <v>38</v>
      </c>
    </row>
    <row r="103" spans="1:4" x14ac:dyDescent="0.25">
      <c r="A103" s="1">
        <v>46169</v>
      </c>
      <c r="B103" t="s">
        <v>1</v>
      </c>
      <c r="C103" t="s">
        <v>50</v>
      </c>
      <c r="D103">
        <v>26</v>
      </c>
    </row>
    <row r="104" spans="1:4" x14ac:dyDescent="0.25">
      <c r="A104" s="1">
        <v>46169</v>
      </c>
      <c r="B104" t="s">
        <v>2</v>
      </c>
      <c r="C104" t="s">
        <v>52</v>
      </c>
      <c r="D104">
        <v>32</v>
      </c>
    </row>
    <row r="105" spans="1:4" x14ac:dyDescent="0.25">
      <c r="A105" s="1">
        <v>46169</v>
      </c>
      <c r="B105" t="s">
        <v>2</v>
      </c>
      <c r="C105" t="s">
        <v>54</v>
      </c>
      <c r="D105">
        <v>31</v>
      </c>
    </row>
    <row r="106" spans="1:4" x14ac:dyDescent="0.25">
      <c r="A106" s="1">
        <v>46169</v>
      </c>
      <c r="B106" t="s">
        <v>2</v>
      </c>
      <c r="C106" t="s">
        <v>56</v>
      </c>
      <c r="D106">
        <v>40</v>
      </c>
    </row>
    <row r="107" spans="1:4" x14ac:dyDescent="0.25">
      <c r="A107" s="1">
        <v>46169</v>
      </c>
      <c r="B107" t="s">
        <v>2</v>
      </c>
      <c r="C107" t="s">
        <v>58</v>
      </c>
      <c r="D107">
        <v>35</v>
      </c>
    </row>
    <row r="108" spans="1:4" x14ac:dyDescent="0.25">
      <c r="A108" s="1">
        <v>46169</v>
      </c>
      <c r="B108" t="s">
        <v>2</v>
      </c>
      <c r="C108" t="s">
        <v>60</v>
      </c>
      <c r="D108">
        <v>34</v>
      </c>
    </row>
    <row r="109" spans="1:4" x14ac:dyDescent="0.25">
      <c r="A109" s="1">
        <v>46169</v>
      </c>
      <c r="B109" t="s">
        <v>2</v>
      </c>
      <c r="C109" t="s">
        <v>62</v>
      </c>
      <c r="D109">
        <v>41</v>
      </c>
    </row>
    <row r="110" spans="1:4" x14ac:dyDescent="0.25">
      <c r="A110" s="1">
        <v>46169</v>
      </c>
      <c r="B110" t="s">
        <v>2</v>
      </c>
      <c r="C110" t="s">
        <v>64</v>
      </c>
      <c r="D110">
        <v>38</v>
      </c>
    </row>
    <row r="111" spans="1:4" x14ac:dyDescent="0.25">
      <c r="A111" s="1">
        <v>46169</v>
      </c>
      <c r="B111" t="s">
        <v>2</v>
      </c>
      <c r="C111" t="s">
        <v>66</v>
      </c>
      <c r="D111">
        <v>33</v>
      </c>
    </row>
    <row r="112" spans="1:4" x14ac:dyDescent="0.25">
      <c r="A112" s="1">
        <v>46169</v>
      </c>
      <c r="B112" t="s">
        <v>2</v>
      </c>
      <c r="C112" t="s">
        <v>68</v>
      </c>
      <c r="D112">
        <v>37</v>
      </c>
    </row>
    <row r="113" spans="1:4" x14ac:dyDescent="0.25">
      <c r="A113" s="1">
        <v>46169</v>
      </c>
      <c r="B113" t="s">
        <v>2</v>
      </c>
      <c r="C113" t="s">
        <v>70</v>
      </c>
      <c r="D113">
        <v>36</v>
      </c>
    </row>
    <row r="114" spans="1:4" x14ac:dyDescent="0.25">
      <c r="A114" s="1">
        <v>46169</v>
      </c>
      <c r="B114" t="s">
        <v>2</v>
      </c>
      <c r="C114" t="s">
        <v>72</v>
      </c>
      <c r="D114">
        <v>32</v>
      </c>
    </row>
    <row r="115" spans="1:4" x14ac:dyDescent="0.25">
      <c r="A115" s="1">
        <v>46169</v>
      </c>
      <c r="B115" t="s">
        <v>2</v>
      </c>
      <c r="C115" t="s">
        <v>74</v>
      </c>
      <c r="D115">
        <v>32</v>
      </c>
    </row>
    <row r="116" spans="1:4" x14ac:dyDescent="0.25">
      <c r="A116" s="1">
        <v>46169</v>
      </c>
      <c r="B116" t="s">
        <v>2</v>
      </c>
      <c r="C116" t="s">
        <v>76</v>
      </c>
      <c r="D116">
        <v>31</v>
      </c>
    </row>
    <row r="117" spans="1:4" x14ac:dyDescent="0.25">
      <c r="A117" s="1">
        <v>46169</v>
      </c>
      <c r="B117" t="s">
        <v>2</v>
      </c>
      <c r="C117" t="s">
        <v>78</v>
      </c>
      <c r="D117">
        <v>32</v>
      </c>
    </row>
    <row r="118" spans="1:4" x14ac:dyDescent="0.25">
      <c r="A118" s="1">
        <v>46169</v>
      </c>
      <c r="B118" t="s">
        <v>2</v>
      </c>
      <c r="C118" t="s">
        <v>80</v>
      </c>
      <c r="D118">
        <v>30</v>
      </c>
    </row>
    <row r="119" spans="1:4" x14ac:dyDescent="0.25">
      <c r="A119" s="1">
        <v>46169</v>
      </c>
      <c r="B119" t="s">
        <v>13</v>
      </c>
      <c r="C119" t="s">
        <v>82</v>
      </c>
      <c r="D119">
        <v>39</v>
      </c>
    </row>
    <row r="120" spans="1:4" x14ac:dyDescent="0.25">
      <c r="A120" s="1">
        <v>46169</v>
      </c>
      <c r="B120" t="s">
        <v>3</v>
      </c>
      <c r="C120" t="s">
        <v>84</v>
      </c>
      <c r="D120">
        <v>25</v>
      </c>
    </row>
    <row r="121" spans="1:4" x14ac:dyDescent="0.25">
      <c r="A121" s="1">
        <v>46169</v>
      </c>
      <c r="B121" t="s">
        <v>4</v>
      </c>
      <c r="C121" t="s">
        <v>86</v>
      </c>
      <c r="D121">
        <v>13</v>
      </c>
    </row>
    <row r="122" spans="1:4" x14ac:dyDescent="0.25">
      <c r="A122" s="1">
        <v>46169</v>
      </c>
      <c r="B122" t="s">
        <v>4</v>
      </c>
      <c r="C122" t="s">
        <v>88</v>
      </c>
      <c r="D122">
        <v>16</v>
      </c>
    </row>
    <row r="123" spans="1:4" x14ac:dyDescent="0.25">
      <c r="A123" s="1">
        <v>46169</v>
      </c>
      <c r="B123" t="s">
        <v>4</v>
      </c>
      <c r="C123" t="s">
        <v>90</v>
      </c>
      <c r="D123">
        <v>10</v>
      </c>
    </row>
    <row r="124" spans="1:4" x14ac:dyDescent="0.25">
      <c r="A124" s="1">
        <v>46169</v>
      </c>
      <c r="B124" t="s">
        <v>4</v>
      </c>
      <c r="C124" t="s">
        <v>92</v>
      </c>
      <c r="D124">
        <v>14</v>
      </c>
    </row>
    <row r="125" spans="1:4" x14ac:dyDescent="0.25">
      <c r="A125" s="1">
        <v>46169</v>
      </c>
      <c r="B125" t="s">
        <v>4</v>
      </c>
      <c r="C125" t="s">
        <v>94</v>
      </c>
      <c r="D125">
        <v>11</v>
      </c>
    </row>
    <row r="126" spans="1:4" x14ac:dyDescent="0.25">
      <c r="A126" s="1">
        <v>46169</v>
      </c>
      <c r="B126" t="s">
        <v>4</v>
      </c>
      <c r="C126" t="s">
        <v>96</v>
      </c>
      <c r="D126">
        <v>10</v>
      </c>
    </row>
    <row r="127" spans="1:4" x14ac:dyDescent="0.25">
      <c r="A127" s="1">
        <v>46169</v>
      </c>
      <c r="B127" t="s">
        <v>4</v>
      </c>
      <c r="C127" t="s">
        <v>98</v>
      </c>
      <c r="D127">
        <v>10</v>
      </c>
    </row>
    <row r="128" spans="1:4" x14ac:dyDescent="0.25">
      <c r="A128" s="1">
        <v>46169</v>
      </c>
      <c r="B128" t="s">
        <v>4</v>
      </c>
      <c r="C128" t="s">
        <v>100</v>
      </c>
      <c r="D128">
        <v>10</v>
      </c>
    </row>
    <row r="129" spans="1:4" x14ac:dyDescent="0.25">
      <c r="A129" s="1">
        <v>46169</v>
      </c>
      <c r="B129" t="s">
        <v>4</v>
      </c>
      <c r="C129" t="s">
        <v>102</v>
      </c>
      <c r="D129">
        <v>14</v>
      </c>
    </row>
    <row r="130" spans="1:4" x14ac:dyDescent="0.25">
      <c r="A130" s="1">
        <v>46169</v>
      </c>
      <c r="B130" t="s">
        <v>4</v>
      </c>
      <c r="C130" t="s">
        <v>104</v>
      </c>
      <c r="D130">
        <v>10</v>
      </c>
    </row>
    <row r="131" spans="1:4" x14ac:dyDescent="0.25">
      <c r="A131" s="1">
        <v>46169</v>
      </c>
      <c r="B131" t="s">
        <v>4</v>
      </c>
      <c r="C131" t="s">
        <v>106</v>
      </c>
      <c r="D131">
        <v>10</v>
      </c>
    </row>
    <row r="132" spans="1:4" x14ac:dyDescent="0.25">
      <c r="A132" s="1">
        <v>46169</v>
      </c>
      <c r="B132" t="s">
        <v>4</v>
      </c>
      <c r="C132" t="s">
        <v>108</v>
      </c>
      <c r="D132">
        <v>10</v>
      </c>
    </row>
    <row r="133" spans="1:4" x14ac:dyDescent="0.25">
      <c r="A133" s="1">
        <v>46169</v>
      </c>
      <c r="B133" t="s">
        <v>4</v>
      </c>
      <c r="C133" t="s">
        <v>110</v>
      </c>
      <c r="D133">
        <v>10</v>
      </c>
    </row>
    <row r="134" spans="1:4" x14ac:dyDescent="0.25">
      <c r="A134" s="1">
        <v>46169</v>
      </c>
      <c r="B134" t="s">
        <v>4</v>
      </c>
      <c r="C134" t="s">
        <v>112</v>
      </c>
      <c r="D134">
        <v>10</v>
      </c>
    </row>
    <row r="135" spans="1:4" x14ac:dyDescent="0.25">
      <c r="A135" s="1">
        <v>46169</v>
      </c>
      <c r="B135" t="s">
        <v>4</v>
      </c>
      <c r="C135" t="s">
        <v>114</v>
      </c>
      <c r="D135">
        <v>10</v>
      </c>
    </row>
    <row r="136" spans="1:4" x14ac:dyDescent="0.25">
      <c r="A136" s="1">
        <v>46169</v>
      </c>
      <c r="B136" t="s">
        <v>4</v>
      </c>
      <c r="C136" t="s">
        <v>116</v>
      </c>
      <c r="D136">
        <v>10</v>
      </c>
    </row>
    <row r="137" spans="1:4" x14ac:dyDescent="0.25">
      <c r="A137" s="1">
        <v>46169</v>
      </c>
      <c r="B137" t="s">
        <v>4</v>
      </c>
      <c r="C137" t="s">
        <v>118</v>
      </c>
      <c r="D137">
        <v>10</v>
      </c>
    </row>
    <row r="138" spans="1:4" x14ac:dyDescent="0.25">
      <c r="A138" s="1">
        <v>46169</v>
      </c>
      <c r="B138" t="s">
        <v>4</v>
      </c>
      <c r="C138" t="s">
        <v>120</v>
      </c>
      <c r="D138">
        <v>10</v>
      </c>
    </row>
    <row r="139" spans="1:4" x14ac:dyDescent="0.25">
      <c r="A139" s="1">
        <v>46169</v>
      </c>
      <c r="B139" t="s">
        <v>4</v>
      </c>
      <c r="C139" t="s">
        <v>122</v>
      </c>
      <c r="D139">
        <v>10</v>
      </c>
    </row>
    <row r="140" spans="1:4" x14ac:dyDescent="0.25">
      <c r="A140" s="1">
        <v>46176</v>
      </c>
      <c r="B140" t="s">
        <v>0</v>
      </c>
      <c r="C140" t="s">
        <v>32</v>
      </c>
      <c r="D140">
        <v>216</v>
      </c>
    </row>
    <row r="141" spans="1:4" x14ac:dyDescent="0.25">
      <c r="A141" s="1">
        <v>46176</v>
      </c>
      <c r="B141" t="s">
        <v>1</v>
      </c>
      <c r="C141" t="s">
        <v>34</v>
      </c>
      <c r="D141">
        <v>39</v>
      </c>
    </row>
    <row r="142" spans="1:4" x14ac:dyDescent="0.25">
      <c r="A142" s="1">
        <v>46176</v>
      </c>
      <c r="B142" t="s">
        <v>1</v>
      </c>
      <c r="C142" t="s">
        <v>36</v>
      </c>
      <c r="D142">
        <v>43</v>
      </c>
    </row>
    <row r="143" spans="1:4" x14ac:dyDescent="0.25">
      <c r="A143" s="1">
        <v>46176</v>
      </c>
      <c r="B143" t="s">
        <v>1</v>
      </c>
      <c r="C143" t="s">
        <v>38</v>
      </c>
      <c r="D143">
        <v>47</v>
      </c>
    </row>
    <row r="144" spans="1:4" x14ac:dyDescent="0.25">
      <c r="A144" s="1">
        <v>46176</v>
      </c>
      <c r="B144" t="s">
        <v>1</v>
      </c>
      <c r="C144" t="s">
        <v>40</v>
      </c>
      <c r="D144">
        <v>40</v>
      </c>
    </row>
    <row r="145" spans="1:4" x14ac:dyDescent="0.25">
      <c r="A145" s="1">
        <v>46176</v>
      </c>
      <c r="B145" t="s">
        <v>1</v>
      </c>
      <c r="C145" t="s">
        <v>42</v>
      </c>
      <c r="D145">
        <v>37</v>
      </c>
    </row>
    <row r="146" spans="1:4" x14ac:dyDescent="0.25">
      <c r="A146" s="1">
        <v>46176</v>
      </c>
      <c r="B146" t="s">
        <v>1</v>
      </c>
      <c r="C146" t="s">
        <v>44</v>
      </c>
      <c r="D146">
        <v>37</v>
      </c>
    </row>
    <row r="147" spans="1:4" x14ac:dyDescent="0.25">
      <c r="A147" s="1">
        <v>46176</v>
      </c>
      <c r="B147" t="s">
        <v>1</v>
      </c>
      <c r="C147" t="s">
        <v>46</v>
      </c>
      <c r="D147">
        <v>34</v>
      </c>
    </row>
    <row r="148" spans="1:4" x14ac:dyDescent="0.25">
      <c r="A148" s="1">
        <v>46176</v>
      </c>
      <c r="B148" t="s">
        <v>1</v>
      </c>
      <c r="C148" t="s">
        <v>48</v>
      </c>
      <c r="D148">
        <v>38</v>
      </c>
    </row>
    <row r="149" spans="1:4" x14ac:dyDescent="0.25">
      <c r="A149" s="1">
        <v>46176</v>
      </c>
      <c r="B149" t="s">
        <v>1</v>
      </c>
      <c r="C149" t="s">
        <v>50</v>
      </c>
      <c r="D149">
        <v>26</v>
      </c>
    </row>
    <row r="150" spans="1:4" x14ac:dyDescent="0.25">
      <c r="A150" s="1">
        <v>46176</v>
      </c>
      <c r="B150" t="s">
        <v>2</v>
      </c>
      <c r="C150" t="s">
        <v>52</v>
      </c>
      <c r="D150">
        <v>32</v>
      </c>
    </row>
    <row r="151" spans="1:4" x14ac:dyDescent="0.25">
      <c r="A151" s="1">
        <v>46176</v>
      </c>
      <c r="B151" t="s">
        <v>2</v>
      </c>
      <c r="C151" t="s">
        <v>54</v>
      </c>
      <c r="D151">
        <v>31</v>
      </c>
    </row>
    <row r="152" spans="1:4" x14ac:dyDescent="0.25">
      <c r="A152" s="1">
        <v>46176</v>
      </c>
      <c r="B152" t="s">
        <v>2</v>
      </c>
      <c r="C152" t="s">
        <v>56</v>
      </c>
      <c r="D152">
        <v>40</v>
      </c>
    </row>
    <row r="153" spans="1:4" x14ac:dyDescent="0.25">
      <c r="A153" s="1">
        <v>46176</v>
      </c>
      <c r="B153" t="s">
        <v>2</v>
      </c>
      <c r="C153" t="s">
        <v>58</v>
      </c>
      <c r="D153">
        <v>35</v>
      </c>
    </row>
    <row r="154" spans="1:4" x14ac:dyDescent="0.25">
      <c r="A154" s="1">
        <v>46176</v>
      </c>
      <c r="B154" t="s">
        <v>2</v>
      </c>
      <c r="C154" t="s">
        <v>60</v>
      </c>
      <c r="D154">
        <v>34</v>
      </c>
    </row>
    <row r="155" spans="1:4" x14ac:dyDescent="0.25">
      <c r="A155" s="1">
        <v>46176</v>
      </c>
      <c r="B155" t="s">
        <v>2</v>
      </c>
      <c r="C155" t="s">
        <v>62</v>
      </c>
      <c r="D155">
        <v>42</v>
      </c>
    </row>
    <row r="156" spans="1:4" x14ac:dyDescent="0.25">
      <c r="A156" s="1">
        <v>46176</v>
      </c>
      <c r="B156" t="s">
        <v>2</v>
      </c>
      <c r="C156" t="s">
        <v>64</v>
      </c>
      <c r="D156">
        <v>38</v>
      </c>
    </row>
    <row r="157" spans="1:4" x14ac:dyDescent="0.25">
      <c r="A157" s="1">
        <v>46176</v>
      </c>
      <c r="B157" t="s">
        <v>2</v>
      </c>
      <c r="C157" t="s">
        <v>66</v>
      </c>
      <c r="D157">
        <v>33</v>
      </c>
    </row>
    <row r="158" spans="1:4" x14ac:dyDescent="0.25">
      <c r="A158" s="1">
        <v>46176</v>
      </c>
      <c r="B158" t="s">
        <v>2</v>
      </c>
      <c r="C158" t="s">
        <v>68</v>
      </c>
      <c r="D158">
        <v>37</v>
      </c>
    </row>
    <row r="159" spans="1:4" x14ac:dyDescent="0.25">
      <c r="A159" s="1">
        <v>46176</v>
      </c>
      <c r="B159" t="s">
        <v>2</v>
      </c>
      <c r="C159" t="s">
        <v>70</v>
      </c>
      <c r="D159">
        <v>36</v>
      </c>
    </row>
    <row r="160" spans="1:4" x14ac:dyDescent="0.25">
      <c r="A160" s="1">
        <v>46176</v>
      </c>
      <c r="B160" t="s">
        <v>2</v>
      </c>
      <c r="C160" t="s">
        <v>72</v>
      </c>
      <c r="D160">
        <v>32</v>
      </c>
    </row>
    <row r="161" spans="1:4" x14ac:dyDescent="0.25">
      <c r="A161" s="1">
        <v>46176</v>
      </c>
      <c r="B161" t="s">
        <v>2</v>
      </c>
      <c r="C161" t="s">
        <v>74</v>
      </c>
      <c r="D161">
        <v>32</v>
      </c>
    </row>
    <row r="162" spans="1:4" x14ac:dyDescent="0.25">
      <c r="A162" s="1">
        <v>46176</v>
      </c>
      <c r="B162" t="s">
        <v>2</v>
      </c>
      <c r="C162" t="s">
        <v>76</v>
      </c>
      <c r="D162">
        <v>31</v>
      </c>
    </row>
    <row r="163" spans="1:4" x14ac:dyDescent="0.25">
      <c r="A163" s="1">
        <v>46176</v>
      </c>
      <c r="B163" t="s">
        <v>2</v>
      </c>
      <c r="C163" t="s">
        <v>78</v>
      </c>
      <c r="D163">
        <v>32</v>
      </c>
    </row>
    <row r="164" spans="1:4" x14ac:dyDescent="0.25">
      <c r="A164" s="1">
        <v>46176</v>
      </c>
      <c r="B164" t="s">
        <v>2</v>
      </c>
      <c r="C164" t="s">
        <v>80</v>
      </c>
      <c r="D164">
        <v>30</v>
      </c>
    </row>
    <row r="165" spans="1:4" x14ac:dyDescent="0.25">
      <c r="A165" s="1">
        <v>46176</v>
      </c>
      <c r="B165" t="s">
        <v>13</v>
      </c>
      <c r="C165" t="s">
        <v>82</v>
      </c>
      <c r="D165">
        <v>39</v>
      </c>
    </row>
    <row r="166" spans="1:4" x14ac:dyDescent="0.25">
      <c r="A166" s="1">
        <v>46176</v>
      </c>
      <c r="B166" t="s">
        <v>3</v>
      </c>
      <c r="C166" t="s">
        <v>84</v>
      </c>
      <c r="D166">
        <v>25</v>
      </c>
    </row>
    <row r="167" spans="1:4" x14ac:dyDescent="0.25">
      <c r="A167" s="1">
        <v>46176</v>
      </c>
      <c r="B167" t="s">
        <v>4</v>
      </c>
      <c r="C167" t="s">
        <v>86</v>
      </c>
      <c r="D167">
        <v>13</v>
      </c>
    </row>
    <row r="168" spans="1:4" x14ac:dyDescent="0.25">
      <c r="A168" s="1">
        <v>46176</v>
      </c>
      <c r="B168" t="s">
        <v>4</v>
      </c>
      <c r="C168" t="s">
        <v>88</v>
      </c>
      <c r="D168">
        <v>16</v>
      </c>
    </row>
    <row r="169" spans="1:4" x14ac:dyDescent="0.25">
      <c r="A169" s="1">
        <v>46176</v>
      </c>
      <c r="B169" t="s">
        <v>4</v>
      </c>
      <c r="C169" t="s">
        <v>90</v>
      </c>
      <c r="D169">
        <v>10</v>
      </c>
    </row>
    <row r="170" spans="1:4" x14ac:dyDescent="0.25">
      <c r="A170" s="1">
        <v>46176</v>
      </c>
      <c r="B170" t="s">
        <v>4</v>
      </c>
      <c r="C170" t="s">
        <v>92</v>
      </c>
      <c r="D170">
        <v>14</v>
      </c>
    </row>
    <row r="171" spans="1:4" x14ac:dyDescent="0.25">
      <c r="A171" s="1">
        <v>46176</v>
      </c>
      <c r="B171" t="s">
        <v>4</v>
      </c>
      <c r="C171" t="s">
        <v>94</v>
      </c>
      <c r="D171">
        <v>11</v>
      </c>
    </row>
    <row r="172" spans="1:4" x14ac:dyDescent="0.25">
      <c r="A172" s="1">
        <v>46176</v>
      </c>
      <c r="B172" t="s">
        <v>4</v>
      </c>
      <c r="C172" t="s">
        <v>96</v>
      </c>
      <c r="D172">
        <v>10</v>
      </c>
    </row>
    <row r="173" spans="1:4" x14ac:dyDescent="0.25">
      <c r="A173" s="1">
        <v>46176</v>
      </c>
      <c r="B173" t="s">
        <v>4</v>
      </c>
      <c r="C173" t="s">
        <v>98</v>
      </c>
      <c r="D173">
        <v>10</v>
      </c>
    </row>
    <row r="174" spans="1:4" x14ac:dyDescent="0.25">
      <c r="A174" s="1">
        <v>46176</v>
      </c>
      <c r="B174" t="s">
        <v>4</v>
      </c>
      <c r="C174" t="s">
        <v>100</v>
      </c>
      <c r="D174">
        <v>10</v>
      </c>
    </row>
    <row r="175" spans="1:4" x14ac:dyDescent="0.25">
      <c r="A175" s="1">
        <v>46176</v>
      </c>
      <c r="B175" t="s">
        <v>4</v>
      </c>
      <c r="C175" t="s">
        <v>102</v>
      </c>
      <c r="D175">
        <v>14</v>
      </c>
    </row>
    <row r="176" spans="1:4" x14ac:dyDescent="0.25">
      <c r="A176" s="1">
        <v>46176</v>
      </c>
      <c r="B176" t="s">
        <v>4</v>
      </c>
      <c r="C176" t="s">
        <v>104</v>
      </c>
      <c r="D176">
        <v>10</v>
      </c>
    </row>
    <row r="177" spans="1:4" x14ac:dyDescent="0.25">
      <c r="A177" s="1">
        <v>46176</v>
      </c>
      <c r="B177" t="s">
        <v>4</v>
      </c>
      <c r="C177" t="s">
        <v>106</v>
      </c>
      <c r="D177">
        <v>10</v>
      </c>
    </row>
    <row r="178" spans="1:4" x14ac:dyDescent="0.25">
      <c r="A178" s="1">
        <v>46176</v>
      </c>
      <c r="B178" t="s">
        <v>4</v>
      </c>
      <c r="C178" t="s">
        <v>108</v>
      </c>
      <c r="D178">
        <v>10</v>
      </c>
    </row>
    <row r="179" spans="1:4" x14ac:dyDescent="0.25">
      <c r="A179" s="1">
        <v>46176</v>
      </c>
      <c r="B179" t="s">
        <v>4</v>
      </c>
      <c r="C179" t="s">
        <v>110</v>
      </c>
      <c r="D179">
        <v>10</v>
      </c>
    </row>
    <row r="180" spans="1:4" x14ac:dyDescent="0.25">
      <c r="A180" s="1">
        <v>46176</v>
      </c>
      <c r="B180" t="s">
        <v>4</v>
      </c>
      <c r="C180" t="s">
        <v>112</v>
      </c>
      <c r="D180">
        <v>10</v>
      </c>
    </row>
    <row r="181" spans="1:4" x14ac:dyDescent="0.25">
      <c r="A181" s="1">
        <v>46176</v>
      </c>
      <c r="B181" t="s">
        <v>4</v>
      </c>
      <c r="C181" t="s">
        <v>114</v>
      </c>
      <c r="D181">
        <v>10</v>
      </c>
    </row>
    <row r="182" spans="1:4" x14ac:dyDescent="0.25">
      <c r="A182" s="1">
        <v>46176</v>
      </c>
      <c r="B182" t="s">
        <v>4</v>
      </c>
      <c r="C182" t="s">
        <v>116</v>
      </c>
      <c r="D182">
        <v>10</v>
      </c>
    </row>
    <row r="183" spans="1:4" x14ac:dyDescent="0.25">
      <c r="A183" s="1">
        <v>46176</v>
      </c>
      <c r="B183" t="s">
        <v>4</v>
      </c>
      <c r="C183" t="s">
        <v>118</v>
      </c>
      <c r="D183">
        <v>10</v>
      </c>
    </row>
    <row r="184" spans="1:4" x14ac:dyDescent="0.25">
      <c r="A184" s="1">
        <v>46176</v>
      </c>
      <c r="B184" t="s">
        <v>4</v>
      </c>
      <c r="C184" t="s">
        <v>120</v>
      </c>
      <c r="D184">
        <v>10</v>
      </c>
    </row>
    <row r="185" spans="1:4" x14ac:dyDescent="0.25">
      <c r="A185" s="1">
        <v>46176</v>
      </c>
      <c r="B185" t="s">
        <v>4</v>
      </c>
      <c r="C185" t="s">
        <v>122</v>
      </c>
      <c r="D185">
        <v>10</v>
      </c>
    </row>
    <row r="186" spans="1:4" x14ac:dyDescent="0.25">
      <c r="A186" s="1">
        <v>46183</v>
      </c>
      <c r="B186" t="s">
        <v>0</v>
      </c>
      <c r="C186" t="s">
        <v>32</v>
      </c>
      <c r="D186">
        <v>217</v>
      </c>
    </row>
    <row r="187" spans="1:4" x14ac:dyDescent="0.25">
      <c r="A187" s="1">
        <v>46183</v>
      </c>
      <c r="B187" t="s">
        <v>1</v>
      </c>
      <c r="C187" t="s">
        <v>34</v>
      </c>
      <c r="D187">
        <v>10</v>
      </c>
    </row>
    <row r="188" spans="1:4" x14ac:dyDescent="0.25">
      <c r="A188" s="1">
        <v>46183</v>
      </c>
      <c r="B188" t="s">
        <v>1</v>
      </c>
      <c r="C188" t="s">
        <v>36</v>
      </c>
      <c r="D188">
        <v>45</v>
      </c>
    </row>
    <row r="189" spans="1:4" x14ac:dyDescent="0.25">
      <c r="A189" s="1">
        <v>46183</v>
      </c>
      <c r="B189" t="s">
        <v>1</v>
      </c>
      <c r="C189" t="s">
        <v>38</v>
      </c>
      <c r="D189">
        <v>50</v>
      </c>
    </row>
    <row r="190" spans="1:4" x14ac:dyDescent="0.25">
      <c r="A190" s="1">
        <v>46183</v>
      </c>
      <c r="B190" t="s">
        <v>1</v>
      </c>
      <c r="C190" t="s">
        <v>40</v>
      </c>
      <c r="D190">
        <v>43</v>
      </c>
    </row>
    <row r="191" spans="1:4" x14ac:dyDescent="0.25">
      <c r="A191" s="1">
        <v>46183</v>
      </c>
      <c r="B191" t="s">
        <v>1</v>
      </c>
      <c r="C191" t="s">
        <v>42</v>
      </c>
      <c r="D191">
        <v>40</v>
      </c>
    </row>
    <row r="192" spans="1:4" x14ac:dyDescent="0.25">
      <c r="A192" s="1">
        <v>46183</v>
      </c>
      <c r="B192" t="s">
        <v>1</v>
      </c>
      <c r="C192" t="s">
        <v>44</v>
      </c>
      <c r="D192">
        <v>39</v>
      </c>
    </row>
    <row r="193" spans="1:4" x14ac:dyDescent="0.25">
      <c r="A193" s="1">
        <v>46183</v>
      </c>
      <c r="B193" t="s">
        <v>1</v>
      </c>
      <c r="C193" t="s">
        <v>46</v>
      </c>
      <c r="D193">
        <v>36</v>
      </c>
    </row>
    <row r="194" spans="1:4" x14ac:dyDescent="0.25">
      <c r="A194" s="1">
        <v>46183</v>
      </c>
      <c r="B194" t="s">
        <v>1</v>
      </c>
      <c r="C194" t="s">
        <v>48</v>
      </c>
      <c r="D194">
        <v>40</v>
      </c>
    </row>
    <row r="195" spans="1:4" x14ac:dyDescent="0.25">
      <c r="A195" s="1">
        <v>46183</v>
      </c>
      <c r="B195" t="s">
        <v>1</v>
      </c>
      <c r="C195" t="s">
        <v>50</v>
      </c>
      <c r="D195">
        <v>28</v>
      </c>
    </row>
    <row r="196" spans="1:4" x14ac:dyDescent="0.25">
      <c r="A196" s="1">
        <v>46183</v>
      </c>
      <c r="B196" t="s">
        <v>2</v>
      </c>
      <c r="C196" t="s">
        <v>52</v>
      </c>
      <c r="D196">
        <v>32</v>
      </c>
    </row>
    <row r="197" spans="1:4" x14ac:dyDescent="0.25">
      <c r="A197" s="1">
        <v>46183</v>
      </c>
      <c r="B197" t="s">
        <v>2</v>
      </c>
      <c r="C197" t="s">
        <v>54</v>
      </c>
      <c r="D197">
        <v>31</v>
      </c>
    </row>
    <row r="198" spans="1:4" x14ac:dyDescent="0.25">
      <c r="A198" s="1">
        <v>46183</v>
      </c>
      <c r="B198" t="s">
        <v>2</v>
      </c>
      <c r="C198" t="s">
        <v>56</v>
      </c>
      <c r="D198">
        <v>40</v>
      </c>
    </row>
    <row r="199" spans="1:4" x14ac:dyDescent="0.25">
      <c r="A199" s="1">
        <v>46183</v>
      </c>
      <c r="B199" t="s">
        <v>2</v>
      </c>
      <c r="C199" t="s">
        <v>58</v>
      </c>
      <c r="D199">
        <v>35</v>
      </c>
    </row>
    <row r="200" spans="1:4" x14ac:dyDescent="0.25">
      <c r="A200" s="1">
        <v>46183</v>
      </c>
      <c r="B200" t="s">
        <v>2</v>
      </c>
      <c r="C200" t="s">
        <v>60</v>
      </c>
      <c r="D200">
        <v>34</v>
      </c>
    </row>
    <row r="201" spans="1:4" x14ac:dyDescent="0.25">
      <c r="A201" s="1">
        <v>46183</v>
      </c>
      <c r="B201" t="s">
        <v>2</v>
      </c>
      <c r="C201" t="s">
        <v>62</v>
      </c>
      <c r="D201">
        <v>42</v>
      </c>
    </row>
    <row r="202" spans="1:4" x14ac:dyDescent="0.25">
      <c r="A202" s="1">
        <v>46183</v>
      </c>
      <c r="B202" t="s">
        <v>2</v>
      </c>
      <c r="C202" t="s">
        <v>64</v>
      </c>
      <c r="D202">
        <v>38</v>
      </c>
    </row>
    <row r="203" spans="1:4" x14ac:dyDescent="0.25">
      <c r="A203" s="1">
        <v>46183</v>
      </c>
      <c r="B203" t="s">
        <v>2</v>
      </c>
      <c r="C203" t="s">
        <v>66</v>
      </c>
      <c r="D203">
        <v>33</v>
      </c>
    </row>
    <row r="204" spans="1:4" x14ac:dyDescent="0.25">
      <c r="A204" s="1">
        <v>46183</v>
      </c>
      <c r="B204" t="s">
        <v>2</v>
      </c>
      <c r="C204" t="s">
        <v>68</v>
      </c>
      <c r="D204">
        <v>37</v>
      </c>
    </row>
    <row r="205" spans="1:4" x14ac:dyDescent="0.25">
      <c r="A205" s="1">
        <v>46183</v>
      </c>
      <c r="B205" t="s">
        <v>2</v>
      </c>
      <c r="C205" t="s">
        <v>70</v>
      </c>
      <c r="D205">
        <v>37</v>
      </c>
    </row>
    <row r="206" spans="1:4" x14ac:dyDescent="0.25">
      <c r="A206" s="1">
        <v>46183</v>
      </c>
      <c r="B206" t="s">
        <v>2</v>
      </c>
      <c r="C206" t="s">
        <v>72</v>
      </c>
      <c r="D206">
        <v>32</v>
      </c>
    </row>
    <row r="207" spans="1:4" x14ac:dyDescent="0.25">
      <c r="A207" s="1">
        <v>46183</v>
      </c>
      <c r="B207" t="s">
        <v>2</v>
      </c>
      <c r="C207" t="s">
        <v>74</v>
      </c>
      <c r="D207">
        <v>31</v>
      </c>
    </row>
    <row r="208" spans="1:4" x14ac:dyDescent="0.25">
      <c r="A208" s="1">
        <v>46183</v>
      </c>
      <c r="B208" t="s">
        <v>2</v>
      </c>
      <c r="C208" t="s">
        <v>76</v>
      </c>
      <c r="D208">
        <v>32</v>
      </c>
    </row>
    <row r="209" spans="1:4" x14ac:dyDescent="0.25">
      <c r="A209" s="1">
        <v>46183</v>
      </c>
      <c r="B209" t="s">
        <v>2</v>
      </c>
      <c r="C209" t="s">
        <v>78</v>
      </c>
      <c r="D209">
        <v>32</v>
      </c>
    </row>
    <row r="210" spans="1:4" x14ac:dyDescent="0.25">
      <c r="A210" s="1">
        <v>46183</v>
      </c>
      <c r="B210" t="s">
        <v>2</v>
      </c>
      <c r="C210" t="s">
        <v>80</v>
      </c>
      <c r="D210">
        <v>30</v>
      </c>
    </row>
    <row r="211" spans="1:4" x14ac:dyDescent="0.25">
      <c r="A211" s="1">
        <v>46183</v>
      </c>
      <c r="B211" t="s">
        <v>13</v>
      </c>
      <c r="C211" t="s">
        <v>82</v>
      </c>
      <c r="D211">
        <v>39</v>
      </c>
    </row>
    <row r="212" spans="1:4" x14ac:dyDescent="0.25">
      <c r="A212" s="1">
        <v>46183</v>
      </c>
      <c r="B212" t="s">
        <v>3</v>
      </c>
      <c r="C212" t="s">
        <v>84</v>
      </c>
      <c r="D212">
        <v>25</v>
      </c>
    </row>
    <row r="213" spans="1:4" x14ac:dyDescent="0.25">
      <c r="A213" s="1">
        <v>46183</v>
      </c>
      <c r="B213" t="s">
        <v>4</v>
      </c>
      <c r="C213" t="s">
        <v>86</v>
      </c>
      <c r="D213">
        <v>13</v>
      </c>
    </row>
    <row r="214" spans="1:4" x14ac:dyDescent="0.25">
      <c r="A214" s="1">
        <v>46183</v>
      </c>
      <c r="B214" t="s">
        <v>4</v>
      </c>
      <c r="C214" t="s">
        <v>88</v>
      </c>
      <c r="D214">
        <v>16</v>
      </c>
    </row>
    <row r="215" spans="1:4" x14ac:dyDescent="0.25">
      <c r="A215" s="1">
        <v>46183</v>
      </c>
      <c r="B215" t="s">
        <v>4</v>
      </c>
      <c r="C215" t="s">
        <v>90</v>
      </c>
      <c r="D215">
        <v>10</v>
      </c>
    </row>
    <row r="216" spans="1:4" x14ac:dyDescent="0.25">
      <c r="A216" s="1">
        <v>46183</v>
      </c>
      <c r="B216" t="s">
        <v>4</v>
      </c>
      <c r="C216" t="s">
        <v>92</v>
      </c>
      <c r="D216">
        <v>14</v>
      </c>
    </row>
    <row r="217" spans="1:4" x14ac:dyDescent="0.25">
      <c r="A217" s="1">
        <v>46183</v>
      </c>
      <c r="B217" t="s">
        <v>4</v>
      </c>
      <c r="C217" t="s">
        <v>94</v>
      </c>
      <c r="D217">
        <v>11</v>
      </c>
    </row>
    <row r="218" spans="1:4" x14ac:dyDescent="0.25">
      <c r="A218" s="1">
        <v>46183</v>
      </c>
      <c r="B218" t="s">
        <v>4</v>
      </c>
      <c r="C218" t="s">
        <v>96</v>
      </c>
      <c r="D218">
        <v>10</v>
      </c>
    </row>
    <row r="219" spans="1:4" x14ac:dyDescent="0.25">
      <c r="A219" s="1">
        <v>46183</v>
      </c>
      <c r="B219" t="s">
        <v>4</v>
      </c>
      <c r="C219" t="s">
        <v>98</v>
      </c>
      <c r="D219">
        <v>10</v>
      </c>
    </row>
    <row r="220" spans="1:4" x14ac:dyDescent="0.25">
      <c r="A220" s="1">
        <v>46183</v>
      </c>
      <c r="B220" t="s">
        <v>4</v>
      </c>
      <c r="C220" t="s">
        <v>100</v>
      </c>
      <c r="D220">
        <v>10</v>
      </c>
    </row>
    <row r="221" spans="1:4" x14ac:dyDescent="0.25">
      <c r="A221" s="1">
        <v>46183</v>
      </c>
      <c r="B221" t="s">
        <v>4</v>
      </c>
      <c r="C221" t="s">
        <v>102</v>
      </c>
      <c r="D221">
        <v>14</v>
      </c>
    </row>
    <row r="222" spans="1:4" x14ac:dyDescent="0.25">
      <c r="A222" s="1">
        <v>46183</v>
      </c>
      <c r="B222" t="s">
        <v>4</v>
      </c>
      <c r="C222" t="s">
        <v>104</v>
      </c>
      <c r="D222">
        <v>10</v>
      </c>
    </row>
    <row r="223" spans="1:4" x14ac:dyDescent="0.25">
      <c r="A223" s="1">
        <v>46183</v>
      </c>
      <c r="B223" t="s">
        <v>4</v>
      </c>
      <c r="C223" t="s">
        <v>106</v>
      </c>
      <c r="D223">
        <v>10</v>
      </c>
    </row>
    <row r="224" spans="1:4" x14ac:dyDescent="0.25">
      <c r="A224" s="1">
        <v>46183</v>
      </c>
      <c r="B224" t="s">
        <v>4</v>
      </c>
      <c r="C224" t="s">
        <v>108</v>
      </c>
      <c r="D224">
        <v>10</v>
      </c>
    </row>
    <row r="225" spans="1:4" x14ac:dyDescent="0.25">
      <c r="A225" s="1">
        <v>46183</v>
      </c>
      <c r="B225" t="s">
        <v>4</v>
      </c>
      <c r="C225" t="s">
        <v>110</v>
      </c>
      <c r="D225">
        <v>10</v>
      </c>
    </row>
    <row r="226" spans="1:4" x14ac:dyDescent="0.25">
      <c r="A226" s="1">
        <v>46183</v>
      </c>
      <c r="B226" t="s">
        <v>4</v>
      </c>
      <c r="C226" t="s">
        <v>112</v>
      </c>
      <c r="D226">
        <v>10</v>
      </c>
    </row>
    <row r="227" spans="1:4" x14ac:dyDescent="0.25">
      <c r="A227" s="1">
        <v>46183</v>
      </c>
      <c r="B227" t="s">
        <v>4</v>
      </c>
      <c r="C227" t="s">
        <v>114</v>
      </c>
      <c r="D227">
        <v>10</v>
      </c>
    </row>
    <row r="228" spans="1:4" x14ac:dyDescent="0.25">
      <c r="A228" s="1">
        <v>46183</v>
      </c>
      <c r="B228" t="s">
        <v>4</v>
      </c>
      <c r="C228" t="s">
        <v>116</v>
      </c>
      <c r="D228">
        <v>10</v>
      </c>
    </row>
    <row r="229" spans="1:4" x14ac:dyDescent="0.25">
      <c r="A229" s="1">
        <v>46183</v>
      </c>
      <c r="B229" t="s">
        <v>4</v>
      </c>
      <c r="C229" t="s">
        <v>118</v>
      </c>
      <c r="D229">
        <v>10</v>
      </c>
    </row>
    <row r="230" spans="1:4" x14ac:dyDescent="0.25">
      <c r="A230" s="1">
        <v>46183</v>
      </c>
      <c r="B230" t="s">
        <v>4</v>
      </c>
      <c r="C230" t="s">
        <v>120</v>
      </c>
      <c r="D230">
        <v>10</v>
      </c>
    </row>
    <row r="231" spans="1:4" x14ac:dyDescent="0.25">
      <c r="A231" s="1">
        <v>46183</v>
      </c>
      <c r="B231" t="s">
        <v>4</v>
      </c>
      <c r="C231" t="s">
        <v>122</v>
      </c>
      <c r="D231">
        <v>10</v>
      </c>
    </row>
    <row r="232" spans="1:4" x14ac:dyDescent="0.25">
      <c r="A232" s="1">
        <v>46190</v>
      </c>
      <c r="B232" t="s">
        <v>0</v>
      </c>
      <c r="C232" t="s">
        <v>32</v>
      </c>
      <c r="D232">
        <v>219</v>
      </c>
    </row>
    <row r="233" spans="1:4" x14ac:dyDescent="0.25">
      <c r="A233" s="1">
        <v>46190</v>
      </c>
      <c r="B233" t="s">
        <v>1</v>
      </c>
      <c r="C233" t="s">
        <v>34</v>
      </c>
      <c r="D233">
        <v>40</v>
      </c>
    </row>
    <row r="234" spans="1:4" x14ac:dyDescent="0.25">
      <c r="A234" s="1">
        <v>46190</v>
      </c>
      <c r="B234" t="s">
        <v>1</v>
      </c>
      <c r="C234" t="s">
        <v>36</v>
      </c>
      <c r="D234">
        <v>45</v>
      </c>
    </row>
    <row r="235" spans="1:4" x14ac:dyDescent="0.25">
      <c r="A235" s="1">
        <v>46190</v>
      </c>
      <c r="B235" t="s">
        <v>1</v>
      </c>
      <c r="C235" t="s">
        <v>38</v>
      </c>
      <c r="D235">
        <v>50</v>
      </c>
    </row>
    <row r="236" spans="1:4" x14ac:dyDescent="0.25">
      <c r="A236" s="1">
        <v>46190</v>
      </c>
      <c r="B236" t="s">
        <v>1</v>
      </c>
      <c r="C236" t="s">
        <v>40</v>
      </c>
      <c r="D236">
        <v>43</v>
      </c>
    </row>
    <row r="237" spans="1:4" x14ac:dyDescent="0.25">
      <c r="A237" s="1">
        <v>46190</v>
      </c>
      <c r="B237" t="s">
        <v>1</v>
      </c>
      <c r="C237" t="s">
        <v>42</v>
      </c>
      <c r="D237">
        <v>40</v>
      </c>
    </row>
    <row r="238" spans="1:4" x14ac:dyDescent="0.25">
      <c r="A238" s="1">
        <v>46190</v>
      </c>
      <c r="B238" t="s">
        <v>1</v>
      </c>
      <c r="C238" t="s">
        <v>44</v>
      </c>
      <c r="D238">
        <v>39</v>
      </c>
    </row>
    <row r="239" spans="1:4" x14ac:dyDescent="0.25">
      <c r="A239" s="1">
        <v>46190</v>
      </c>
      <c r="B239" t="s">
        <v>1</v>
      </c>
      <c r="C239" t="s">
        <v>46</v>
      </c>
      <c r="D239">
        <v>36</v>
      </c>
    </row>
    <row r="240" spans="1:4" x14ac:dyDescent="0.25">
      <c r="A240" s="1">
        <v>46190</v>
      </c>
      <c r="B240" t="s">
        <v>1</v>
      </c>
      <c r="C240" t="s">
        <v>48</v>
      </c>
      <c r="D240">
        <v>40</v>
      </c>
    </row>
    <row r="241" spans="1:4" x14ac:dyDescent="0.25">
      <c r="A241" s="1">
        <v>46190</v>
      </c>
      <c r="B241" t="s">
        <v>1</v>
      </c>
      <c r="C241" t="s">
        <v>50</v>
      </c>
      <c r="D241">
        <v>28</v>
      </c>
    </row>
    <row r="242" spans="1:4" x14ac:dyDescent="0.25">
      <c r="A242" s="1">
        <v>46190</v>
      </c>
      <c r="B242" t="s">
        <v>2</v>
      </c>
      <c r="C242" t="s">
        <v>52</v>
      </c>
      <c r="D242">
        <v>32</v>
      </c>
    </row>
    <row r="243" spans="1:4" x14ac:dyDescent="0.25">
      <c r="A243" s="1">
        <v>46190</v>
      </c>
      <c r="B243" t="s">
        <v>2</v>
      </c>
      <c r="C243" t="s">
        <v>54</v>
      </c>
      <c r="D243">
        <v>31</v>
      </c>
    </row>
    <row r="244" spans="1:4" x14ac:dyDescent="0.25">
      <c r="A244" s="1">
        <v>46190</v>
      </c>
      <c r="B244" t="s">
        <v>2</v>
      </c>
      <c r="C244" t="s">
        <v>56</v>
      </c>
      <c r="D244">
        <v>40</v>
      </c>
    </row>
    <row r="245" spans="1:4" x14ac:dyDescent="0.25">
      <c r="A245" s="1">
        <v>46190</v>
      </c>
      <c r="B245" t="s">
        <v>2</v>
      </c>
      <c r="C245" t="s">
        <v>58</v>
      </c>
      <c r="D245">
        <v>35</v>
      </c>
    </row>
    <row r="246" spans="1:4" x14ac:dyDescent="0.25">
      <c r="A246" s="1">
        <v>46190</v>
      </c>
      <c r="B246" t="s">
        <v>2</v>
      </c>
      <c r="C246" t="s">
        <v>60</v>
      </c>
      <c r="D246">
        <v>34</v>
      </c>
    </row>
    <row r="247" spans="1:4" x14ac:dyDescent="0.25">
      <c r="A247" s="1">
        <v>46190</v>
      </c>
      <c r="B247" t="s">
        <v>2</v>
      </c>
      <c r="C247" t="s">
        <v>62</v>
      </c>
      <c r="D247">
        <v>43</v>
      </c>
    </row>
    <row r="248" spans="1:4" x14ac:dyDescent="0.25">
      <c r="A248" s="1">
        <v>46190</v>
      </c>
      <c r="B248" t="s">
        <v>2</v>
      </c>
      <c r="C248" t="s">
        <v>64</v>
      </c>
      <c r="D248">
        <v>38</v>
      </c>
    </row>
    <row r="249" spans="1:4" x14ac:dyDescent="0.25">
      <c r="A249" s="1">
        <v>46190</v>
      </c>
      <c r="B249" t="s">
        <v>2</v>
      </c>
      <c r="C249" t="s">
        <v>66</v>
      </c>
      <c r="D249">
        <v>33</v>
      </c>
    </row>
    <row r="250" spans="1:4" x14ac:dyDescent="0.25">
      <c r="A250" s="1">
        <v>46190</v>
      </c>
      <c r="B250" t="s">
        <v>2</v>
      </c>
      <c r="C250" t="s">
        <v>68</v>
      </c>
      <c r="D250">
        <v>37</v>
      </c>
    </row>
    <row r="251" spans="1:4" x14ac:dyDescent="0.25">
      <c r="A251" s="1">
        <v>46190</v>
      </c>
      <c r="B251" t="s">
        <v>2</v>
      </c>
      <c r="C251" t="s">
        <v>70</v>
      </c>
      <c r="D251">
        <v>37</v>
      </c>
    </row>
    <row r="252" spans="1:4" x14ac:dyDescent="0.25">
      <c r="A252" s="1">
        <v>46190</v>
      </c>
      <c r="B252" t="s">
        <v>2</v>
      </c>
      <c r="C252" t="s">
        <v>72</v>
      </c>
      <c r="D252">
        <v>32</v>
      </c>
    </row>
    <row r="253" spans="1:4" x14ac:dyDescent="0.25">
      <c r="A253" s="1">
        <v>46190</v>
      </c>
      <c r="B253" t="s">
        <v>2</v>
      </c>
      <c r="C253" t="s">
        <v>74</v>
      </c>
      <c r="D253">
        <v>32</v>
      </c>
    </row>
    <row r="254" spans="1:4" x14ac:dyDescent="0.25">
      <c r="A254" s="1">
        <v>46190</v>
      </c>
      <c r="B254" t="s">
        <v>2</v>
      </c>
      <c r="C254" t="s">
        <v>76</v>
      </c>
      <c r="D254">
        <v>31</v>
      </c>
    </row>
    <row r="255" spans="1:4" x14ac:dyDescent="0.25">
      <c r="A255" s="1">
        <v>46190</v>
      </c>
      <c r="B255" t="s">
        <v>2</v>
      </c>
      <c r="C255" t="s">
        <v>78</v>
      </c>
      <c r="D255">
        <v>32</v>
      </c>
    </row>
    <row r="256" spans="1:4" x14ac:dyDescent="0.25">
      <c r="A256" s="1">
        <v>46190</v>
      </c>
      <c r="B256" t="s">
        <v>2</v>
      </c>
      <c r="C256" t="s">
        <v>80</v>
      </c>
      <c r="D256">
        <v>30</v>
      </c>
    </row>
    <row r="257" spans="1:4" x14ac:dyDescent="0.25">
      <c r="A257" s="1">
        <v>46190</v>
      </c>
      <c r="B257" t="s">
        <v>13</v>
      </c>
      <c r="C257" t="s">
        <v>82</v>
      </c>
      <c r="D257">
        <v>39</v>
      </c>
    </row>
    <row r="258" spans="1:4" x14ac:dyDescent="0.25">
      <c r="A258" s="1">
        <v>46190</v>
      </c>
      <c r="B258" t="s">
        <v>3</v>
      </c>
      <c r="C258" t="s">
        <v>84</v>
      </c>
      <c r="D258">
        <v>25</v>
      </c>
    </row>
    <row r="259" spans="1:4" x14ac:dyDescent="0.25">
      <c r="A259" s="1">
        <v>46190</v>
      </c>
      <c r="B259" t="s">
        <v>4</v>
      </c>
      <c r="C259" t="s">
        <v>86</v>
      </c>
      <c r="D259">
        <v>13</v>
      </c>
    </row>
    <row r="260" spans="1:4" x14ac:dyDescent="0.25">
      <c r="A260" s="1">
        <v>46190</v>
      </c>
      <c r="B260" t="s">
        <v>4</v>
      </c>
      <c r="C260" t="s">
        <v>88</v>
      </c>
      <c r="D260">
        <v>16</v>
      </c>
    </row>
    <row r="261" spans="1:4" x14ac:dyDescent="0.25">
      <c r="A261" s="1">
        <v>46190</v>
      </c>
      <c r="B261" t="s">
        <v>4</v>
      </c>
      <c r="C261" t="s">
        <v>90</v>
      </c>
      <c r="D261">
        <v>10</v>
      </c>
    </row>
    <row r="262" spans="1:4" x14ac:dyDescent="0.25">
      <c r="A262" s="1">
        <v>46190</v>
      </c>
      <c r="B262" t="s">
        <v>4</v>
      </c>
      <c r="C262" t="s">
        <v>92</v>
      </c>
      <c r="D262">
        <v>14</v>
      </c>
    </row>
    <row r="263" spans="1:4" x14ac:dyDescent="0.25">
      <c r="A263" s="1">
        <v>46190</v>
      </c>
      <c r="B263" t="s">
        <v>4</v>
      </c>
      <c r="C263" t="s">
        <v>94</v>
      </c>
      <c r="D263">
        <v>11</v>
      </c>
    </row>
    <row r="264" spans="1:4" x14ac:dyDescent="0.25">
      <c r="A264" s="1">
        <v>46190</v>
      </c>
      <c r="B264" t="s">
        <v>4</v>
      </c>
      <c r="C264" t="s">
        <v>96</v>
      </c>
      <c r="D264">
        <v>10</v>
      </c>
    </row>
    <row r="265" spans="1:4" x14ac:dyDescent="0.25">
      <c r="A265" s="1">
        <v>46190</v>
      </c>
      <c r="B265" t="s">
        <v>4</v>
      </c>
      <c r="C265" t="s">
        <v>98</v>
      </c>
      <c r="D265">
        <v>10</v>
      </c>
    </row>
    <row r="266" spans="1:4" x14ac:dyDescent="0.25">
      <c r="A266" s="1">
        <v>46190</v>
      </c>
      <c r="B266" t="s">
        <v>4</v>
      </c>
      <c r="C266" t="s">
        <v>100</v>
      </c>
      <c r="D266">
        <v>10</v>
      </c>
    </row>
    <row r="267" spans="1:4" x14ac:dyDescent="0.25">
      <c r="A267" s="1">
        <v>46190</v>
      </c>
      <c r="B267" t="s">
        <v>4</v>
      </c>
      <c r="C267" t="s">
        <v>102</v>
      </c>
      <c r="D267">
        <v>14</v>
      </c>
    </row>
    <row r="268" spans="1:4" x14ac:dyDescent="0.25">
      <c r="A268" s="1">
        <v>46190</v>
      </c>
      <c r="B268" t="s">
        <v>4</v>
      </c>
      <c r="C268" t="s">
        <v>104</v>
      </c>
      <c r="D268">
        <v>10</v>
      </c>
    </row>
    <row r="269" spans="1:4" x14ac:dyDescent="0.25">
      <c r="A269" s="1">
        <v>46190</v>
      </c>
      <c r="B269" t="s">
        <v>4</v>
      </c>
      <c r="C269" t="s">
        <v>106</v>
      </c>
      <c r="D269">
        <v>10</v>
      </c>
    </row>
    <row r="270" spans="1:4" x14ac:dyDescent="0.25">
      <c r="A270" s="1">
        <v>46190</v>
      </c>
      <c r="B270" t="s">
        <v>4</v>
      </c>
      <c r="C270" t="s">
        <v>108</v>
      </c>
      <c r="D270">
        <v>10</v>
      </c>
    </row>
    <row r="271" spans="1:4" x14ac:dyDescent="0.25">
      <c r="A271" s="1">
        <v>46190</v>
      </c>
      <c r="B271" t="s">
        <v>4</v>
      </c>
      <c r="C271" t="s">
        <v>110</v>
      </c>
      <c r="D271">
        <v>10</v>
      </c>
    </row>
    <row r="272" spans="1:4" x14ac:dyDescent="0.25">
      <c r="A272" s="1">
        <v>46190</v>
      </c>
      <c r="B272" t="s">
        <v>4</v>
      </c>
      <c r="C272" t="s">
        <v>112</v>
      </c>
      <c r="D272">
        <v>10</v>
      </c>
    </row>
    <row r="273" spans="1:4" x14ac:dyDescent="0.25">
      <c r="A273" s="1">
        <v>46190</v>
      </c>
      <c r="B273" t="s">
        <v>4</v>
      </c>
      <c r="C273" t="s">
        <v>114</v>
      </c>
      <c r="D273">
        <v>10</v>
      </c>
    </row>
    <row r="274" spans="1:4" x14ac:dyDescent="0.25">
      <c r="A274" s="1">
        <v>46190</v>
      </c>
      <c r="B274" t="s">
        <v>4</v>
      </c>
      <c r="C274" t="s">
        <v>116</v>
      </c>
      <c r="D274">
        <v>10</v>
      </c>
    </row>
    <row r="275" spans="1:4" x14ac:dyDescent="0.25">
      <c r="A275" s="1">
        <v>46190</v>
      </c>
      <c r="B275" t="s">
        <v>4</v>
      </c>
      <c r="C275" t="s">
        <v>118</v>
      </c>
      <c r="D275">
        <v>10</v>
      </c>
    </row>
    <row r="276" spans="1:4" x14ac:dyDescent="0.25">
      <c r="A276" s="1">
        <v>46190</v>
      </c>
      <c r="B276" t="s">
        <v>4</v>
      </c>
      <c r="C276" t="s">
        <v>120</v>
      </c>
      <c r="D276">
        <v>10</v>
      </c>
    </row>
    <row r="277" spans="1:4" x14ac:dyDescent="0.25">
      <c r="A277" s="1">
        <v>46190</v>
      </c>
      <c r="B277" t="s">
        <v>4</v>
      </c>
      <c r="C277" t="s">
        <v>122</v>
      </c>
      <c r="D277">
        <v>10</v>
      </c>
    </row>
    <row r="278" spans="1:4" x14ac:dyDescent="0.25">
      <c r="A278" s="1">
        <v>46196</v>
      </c>
      <c r="B278" t="s">
        <v>0</v>
      </c>
      <c r="C278" t="s">
        <v>32</v>
      </c>
      <c r="D278">
        <v>220</v>
      </c>
    </row>
    <row r="279" spans="1:4" x14ac:dyDescent="0.25">
      <c r="A279" s="1">
        <v>46196</v>
      </c>
      <c r="B279" t="s">
        <v>1</v>
      </c>
      <c r="C279" t="s">
        <v>34</v>
      </c>
      <c r="D279">
        <v>40</v>
      </c>
    </row>
    <row r="280" spans="1:4" x14ac:dyDescent="0.25">
      <c r="A280" s="1">
        <v>46196</v>
      </c>
      <c r="B280" t="s">
        <v>1</v>
      </c>
      <c r="C280" t="s">
        <v>36</v>
      </c>
      <c r="D280">
        <v>45</v>
      </c>
    </row>
    <row r="281" spans="1:4" x14ac:dyDescent="0.25">
      <c r="A281" s="1">
        <v>46196</v>
      </c>
      <c r="B281" t="s">
        <v>1</v>
      </c>
      <c r="C281" t="s">
        <v>38</v>
      </c>
      <c r="D281">
        <v>50</v>
      </c>
    </row>
    <row r="282" spans="1:4" x14ac:dyDescent="0.25">
      <c r="A282" s="1">
        <v>46196</v>
      </c>
      <c r="B282" t="s">
        <v>1</v>
      </c>
      <c r="C282" t="s">
        <v>40</v>
      </c>
      <c r="D282">
        <v>43</v>
      </c>
    </row>
    <row r="283" spans="1:4" x14ac:dyDescent="0.25">
      <c r="A283" s="1">
        <v>46196</v>
      </c>
      <c r="B283" t="s">
        <v>1</v>
      </c>
      <c r="C283" t="s">
        <v>42</v>
      </c>
      <c r="D283">
        <v>41</v>
      </c>
    </row>
    <row r="284" spans="1:4" x14ac:dyDescent="0.25">
      <c r="A284" s="1">
        <v>46196</v>
      </c>
      <c r="B284" t="s">
        <v>1</v>
      </c>
      <c r="C284" t="s">
        <v>44</v>
      </c>
      <c r="D284">
        <v>39</v>
      </c>
    </row>
    <row r="285" spans="1:4" x14ac:dyDescent="0.25">
      <c r="A285" s="1">
        <v>46196</v>
      </c>
      <c r="B285" t="s">
        <v>1</v>
      </c>
      <c r="C285" t="s">
        <v>46</v>
      </c>
      <c r="D285">
        <v>36</v>
      </c>
    </row>
    <row r="286" spans="1:4" x14ac:dyDescent="0.25">
      <c r="A286" s="1">
        <v>46196</v>
      </c>
      <c r="B286" t="s">
        <v>1</v>
      </c>
      <c r="C286" t="s">
        <v>48</v>
      </c>
      <c r="D286">
        <v>40</v>
      </c>
    </row>
    <row r="287" spans="1:4" x14ac:dyDescent="0.25">
      <c r="A287" s="1">
        <v>46196</v>
      </c>
      <c r="B287" t="s">
        <v>1</v>
      </c>
      <c r="C287" t="s">
        <v>50</v>
      </c>
      <c r="D287">
        <v>28</v>
      </c>
    </row>
    <row r="288" spans="1:4" x14ac:dyDescent="0.25">
      <c r="A288" s="1">
        <v>46196</v>
      </c>
      <c r="B288" t="s">
        <v>2</v>
      </c>
      <c r="C288" t="s">
        <v>52</v>
      </c>
      <c r="D288">
        <v>33</v>
      </c>
    </row>
    <row r="289" spans="1:4" x14ac:dyDescent="0.25">
      <c r="A289" s="1">
        <v>46196</v>
      </c>
      <c r="B289" t="s">
        <v>2</v>
      </c>
      <c r="C289" t="s">
        <v>54</v>
      </c>
      <c r="D289">
        <v>32</v>
      </c>
    </row>
    <row r="290" spans="1:4" x14ac:dyDescent="0.25">
      <c r="A290" s="1">
        <v>46196</v>
      </c>
      <c r="B290" t="s">
        <v>2</v>
      </c>
      <c r="C290" t="s">
        <v>56</v>
      </c>
      <c r="D290">
        <v>41</v>
      </c>
    </row>
    <row r="291" spans="1:4" x14ac:dyDescent="0.25">
      <c r="A291" s="1">
        <v>46196</v>
      </c>
      <c r="B291" t="s">
        <v>2</v>
      </c>
      <c r="C291" t="s">
        <v>58</v>
      </c>
      <c r="D291">
        <v>36</v>
      </c>
    </row>
    <row r="292" spans="1:4" x14ac:dyDescent="0.25">
      <c r="A292" s="1">
        <v>46196</v>
      </c>
      <c r="B292" t="s">
        <v>2</v>
      </c>
      <c r="C292" t="s">
        <v>60</v>
      </c>
      <c r="D292">
        <v>35</v>
      </c>
    </row>
    <row r="293" spans="1:4" x14ac:dyDescent="0.25">
      <c r="A293" s="1">
        <v>46196</v>
      </c>
      <c r="B293" t="s">
        <v>2</v>
      </c>
      <c r="C293" t="s">
        <v>62</v>
      </c>
      <c r="D293">
        <v>45</v>
      </c>
    </row>
    <row r="294" spans="1:4" x14ac:dyDescent="0.25">
      <c r="A294" s="1">
        <v>46196</v>
      </c>
      <c r="B294" t="s">
        <v>2</v>
      </c>
      <c r="C294" t="s">
        <v>64</v>
      </c>
      <c r="D294">
        <v>39</v>
      </c>
    </row>
    <row r="295" spans="1:4" x14ac:dyDescent="0.25">
      <c r="A295" s="1">
        <v>46196</v>
      </c>
      <c r="B295" t="s">
        <v>2</v>
      </c>
      <c r="C295" t="s">
        <v>66</v>
      </c>
      <c r="D295">
        <v>34</v>
      </c>
    </row>
    <row r="296" spans="1:4" x14ac:dyDescent="0.25">
      <c r="A296" s="1">
        <v>46196</v>
      </c>
      <c r="B296" t="s">
        <v>2</v>
      </c>
      <c r="C296" t="s">
        <v>68</v>
      </c>
      <c r="D296">
        <v>38</v>
      </c>
    </row>
    <row r="297" spans="1:4" x14ac:dyDescent="0.25">
      <c r="A297" s="1">
        <v>46196</v>
      </c>
      <c r="B297" t="s">
        <v>2</v>
      </c>
      <c r="C297" t="s">
        <v>70</v>
      </c>
      <c r="D297">
        <v>38</v>
      </c>
    </row>
    <row r="298" spans="1:4" x14ac:dyDescent="0.25">
      <c r="A298" s="1">
        <v>46196</v>
      </c>
      <c r="B298" t="s">
        <v>2</v>
      </c>
      <c r="C298" t="s">
        <v>72</v>
      </c>
      <c r="D298">
        <v>33</v>
      </c>
    </row>
    <row r="299" spans="1:4" x14ac:dyDescent="0.25">
      <c r="A299" s="1">
        <v>46196</v>
      </c>
      <c r="B299" t="s">
        <v>2</v>
      </c>
      <c r="C299" t="s">
        <v>74</v>
      </c>
      <c r="D299">
        <v>33</v>
      </c>
    </row>
    <row r="300" spans="1:4" x14ac:dyDescent="0.25">
      <c r="A300" s="1">
        <v>46196</v>
      </c>
      <c r="B300" t="s">
        <v>2</v>
      </c>
      <c r="C300" t="s">
        <v>76</v>
      </c>
      <c r="D300">
        <v>32</v>
      </c>
    </row>
    <row r="301" spans="1:4" x14ac:dyDescent="0.25">
      <c r="A301" s="1">
        <v>46196</v>
      </c>
      <c r="B301" t="s">
        <v>2</v>
      </c>
      <c r="C301" t="s">
        <v>78</v>
      </c>
      <c r="D301">
        <v>33</v>
      </c>
    </row>
    <row r="302" spans="1:4" x14ac:dyDescent="0.25">
      <c r="A302" s="1">
        <v>46196</v>
      </c>
      <c r="B302" t="s">
        <v>2</v>
      </c>
      <c r="C302" t="s">
        <v>80</v>
      </c>
      <c r="D302">
        <v>31</v>
      </c>
    </row>
    <row r="303" spans="1:4" x14ac:dyDescent="0.25">
      <c r="A303" s="1">
        <v>46196</v>
      </c>
      <c r="B303" t="s">
        <v>13</v>
      </c>
      <c r="C303" t="s">
        <v>82</v>
      </c>
      <c r="D303">
        <v>39</v>
      </c>
    </row>
    <row r="304" spans="1:4" x14ac:dyDescent="0.25">
      <c r="A304" s="1">
        <v>46196</v>
      </c>
      <c r="B304" t="s">
        <v>3</v>
      </c>
      <c r="C304" t="s">
        <v>84</v>
      </c>
      <c r="D304">
        <v>25</v>
      </c>
    </row>
    <row r="305" spans="1:4" x14ac:dyDescent="0.25">
      <c r="A305" s="1">
        <v>46196</v>
      </c>
      <c r="B305" t="s">
        <v>4</v>
      </c>
      <c r="C305" t="s">
        <v>86</v>
      </c>
      <c r="D305">
        <v>13</v>
      </c>
    </row>
    <row r="306" spans="1:4" x14ac:dyDescent="0.25">
      <c r="A306" s="1">
        <v>46196</v>
      </c>
      <c r="B306" t="s">
        <v>4</v>
      </c>
      <c r="C306" t="s">
        <v>88</v>
      </c>
      <c r="D306">
        <v>16</v>
      </c>
    </row>
    <row r="307" spans="1:4" x14ac:dyDescent="0.25">
      <c r="A307" s="1">
        <v>46196</v>
      </c>
      <c r="B307" t="s">
        <v>4</v>
      </c>
      <c r="C307" t="s">
        <v>90</v>
      </c>
      <c r="D307">
        <v>10</v>
      </c>
    </row>
    <row r="308" spans="1:4" x14ac:dyDescent="0.25">
      <c r="A308" s="1">
        <v>46196</v>
      </c>
      <c r="B308" t="s">
        <v>4</v>
      </c>
      <c r="C308" t="s">
        <v>92</v>
      </c>
      <c r="D308">
        <v>14</v>
      </c>
    </row>
    <row r="309" spans="1:4" x14ac:dyDescent="0.25">
      <c r="A309" s="1">
        <v>46196</v>
      </c>
      <c r="B309" t="s">
        <v>4</v>
      </c>
      <c r="C309" t="s">
        <v>94</v>
      </c>
      <c r="D309">
        <v>11</v>
      </c>
    </row>
    <row r="310" spans="1:4" x14ac:dyDescent="0.25">
      <c r="A310" s="1">
        <v>46196</v>
      </c>
      <c r="B310" t="s">
        <v>4</v>
      </c>
      <c r="C310" t="s">
        <v>96</v>
      </c>
      <c r="D310">
        <v>10</v>
      </c>
    </row>
    <row r="311" spans="1:4" x14ac:dyDescent="0.25">
      <c r="A311" s="1">
        <v>46196</v>
      </c>
      <c r="B311" t="s">
        <v>4</v>
      </c>
      <c r="C311" t="s">
        <v>98</v>
      </c>
      <c r="D311">
        <v>10</v>
      </c>
    </row>
    <row r="312" spans="1:4" x14ac:dyDescent="0.25">
      <c r="A312" s="1">
        <v>46196</v>
      </c>
      <c r="B312" t="s">
        <v>4</v>
      </c>
      <c r="C312" t="s">
        <v>100</v>
      </c>
      <c r="D312">
        <v>10</v>
      </c>
    </row>
    <row r="313" spans="1:4" x14ac:dyDescent="0.25">
      <c r="A313" s="1">
        <v>46196</v>
      </c>
      <c r="B313" t="s">
        <v>4</v>
      </c>
      <c r="C313" t="s">
        <v>102</v>
      </c>
      <c r="D313">
        <v>14</v>
      </c>
    </row>
    <row r="314" spans="1:4" x14ac:dyDescent="0.25">
      <c r="A314" s="1">
        <v>46196</v>
      </c>
      <c r="B314" t="s">
        <v>4</v>
      </c>
      <c r="C314" t="s">
        <v>104</v>
      </c>
      <c r="D314">
        <v>10</v>
      </c>
    </row>
    <row r="315" spans="1:4" x14ac:dyDescent="0.25">
      <c r="A315" s="1">
        <v>46196</v>
      </c>
      <c r="B315" t="s">
        <v>4</v>
      </c>
      <c r="C315" t="s">
        <v>106</v>
      </c>
      <c r="D315">
        <v>10</v>
      </c>
    </row>
    <row r="316" spans="1:4" x14ac:dyDescent="0.25">
      <c r="A316" s="1">
        <v>46196</v>
      </c>
      <c r="B316" t="s">
        <v>4</v>
      </c>
      <c r="C316" t="s">
        <v>108</v>
      </c>
      <c r="D316">
        <v>10</v>
      </c>
    </row>
    <row r="317" spans="1:4" x14ac:dyDescent="0.25">
      <c r="A317" s="1">
        <v>46196</v>
      </c>
      <c r="B317" t="s">
        <v>4</v>
      </c>
      <c r="C317" t="s">
        <v>110</v>
      </c>
      <c r="D317">
        <v>10</v>
      </c>
    </row>
    <row r="318" spans="1:4" x14ac:dyDescent="0.25">
      <c r="A318" s="1">
        <v>46196</v>
      </c>
      <c r="B318" t="s">
        <v>4</v>
      </c>
      <c r="C318" t="s">
        <v>112</v>
      </c>
      <c r="D318">
        <v>10</v>
      </c>
    </row>
    <row r="319" spans="1:4" x14ac:dyDescent="0.25">
      <c r="A319" s="1">
        <v>46196</v>
      </c>
      <c r="B319" t="s">
        <v>4</v>
      </c>
      <c r="C319" t="s">
        <v>114</v>
      </c>
      <c r="D319">
        <v>10</v>
      </c>
    </row>
    <row r="320" spans="1:4" x14ac:dyDescent="0.25">
      <c r="A320" s="1">
        <v>46196</v>
      </c>
      <c r="B320" t="s">
        <v>4</v>
      </c>
      <c r="C320" t="s">
        <v>116</v>
      </c>
      <c r="D320">
        <v>10</v>
      </c>
    </row>
    <row r="321" spans="1:4" x14ac:dyDescent="0.25">
      <c r="A321" s="1">
        <v>46196</v>
      </c>
      <c r="B321" t="s">
        <v>4</v>
      </c>
      <c r="C321" t="s">
        <v>118</v>
      </c>
      <c r="D321">
        <v>10</v>
      </c>
    </row>
    <row r="322" spans="1:4" x14ac:dyDescent="0.25">
      <c r="A322" s="1">
        <v>46196</v>
      </c>
      <c r="B322" t="s">
        <v>4</v>
      </c>
      <c r="C322" t="s">
        <v>120</v>
      </c>
      <c r="D322">
        <v>10</v>
      </c>
    </row>
    <row r="323" spans="1:4" x14ac:dyDescent="0.25">
      <c r="A323" s="1">
        <v>46196</v>
      </c>
      <c r="B323" t="s">
        <v>4</v>
      </c>
      <c r="C323" t="s">
        <v>122</v>
      </c>
      <c r="D323">
        <v>10</v>
      </c>
    </row>
    <row r="324" spans="1:4" x14ac:dyDescent="0.25">
      <c r="A324" s="1">
        <v>46267</v>
      </c>
      <c r="B324" t="s">
        <v>0</v>
      </c>
      <c r="C324" t="s">
        <v>32</v>
      </c>
      <c r="D324">
        <v>225</v>
      </c>
    </row>
    <row r="325" spans="1:4" x14ac:dyDescent="0.25">
      <c r="A325" s="1">
        <v>46267</v>
      </c>
      <c r="B325" t="s">
        <v>1</v>
      </c>
      <c r="C325" t="s">
        <v>34</v>
      </c>
      <c r="D325">
        <v>41</v>
      </c>
    </row>
    <row r="326" spans="1:4" x14ac:dyDescent="0.25">
      <c r="A326" s="1">
        <v>46267</v>
      </c>
      <c r="B326" t="s">
        <v>1</v>
      </c>
      <c r="C326" t="s">
        <v>36</v>
      </c>
      <c r="D326">
        <v>46</v>
      </c>
    </row>
    <row r="327" spans="1:4" x14ac:dyDescent="0.25">
      <c r="A327" s="1">
        <v>46267</v>
      </c>
      <c r="B327" t="s">
        <v>1</v>
      </c>
      <c r="C327" t="s">
        <v>38</v>
      </c>
      <c r="D327">
        <v>51</v>
      </c>
    </row>
    <row r="328" spans="1:4" x14ac:dyDescent="0.25">
      <c r="A328" s="1">
        <v>46267</v>
      </c>
      <c r="B328" t="s">
        <v>1</v>
      </c>
      <c r="C328" t="s">
        <v>40</v>
      </c>
      <c r="D328">
        <v>45</v>
      </c>
    </row>
    <row r="329" spans="1:4" x14ac:dyDescent="0.25">
      <c r="A329" s="1">
        <v>46267</v>
      </c>
      <c r="B329" t="s">
        <v>1</v>
      </c>
      <c r="C329" t="s">
        <v>42</v>
      </c>
      <c r="D329">
        <v>42</v>
      </c>
    </row>
    <row r="330" spans="1:4" x14ac:dyDescent="0.25">
      <c r="A330" s="1">
        <v>46267</v>
      </c>
      <c r="B330" t="s">
        <v>1</v>
      </c>
      <c r="C330" t="s">
        <v>44</v>
      </c>
      <c r="D330">
        <v>40</v>
      </c>
    </row>
    <row r="331" spans="1:4" x14ac:dyDescent="0.25">
      <c r="A331" s="1">
        <v>46267</v>
      </c>
      <c r="B331" t="s">
        <v>1</v>
      </c>
      <c r="C331" t="s">
        <v>46</v>
      </c>
      <c r="D331">
        <v>37</v>
      </c>
    </row>
    <row r="332" spans="1:4" x14ac:dyDescent="0.25">
      <c r="A332" s="1">
        <v>46267</v>
      </c>
      <c r="B332" t="s">
        <v>1</v>
      </c>
      <c r="C332" t="s">
        <v>48</v>
      </c>
      <c r="D332">
        <v>41</v>
      </c>
    </row>
    <row r="333" spans="1:4" x14ac:dyDescent="0.25">
      <c r="A333" s="1">
        <v>46267</v>
      </c>
      <c r="B333" t="s">
        <v>1</v>
      </c>
      <c r="C333" t="s">
        <v>50</v>
      </c>
      <c r="D333">
        <v>29</v>
      </c>
    </row>
    <row r="334" spans="1:4" x14ac:dyDescent="0.25">
      <c r="A334" s="1">
        <v>46267</v>
      </c>
      <c r="B334" t="s">
        <v>2</v>
      </c>
      <c r="C334" t="s">
        <v>52</v>
      </c>
      <c r="D334">
        <v>42</v>
      </c>
    </row>
    <row r="335" spans="1:4" x14ac:dyDescent="0.25">
      <c r="A335" s="1">
        <v>46267</v>
      </c>
      <c r="B335" t="s">
        <v>2</v>
      </c>
      <c r="C335" t="s">
        <v>54</v>
      </c>
      <c r="D335">
        <v>41</v>
      </c>
    </row>
    <row r="336" spans="1:4" x14ac:dyDescent="0.25">
      <c r="A336" s="1">
        <v>46267</v>
      </c>
      <c r="B336" t="s">
        <v>2</v>
      </c>
      <c r="C336" t="s">
        <v>56</v>
      </c>
      <c r="D336">
        <v>50</v>
      </c>
    </row>
    <row r="337" spans="1:4" x14ac:dyDescent="0.25">
      <c r="A337" s="1">
        <v>46267</v>
      </c>
      <c r="B337" t="s">
        <v>2</v>
      </c>
      <c r="C337" t="s">
        <v>58</v>
      </c>
      <c r="D337">
        <v>47</v>
      </c>
    </row>
    <row r="338" spans="1:4" x14ac:dyDescent="0.25">
      <c r="A338" s="1">
        <v>46267</v>
      </c>
      <c r="B338" t="s">
        <v>2</v>
      </c>
      <c r="C338" t="s">
        <v>60</v>
      </c>
      <c r="D338">
        <v>46</v>
      </c>
    </row>
    <row r="339" spans="1:4" x14ac:dyDescent="0.25">
      <c r="A339" s="1">
        <v>46267</v>
      </c>
      <c r="B339" t="s">
        <v>2</v>
      </c>
      <c r="C339" t="s">
        <v>62</v>
      </c>
      <c r="D339">
        <v>59</v>
      </c>
    </row>
    <row r="340" spans="1:4" x14ac:dyDescent="0.25">
      <c r="A340" s="1">
        <v>46267</v>
      </c>
      <c r="B340" t="s">
        <v>2</v>
      </c>
      <c r="C340" t="s">
        <v>64</v>
      </c>
      <c r="D340">
        <v>49</v>
      </c>
    </row>
    <row r="341" spans="1:4" x14ac:dyDescent="0.25">
      <c r="A341" s="1">
        <v>46267</v>
      </c>
      <c r="B341" t="s">
        <v>2</v>
      </c>
      <c r="C341" t="s">
        <v>66</v>
      </c>
      <c r="D341">
        <v>47</v>
      </c>
    </row>
    <row r="342" spans="1:4" x14ac:dyDescent="0.25">
      <c r="A342" s="1">
        <v>46267</v>
      </c>
      <c r="B342" t="s">
        <v>2</v>
      </c>
      <c r="C342" t="s">
        <v>68</v>
      </c>
      <c r="D342">
        <v>47</v>
      </c>
    </row>
    <row r="343" spans="1:4" x14ac:dyDescent="0.25">
      <c r="A343" s="1">
        <v>46267</v>
      </c>
      <c r="B343" t="s">
        <v>2</v>
      </c>
      <c r="C343" t="s">
        <v>70</v>
      </c>
      <c r="D343">
        <v>49</v>
      </c>
    </row>
    <row r="344" spans="1:4" x14ac:dyDescent="0.25">
      <c r="A344" s="1">
        <v>46267</v>
      </c>
      <c r="B344" t="s">
        <v>2</v>
      </c>
      <c r="C344" t="s">
        <v>72</v>
      </c>
      <c r="D344">
        <v>42</v>
      </c>
    </row>
    <row r="345" spans="1:4" x14ac:dyDescent="0.25">
      <c r="A345" s="1">
        <v>46267</v>
      </c>
      <c r="B345" t="s">
        <v>2</v>
      </c>
      <c r="C345" t="s">
        <v>74</v>
      </c>
      <c r="D345">
        <v>42</v>
      </c>
    </row>
    <row r="346" spans="1:4" x14ac:dyDescent="0.25">
      <c r="A346" s="1">
        <v>46267</v>
      </c>
      <c r="B346" t="s">
        <v>2</v>
      </c>
      <c r="C346" t="s">
        <v>76</v>
      </c>
      <c r="D346">
        <v>41</v>
      </c>
    </row>
    <row r="347" spans="1:4" x14ac:dyDescent="0.25">
      <c r="A347" s="1">
        <v>46267</v>
      </c>
      <c r="B347" t="s">
        <v>2</v>
      </c>
      <c r="C347" t="s">
        <v>78</v>
      </c>
      <c r="D347">
        <v>42</v>
      </c>
    </row>
    <row r="348" spans="1:4" x14ac:dyDescent="0.25">
      <c r="A348" s="1">
        <v>46267</v>
      </c>
      <c r="B348" t="s">
        <v>2</v>
      </c>
      <c r="C348" t="s">
        <v>80</v>
      </c>
      <c r="D348">
        <v>40</v>
      </c>
    </row>
    <row r="349" spans="1:4" x14ac:dyDescent="0.25">
      <c r="A349" s="1">
        <v>46267</v>
      </c>
      <c r="B349" t="s">
        <v>13</v>
      </c>
      <c r="C349" t="s">
        <v>82</v>
      </c>
      <c r="D349">
        <v>41</v>
      </c>
    </row>
    <row r="350" spans="1:4" x14ac:dyDescent="0.25">
      <c r="A350" s="1">
        <v>46267</v>
      </c>
      <c r="B350" t="s">
        <v>3</v>
      </c>
      <c r="C350" t="s">
        <v>84</v>
      </c>
      <c r="D350">
        <v>31</v>
      </c>
    </row>
    <row r="351" spans="1:4" x14ac:dyDescent="0.25">
      <c r="A351" s="1">
        <v>46267</v>
      </c>
      <c r="B351" t="s">
        <v>4</v>
      </c>
      <c r="C351" t="s">
        <v>86</v>
      </c>
      <c r="D351">
        <v>16</v>
      </c>
    </row>
    <row r="352" spans="1:4" x14ac:dyDescent="0.25">
      <c r="A352" s="1">
        <v>46267</v>
      </c>
      <c r="B352" t="s">
        <v>4</v>
      </c>
      <c r="C352" t="s">
        <v>88</v>
      </c>
      <c r="D352">
        <v>19</v>
      </c>
    </row>
    <row r="353" spans="1:4" x14ac:dyDescent="0.25">
      <c r="A353" s="1">
        <v>46267</v>
      </c>
      <c r="B353" t="s">
        <v>4</v>
      </c>
      <c r="C353" t="s">
        <v>90</v>
      </c>
      <c r="D353">
        <v>13</v>
      </c>
    </row>
    <row r="354" spans="1:4" x14ac:dyDescent="0.25">
      <c r="A354" s="1">
        <v>46267</v>
      </c>
      <c r="B354" t="s">
        <v>4</v>
      </c>
      <c r="C354" t="s">
        <v>92</v>
      </c>
      <c r="D354">
        <v>17</v>
      </c>
    </row>
    <row r="355" spans="1:4" x14ac:dyDescent="0.25">
      <c r="A355" s="1">
        <v>46267</v>
      </c>
      <c r="B355" t="s">
        <v>4</v>
      </c>
      <c r="C355" t="s">
        <v>94</v>
      </c>
      <c r="D355">
        <v>14</v>
      </c>
    </row>
    <row r="356" spans="1:4" x14ac:dyDescent="0.25">
      <c r="A356" s="1">
        <v>46267</v>
      </c>
      <c r="B356" t="s">
        <v>4</v>
      </c>
      <c r="C356" t="s">
        <v>96</v>
      </c>
      <c r="D356">
        <v>13</v>
      </c>
    </row>
    <row r="357" spans="1:4" x14ac:dyDescent="0.25">
      <c r="A357" s="1">
        <v>46267</v>
      </c>
      <c r="B357" t="s">
        <v>4</v>
      </c>
      <c r="C357" t="s">
        <v>98</v>
      </c>
      <c r="D357">
        <v>13</v>
      </c>
    </row>
    <row r="358" spans="1:4" x14ac:dyDescent="0.25">
      <c r="A358" s="1">
        <v>46267</v>
      </c>
      <c r="B358" t="s">
        <v>4</v>
      </c>
      <c r="C358" t="s">
        <v>100</v>
      </c>
      <c r="D358">
        <v>14</v>
      </c>
    </row>
    <row r="359" spans="1:4" x14ac:dyDescent="0.25">
      <c r="A359" s="1">
        <v>46267</v>
      </c>
      <c r="B359" t="s">
        <v>4</v>
      </c>
      <c r="C359" t="s">
        <v>102</v>
      </c>
      <c r="D359">
        <v>17</v>
      </c>
    </row>
    <row r="360" spans="1:4" x14ac:dyDescent="0.25">
      <c r="A360" s="1">
        <v>46267</v>
      </c>
      <c r="B360" t="s">
        <v>4</v>
      </c>
      <c r="C360" t="s">
        <v>104</v>
      </c>
      <c r="D360">
        <v>13</v>
      </c>
    </row>
    <row r="361" spans="1:4" x14ac:dyDescent="0.25">
      <c r="A361" s="1">
        <v>46267</v>
      </c>
      <c r="B361" t="s">
        <v>4</v>
      </c>
      <c r="C361" t="s">
        <v>106</v>
      </c>
      <c r="D361">
        <v>13</v>
      </c>
    </row>
    <row r="362" spans="1:4" x14ac:dyDescent="0.25">
      <c r="A362" s="1">
        <v>46267</v>
      </c>
      <c r="B362" t="s">
        <v>4</v>
      </c>
      <c r="C362" t="s">
        <v>108</v>
      </c>
      <c r="D362">
        <v>13</v>
      </c>
    </row>
    <row r="363" spans="1:4" x14ac:dyDescent="0.25">
      <c r="A363" s="1">
        <v>46267</v>
      </c>
      <c r="B363" t="s">
        <v>4</v>
      </c>
      <c r="C363" t="s">
        <v>110</v>
      </c>
      <c r="D363">
        <v>13</v>
      </c>
    </row>
    <row r="364" spans="1:4" x14ac:dyDescent="0.25">
      <c r="A364" s="1">
        <v>46267</v>
      </c>
      <c r="B364" t="s">
        <v>4</v>
      </c>
      <c r="C364" t="s">
        <v>112</v>
      </c>
      <c r="D364">
        <v>13</v>
      </c>
    </row>
    <row r="365" spans="1:4" x14ac:dyDescent="0.25">
      <c r="A365" s="1">
        <v>46267</v>
      </c>
      <c r="B365" t="s">
        <v>4</v>
      </c>
      <c r="C365" t="s">
        <v>114</v>
      </c>
      <c r="D365">
        <v>13</v>
      </c>
    </row>
    <row r="366" spans="1:4" x14ac:dyDescent="0.25">
      <c r="A366" s="1">
        <v>46267</v>
      </c>
      <c r="B366" t="s">
        <v>4</v>
      </c>
      <c r="C366" t="s">
        <v>116</v>
      </c>
      <c r="D366">
        <v>13</v>
      </c>
    </row>
    <row r="367" spans="1:4" x14ac:dyDescent="0.25">
      <c r="A367" s="1">
        <v>46267</v>
      </c>
      <c r="B367" t="s">
        <v>4</v>
      </c>
      <c r="C367" t="s">
        <v>118</v>
      </c>
      <c r="D367">
        <v>13</v>
      </c>
    </row>
    <row r="368" spans="1:4" x14ac:dyDescent="0.25">
      <c r="A368" s="1">
        <v>46267</v>
      </c>
      <c r="B368" t="s">
        <v>4</v>
      </c>
      <c r="C368" t="s">
        <v>120</v>
      </c>
      <c r="D368">
        <v>13</v>
      </c>
    </row>
    <row r="369" spans="1:4" x14ac:dyDescent="0.25">
      <c r="A369" s="1">
        <v>46267</v>
      </c>
      <c r="B369" t="s">
        <v>4</v>
      </c>
      <c r="C369" t="s">
        <v>122</v>
      </c>
      <c r="D369">
        <v>13</v>
      </c>
    </row>
    <row r="370" spans="1:4" x14ac:dyDescent="0.25">
      <c r="A370" s="1">
        <v>46274</v>
      </c>
      <c r="B370" t="s">
        <v>0</v>
      </c>
      <c r="C370" t="s">
        <v>32</v>
      </c>
      <c r="D370">
        <v>225</v>
      </c>
    </row>
    <row r="371" spans="1:4" x14ac:dyDescent="0.25">
      <c r="A371" s="1">
        <v>46274</v>
      </c>
      <c r="B371" t="s">
        <v>1</v>
      </c>
      <c r="C371" t="s">
        <v>34</v>
      </c>
      <c r="D371">
        <v>41</v>
      </c>
    </row>
    <row r="372" spans="1:4" x14ac:dyDescent="0.25">
      <c r="A372" s="1">
        <v>46274</v>
      </c>
      <c r="B372" t="s">
        <v>1</v>
      </c>
      <c r="C372" t="s">
        <v>36</v>
      </c>
      <c r="D372">
        <v>46</v>
      </c>
    </row>
    <row r="373" spans="1:4" x14ac:dyDescent="0.25">
      <c r="A373" s="1">
        <v>46274</v>
      </c>
      <c r="B373" t="s">
        <v>1</v>
      </c>
      <c r="C373" t="s">
        <v>38</v>
      </c>
      <c r="D373">
        <v>51</v>
      </c>
    </row>
    <row r="374" spans="1:4" x14ac:dyDescent="0.25">
      <c r="A374" s="1">
        <v>46274</v>
      </c>
      <c r="B374" t="s">
        <v>1</v>
      </c>
      <c r="C374" t="s">
        <v>40</v>
      </c>
      <c r="D374">
        <v>45</v>
      </c>
    </row>
    <row r="375" spans="1:4" x14ac:dyDescent="0.25">
      <c r="A375" s="1">
        <v>46274</v>
      </c>
      <c r="B375" t="s">
        <v>1</v>
      </c>
      <c r="C375" t="s">
        <v>42</v>
      </c>
      <c r="D375">
        <v>42</v>
      </c>
    </row>
    <row r="376" spans="1:4" x14ac:dyDescent="0.25">
      <c r="A376" s="1">
        <v>46274</v>
      </c>
      <c r="B376" t="s">
        <v>1</v>
      </c>
      <c r="C376" t="s">
        <v>44</v>
      </c>
      <c r="D376">
        <v>40</v>
      </c>
    </row>
    <row r="377" spans="1:4" x14ac:dyDescent="0.25">
      <c r="A377" s="1">
        <v>46274</v>
      </c>
      <c r="B377" t="s">
        <v>1</v>
      </c>
      <c r="C377" t="s">
        <v>46</v>
      </c>
      <c r="D377">
        <v>37</v>
      </c>
    </row>
    <row r="378" spans="1:4" x14ac:dyDescent="0.25">
      <c r="A378" s="1">
        <v>46274</v>
      </c>
      <c r="B378" t="s">
        <v>1</v>
      </c>
      <c r="C378" t="s">
        <v>48</v>
      </c>
      <c r="D378">
        <v>41</v>
      </c>
    </row>
    <row r="379" spans="1:4" x14ac:dyDescent="0.25">
      <c r="A379" s="1">
        <v>46274</v>
      </c>
      <c r="B379" t="s">
        <v>1</v>
      </c>
      <c r="C379" t="s">
        <v>50</v>
      </c>
      <c r="D379">
        <v>29</v>
      </c>
    </row>
    <row r="380" spans="1:4" x14ac:dyDescent="0.25">
      <c r="A380" s="1">
        <v>46274</v>
      </c>
      <c r="B380" t="s">
        <v>2</v>
      </c>
      <c r="C380" t="s">
        <v>52</v>
      </c>
      <c r="D380">
        <v>42</v>
      </c>
    </row>
    <row r="381" spans="1:4" x14ac:dyDescent="0.25">
      <c r="A381" s="1">
        <v>46274</v>
      </c>
      <c r="B381" t="s">
        <v>2</v>
      </c>
      <c r="C381" t="s">
        <v>54</v>
      </c>
      <c r="D381">
        <v>41</v>
      </c>
    </row>
    <row r="382" spans="1:4" x14ac:dyDescent="0.25">
      <c r="A382" s="1">
        <v>46274</v>
      </c>
      <c r="B382" t="s">
        <v>2</v>
      </c>
      <c r="C382" t="s">
        <v>56</v>
      </c>
      <c r="D382">
        <v>50</v>
      </c>
    </row>
    <row r="383" spans="1:4" x14ac:dyDescent="0.25">
      <c r="A383" s="1">
        <v>46274</v>
      </c>
      <c r="B383" t="s">
        <v>2</v>
      </c>
      <c r="C383" t="s">
        <v>58</v>
      </c>
      <c r="D383">
        <v>47</v>
      </c>
    </row>
    <row r="384" spans="1:4" x14ac:dyDescent="0.25">
      <c r="A384" s="1">
        <v>46274</v>
      </c>
      <c r="B384" t="s">
        <v>2</v>
      </c>
      <c r="C384" t="s">
        <v>60</v>
      </c>
      <c r="D384">
        <v>46</v>
      </c>
    </row>
    <row r="385" spans="1:4" x14ac:dyDescent="0.25">
      <c r="A385" s="1">
        <v>46274</v>
      </c>
      <c r="B385" t="s">
        <v>2</v>
      </c>
      <c r="C385" t="s">
        <v>62</v>
      </c>
      <c r="D385">
        <v>59</v>
      </c>
    </row>
    <row r="386" spans="1:4" x14ac:dyDescent="0.25">
      <c r="A386" s="1">
        <v>46274</v>
      </c>
      <c r="B386" t="s">
        <v>2</v>
      </c>
      <c r="C386" t="s">
        <v>64</v>
      </c>
      <c r="D386">
        <v>49</v>
      </c>
    </row>
    <row r="387" spans="1:4" x14ac:dyDescent="0.25">
      <c r="A387" s="1">
        <v>46274</v>
      </c>
      <c r="B387" t="s">
        <v>2</v>
      </c>
      <c r="C387" t="s">
        <v>66</v>
      </c>
      <c r="D387">
        <v>48</v>
      </c>
    </row>
    <row r="388" spans="1:4" x14ac:dyDescent="0.25">
      <c r="A388" s="1">
        <v>46274</v>
      </c>
      <c r="B388" t="s">
        <v>2</v>
      </c>
      <c r="C388" t="s">
        <v>68</v>
      </c>
      <c r="D388">
        <v>47</v>
      </c>
    </row>
    <row r="389" spans="1:4" x14ac:dyDescent="0.25">
      <c r="A389" s="1">
        <v>46274</v>
      </c>
      <c r="B389" t="s">
        <v>2</v>
      </c>
      <c r="C389" t="s">
        <v>70</v>
      </c>
      <c r="D389">
        <v>49</v>
      </c>
    </row>
    <row r="390" spans="1:4" x14ac:dyDescent="0.25">
      <c r="A390" s="1">
        <v>46274</v>
      </c>
      <c r="B390" t="s">
        <v>2</v>
      </c>
      <c r="C390" t="s">
        <v>72</v>
      </c>
      <c r="D390">
        <v>42</v>
      </c>
    </row>
    <row r="391" spans="1:4" x14ac:dyDescent="0.25">
      <c r="A391" s="1">
        <v>46274</v>
      </c>
      <c r="B391" t="s">
        <v>2</v>
      </c>
      <c r="C391" t="s">
        <v>74</v>
      </c>
      <c r="D391">
        <v>42</v>
      </c>
    </row>
    <row r="392" spans="1:4" x14ac:dyDescent="0.25">
      <c r="A392" s="1">
        <v>46274</v>
      </c>
      <c r="B392" t="s">
        <v>2</v>
      </c>
      <c r="C392" t="s">
        <v>76</v>
      </c>
      <c r="D392">
        <v>41</v>
      </c>
    </row>
    <row r="393" spans="1:4" x14ac:dyDescent="0.25">
      <c r="A393" s="1">
        <v>46274</v>
      </c>
      <c r="B393" t="s">
        <v>2</v>
      </c>
      <c r="C393" t="s">
        <v>78</v>
      </c>
      <c r="D393">
        <v>42</v>
      </c>
    </row>
    <row r="394" spans="1:4" x14ac:dyDescent="0.25">
      <c r="A394" s="1">
        <v>46274</v>
      </c>
      <c r="B394" t="s">
        <v>2</v>
      </c>
      <c r="C394" t="s">
        <v>80</v>
      </c>
      <c r="D394">
        <v>40</v>
      </c>
    </row>
    <row r="395" spans="1:4" x14ac:dyDescent="0.25">
      <c r="A395" s="1">
        <v>46274</v>
      </c>
      <c r="B395" t="s">
        <v>13</v>
      </c>
      <c r="C395" t="s">
        <v>82</v>
      </c>
      <c r="D395">
        <v>42</v>
      </c>
    </row>
    <row r="396" spans="1:4" x14ac:dyDescent="0.25">
      <c r="A396" s="1">
        <v>46274</v>
      </c>
      <c r="B396" t="s">
        <v>3</v>
      </c>
      <c r="C396" t="s">
        <v>84</v>
      </c>
      <c r="D396">
        <v>32</v>
      </c>
    </row>
    <row r="397" spans="1:4" x14ac:dyDescent="0.25">
      <c r="A397" s="1">
        <v>46274</v>
      </c>
      <c r="B397" t="s">
        <v>4</v>
      </c>
      <c r="C397" t="s">
        <v>86</v>
      </c>
      <c r="D397">
        <v>17</v>
      </c>
    </row>
    <row r="398" spans="1:4" x14ac:dyDescent="0.25">
      <c r="A398" s="1">
        <v>46274</v>
      </c>
      <c r="B398" t="s">
        <v>4</v>
      </c>
      <c r="C398" t="s">
        <v>88</v>
      </c>
      <c r="D398">
        <v>20</v>
      </c>
    </row>
    <row r="399" spans="1:4" x14ac:dyDescent="0.25">
      <c r="A399" s="1">
        <v>46274</v>
      </c>
      <c r="B399" t="s">
        <v>4</v>
      </c>
      <c r="C399" t="s">
        <v>90</v>
      </c>
      <c r="D399">
        <v>14</v>
      </c>
    </row>
    <row r="400" spans="1:4" x14ac:dyDescent="0.25">
      <c r="A400" s="1">
        <v>46274</v>
      </c>
      <c r="B400" t="s">
        <v>4</v>
      </c>
      <c r="C400" t="s">
        <v>92</v>
      </c>
      <c r="D400">
        <v>18</v>
      </c>
    </row>
    <row r="401" spans="1:4" x14ac:dyDescent="0.25">
      <c r="A401" s="1">
        <v>46274</v>
      </c>
      <c r="B401" t="s">
        <v>4</v>
      </c>
      <c r="C401" t="s">
        <v>94</v>
      </c>
      <c r="D401">
        <v>15</v>
      </c>
    </row>
    <row r="402" spans="1:4" x14ac:dyDescent="0.25">
      <c r="A402" s="1">
        <v>46274</v>
      </c>
      <c r="B402" t="s">
        <v>4</v>
      </c>
      <c r="C402" t="s">
        <v>96</v>
      </c>
      <c r="D402">
        <v>14</v>
      </c>
    </row>
    <row r="403" spans="1:4" x14ac:dyDescent="0.25">
      <c r="A403" s="1">
        <v>46274</v>
      </c>
      <c r="B403" t="s">
        <v>4</v>
      </c>
      <c r="C403" t="s">
        <v>98</v>
      </c>
      <c r="D403">
        <v>14</v>
      </c>
    </row>
    <row r="404" spans="1:4" x14ac:dyDescent="0.25">
      <c r="A404" s="1">
        <v>46274</v>
      </c>
      <c r="B404" t="s">
        <v>4</v>
      </c>
      <c r="C404" t="s">
        <v>100</v>
      </c>
      <c r="D404">
        <v>15</v>
      </c>
    </row>
    <row r="405" spans="1:4" x14ac:dyDescent="0.25">
      <c r="A405" s="1">
        <v>46274</v>
      </c>
      <c r="B405" t="s">
        <v>4</v>
      </c>
      <c r="C405" t="s">
        <v>102</v>
      </c>
      <c r="D405">
        <v>18</v>
      </c>
    </row>
    <row r="406" spans="1:4" x14ac:dyDescent="0.25">
      <c r="A406" s="1">
        <v>46274</v>
      </c>
      <c r="B406" t="s">
        <v>4</v>
      </c>
      <c r="C406" t="s">
        <v>104</v>
      </c>
      <c r="D406">
        <v>14</v>
      </c>
    </row>
    <row r="407" spans="1:4" x14ac:dyDescent="0.25">
      <c r="A407" s="1">
        <v>46274</v>
      </c>
      <c r="B407" t="s">
        <v>4</v>
      </c>
      <c r="C407" t="s">
        <v>106</v>
      </c>
      <c r="D407">
        <v>14</v>
      </c>
    </row>
    <row r="408" spans="1:4" x14ac:dyDescent="0.25">
      <c r="A408" s="1">
        <v>46274</v>
      </c>
      <c r="B408" t="s">
        <v>4</v>
      </c>
      <c r="C408" t="s">
        <v>108</v>
      </c>
      <c r="D408">
        <v>14</v>
      </c>
    </row>
    <row r="409" spans="1:4" x14ac:dyDescent="0.25">
      <c r="A409" s="1">
        <v>46274</v>
      </c>
      <c r="B409" t="s">
        <v>4</v>
      </c>
      <c r="C409" t="s">
        <v>110</v>
      </c>
      <c r="D409">
        <v>14</v>
      </c>
    </row>
    <row r="410" spans="1:4" x14ac:dyDescent="0.25">
      <c r="A410" s="1">
        <v>46274</v>
      </c>
      <c r="B410" t="s">
        <v>4</v>
      </c>
      <c r="C410" t="s">
        <v>112</v>
      </c>
      <c r="D410">
        <v>14</v>
      </c>
    </row>
    <row r="411" spans="1:4" x14ac:dyDescent="0.25">
      <c r="A411" s="1">
        <v>46274</v>
      </c>
      <c r="B411" t="s">
        <v>4</v>
      </c>
      <c r="C411" t="s">
        <v>114</v>
      </c>
      <c r="D411">
        <v>14</v>
      </c>
    </row>
    <row r="412" spans="1:4" x14ac:dyDescent="0.25">
      <c r="A412" s="1">
        <v>46274</v>
      </c>
      <c r="B412" t="s">
        <v>4</v>
      </c>
      <c r="C412" t="s">
        <v>116</v>
      </c>
      <c r="D412">
        <v>14</v>
      </c>
    </row>
    <row r="413" spans="1:4" x14ac:dyDescent="0.25">
      <c r="A413" s="1">
        <v>46274</v>
      </c>
      <c r="B413" t="s">
        <v>4</v>
      </c>
      <c r="C413" t="s">
        <v>118</v>
      </c>
      <c r="D413">
        <v>14</v>
      </c>
    </row>
    <row r="414" spans="1:4" x14ac:dyDescent="0.25">
      <c r="A414" s="1">
        <v>46274</v>
      </c>
      <c r="B414" t="s">
        <v>4</v>
      </c>
      <c r="C414" t="s">
        <v>120</v>
      </c>
      <c r="D414">
        <v>14</v>
      </c>
    </row>
    <row r="415" spans="1:4" x14ac:dyDescent="0.25">
      <c r="A415" s="1">
        <v>46274</v>
      </c>
      <c r="B415" t="s">
        <v>4</v>
      </c>
      <c r="C415" t="s">
        <v>122</v>
      </c>
      <c r="D415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Inventory</vt:lpstr>
      <vt:lpstr>SubModels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2026-02-11T04:15:18Z</dcterms:created>
  <dcterms:modified xsi:type="dcterms:W3CDTF">2026-09-10T02:25:58Z</dcterms:modified>
</cp:coreProperties>
</file>