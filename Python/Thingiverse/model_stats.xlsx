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17D42A60-37D6-444F-AA94-4E207F978E99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2" i="1" l="1"/>
  <c r="D33" i="1"/>
  <c r="Q33" i="1" s="1"/>
  <c r="D34" i="1"/>
  <c r="P34" i="1" s="1"/>
  <c r="D35" i="1"/>
  <c r="R35" i="1" s="1"/>
  <c r="D36" i="1"/>
  <c r="P36" i="1" s="1"/>
  <c r="D37" i="1"/>
  <c r="P37" i="1" s="1"/>
  <c r="M32" i="1"/>
  <c r="M33" i="1"/>
  <c r="M34" i="1"/>
  <c r="M35" i="1"/>
  <c r="M36" i="1"/>
  <c r="M37" i="1"/>
  <c r="N32" i="1"/>
  <c r="N33" i="1"/>
  <c r="N34" i="1"/>
  <c r="N35" i="1"/>
  <c r="N36" i="1"/>
  <c r="N37" i="1"/>
  <c r="O32" i="1"/>
  <c r="O33" i="1"/>
  <c r="O34" i="1"/>
  <c r="O35" i="1"/>
  <c r="O36" i="1"/>
  <c r="O37" i="1"/>
  <c r="P32" i="1"/>
  <c r="P33" i="1"/>
  <c r="Q32" i="1"/>
  <c r="Q35" i="1"/>
  <c r="Q36" i="1"/>
  <c r="R32" i="1"/>
  <c r="R36" i="1"/>
  <c r="S32" i="1"/>
  <c r="S35" i="1"/>
  <c r="S36" i="1"/>
  <c r="T32" i="1"/>
  <c r="U32" i="1" s="1"/>
  <c r="T33" i="1"/>
  <c r="T34" i="1"/>
  <c r="V34" i="1" s="1"/>
  <c r="T35" i="1"/>
  <c r="U35" i="1" s="1"/>
  <c r="T36" i="1"/>
  <c r="U36" i="1" s="1"/>
  <c r="T37" i="1"/>
  <c r="U37" i="1" s="1"/>
  <c r="D26" i="1"/>
  <c r="D27" i="1"/>
  <c r="D28" i="1"/>
  <c r="D29" i="1"/>
  <c r="D30" i="1"/>
  <c r="D31" i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Q26" i="1"/>
  <c r="Q27" i="1"/>
  <c r="Q28" i="1"/>
  <c r="Q29" i="1"/>
  <c r="Q30" i="1"/>
  <c r="Q31" i="1"/>
  <c r="R26" i="1"/>
  <c r="R27" i="1"/>
  <c r="R28" i="1"/>
  <c r="R29" i="1"/>
  <c r="R30" i="1"/>
  <c r="R31" i="1"/>
  <c r="S26" i="1"/>
  <c r="S27" i="1"/>
  <c r="S28" i="1"/>
  <c r="S29" i="1"/>
  <c r="S30" i="1"/>
  <c r="S31" i="1"/>
  <c r="T26" i="1"/>
  <c r="U26" i="1" s="1"/>
  <c r="T27" i="1"/>
  <c r="V27" i="1" s="1"/>
  <c r="T28" i="1"/>
  <c r="U28" i="1" s="1"/>
  <c r="T29" i="1"/>
  <c r="V29" i="1" s="1"/>
  <c r="T30" i="1"/>
  <c r="V30" i="1" s="1"/>
  <c r="T31" i="1"/>
  <c r="V26" i="1"/>
  <c r="V31" i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V37" i="1" l="1"/>
  <c r="V36" i="1"/>
  <c r="V35" i="1"/>
  <c r="P35" i="1"/>
  <c r="S37" i="1"/>
  <c r="R37" i="1"/>
  <c r="Q37" i="1"/>
  <c r="U34" i="1"/>
  <c r="S34" i="1"/>
  <c r="R34" i="1"/>
  <c r="Q34" i="1"/>
  <c r="U33" i="1"/>
  <c r="S33" i="1"/>
  <c r="R33" i="1"/>
  <c r="V32" i="1"/>
  <c r="V33" i="1"/>
  <c r="U30" i="1"/>
  <c r="U31" i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<sst xmlns="http://schemas.openxmlformats.org/spreadsheetml/2006/main" count="58" uniqueCount="28">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</sst>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37" totalsRowShown="0">
  <autoFilter ref="A1:V37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1">
      <calculatedColumnFormula>Table1[[#This Row],[Date]]-Table1[[#This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dimension ref="A1:W37"/>
  <sheetViews>
    <sheetView tabSelected="1" topLeftCell="A4" workbookViewId="0">
      <selection activeCell="I28" sqref="I28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  <row r="32" spans="1:22" x14ac:dyDescent="0.25">
      <c r="A32" s="1">
        <v>46092</v>
      </c>
      <c r="B32" t="s">
        <v>0</v>
      </c>
      <c r="C32" s="1">
        <v>45784</v>
      </c>
      <c r="D32" s="2">
        <f>Table1[[#This Row],[Date]]-Table1[[#This Row],[Published]]</f>
        <v>308</v>
      </c>
      <c r="E32" s="3">
        <v>713</v>
      </c>
      <c r="F32">
        <v>162</v>
      </c>
      <c r="G32">
        <v>12</v>
      </c>
      <c r="H32">
        <v>5</v>
      </c>
      <c r="I32">
        <v>0</v>
      </c>
      <c r="J32">
        <v>0</v>
      </c>
      <c r="K32">
        <v>0</v>
      </c>
      <c r="L32">
        <v>0</v>
      </c>
      <c r="M32" s="4">
        <f>Table1[[#This Row],[Downloads]]/Table1[[#This Row],[Views]]</f>
        <v>0.22720897615708274</v>
      </c>
      <c r="N32" s="4">
        <f>Table1[[#This Row],[Likes]]/Table1[[#This Row],[Views]]</f>
        <v>1.6830294530154277E-2</v>
      </c>
      <c r="O32" s="4">
        <f>Table1[[#This Row],[Collects]]/Table1[[#This Row],[Views]]</f>
        <v>7.0126227208976155E-3</v>
      </c>
      <c r="P32" s="4">
        <f>Table1[[#This Row],[Views]]/Table1[[#This Row],[Age]]</f>
        <v>2.3149350649350651</v>
      </c>
      <c r="Q32" s="4">
        <f>Table1[[#This Row],[Downloads]]/Table1[[#This Row],[Age]]</f>
        <v>0.52597402597402598</v>
      </c>
      <c r="R32" s="4">
        <f>Table1[[#This Row],[Likes]]/Table1[[#This Row],[Age]]</f>
        <v>3.896103896103896E-2</v>
      </c>
      <c r="S32" s="4">
        <f>Table1[[#This Row],[Collects]]/Table1[[#This Row],[Age]]</f>
        <v>1.6233766233766232E-2</v>
      </c>
      <c r="T32" s="4">
        <f>(4*Table1[[#This Row],[Collects]])+(3*Table1[[#This Row],[Likes]])+(2*Table1[[#This Row],[Downloads]])+Table1[[#This Row],[Views]]</f>
        <v>1093</v>
      </c>
      <c r="U32" s="4">
        <f>Table1[[#This Row],[Score]]/Table1[[#This Row],[Age]]</f>
        <v>3.5487012987012987</v>
      </c>
      <c r="V32" s="4">
        <f>Table1[[#This Row],[Score]]/Table1[[#This Row],[Views]]</f>
        <v>1.5329593267882189</v>
      </c>
    </row>
    <row r="33" spans="1:22" x14ac:dyDescent="0.25">
      <c r="A33" s="1">
        <v>46092</v>
      </c>
      <c r="B33" t="s">
        <v>1</v>
      </c>
      <c r="C33" s="1">
        <v>45785</v>
      </c>
      <c r="D33" s="2">
        <f>Table1[[#This Row],[Date]]-Table1[[#This Row],[Published]]</f>
        <v>307</v>
      </c>
      <c r="E33" s="3">
        <v>341</v>
      </c>
      <c r="F33">
        <v>96</v>
      </c>
      <c r="G33">
        <v>5</v>
      </c>
      <c r="H33">
        <v>1</v>
      </c>
      <c r="I33">
        <v>0</v>
      </c>
      <c r="J33">
        <v>0</v>
      </c>
      <c r="K33">
        <v>0</v>
      </c>
      <c r="L33">
        <v>0</v>
      </c>
      <c r="M33" s="4">
        <f>Table1[[#This Row],[Downloads]]/Table1[[#This Row],[Views]]</f>
        <v>0.28152492668621704</v>
      </c>
      <c r="N33" s="4">
        <f>Table1[[#This Row],[Likes]]/Table1[[#This Row],[Views]]</f>
        <v>1.466275659824047E-2</v>
      </c>
      <c r="O33" s="4">
        <f>Table1[[#This Row],[Collects]]/Table1[[#This Row],[Views]]</f>
        <v>2.9325513196480938E-3</v>
      </c>
      <c r="P33" s="4">
        <f>Table1[[#This Row],[Views]]/Table1[[#This Row],[Age]]</f>
        <v>1.1107491856677525</v>
      </c>
      <c r="Q33" s="4">
        <f>Table1[[#This Row],[Downloads]]/Table1[[#This Row],[Age]]</f>
        <v>0.31270358306188922</v>
      </c>
      <c r="R33" s="4">
        <f>Table1[[#This Row],[Likes]]/Table1[[#This Row],[Age]]</f>
        <v>1.6286644951140065E-2</v>
      </c>
      <c r="S33" s="4">
        <f>Table1[[#This Row],[Collects]]/Table1[[#This Row],[Age]]</f>
        <v>3.2573289902280132E-3</v>
      </c>
      <c r="T33" s="4">
        <f>(4*Table1[[#This Row],[Collects]])+(3*Table1[[#This Row],[Likes]])+(2*Table1[[#This Row],[Downloads]])+Table1[[#This Row],[Views]]</f>
        <v>552</v>
      </c>
      <c r="U33" s="4">
        <f>Table1[[#This Row],[Score]]/Table1[[#This Row],[Age]]</f>
        <v>1.7980456026058631</v>
      </c>
      <c r="V33" s="4">
        <f>Table1[[#This Row],[Score]]/Table1[[#This Row],[Views]]</f>
        <v>1.6187683284457477</v>
      </c>
    </row>
    <row r="34" spans="1:22" x14ac:dyDescent="0.25">
      <c r="A34" s="1">
        <v>46092</v>
      </c>
      <c r="B34" t="s">
        <v>2</v>
      </c>
      <c r="C34" s="1">
        <v>45930</v>
      </c>
      <c r="D34" s="2">
        <f>Table1[[#This Row],[Date]]-Table1[[#This Row],[Published]]</f>
        <v>162</v>
      </c>
      <c r="E34" s="3">
        <v>242</v>
      </c>
      <c r="F34">
        <v>102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 s="4">
        <f>Table1[[#This Row],[Downloads]]/Table1[[#This Row],[Views]]</f>
        <v>0.42148760330578511</v>
      </c>
      <c r="N34" s="4">
        <f>Table1[[#This Row],[Likes]]/Table1[[#This Row],[Views]]</f>
        <v>2.0661157024793389E-2</v>
      </c>
      <c r="O34" s="4">
        <f>Table1[[#This Row],[Collects]]/Table1[[#This Row],[Views]]</f>
        <v>0</v>
      </c>
      <c r="P34" s="4">
        <f>Table1[[#This Row],[Views]]/Table1[[#This Row],[Age]]</f>
        <v>1.4938271604938271</v>
      </c>
      <c r="Q34" s="4">
        <f>Table1[[#This Row],[Downloads]]/Table1[[#This Row],[Age]]</f>
        <v>0.62962962962962965</v>
      </c>
      <c r="R34" s="4">
        <f>Table1[[#This Row],[Likes]]/Table1[[#This Row],[Age]]</f>
        <v>3.0864197530864196E-2</v>
      </c>
      <c r="S34" s="4">
        <f>Table1[[#This Row],[Collects]]/Table1[[#This Row],[Age]]</f>
        <v>0</v>
      </c>
      <c r="T34" s="4">
        <f>(4*Table1[[#This Row],[Collects]])+(3*Table1[[#This Row],[Likes]])+(2*Table1[[#This Row],[Downloads]])+Table1[[#This Row],[Views]]</f>
        <v>461</v>
      </c>
      <c r="U34" s="4">
        <f>Table1[[#This Row],[Score]]/Table1[[#This Row],[Age]]</f>
        <v>2.8456790123456792</v>
      </c>
      <c r="V34" s="4">
        <f>Table1[[#This Row],[Score]]/Table1[[#This Row],[Views]]</f>
        <v>1.9049586776859504</v>
      </c>
    </row>
    <row r="35" spans="1:22" x14ac:dyDescent="0.25">
      <c r="A35" s="1">
        <v>46092</v>
      </c>
      <c r="B35" t="s">
        <v>13</v>
      </c>
      <c r="C35" s="1">
        <v>45750</v>
      </c>
      <c r="D35" s="2">
        <f>Table1[[#This Row],[Date]]-Table1[[#This Row],[Published]]</f>
        <v>342</v>
      </c>
      <c r="E35" s="3">
        <v>168</v>
      </c>
      <c r="F35">
        <v>31</v>
      </c>
      <c r="G35">
        <v>3</v>
      </c>
      <c r="H35">
        <v>2</v>
      </c>
      <c r="I35">
        <v>0</v>
      </c>
      <c r="J35">
        <v>0</v>
      </c>
      <c r="K35">
        <v>0</v>
      </c>
      <c r="L35">
        <v>0</v>
      </c>
      <c r="M35" s="4">
        <f>Table1[[#This Row],[Downloads]]/Table1[[#This Row],[Views]]</f>
        <v>0.18452380952380953</v>
      </c>
      <c r="N35" s="4">
        <f>Table1[[#This Row],[Likes]]/Table1[[#This Row],[Views]]</f>
        <v>1.7857142857142856E-2</v>
      </c>
      <c r="O35" s="4">
        <f>Table1[[#This Row],[Collects]]/Table1[[#This Row],[Views]]</f>
        <v>1.1904761904761904E-2</v>
      </c>
      <c r="P35" s="4">
        <f>Table1[[#This Row],[Views]]/Table1[[#This Row],[Age]]</f>
        <v>0.49122807017543857</v>
      </c>
      <c r="Q35" s="4">
        <f>Table1[[#This Row],[Downloads]]/Table1[[#This Row],[Age]]</f>
        <v>9.0643274853801165E-2</v>
      </c>
      <c r="R35" s="4">
        <f>Table1[[#This Row],[Likes]]/Table1[[#This Row],[Age]]</f>
        <v>8.771929824561403E-3</v>
      </c>
      <c r="S35" s="4">
        <f>Table1[[#This Row],[Collects]]/Table1[[#This Row],[Age]]</f>
        <v>5.8479532163742687E-3</v>
      </c>
      <c r="T35" s="4">
        <f>(4*Table1[[#This Row],[Collects]])+(3*Table1[[#This Row],[Likes]])+(2*Table1[[#This Row],[Downloads]])+Table1[[#This Row],[Views]]</f>
        <v>247</v>
      </c>
      <c r="U35" s="4">
        <f>Table1[[#This Row],[Score]]/Table1[[#This Row],[Age]]</f>
        <v>0.72222222222222221</v>
      </c>
      <c r="V35" s="4">
        <f>Table1[[#This Row],[Score]]/Table1[[#This Row],[Views]]</f>
        <v>1.4702380952380953</v>
      </c>
    </row>
    <row r="36" spans="1:22" x14ac:dyDescent="0.25">
      <c r="A36" s="1">
        <v>46092</v>
      </c>
      <c r="B36" t="s">
        <v>3</v>
      </c>
      <c r="C36" s="1">
        <v>45932</v>
      </c>
      <c r="D36" s="2">
        <f>Table1[[#This Row],[Date]]-Table1[[#This Row],[Published]]</f>
        <v>160</v>
      </c>
      <c r="E36" s="3">
        <v>126</v>
      </c>
      <c r="F36">
        <v>15</v>
      </c>
      <c r="G36">
        <v>1</v>
      </c>
      <c r="H36">
        <v>1</v>
      </c>
      <c r="I36">
        <v>0</v>
      </c>
      <c r="J36">
        <v>0</v>
      </c>
      <c r="K36">
        <v>0</v>
      </c>
      <c r="L36">
        <v>0</v>
      </c>
      <c r="M36" s="4">
        <f>Table1[[#This Row],[Downloads]]/Table1[[#This Row],[Views]]</f>
        <v>0.11904761904761904</v>
      </c>
      <c r="N36" s="4">
        <f>Table1[[#This Row],[Likes]]/Table1[[#This Row],[Views]]</f>
        <v>7.9365079365079361E-3</v>
      </c>
      <c r="O36" s="4">
        <f>Table1[[#This Row],[Collects]]/Table1[[#This Row],[Views]]</f>
        <v>7.9365079365079361E-3</v>
      </c>
      <c r="P36" s="4">
        <f>Table1[[#This Row],[Views]]/Table1[[#This Row],[Age]]</f>
        <v>0.78749999999999998</v>
      </c>
      <c r="Q36" s="4">
        <f>Table1[[#This Row],[Downloads]]/Table1[[#This Row],[Age]]</f>
        <v>9.375E-2</v>
      </c>
      <c r="R36" s="4">
        <f>Table1[[#This Row],[Likes]]/Table1[[#This Row],[Age]]</f>
        <v>6.2500000000000003E-3</v>
      </c>
      <c r="S36" s="4">
        <f>Table1[[#This Row],[Collects]]/Table1[[#This Row],[Age]]</f>
        <v>6.2500000000000003E-3</v>
      </c>
      <c r="T36" s="4">
        <f>(4*Table1[[#This Row],[Collects]])+(3*Table1[[#This Row],[Likes]])+(2*Table1[[#This Row],[Downloads]])+Table1[[#This Row],[Views]]</f>
        <v>163</v>
      </c>
      <c r="U36" s="4">
        <f>Table1[[#This Row],[Score]]/Table1[[#This Row],[Age]]</f>
        <v>1.01875</v>
      </c>
      <c r="V36" s="4">
        <f>Table1[[#This Row],[Score]]/Table1[[#This Row],[Views]]</f>
        <v>1.2936507936507937</v>
      </c>
    </row>
    <row r="37" spans="1:22" x14ac:dyDescent="0.25">
      <c r="A37" s="1">
        <v>46092</v>
      </c>
      <c r="B37" t="s">
        <v>4</v>
      </c>
      <c r="C37" s="1">
        <v>46034</v>
      </c>
      <c r="D37" s="2">
        <f>Table1[[#This Row],[Date]]-Table1[[#This Row],[Published]]</f>
        <v>58</v>
      </c>
      <c r="E37" s="3">
        <v>99</v>
      </c>
      <c r="F37">
        <v>27</v>
      </c>
      <c r="G37">
        <v>2</v>
      </c>
      <c r="H37">
        <v>0</v>
      </c>
      <c r="I37">
        <v>0</v>
      </c>
      <c r="J37">
        <v>0</v>
      </c>
      <c r="K37">
        <v>0</v>
      </c>
      <c r="L37">
        <v>0</v>
      </c>
      <c r="M37" s="4">
        <f>Table1[[#This Row],[Downloads]]/Table1[[#This Row],[Views]]</f>
        <v>0.27272727272727271</v>
      </c>
      <c r="N37" s="4">
        <f>Table1[[#This Row],[Likes]]/Table1[[#This Row],[Views]]</f>
        <v>2.0202020202020204E-2</v>
      </c>
      <c r="O37" s="4">
        <f>Table1[[#This Row],[Collects]]/Table1[[#This Row],[Views]]</f>
        <v>0</v>
      </c>
      <c r="P37" s="4">
        <f>Table1[[#This Row],[Views]]/Table1[[#This Row],[Age]]</f>
        <v>1.7068965517241379</v>
      </c>
      <c r="Q37" s="4">
        <f>Table1[[#This Row],[Downloads]]/Table1[[#This Row],[Age]]</f>
        <v>0.46551724137931033</v>
      </c>
      <c r="R37" s="4">
        <f>Table1[[#This Row],[Likes]]/Table1[[#This Row],[Age]]</f>
        <v>3.4482758620689655E-2</v>
      </c>
      <c r="S37" s="4">
        <f>Table1[[#This Row],[Collects]]/Table1[[#This Row],[Age]]</f>
        <v>0</v>
      </c>
      <c r="T37" s="4">
        <f>(4*Table1[[#This Row],[Collects]])+(3*Table1[[#This Row],[Likes]])+(2*Table1[[#This Row],[Downloads]])+Table1[[#This Row],[Views]]</f>
        <v>159</v>
      </c>
      <c r="U37" s="4">
        <f>Table1[[#This Row],[Score]]/Table1[[#This Row],[Age]]</f>
        <v>2.7413793103448274</v>
      </c>
      <c r="V37" s="4">
        <f>Table1[[#This Row],[Score]]/Table1[[#This Row],[Views]]</f>
        <v>1.606060606060606</v>
      </c>
    </row>
  </sheetData>
  <conditionalFormatting sqref="C1:D7 D8:E1048576 C8:C3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3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3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3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3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1048576 M1:M3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3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3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3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3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2026-03-16T20:05:12Z</dcterms:modified>
</cp:coreProperties>
</file>