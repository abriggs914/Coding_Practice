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rig\Documents\Coding_Practice\Python\Thingiverse\"/>
    </mc:Choice>
  </mc:AlternateContent>
  <xr:revisionPtr revIDLastSave="0" documentId="13_ncr:1_{96E9C4E2-ABA6-4FBC-85D3-9AA6DE276AC6}" xr6:coauthVersionLast="47" xr6:coauthVersionMax="47" xr10:uidLastSave="{00000000-0000-0000-0000-000000000000}"/>
  <bookViews>
    <workbookView xWindow="-120" yWindow="-120" windowWidth="29040" windowHeight="15840" xr2:uid="{AA65E66E-25AF-41FC-AF3D-E4037625FD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5" i="1" l="1"/>
  <c r="R25" i="1" s="1"/>
  <c r="M25" i="1"/>
  <c r="N25" i="1"/>
  <c r="O25" i="1"/>
  <c r="T25" i="1"/>
  <c r="D24" i="1"/>
  <c r="S24" i="1" s="1"/>
  <c r="M24" i="1"/>
  <c r="N24" i="1"/>
  <c r="O24" i="1"/>
  <c r="T24" i="1"/>
  <c r="D23" i="1"/>
  <c r="R23" i="1" s="1"/>
  <c r="M23" i="1"/>
  <c r="N23" i="1"/>
  <c r="O23" i="1"/>
  <c r="T23" i="1"/>
  <c r="V23" i="1" s="1"/>
  <c r="D22" i="1"/>
  <c r="S22" i="1" s="1"/>
  <c r="M22" i="1"/>
  <c r="N22" i="1"/>
  <c r="O22" i="1"/>
  <c r="T22" i="1"/>
  <c r="V22" i="1" s="1"/>
  <c r="D21" i="1"/>
  <c r="Q21" i="1" s="1"/>
  <c r="M21" i="1"/>
  <c r="N21" i="1"/>
  <c r="O21" i="1"/>
  <c r="T21" i="1"/>
  <c r="D20" i="1"/>
  <c r="P20" i="1" s="1"/>
  <c r="M20" i="1"/>
  <c r="N20" i="1"/>
  <c r="O20" i="1"/>
  <c r="T20" i="1"/>
  <c r="V20" i="1" s="1"/>
  <c r="D2" i="1"/>
  <c r="D3" i="1"/>
  <c r="D4" i="1"/>
  <c r="D5" i="1"/>
  <c r="D6" i="1"/>
  <c r="D7" i="1"/>
  <c r="D8" i="1"/>
  <c r="R8" i="1" s="1"/>
  <c r="D9" i="1"/>
  <c r="S9" i="1" s="1"/>
  <c r="D10" i="1"/>
  <c r="P10" i="1" s="1"/>
  <c r="D11" i="1"/>
  <c r="Q11" i="1" s="1"/>
  <c r="D12" i="1"/>
  <c r="Q12" i="1" s="1"/>
  <c r="D13" i="1"/>
  <c r="P13" i="1" s="1"/>
  <c r="D14" i="1"/>
  <c r="P14" i="1" s="1"/>
  <c r="D15" i="1"/>
  <c r="S15" i="1" s="1"/>
  <c r="D16" i="1"/>
  <c r="D17" i="1"/>
  <c r="P17" i="1" s="1"/>
  <c r="D18" i="1"/>
  <c r="P18" i="1" s="1"/>
  <c r="D19" i="1"/>
  <c r="S19" i="1" s="1"/>
  <c r="M19" i="1"/>
  <c r="N19" i="1"/>
  <c r="O19" i="1"/>
  <c r="T19" i="1"/>
  <c r="V19" i="1" s="1"/>
  <c r="M18" i="1"/>
  <c r="N18" i="1"/>
  <c r="O18" i="1"/>
  <c r="T18" i="1"/>
  <c r="V18" i="1" s="1"/>
  <c r="M17" i="1"/>
  <c r="N17" i="1"/>
  <c r="O17" i="1"/>
  <c r="T17" i="1"/>
  <c r="M16" i="1"/>
  <c r="N16" i="1"/>
  <c r="O16" i="1"/>
  <c r="T16" i="1"/>
  <c r="V16" i="1" s="1"/>
  <c r="M15" i="1"/>
  <c r="N15" i="1"/>
  <c r="O15" i="1"/>
  <c r="T15" i="1"/>
  <c r="M14" i="1"/>
  <c r="N14" i="1"/>
  <c r="O14" i="1"/>
  <c r="T14" i="1"/>
  <c r="V14" i="1" s="1"/>
  <c r="M8" i="1"/>
  <c r="M9" i="1"/>
  <c r="M10" i="1"/>
  <c r="M11" i="1"/>
  <c r="M12" i="1"/>
  <c r="M13" i="1"/>
  <c r="N8" i="1"/>
  <c r="N9" i="1"/>
  <c r="N10" i="1"/>
  <c r="N11" i="1"/>
  <c r="N12" i="1"/>
  <c r="N13" i="1"/>
  <c r="O8" i="1"/>
  <c r="O9" i="1"/>
  <c r="O10" i="1"/>
  <c r="O11" i="1"/>
  <c r="O12" i="1"/>
  <c r="O13" i="1"/>
  <c r="T8" i="1"/>
  <c r="V8" i="1" s="1"/>
  <c r="T9" i="1"/>
  <c r="V9" i="1" s="1"/>
  <c r="T10" i="1"/>
  <c r="V10" i="1" s="1"/>
  <c r="T11" i="1"/>
  <c r="V11" i="1" s="1"/>
  <c r="T12" i="1"/>
  <c r="T13" i="1"/>
  <c r="V13" i="1" s="1"/>
  <c r="U25" i="1" l="1"/>
  <c r="S25" i="1"/>
  <c r="V25" i="1"/>
  <c r="P25" i="1"/>
  <c r="Q25" i="1"/>
  <c r="U24" i="1"/>
  <c r="Q24" i="1"/>
  <c r="S21" i="1"/>
  <c r="S23" i="1"/>
  <c r="V24" i="1"/>
  <c r="P24" i="1"/>
  <c r="R24" i="1"/>
  <c r="U22" i="1"/>
  <c r="U23" i="1"/>
  <c r="R21" i="1"/>
  <c r="Q23" i="1"/>
  <c r="P21" i="1"/>
  <c r="P23" i="1"/>
  <c r="R22" i="1"/>
  <c r="Q22" i="1"/>
  <c r="P22" i="1"/>
  <c r="U21" i="1"/>
  <c r="S20" i="1"/>
  <c r="V21" i="1"/>
  <c r="U16" i="1"/>
  <c r="R20" i="1"/>
  <c r="U20" i="1"/>
  <c r="Q20" i="1"/>
  <c r="P16" i="1"/>
  <c r="U14" i="1"/>
  <c r="U8" i="1"/>
  <c r="U19" i="1"/>
  <c r="U13" i="1"/>
  <c r="U9" i="1"/>
  <c r="U18" i="1"/>
  <c r="U12" i="1"/>
  <c r="U10" i="1"/>
  <c r="U15" i="1"/>
  <c r="U17" i="1"/>
  <c r="U11" i="1"/>
  <c r="R17" i="1"/>
  <c r="R18" i="1"/>
  <c r="R19" i="1"/>
  <c r="Q19" i="1"/>
  <c r="S18" i="1"/>
  <c r="P19" i="1"/>
  <c r="Q18" i="1"/>
  <c r="S14" i="1"/>
  <c r="S16" i="1"/>
  <c r="S17" i="1"/>
  <c r="Q17" i="1"/>
  <c r="V17" i="1"/>
  <c r="R16" i="1"/>
  <c r="Q16" i="1"/>
  <c r="R15" i="1"/>
  <c r="Q14" i="1"/>
  <c r="V15" i="1"/>
  <c r="P15" i="1"/>
  <c r="R14" i="1"/>
  <c r="Q15" i="1"/>
  <c r="P12" i="1"/>
  <c r="R12" i="1"/>
  <c r="P8" i="1"/>
  <c r="V12" i="1"/>
  <c r="S12" i="1"/>
  <c r="P9" i="1"/>
  <c r="S8" i="1"/>
  <c r="R13" i="1"/>
  <c r="Q13" i="1"/>
  <c r="S13" i="1"/>
  <c r="P11" i="1"/>
  <c r="R11" i="1"/>
  <c r="Q9" i="1"/>
  <c r="S11" i="1"/>
  <c r="R9" i="1"/>
  <c r="Q8" i="1"/>
  <c r="S10" i="1"/>
  <c r="R10" i="1"/>
  <c r="Q10" i="1"/>
  <c r="S2" i="1"/>
  <c r="M2" i="1"/>
  <c r="N2" i="1"/>
  <c r="O2" i="1"/>
  <c r="T2" i="1"/>
  <c r="V2" i="1" s="1"/>
  <c r="M3" i="1"/>
  <c r="N3" i="1"/>
  <c r="O3" i="1"/>
  <c r="T3" i="1"/>
  <c r="V3" i="1" s="1"/>
  <c r="M4" i="1"/>
  <c r="N4" i="1"/>
  <c r="O4" i="1"/>
  <c r="T4" i="1"/>
  <c r="M5" i="1"/>
  <c r="N5" i="1"/>
  <c r="O5" i="1"/>
  <c r="T5" i="1"/>
  <c r="V5" i="1" s="1"/>
  <c r="M6" i="1"/>
  <c r="N6" i="1"/>
  <c r="O6" i="1"/>
  <c r="T6" i="1"/>
  <c r="V6" i="1" s="1"/>
  <c r="M7" i="1"/>
  <c r="N7" i="1"/>
  <c r="O7" i="1"/>
  <c r="T7" i="1"/>
  <c r="U5" i="1" l="1"/>
  <c r="S4" i="1"/>
  <c r="U4" i="1"/>
  <c r="R6" i="1"/>
  <c r="U6" i="1"/>
  <c r="Q3" i="1"/>
  <c r="U3" i="1"/>
  <c r="P7" i="1"/>
  <c r="U7" i="1"/>
  <c r="U2" i="1"/>
  <c r="R4" i="1"/>
  <c r="S3" i="1"/>
  <c r="R2" i="1"/>
  <c r="Q4" i="1"/>
  <c r="P4" i="1"/>
  <c r="S7" i="1"/>
  <c r="R3" i="1"/>
  <c r="S6" i="1"/>
  <c r="P3" i="1"/>
  <c r="R7" i="1"/>
  <c r="Q7" i="1"/>
  <c r="P6" i="1"/>
  <c r="V7" i="1"/>
  <c r="Q2" i="1"/>
  <c r="S5" i="1"/>
  <c r="P2" i="1"/>
  <c r="Q5" i="1"/>
  <c r="V4" i="1"/>
  <c r="Q6" i="1"/>
  <c r="P5" i="1"/>
  <c r="R5" i="1"/>
</calcChain>
</file>

<file path=xl/sharedStrings.xml><?xml version="1.0" encoding="utf-8"?>
<sst xmlns="http://schemas.openxmlformats.org/spreadsheetml/2006/main" count="46" uniqueCount="28">
  <si>
    <t>Mammoth</t>
  </si>
  <si>
    <t>PWHL</t>
  </si>
  <si>
    <t>WNBA</t>
  </si>
  <si>
    <t>Poker</t>
  </si>
  <si>
    <t>QMJHL</t>
  </si>
  <si>
    <t>Views</t>
  </si>
  <si>
    <t>Downloads</t>
  </si>
  <si>
    <t>Likes</t>
  </si>
  <si>
    <t>Collects</t>
  </si>
  <si>
    <t>Watches</t>
  </si>
  <si>
    <t>Comments</t>
  </si>
  <si>
    <t>Makes</t>
  </si>
  <si>
    <t>Derivatives</t>
  </si>
  <si>
    <t>Utah</t>
  </si>
  <si>
    <t>Pdownload</t>
  </si>
  <si>
    <t>Plike</t>
  </si>
  <si>
    <t>Pcollect</t>
  </si>
  <si>
    <t>Published</t>
  </si>
  <si>
    <t>Age</t>
  </si>
  <si>
    <t>DailyDownloads</t>
  </si>
  <si>
    <t>DailyLikes</t>
  </si>
  <si>
    <t>DailyCollects</t>
  </si>
  <si>
    <t>DailyViews</t>
  </si>
  <si>
    <t>Score</t>
  </si>
  <si>
    <t>DailyScore</t>
  </si>
  <si>
    <t>ScorePerView</t>
  </si>
  <si>
    <t>Date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</si>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</sst>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CFD035-DF42-4179-A65F-EE1B5D7828A5}" name="Table1" displayName="Table1" ref="A1:V25" totalsRowShown="0">
  <autoFilter ref="A1:V25" xr:uid="{83CFD035-DF42-4179-A65F-EE1B5D7828A5}"/>
  <tableColumns count="22">
    <tableColumn id="22" xr3:uid="{B838C6CD-92E8-4070-81DB-2EDE900509A2}" name="Date"/>
    <tableColumn id="1" xr3:uid="{C06BFB11-D5FB-45F8-853C-B38F6CA36FF6}" name="Model"/>
    <tableColumn id="13" xr3:uid="{AEE26F58-911F-4534-94C6-8FCA31D6F4B1}" name="Published"/>
    <tableColumn id="14" xr3:uid="{11FE9DF7-F747-41F2-BE31-8FAB66C0B838}" name="Age" dataDxfId="11">
      <calculatedColumnFormula>Table1[[#This Row],[Date]]-Table1[[#This Row],[Published]]</calculatedColumnFormula>
    </tableColumn>
    <tableColumn id="2" xr3:uid="{7E393A08-4718-4CB8-8F50-8ACBD51A470F}" name="Views" dataDxfId="10"/>
    <tableColumn id="3" xr3:uid="{AE7E7C79-96E4-4AA4-8ABE-36217F4A6424}" name="Downloads"/>
    <tableColumn id="4" xr3:uid="{CE18BE4D-786A-4C74-B355-10DEBE9AE05E}" name="Likes"/>
    <tableColumn id="5" xr3:uid="{FDBA26F1-3698-43DB-942B-1D299A4F5F85}" name="Collects"/>
    <tableColumn id="6" xr3:uid="{CEC18942-B541-46B6-BA3C-7238DE17EB8F}" name="Watches"/>
    <tableColumn id="7" xr3:uid="{6B33EC49-4483-47AF-BF77-28C0945F956C}" name="Comments"/>
    <tableColumn id="8" xr3:uid="{8A03F31E-D992-4A6A-8C83-45976E1E911E}" name="Makes"/>
    <tableColumn id="9" xr3:uid="{50A57524-FA39-4415-AA51-E48AAD714DFB}" name="Derivatives"/>
    <tableColumn id="10" xr3:uid="{2B3F8FB8-3A77-4903-8157-DF2E632AC885}" name="Pdownload" dataDxfId="9">
      <calculatedColumnFormula>Table1[[#This Row],[Downloads]]/Table1[[#This Row],[Views]]</calculatedColumnFormula>
    </tableColumn>
    <tableColumn id="11" xr3:uid="{4367DED9-9F80-416A-89E4-4D8ABEF630FC}" name="Plike" dataDxfId="8">
      <calculatedColumnFormula>Table1[[#This Row],[Likes]]/Table1[[#This Row],[Views]]</calculatedColumnFormula>
    </tableColumn>
    <tableColumn id="12" xr3:uid="{5A4C3180-1515-416E-8B42-B799EDBB03F7}" name="Pcollect" dataDxfId="7">
      <calculatedColumnFormula>Table1[[#This Row],[Collects]]/Table1[[#This Row],[Views]]</calculatedColumnFormula>
    </tableColumn>
    <tableColumn id="18" xr3:uid="{2ABE97EB-B9BA-49CE-9BEA-121DABE86BAB}" name="DailyViews" dataDxfId="6">
      <calculatedColumnFormula>Table1[[#This Row],[Views]]/Table1[[#This Row],[Age]]</calculatedColumnFormula>
    </tableColumn>
    <tableColumn id="15" xr3:uid="{BE1FE1BE-2BA3-494C-BDA2-F0B3AA590326}" name="DailyDownloads" dataDxfId="5">
      <calculatedColumnFormula>Table1[[#This Row],[Downloads]]/Table1[[#This Row],[Age]]</calculatedColumnFormula>
    </tableColumn>
    <tableColumn id="16" xr3:uid="{630D5AC9-22FD-4648-B35B-8100FA5478DD}" name="DailyLikes" dataDxfId="4">
      <calculatedColumnFormula>Table1[[#This Row],[Likes]]/Table1[[#This Row],[Age]]</calculatedColumnFormula>
    </tableColumn>
    <tableColumn id="17" xr3:uid="{7ED5648F-452B-4C2F-A6CC-579131C7D328}" name="DailyCollects" dataDxfId="3">
      <calculatedColumnFormula>Table1[[#This Row],[Collects]]/Table1[[#This Row],[Age]]</calculatedColumnFormula>
    </tableColumn>
    <tableColumn id="19" xr3:uid="{7038F531-83DC-4B5A-A836-DAB608EB634A}" name="Score" dataDxfId="2">
      <calculatedColumnFormula>(4*Table1[[#This Row],[Collects]])+(3*Table1[[#This Row],[Likes]])+(2*Table1[[#This Row],[Downloads]])+Table1[[#This Row],[Views]]</calculatedColumnFormula>
    </tableColumn>
    <tableColumn id="20" xr3:uid="{C98D09FC-8BDA-4AC8-89C9-828522310B20}" name="DailyScore" dataDxfId="1">
      <calculatedColumnFormula>Table1[[#This Row],[Score]]/Table1[[#This Row],[Age]]</calculatedColumnFormula>
    </tableColumn>
    <tableColumn id="21" xr3:uid="{7EF6F635-AAC4-4060-A16A-A1E4AE39403B}" name="ScorePerView" dataDxfId="0">
      <calculatedColumnFormula>Table1[[#This Row],[Score]]/Table1[[#This Row],[Views]]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85C3B-1FD4-46FE-8A2F-07E281673B93}">
  <dimension ref="A1:W25"/>
  <sheetViews>
    <sheetView tabSelected="1" workbookViewId="0">
      <selection activeCell="A26" sqref="A26"/>
    </sheetView>
  </sheetViews>
  <sheetFormatPr defaultRowHeight="15" x14ac:dyDescent="0.25"/>
  <cols>
    <col min="1" max="1" width="10.140625" customWidth="1"/>
    <col min="2" max="2" width="10.140625" bestFit="1" customWidth="1"/>
    <col min="3" max="3" width="13.140625" customWidth="1"/>
    <col min="4" max="4" width="12.140625" bestFit="1" customWidth="1"/>
    <col min="5" max="5" width="6.7109375" style="3" bestFit="1" customWidth="1"/>
    <col min="6" max="6" width="8.7109375" bestFit="1" customWidth="1"/>
    <col min="7" max="7" width="13.140625" bestFit="1" customWidth="1"/>
    <col min="8" max="8" width="7.7109375" bestFit="1" customWidth="1"/>
    <col min="9" max="9" width="10.28515625" bestFit="1" customWidth="1"/>
    <col min="10" max="10" width="11" bestFit="1" customWidth="1"/>
    <col min="11" max="11" width="12.85546875" bestFit="1" customWidth="1"/>
    <col min="12" max="12" width="9.140625" bestFit="1" customWidth="1"/>
    <col min="13" max="14" width="13.28515625" style="4" bestFit="1" customWidth="1"/>
    <col min="15" max="15" width="7.7109375" style="4" bestFit="1" customWidth="1"/>
    <col min="16" max="16" width="10.28515625" style="4" bestFit="1" customWidth="1"/>
    <col min="17" max="17" width="13.140625" style="4" bestFit="1" customWidth="1"/>
    <col min="18" max="18" width="17.7109375" style="4" bestFit="1" customWidth="1"/>
    <col min="19" max="19" width="12.140625" style="4" bestFit="1" customWidth="1"/>
    <col min="20" max="20" width="14.7109375" style="4" bestFit="1" customWidth="1"/>
    <col min="21" max="21" width="8.140625" style="4" bestFit="1" customWidth="1"/>
    <col min="22" max="22" width="12.5703125" style="4" bestFit="1" customWidth="1"/>
    <col min="23" max="23" width="15.85546875" style="2" bestFit="1" customWidth="1"/>
  </cols>
  <sheetData>
    <row r="1" spans="1:23" x14ac:dyDescent="0.25">
      <c r="A1" t="s">
        <v>26</v>
      </c>
      <c r="B1" t="s">
        <v>27</v>
      </c>
      <c r="C1" t="s">
        <v>17</v>
      </c>
      <c r="D1" s="2" t="s">
        <v>18</v>
      </c>
      <c r="E1" s="3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s="4" t="s">
        <v>14</v>
      </c>
      <c r="N1" s="4" t="s">
        <v>15</v>
      </c>
      <c r="O1" s="4" t="s">
        <v>16</v>
      </c>
      <c r="P1" s="4" t="s">
        <v>22</v>
      </c>
      <c r="Q1" s="4" t="s">
        <v>19</v>
      </c>
      <c r="R1" s="4" t="s">
        <v>20</v>
      </c>
      <c r="S1" s="4" t="s">
        <v>21</v>
      </c>
      <c r="T1" s="4" t="s">
        <v>23</v>
      </c>
      <c r="U1" s="4" t="s">
        <v>24</v>
      </c>
      <c r="V1" s="4" t="s">
        <v>25</v>
      </c>
      <c r="W1"/>
    </row>
    <row r="2" spans="1:23" x14ac:dyDescent="0.25">
      <c r="A2" s="1">
        <v>46062</v>
      </c>
      <c r="B2" t="s">
        <v>0</v>
      </c>
      <c r="C2" s="1">
        <v>45784</v>
      </c>
      <c r="D2" s="2">
        <f>Table1[[#This Row],[Date]]-Table1[[#This Row],[Published]]</f>
        <v>278</v>
      </c>
      <c r="E2" s="3">
        <v>658</v>
      </c>
      <c r="F2">
        <v>143</v>
      </c>
      <c r="G2">
        <v>11</v>
      </c>
      <c r="H2">
        <v>5</v>
      </c>
      <c r="I2">
        <v>0</v>
      </c>
      <c r="J2">
        <v>0</v>
      </c>
      <c r="K2">
        <v>0</v>
      </c>
      <c r="L2">
        <v>0</v>
      </c>
      <c r="M2" s="4">
        <f>Table1[[#This Row],[Downloads]]/Table1[[#This Row],[Views]]</f>
        <v>0.21732522796352582</v>
      </c>
      <c r="N2" s="4">
        <f>Table1[[#This Row],[Likes]]/Table1[[#This Row],[Views]]</f>
        <v>1.6717325227963525E-2</v>
      </c>
      <c r="O2" s="4">
        <f>Table1[[#This Row],[Collects]]/Table1[[#This Row],[Views]]</f>
        <v>7.5987841945288756E-3</v>
      </c>
      <c r="P2" s="4">
        <f>Table1[[#This Row],[Views]]/Table1[[#This Row],[Age]]</f>
        <v>2.3669064748201438</v>
      </c>
      <c r="Q2" s="4">
        <f>Table1[[#This Row],[Downloads]]/Table1[[#This Row],[Age]]</f>
        <v>0.51438848920863312</v>
      </c>
      <c r="R2" s="4">
        <f>Table1[[#This Row],[Likes]]/Table1[[#This Row],[Age]]</f>
        <v>3.9568345323741004E-2</v>
      </c>
      <c r="S2" s="4">
        <f>Table1[[#This Row],[Collects]]/Table1[[#This Row],[Age]]</f>
        <v>1.7985611510791366E-2</v>
      </c>
      <c r="T2" s="4">
        <f>(4*Table1[[#This Row],[Collects]])+(3*Table1[[#This Row],[Likes]])+(2*Table1[[#This Row],[Downloads]])+Table1[[#This Row],[Views]]</f>
        <v>997</v>
      </c>
      <c r="U2" s="4">
        <f>Table1[[#This Row],[Score]]/Table1[[#This Row],[Age]]</f>
        <v>3.5863309352517985</v>
      </c>
      <c r="V2" s="4">
        <f>Table1[[#This Row],[Score]]/Table1[[#This Row],[Views]]</f>
        <v>1.5151975683890577</v>
      </c>
      <c r="W2"/>
    </row>
    <row r="3" spans="1:23" x14ac:dyDescent="0.25">
      <c r="A3" s="1">
        <v>46062</v>
      </c>
      <c r="B3" t="s">
        <v>1</v>
      </c>
      <c r="C3" s="1">
        <v>45785</v>
      </c>
      <c r="D3" s="2">
        <f>Table1[[#This Row],[Date]]-Table1[[#This Row],[Published]]</f>
        <v>277</v>
      </c>
      <c r="E3" s="3">
        <v>307</v>
      </c>
      <c r="F3">
        <v>80</v>
      </c>
      <c r="G3">
        <v>4</v>
      </c>
      <c r="H3">
        <v>0</v>
      </c>
      <c r="I3">
        <v>0</v>
      </c>
      <c r="J3">
        <v>0</v>
      </c>
      <c r="K3">
        <v>0</v>
      </c>
      <c r="L3">
        <v>0</v>
      </c>
      <c r="M3" s="4">
        <f>Table1[[#This Row],[Downloads]]/Table1[[#This Row],[Views]]</f>
        <v>0.26058631921824105</v>
      </c>
      <c r="N3" s="4">
        <f>Table1[[#This Row],[Likes]]/Table1[[#This Row],[Views]]</f>
        <v>1.3029315960912053E-2</v>
      </c>
      <c r="O3" s="4">
        <f>Table1[[#This Row],[Collects]]/Table1[[#This Row],[Views]]</f>
        <v>0</v>
      </c>
      <c r="P3" s="4">
        <f>Table1[[#This Row],[Views]]/Table1[[#This Row],[Age]]</f>
        <v>1.1083032490974729</v>
      </c>
      <c r="Q3" s="4">
        <f>Table1[[#This Row],[Downloads]]/Table1[[#This Row],[Age]]</f>
        <v>0.28880866425992779</v>
      </c>
      <c r="R3" s="4">
        <f>Table1[[#This Row],[Likes]]/Table1[[#This Row],[Age]]</f>
        <v>1.444043321299639E-2</v>
      </c>
      <c r="S3" s="4">
        <f>Table1[[#This Row],[Collects]]/Table1[[#This Row],[Age]]</f>
        <v>0</v>
      </c>
      <c r="T3" s="4">
        <f>(4*Table1[[#This Row],[Collects]])+(3*Table1[[#This Row],[Likes]])+(2*Table1[[#This Row],[Downloads]])+Table1[[#This Row],[Views]]</f>
        <v>479</v>
      </c>
      <c r="U3" s="4">
        <f>Table1[[#This Row],[Score]]/Table1[[#This Row],[Age]]</f>
        <v>1.7292418772563176</v>
      </c>
      <c r="V3" s="4">
        <f>Table1[[#This Row],[Score]]/Table1[[#This Row],[Views]]</f>
        <v>1.5602605863192183</v>
      </c>
      <c r="W3"/>
    </row>
    <row r="4" spans="1:23" x14ac:dyDescent="0.25">
      <c r="A4" s="1">
        <v>46062</v>
      </c>
      <c r="B4" t="s">
        <v>2</v>
      </c>
      <c r="C4" s="1">
        <v>45930</v>
      </c>
      <c r="D4" s="2">
        <f>Table1[[#This Row],[Date]]-Table1[[#This Row],[Published]]</f>
        <v>132</v>
      </c>
      <c r="E4" s="3">
        <v>206</v>
      </c>
      <c r="F4">
        <v>83</v>
      </c>
      <c r="G4">
        <v>5</v>
      </c>
      <c r="H4">
        <v>0</v>
      </c>
      <c r="I4">
        <v>0</v>
      </c>
      <c r="J4">
        <v>0</v>
      </c>
      <c r="K4">
        <v>0</v>
      </c>
      <c r="L4">
        <v>0</v>
      </c>
      <c r="M4" s="4">
        <f>Table1[[#This Row],[Downloads]]/Table1[[#This Row],[Views]]</f>
        <v>0.40291262135922329</v>
      </c>
      <c r="N4" s="4">
        <f>Table1[[#This Row],[Likes]]/Table1[[#This Row],[Views]]</f>
        <v>2.4271844660194174E-2</v>
      </c>
      <c r="O4" s="4">
        <f>Table1[[#This Row],[Collects]]/Table1[[#This Row],[Views]]</f>
        <v>0</v>
      </c>
      <c r="P4" s="4">
        <f>Table1[[#This Row],[Views]]/Table1[[#This Row],[Age]]</f>
        <v>1.5606060606060606</v>
      </c>
      <c r="Q4" s="4">
        <f>Table1[[#This Row],[Downloads]]/Table1[[#This Row],[Age]]</f>
        <v>0.62878787878787878</v>
      </c>
      <c r="R4" s="4">
        <f>Table1[[#This Row],[Likes]]/Table1[[#This Row],[Age]]</f>
        <v>3.787878787878788E-2</v>
      </c>
      <c r="S4" s="4">
        <f>Table1[[#This Row],[Collects]]/Table1[[#This Row],[Age]]</f>
        <v>0</v>
      </c>
      <c r="T4" s="4">
        <f>(4*Table1[[#This Row],[Collects]])+(3*Table1[[#This Row],[Likes]])+(2*Table1[[#This Row],[Downloads]])+Table1[[#This Row],[Views]]</f>
        <v>387</v>
      </c>
      <c r="U4" s="4">
        <f>Table1[[#This Row],[Score]]/Table1[[#This Row],[Age]]</f>
        <v>2.9318181818181817</v>
      </c>
      <c r="V4" s="4">
        <f>Table1[[#This Row],[Score]]/Table1[[#This Row],[Views]]</f>
        <v>1.8786407766990292</v>
      </c>
      <c r="W4"/>
    </row>
    <row r="5" spans="1:23" x14ac:dyDescent="0.25">
      <c r="A5" s="1">
        <v>46062</v>
      </c>
      <c r="B5" t="s">
        <v>13</v>
      </c>
      <c r="C5" s="1">
        <v>45750</v>
      </c>
      <c r="D5" s="2">
        <f>Table1[[#This Row],[Date]]-Table1[[#This Row],[Published]]</f>
        <v>312</v>
      </c>
      <c r="E5" s="3">
        <v>150</v>
      </c>
      <c r="F5">
        <v>25</v>
      </c>
      <c r="G5">
        <v>2</v>
      </c>
      <c r="H5">
        <v>1</v>
      </c>
      <c r="I5">
        <v>0</v>
      </c>
      <c r="J5">
        <v>0</v>
      </c>
      <c r="K5">
        <v>0</v>
      </c>
      <c r="L5">
        <v>0</v>
      </c>
      <c r="M5" s="4">
        <f>Table1[[#This Row],[Downloads]]/Table1[[#This Row],[Views]]</f>
        <v>0.16666666666666666</v>
      </c>
      <c r="N5" s="4">
        <f>Table1[[#This Row],[Likes]]/Table1[[#This Row],[Views]]</f>
        <v>1.3333333333333334E-2</v>
      </c>
      <c r="O5" s="4">
        <f>Table1[[#This Row],[Collects]]/Table1[[#This Row],[Views]]</f>
        <v>6.6666666666666671E-3</v>
      </c>
      <c r="P5" s="4">
        <f>Table1[[#This Row],[Views]]/Table1[[#This Row],[Age]]</f>
        <v>0.48076923076923078</v>
      </c>
      <c r="Q5" s="4">
        <f>Table1[[#This Row],[Downloads]]/Table1[[#This Row],[Age]]</f>
        <v>8.0128205128205135E-2</v>
      </c>
      <c r="R5" s="4">
        <f>Table1[[#This Row],[Likes]]/Table1[[#This Row],[Age]]</f>
        <v>6.41025641025641E-3</v>
      </c>
      <c r="S5" s="4">
        <f>Table1[[#This Row],[Collects]]/Table1[[#This Row],[Age]]</f>
        <v>3.205128205128205E-3</v>
      </c>
      <c r="T5" s="4">
        <f>(4*Table1[[#This Row],[Collects]])+(3*Table1[[#This Row],[Likes]])+(2*Table1[[#This Row],[Downloads]])+Table1[[#This Row],[Views]]</f>
        <v>210</v>
      </c>
      <c r="U5" s="4">
        <f>Table1[[#This Row],[Score]]/Table1[[#This Row],[Age]]</f>
        <v>0.67307692307692313</v>
      </c>
      <c r="V5" s="4">
        <f>Table1[[#This Row],[Score]]/Table1[[#This Row],[Views]]</f>
        <v>1.4</v>
      </c>
      <c r="W5"/>
    </row>
    <row r="6" spans="1:23" x14ac:dyDescent="0.25">
      <c r="A6" s="1">
        <v>46062</v>
      </c>
      <c r="B6" t="s">
        <v>3</v>
      </c>
      <c r="C6" s="1">
        <v>45932</v>
      </c>
      <c r="D6" s="2">
        <f>Table1[[#This Row],[Date]]-Table1[[#This Row],[Published]]</f>
        <v>130</v>
      </c>
      <c r="E6" s="3">
        <v>97</v>
      </c>
      <c r="F6">
        <v>11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 s="4">
        <f>Table1[[#This Row],[Downloads]]/Table1[[#This Row],[Views]]</f>
        <v>0.1134020618556701</v>
      </c>
      <c r="N6" s="4">
        <f>Table1[[#This Row],[Likes]]/Table1[[#This Row],[Views]]</f>
        <v>1.0309278350515464E-2</v>
      </c>
      <c r="O6" s="4">
        <f>Table1[[#This Row],[Collects]]/Table1[[#This Row],[Views]]</f>
        <v>0</v>
      </c>
      <c r="P6" s="4">
        <f>Table1[[#This Row],[Views]]/Table1[[#This Row],[Age]]</f>
        <v>0.74615384615384617</v>
      </c>
      <c r="Q6" s="4">
        <f>Table1[[#This Row],[Downloads]]/Table1[[#This Row],[Age]]</f>
        <v>8.461538461538462E-2</v>
      </c>
      <c r="R6" s="4">
        <f>Table1[[#This Row],[Likes]]/Table1[[#This Row],[Age]]</f>
        <v>7.6923076923076927E-3</v>
      </c>
      <c r="S6" s="4">
        <f>Table1[[#This Row],[Collects]]/Table1[[#This Row],[Age]]</f>
        <v>0</v>
      </c>
      <c r="T6" s="4">
        <f>(4*Table1[[#This Row],[Collects]])+(3*Table1[[#This Row],[Likes]])+(2*Table1[[#This Row],[Downloads]])+Table1[[#This Row],[Views]]</f>
        <v>122</v>
      </c>
      <c r="U6" s="4">
        <f>Table1[[#This Row],[Score]]/Table1[[#This Row],[Age]]</f>
        <v>0.93846153846153846</v>
      </c>
      <c r="V6" s="4">
        <f>Table1[[#This Row],[Score]]/Table1[[#This Row],[Views]]</f>
        <v>1.2577319587628866</v>
      </c>
      <c r="W6"/>
    </row>
    <row r="7" spans="1:23" x14ac:dyDescent="0.25">
      <c r="A7" s="1">
        <v>46062</v>
      </c>
      <c r="B7" t="s">
        <v>4</v>
      </c>
      <c r="C7" s="1">
        <v>46034</v>
      </c>
      <c r="D7" s="2">
        <f>Table1[[#This Row],[Date]]-Table1[[#This Row],[Published]]</f>
        <v>28</v>
      </c>
      <c r="E7" s="3">
        <v>79</v>
      </c>
      <c r="F7">
        <v>24</v>
      </c>
      <c r="G7">
        <v>2</v>
      </c>
      <c r="H7">
        <v>0</v>
      </c>
      <c r="I7">
        <v>0</v>
      </c>
      <c r="J7">
        <v>0</v>
      </c>
      <c r="K7">
        <v>0</v>
      </c>
      <c r="L7">
        <v>0</v>
      </c>
      <c r="M7" s="4">
        <f>Table1[[#This Row],[Downloads]]/Table1[[#This Row],[Views]]</f>
        <v>0.30379746835443039</v>
      </c>
      <c r="N7" s="4">
        <f>Table1[[#This Row],[Likes]]/Table1[[#This Row],[Views]]</f>
        <v>2.5316455696202531E-2</v>
      </c>
      <c r="O7" s="4">
        <f>Table1[[#This Row],[Collects]]/Table1[[#This Row],[Views]]</f>
        <v>0</v>
      </c>
      <c r="P7" s="4">
        <f>Table1[[#This Row],[Views]]/Table1[[#This Row],[Age]]</f>
        <v>2.8214285714285716</v>
      </c>
      <c r="Q7" s="4">
        <f>Table1[[#This Row],[Downloads]]/Table1[[#This Row],[Age]]</f>
        <v>0.8571428571428571</v>
      </c>
      <c r="R7" s="4">
        <f>Table1[[#This Row],[Likes]]/Table1[[#This Row],[Age]]</f>
        <v>7.1428571428571425E-2</v>
      </c>
      <c r="S7" s="4">
        <f>Table1[[#This Row],[Collects]]/Table1[[#This Row],[Age]]</f>
        <v>0</v>
      </c>
      <c r="T7" s="4">
        <f>(4*Table1[[#This Row],[Collects]])+(3*Table1[[#This Row],[Likes]])+(2*Table1[[#This Row],[Downloads]])+Table1[[#This Row],[Views]]</f>
        <v>133</v>
      </c>
      <c r="U7" s="4">
        <f>Table1[[#This Row],[Score]]/Table1[[#This Row],[Age]]</f>
        <v>4.75</v>
      </c>
      <c r="V7" s="4">
        <f>Table1[[#This Row],[Score]]/Table1[[#This Row],[Views]]</f>
        <v>1.6835443037974684</v>
      </c>
      <c r="W7"/>
    </row>
    <row r="8" spans="1:23" x14ac:dyDescent="0.25">
      <c r="A8" s="1">
        <v>46067</v>
      </c>
      <c r="B8" t="s">
        <v>0</v>
      </c>
      <c r="C8" s="1">
        <v>45784</v>
      </c>
      <c r="D8" s="2">
        <f>Table1[[#This Row],[Date]]-Table1[[#This Row],[Published]]</f>
        <v>283</v>
      </c>
      <c r="E8" s="3">
        <v>688</v>
      </c>
      <c r="F8">
        <v>146</v>
      </c>
      <c r="G8">
        <v>12</v>
      </c>
      <c r="H8">
        <v>5</v>
      </c>
      <c r="I8">
        <v>0</v>
      </c>
      <c r="J8">
        <v>0</v>
      </c>
      <c r="K8">
        <v>0</v>
      </c>
      <c r="L8">
        <v>0</v>
      </c>
      <c r="M8" s="4">
        <f>Table1[[#This Row],[Downloads]]/Table1[[#This Row],[Views]]</f>
        <v>0.21220930232558138</v>
      </c>
      <c r="N8" s="4">
        <f>Table1[[#This Row],[Likes]]/Table1[[#This Row],[Views]]</f>
        <v>1.7441860465116279E-2</v>
      </c>
      <c r="O8" s="4">
        <f>Table1[[#This Row],[Collects]]/Table1[[#This Row],[Views]]</f>
        <v>7.2674418604651162E-3</v>
      </c>
      <c r="P8" s="4">
        <f>Table1[[#This Row],[Views]]/Table1[[#This Row],[Age]]</f>
        <v>2.431095406360424</v>
      </c>
      <c r="Q8" s="4">
        <f>Table1[[#This Row],[Downloads]]/Table1[[#This Row],[Age]]</f>
        <v>0.51590106007067138</v>
      </c>
      <c r="R8" s="4">
        <f>Table1[[#This Row],[Likes]]/Table1[[#This Row],[Age]]</f>
        <v>4.2402826855123678E-2</v>
      </c>
      <c r="S8" s="4">
        <f>Table1[[#This Row],[Collects]]/Table1[[#This Row],[Age]]</f>
        <v>1.7667844522968199E-2</v>
      </c>
      <c r="T8" s="4">
        <f>(4*Table1[[#This Row],[Collects]])+(3*Table1[[#This Row],[Likes]])+(2*Table1[[#This Row],[Downloads]])+Table1[[#This Row],[Views]]</f>
        <v>1036</v>
      </c>
      <c r="U8" s="4">
        <f>Table1[[#This Row],[Score]]/Table1[[#This Row],[Age]]</f>
        <v>3.6607773851590104</v>
      </c>
      <c r="V8" s="4">
        <f>Table1[[#This Row],[Score]]/Table1[[#This Row],[Views]]</f>
        <v>1.5058139534883721</v>
      </c>
    </row>
    <row r="9" spans="1:23" x14ac:dyDescent="0.25">
      <c r="A9" s="1">
        <v>46067</v>
      </c>
      <c r="B9" t="s">
        <v>1</v>
      </c>
      <c r="C9" s="1">
        <v>45785</v>
      </c>
      <c r="D9" s="2">
        <f>Table1[[#This Row],[Date]]-Table1[[#This Row],[Published]]</f>
        <v>282</v>
      </c>
      <c r="E9" s="3">
        <v>310</v>
      </c>
      <c r="F9">
        <v>80</v>
      </c>
      <c r="G9">
        <v>4</v>
      </c>
      <c r="H9">
        <v>0</v>
      </c>
      <c r="I9">
        <v>0</v>
      </c>
      <c r="J9">
        <v>0</v>
      </c>
      <c r="K9">
        <v>0</v>
      </c>
      <c r="L9">
        <v>0</v>
      </c>
      <c r="M9" s="4">
        <f>Table1[[#This Row],[Downloads]]/Table1[[#This Row],[Views]]</f>
        <v>0.25806451612903225</v>
      </c>
      <c r="N9" s="4">
        <f>Table1[[#This Row],[Likes]]/Table1[[#This Row],[Views]]</f>
        <v>1.2903225806451613E-2</v>
      </c>
      <c r="O9" s="4">
        <f>Table1[[#This Row],[Collects]]/Table1[[#This Row],[Views]]</f>
        <v>0</v>
      </c>
      <c r="P9" s="4">
        <f>Table1[[#This Row],[Views]]/Table1[[#This Row],[Age]]</f>
        <v>1.0992907801418439</v>
      </c>
      <c r="Q9" s="4">
        <f>Table1[[#This Row],[Downloads]]/Table1[[#This Row],[Age]]</f>
        <v>0.28368794326241137</v>
      </c>
      <c r="R9" s="4">
        <f>Table1[[#This Row],[Likes]]/Table1[[#This Row],[Age]]</f>
        <v>1.4184397163120567E-2</v>
      </c>
      <c r="S9" s="4">
        <f>Table1[[#This Row],[Collects]]/Table1[[#This Row],[Age]]</f>
        <v>0</v>
      </c>
      <c r="T9" s="4">
        <f>(4*Table1[[#This Row],[Collects]])+(3*Table1[[#This Row],[Likes]])+(2*Table1[[#This Row],[Downloads]])+Table1[[#This Row],[Views]]</f>
        <v>482</v>
      </c>
      <c r="U9" s="4">
        <f>Table1[[#This Row],[Score]]/Table1[[#This Row],[Age]]</f>
        <v>1.7092198581560283</v>
      </c>
      <c r="V9" s="4">
        <f>Table1[[#This Row],[Score]]/Table1[[#This Row],[Views]]</f>
        <v>1.5548387096774194</v>
      </c>
    </row>
    <row r="10" spans="1:23" x14ac:dyDescent="0.25">
      <c r="A10" s="1">
        <v>46067</v>
      </c>
      <c r="B10" t="s">
        <v>2</v>
      </c>
      <c r="C10" s="1">
        <v>45930</v>
      </c>
      <c r="D10" s="2">
        <f>Table1[[#This Row],[Date]]-Table1[[#This Row],[Published]]</f>
        <v>137</v>
      </c>
      <c r="E10" s="3">
        <v>207</v>
      </c>
      <c r="F10">
        <v>84</v>
      </c>
      <c r="G10">
        <v>5</v>
      </c>
      <c r="H10">
        <v>0</v>
      </c>
      <c r="I10">
        <v>0</v>
      </c>
      <c r="J10">
        <v>0</v>
      </c>
      <c r="K10">
        <v>0</v>
      </c>
      <c r="L10">
        <v>0</v>
      </c>
      <c r="M10" s="4">
        <f>Table1[[#This Row],[Downloads]]/Table1[[#This Row],[Views]]</f>
        <v>0.40579710144927539</v>
      </c>
      <c r="N10" s="4">
        <f>Table1[[#This Row],[Likes]]/Table1[[#This Row],[Views]]</f>
        <v>2.4154589371980676E-2</v>
      </c>
      <c r="O10" s="4">
        <f>Table1[[#This Row],[Collects]]/Table1[[#This Row],[Views]]</f>
        <v>0</v>
      </c>
      <c r="P10" s="4">
        <f>Table1[[#This Row],[Views]]/Table1[[#This Row],[Age]]</f>
        <v>1.5109489051094891</v>
      </c>
      <c r="Q10" s="4">
        <f>Table1[[#This Row],[Downloads]]/Table1[[#This Row],[Age]]</f>
        <v>0.61313868613138689</v>
      </c>
      <c r="R10" s="4">
        <f>Table1[[#This Row],[Likes]]/Table1[[#This Row],[Age]]</f>
        <v>3.6496350364963501E-2</v>
      </c>
      <c r="S10" s="4">
        <f>Table1[[#This Row],[Collects]]/Table1[[#This Row],[Age]]</f>
        <v>0</v>
      </c>
      <c r="T10" s="4">
        <f>(4*Table1[[#This Row],[Collects]])+(3*Table1[[#This Row],[Likes]])+(2*Table1[[#This Row],[Downloads]])+Table1[[#This Row],[Views]]</f>
        <v>390</v>
      </c>
      <c r="U10" s="4">
        <f>Table1[[#This Row],[Score]]/Table1[[#This Row],[Age]]</f>
        <v>2.8467153284671531</v>
      </c>
      <c r="V10" s="4">
        <f>Table1[[#This Row],[Score]]/Table1[[#This Row],[Views]]</f>
        <v>1.8840579710144927</v>
      </c>
    </row>
    <row r="11" spans="1:23" x14ac:dyDescent="0.25">
      <c r="A11" s="1">
        <v>46067</v>
      </c>
      <c r="B11" t="s">
        <v>13</v>
      </c>
      <c r="C11" s="1">
        <v>45750</v>
      </c>
      <c r="D11" s="2">
        <f>Table1[[#This Row],[Date]]-Table1[[#This Row],[Published]]</f>
        <v>317</v>
      </c>
      <c r="E11" s="3">
        <v>153</v>
      </c>
      <c r="F11">
        <v>26</v>
      </c>
      <c r="G11">
        <v>2</v>
      </c>
      <c r="H11">
        <v>1</v>
      </c>
      <c r="I11">
        <v>0</v>
      </c>
      <c r="J11">
        <v>0</v>
      </c>
      <c r="K11">
        <v>0</v>
      </c>
      <c r="L11">
        <v>0</v>
      </c>
      <c r="M11" s="4">
        <f>Table1[[#This Row],[Downloads]]/Table1[[#This Row],[Views]]</f>
        <v>0.16993464052287582</v>
      </c>
      <c r="N11" s="4">
        <f>Table1[[#This Row],[Likes]]/Table1[[#This Row],[Views]]</f>
        <v>1.3071895424836602E-2</v>
      </c>
      <c r="O11" s="4">
        <f>Table1[[#This Row],[Collects]]/Table1[[#This Row],[Views]]</f>
        <v>6.5359477124183009E-3</v>
      </c>
      <c r="P11" s="4">
        <f>Table1[[#This Row],[Views]]/Table1[[#This Row],[Age]]</f>
        <v>0.48264984227129337</v>
      </c>
      <c r="Q11" s="4">
        <f>Table1[[#This Row],[Downloads]]/Table1[[#This Row],[Age]]</f>
        <v>8.2018927444794956E-2</v>
      </c>
      <c r="R11" s="4">
        <f>Table1[[#This Row],[Likes]]/Table1[[#This Row],[Age]]</f>
        <v>6.3091482649842269E-3</v>
      </c>
      <c r="S11" s="4">
        <f>Table1[[#This Row],[Collects]]/Table1[[#This Row],[Age]]</f>
        <v>3.1545741324921135E-3</v>
      </c>
      <c r="T11" s="4">
        <f>(4*Table1[[#This Row],[Collects]])+(3*Table1[[#This Row],[Likes]])+(2*Table1[[#This Row],[Downloads]])+Table1[[#This Row],[Views]]</f>
        <v>215</v>
      </c>
      <c r="U11" s="4">
        <f>Table1[[#This Row],[Score]]/Table1[[#This Row],[Age]]</f>
        <v>0.67823343848580442</v>
      </c>
      <c r="V11" s="4">
        <f>Table1[[#This Row],[Score]]/Table1[[#This Row],[Views]]</f>
        <v>1.4052287581699345</v>
      </c>
    </row>
    <row r="12" spans="1:23" x14ac:dyDescent="0.25">
      <c r="A12" s="1">
        <v>46067</v>
      </c>
      <c r="B12" t="s">
        <v>3</v>
      </c>
      <c r="C12" s="1">
        <v>45932</v>
      </c>
      <c r="D12" s="2">
        <f>Table1[[#This Row],[Date]]-Table1[[#This Row],[Published]]</f>
        <v>135</v>
      </c>
      <c r="E12" s="3">
        <v>105</v>
      </c>
      <c r="F12">
        <v>11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 s="4">
        <f>Table1[[#This Row],[Downloads]]/Table1[[#This Row],[Views]]</f>
        <v>0.10476190476190476</v>
      </c>
      <c r="N12" s="4">
        <f>Table1[[#This Row],[Likes]]/Table1[[#This Row],[Views]]</f>
        <v>9.5238095238095247E-3</v>
      </c>
      <c r="O12" s="4">
        <f>Table1[[#This Row],[Collects]]/Table1[[#This Row],[Views]]</f>
        <v>0</v>
      </c>
      <c r="P12" s="4">
        <f>Table1[[#This Row],[Views]]/Table1[[#This Row],[Age]]</f>
        <v>0.77777777777777779</v>
      </c>
      <c r="Q12" s="4">
        <f>Table1[[#This Row],[Downloads]]/Table1[[#This Row],[Age]]</f>
        <v>8.1481481481481488E-2</v>
      </c>
      <c r="R12" s="4">
        <f>Table1[[#This Row],[Likes]]/Table1[[#This Row],[Age]]</f>
        <v>7.4074074074074077E-3</v>
      </c>
      <c r="S12" s="4">
        <f>Table1[[#This Row],[Collects]]/Table1[[#This Row],[Age]]</f>
        <v>0</v>
      </c>
      <c r="T12" s="4">
        <f>(4*Table1[[#This Row],[Collects]])+(3*Table1[[#This Row],[Likes]])+(2*Table1[[#This Row],[Downloads]])+Table1[[#This Row],[Views]]</f>
        <v>130</v>
      </c>
      <c r="U12" s="4">
        <f>Table1[[#This Row],[Score]]/Table1[[#This Row],[Age]]</f>
        <v>0.96296296296296291</v>
      </c>
      <c r="V12" s="4">
        <f>Table1[[#This Row],[Score]]/Table1[[#This Row],[Views]]</f>
        <v>1.2380952380952381</v>
      </c>
    </row>
    <row r="13" spans="1:23" x14ac:dyDescent="0.25">
      <c r="A13" s="1">
        <v>46067</v>
      </c>
      <c r="B13" t="s">
        <v>4</v>
      </c>
      <c r="C13" s="1">
        <v>46034</v>
      </c>
      <c r="D13" s="2">
        <f>Table1[[#This Row],[Date]]-Table1[[#This Row],[Published]]</f>
        <v>33</v>
      </c>
      <c r="E13" s="3">
        <v>80</v>
      </c>
      <c r="F13">
        <v>24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 s="4">
        <f>Table1[[#This Row],[Downloads]]/Table1[[#This Row],[Views]]</f>
        <v>0.3</v>
      </c>
      <c r="N13" s="4">
        <f>Table1[[#This Row],[Likes]]/Table1[[#This Row],[Views]]</f>
        <v>2.5000000000000001E-2</v>
      </c>
      <c r="O13" s="4">
        <f>Table1[[#This Row],[Collects]]/Table1[[#This Row],[Views]]</f>
        <v>0</v>
      </c>
      <c r="P13" s="4">
        <f>Table1[[#This Row],[Views]]/Table1[[#This Row],[Age]]</f>
        <v>2.4242424242424243</v>
      </c>
      <c r="Q13" s="4">
        <f>Table1[[#This Row],[Downloads]]/Table1[[#This Row],[Age]]</f>
        <v>0.72727272727272729</v>
      </c>
      <c r="R13" s="4">
        <f>Table1[[#This Row],[Likes]]/Table1[[#This Row],[Age]]</f>
        <v>6.0606060606060608E-2</v>
      </c>
      <c r="S13" s="4">
        <f>Table1[[#This Row],[Collects]]/Table1[[#This Row],[Age]]</f>
        <v>0</v>
      </c>
      <c r="T13" s="4">
        <f>(4*Table1[[#This Row],[Collects]])+(3*Table1[[#This Row],[Likes]])+(2*Table1[[#This Row],[Downloads]])+Table1[[#This Row],[Views]]</f>
        <v>134</v>
      </c>
      <c r="U13" s="4">
        <f>Table1[[#This Row],[Score]]/Table1[[#This Row],[Age]]</f>
        <v>4.0606060606060606</v>
      </c>
      <c r="V13" s="4">
        <f>Table1[[#This Row],[Score]]/Table1[[#This Row],[Views]]</f>
        <v>1.675</v>
      </c>
    </row>
    <row r="14" spans="1:23" x14ac:dyDescent="0.25">
      <c r="A14" s="1">
        <v>46075</v>
      </c>
      <c r="B14" t="s">
        <v>0</v>
      </c>
      <c r="C14" s="1">
        <v>45784</v>
      </c>
      <c r="D14" s="2">
        <f>Table1[[#This Row],[Date]]-Table1[[#This Row],[Published]]</f>
        <v>291</v>
      </c>
      <c r="E14" s="3">
        <v>677</v>
      </c>
      <c r="F14">
        <v>151</v>
      </c>
      <c r="G14">
        <v>12</v>
      </c>
      <c r="H14">
        <v>5</v>
      </c>
      <c r="I14">
        <v>0</v>
      </c>
      <c r="J14">
        <v>0</v>
      </c>
      <c r="K14">
        <v>0</v>
      </c>
      <c r="L14">
        <v>0</v>
      </c>
      <c r="M14" s="4">
        <f>Table1[[#This Row],[Downloads]]/Table1[[#This Row],[Views]]</f>
        <v>0.22304283604135894</v>
      </c>
      <c r="N14" s="4">
        <f>Table1[[#This Row],[Likes]]/Table1[[#This Row],[Views]]</f>
        <v>1.7725258493353029E-2</v>
      </c>
      <c r="O14" s="4">
        <f>Table1[[#This Row],[Collects]]/Table1[[#This Row],[Views]]</f>
        <v>7.385524372230428E-3</v>
      </c>
      <c r="P14" s="4">
        <f>Table1[[#This Row],[Views]]/Table1[[#This Row],[Age]]</f>
        <v>2.3264604810996565</v>
      </c>
      <c r="Q14" s="4">
        <f>Table1[[#This Row],[Downloads]]/Table1[[#This Row],[Age]]</f>
        <v>0.51890034364261173</v>
      </c>
      <c r="R14" s="4">
        <f>Table1[[#This Row],[Likes]]/Table1[[#This Row],[Age]]</f>
        <v>4.1237113402061855E-2</v>
      </c>
      <c r="S14" s="4">
        <f>Table1[[#This Row],[Collects]]/Table1[[#This Row],[Age]]</f>
        <v>1.7182130584192441E-2</v>
      </c>
      <c r="T14" s="4">
        <f>(4*Table1[[#This Row],[Collects]])+(3*Table1[[#This Row],[Likes]])+(2*Table1[[#This Row],[Downloads]])+Table1[[#This Row],[Views]]</f>
        <v>1035</v>
      </c>
      <c r="U14" s="4">
        <f>Table1[[#This Row],[Score]]/Table1[[#This Row],[Age]]</f>
        <v>3.5567010309278349</v>
      </c>
      <c r="V14" s="4">
        <f>Table1[[#This Row],[Score]]/Table1[[#This Row],[Views]]</f>
        <v>1.5288035450516986</v>
      </c>
    </row>
    <row r="15" spans="1:23" x14ac:dyDescent="0.25">
      <c r="A15" s="1">
        <v>46075</v>
      </c>
      <c r="B15" t="s">
        <v>1</v>
      </c>
      <c r="C15" s="1">
        <v>45785</v>
      </c>
      <c r="D15" s="2">
        <f>Table1[[#This Row],[Date]]-Table1[[#This Row],[Published]]</f>
        <v>290</v>
      </c>
      <c r="E15" s="3">
        <v>316</v>
      </c>
      <c r="F15">
        <v>82</v>
      </c>
      <c r="G15">
        <v>4</v>
      </c>
      <c r="H15">
        <v>0</v>
      </c>
      <c r="I15">
        <v>0</v>
      </c>
      <c r="J15">
        <v>0</v>
      </c>
      <c r="K15">
        <v>0</v>
      </c>
      <c r="L15">
        <v>0</v>
      </c>
      <c r="M15" s="4">
        <f>Table1[[#This Row],[Downloads]]/Table1[[#This Row],[Views]]</f>
        <v>0.25949367088607594</v>
      </c>
      <c r="N15" s="4">
        <f>Table1[[#This Row],[Likes]]/Table1[[#This Row],[Views]]</f>
        <v>1.2658227848101266E-2</v>
      </c>
      <c r="O15" s="4">
        <f>Table1[[#This Row],[Collects]]/Table1[[#This Row],[Views]]</f>
        <v>0</v>
      </c>
      <c r="P15" s="4">
        <f>Table1[[#This Row],[Views]]/Table1[[#This Row],[Age]]</f>
        <v>1.0896551724137931</v>
      </c>
      <c r="Q15" s="4">
        <f>Table1[[#This Row],[Downloads]]/Table1[[#This Row],[Age]]</f>
        <v>0.28275862068965518</v>
      </c>
      <c r="R15" s="4">
        <f>Table1[[#This Row],[Likes]]/Table1[[#This Row],[Age]]</f>
        <v>1.3793103448275862E-2</v>
      </c>
      <c r="S15" s="4">
        <f>Table1[[#This Row],[Collects]]/Table1[[#This Row],[Age]]</f>
        <v>0</v>
      </c>
      <c r="T15" s="4">
        <f>(4*Table1[[#This Row],[Collects]])+(3*Table1[[#This Row],[Likes]])+(2*Table1[[#This Row],[Downloads]])+Table1[[#This Row],[Views]]</f>
        <v>492</v>
      </c>
      <c r="U15" s="4">
        <f>Table1[[#This Row],[Score]]/Table1[[#This Row],[Age]]</f>
        <v>1.6965517241379311</v>
      </c>
      <c r="V15" s="4">
        <f>Table1[[#This Row],[Score]]/Table1[[#This Row],[Views]]</f>
        <v>1.5569620253164558</v>
      </c>
    </row>
    <row r="16" spans="1:23" x14ac:dyDescent="0.25">
      <c r="A16" s="1">
        <v>46075</v>
      </c>
      <c r="B16" t="s">
        <v>2</v>
      </c>
      <c r="C16" s="1">
        <v>45930</v>
      </c>
      <c r="D16" s="2">
        <f>Table1[[#This Row],[Date]]-Table1[[#This Row],[Published]]</f>
        <v>145</v>
      </c>
      <c r="E16" s="3">
        <v>217</v>
      </c>
      <c r="F16">
        <v>88</v>
      </c>
      <c r="G16">
        <v>5</v>
      </c>
      <c r="H16">
        <v>0</v>
      </c>
      <c r="I16">
        <v>0</v>
      </c>
      <c r="J16">
        <v>0</v>
      </c>
      <c r="K16">
        <v>0</v>
      </c>
      <c r="L16">
        <v>0</v>
      </c>
      <c r="M16" s="4">
        <f>Table1[[#This Row],[Downloads]]/Table1[[#This Row],[Views]]</f>
        <v>0.40552995391705071</v>
      </c>
      <c r="N16" s="4">
        <f>Table1[[#This Row],[Likes]]/Table1[[#This Row],[Views]]</f>
        <v>2.3041474654377881E-2</v>
      </c>
      <c r="O16" s="4">
        <f>Table1[[#This Row],[Collects]]/Table1[[#This Row],[Views]]</f>
        <v>0</v>
      </c>
      <c r="P16" s="4">
        <f>Table1[[#This Row],[Views]]/Table1[[#This Row],[Age]]</f>
        <v>1.4965517241379311</v>
      </c>
      <c r="Q16" s="4">
        <f>Table1[[#This Row],[Downloads]]/Table1[[#This Row],[Age]]</f>
        <v>0.60689655172413792</v>
      </c>
      <c r="R16" s="4">
        <f>Table1[[#This Row],[Likes]]/Table1[[#This Row],[Age]]</f>
        <v>3.4482758620689655E-2</v>
      </c>
      <c r="S16" s="4">
        <f>Table1[[#This Row],[Collects]]/Table1[[#This Row],[Age]]</f>
        <v>0</v>
      </c>
      <c r="T16" s="4">
        <f>(4*Table1[[#This Row],[Collects]])+(3*Table1[[#This Row],[Likes]])+(2*Table1[[#This Row],[Downloads]])+Table1[[#This Row],[Views]]</f>
        <v>408</v>
      </c>
      <c r="U16" s="4">
        <f>Table1[[#This Row],[Score]]/Table1[[#This Row],[Age]]</f>
        <v>2.8137931034482757</v>
      </c>
      <c r="V16" s="4">
        <f>Table1[[#This Row],[Score]]/Table1[[#This Row],[Views]]</f>
        <v>1.8801843317972351</v>
      </c>
    </row>
    <row r="17" spans="1:22" x14ac:dyDescent="0.25">
      <c r="A17" s="1">
        <v>46075</v>
      </c>
      <c r="B17" t="s">
        <v>13</v>
      </c>
      <c r="C17" s="1">
        <v>45750</v>
      </c>
      <c r="D17" s="2">
        <f>Table1[[#This Row],[Date]]-Table1[[#This Row],[Published]]</f>
        <v>325</v>
      </c>
      <c r="E17" s="3">
        <v>154</v>
      </c>
      <c r="F17">
        <v>27</v>
      </c>
      <c r="G17">
        <v>2</v>
      </c>
      <c r="H17">
        <v>1</v>
      </c>
      <c r="I17">
        <v>0</v>
      </c>
      <c r="J17">
        <v>0</v>
      </c>
      <c r="K17">
        <v>0</v>
      </c>
      <c r="L17">
        <v>0</v>
      </c>
      <c r="M17" s="4">
        <f>Table1[[#This Row],[Downloads]]/Table1[[#This Row],[Views]]</f>
        <v>0.17532467532467533</v>
      </c>
      <c r="N17" s="4">
        <f>Table1[[#This Row],[Likes]]/Table1[[#This Row],[Views]]</f>
        <v>1.2987012987012988E-2</v>
      </c>
      <c r="O17" s="4">
        <f>Table1[[#This Row],[Collects]]/Table1[[#This Row],[Views]]</f>
        <v>6.4935064935064939E-3</v>
      </c>
      <c r="P17" s="4">
        <f>Table1[[#This Row],[Views]]/Table1[[#This Row],[Age]]</f>
        <v>0.47384615384615386</v>
      </c>
      <c r="Q17" s="4">
        <f>Table1[[#This Row],[Downloads]]/Table1[[#This Row],[Age]]</f>
        <v>8.3076923076923076E-2</v>
      </c>
      <c r="R17" s="4">
        <f>Table1[[#This Row],[Likes]]/Table1[[#This Row],[Age]]</f>
        <v>6.1538461538461538E-3</v>
      </c>
      <c r="S17" s="4">
        <f>Table1[[#This Row],[Collects]]/Table1[[#This Row],[Age]]</f>
        <v>3.0769230769230769E-3</v>
      </c>
      <c r="T17" s="4">
        <f>(4*Table1[[#This Row],[Collects]])+(3*Table1[[#This Row],[Likes]])+(2*Table1[[#This Row],[Downloads]])+Table1[[#This Row],[Views]]</f>
        <v>218</v>
      </c>
      <c r="U17" s="4">
        <f>Table1[[#This Row],[Score]]/Table1[[#This Row],[Age]]</f>
        <v>0.67076923076923078</v>
      </c>
      <c r="V17" s="4">
        <f>Table1[[#This Row],[Score]]/Table1[[#This Row],[Views]]</f>
        <v>1.4155844155844155</v>
      </c>
    </row>
    <row r="18" spans="1:22" x14ac:dyDescent="0.25">
      <c r="A18" s="1">
        <v>46075</v>
      </c>
      <c r="B18" t="s">
        <v>3</v>
      </c>
      <c r="C18" s="1">
        <v>45932</v>
      </c>
      <c r="D18" s="2">
        <f>Table1[[#This Row],[Date]]-Table1[[#This Row],[Published]]</f>
        <v>143</v>
      </c>
      <c r="E18" s="3">
        <v>116</v>
      </c>
      <c r="F18">
        <v>11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 s="4">
        <f>Table1[[#This Row],[Downloads]]/Table1[[#This Row],[Views]]</f>
        <v>9.4827586206896547E-2</v>
      </c>
      <c r="N18" s="4">
        <f>Table1[[#This Row],[Likes]]/Table1[[#This Row],[Views]]</f>
        <v>8.6206896551724137E-3</v>
      </c>
      <c r="O18" s="4">
        <f>Table1[[#This Row],[Collects]]/Table1[[#This Row],[Views]]</f>
        <v>0</v>
      </c>
      <c r="P18" s="4">
        <f>Table1[[#This Row],[Views]]/Table1[[#This Row],[Age]]</f>
        <v>0.81118881118881114</v>
      </c>
      <c r="Q18" s="4">
        <f>Table1[[#This Row],[Downloads]]/Table1[[#This Row],[Age]]</f>
        <v>7.6923076923076927E-2</v>
      </c>
      <c r="R18" s="4">
        <f>Table1[[#This Row],[Likes]]/Table1[[#This Row],[Age]]</f>
        <v>6.993006993006993E-3</v>
      </c>
      <c r="S18" s="4">
        <f>Table1[[#This Row],[Collects]]/Table1[[#This Row],[Age]]</f>
        <v>0</v>
      </c>
      <c r="T18" s="4">
        <f>(4*Table1[[#This Row],[Collects]])+(3*Table1[[#This Row],[Likes]])+(2*Table1[[#This Row],[Downloads]])+Table1[[#This Row],[Views]]</f>
        <v>141</v>
      </c>
      <c r="U18" s="4">
        <f>Table1[[#This Row],[Score]]/Table1[[#This Row],[Age]]</f>
        <v>0.98601398601398604</v>
      </c>
      <c r="V18" s="4">
        <f>Table1[[#This Row],[Score]]/Table1[[#This Row],[Views]]</f>
        <v>1.2155172413793103</v>
      </c>
    </row>
    <row r="19" spans="1:22" x14ac:dyDescent="0.25">
      <c r="A19" s="1">
        <v>46075</v>
      </c>
      <c r="B19" t="s">
        <v>4</v>
      </c>
      <c r="C19" s="1">
        <v>46034</v>
      </c>
      <c r="D19" s="2">
        <f>Table1[[#This Row],[Date]]-Table1[[#This Row],[Published]]</f>
        <v>41</v>
      </c>
      <c r="E19" s="3">
        <v>85</v>
      </c>
      <c r="F19">
        <v>24</v>
      </c>
      <c r="G19">
        <v>2</v>
      </c>
      <c r="H19">
        <v>0</v>
      </c>
      <c r="I19">
        <v>0</v>
      </c>
      <c r="J19">
        <v>0</v>
      </c>
      <c r="K19">
        <v>0</v>
      </c>
      <c r="L19">
        <v>0</v>
      </c>
      <c r="M19" s="4">
        <f>Table1[[#This Row],[Downloads]]/Table1[[#This Row],[Views]]</f>
        <v>0.28235294117647058</v>
      </c>
      <c r="N19" s="4">
        <f>Table1[[#This Row],[Likes]]/Table1[[#This Row],[Views]]</f>
        <v>2.3529411764705882E-2</v>
      </c>
      <c r="O19" s="4">
        <f>Table1[[#This Row],[Collects]]/Table1[[#This Row],[Views]]</f>
        <v>0</v>
      </c>
      <c r="P19" s="4">
        <f>Table1[[#This Row],[Views]]/Table1[[#This Row],[Age]]</f>
        <v>2.0731707317073171</v>
      </c>
      <c r="Q19" s="4">
        <f>Table1[[#This Row],[Downloads]]/Table1[[#This Row],[Age]]</f>
        <v>0.58536585365853655</v>
      </c>
      <c r="R19" s="4">
        <f>Table1[[#This Row],[Likes]]/Table1[[#This Row],[Age]]</f>
        <v>4.878048780487805E-2</v>
      </c>
      <c r="S19" s="4">
        <f>Table1[[#This Row],[Collects]]/Table1[[#This Row],[Age]]</f>
        <v>0</v>
      </c>
      <c r="T19" s="4">
        <f>(4*Table1[[#This Row],[Collects]])+(3*Table1[[#This Row],[Likes]])+(2*Table1[[#This Row],[Downloads]])+Table1[[#This Row],[Views]]</f>
        <v>139</v>
      </c>
      <c r="U19" s="4">
        <f>Table1[[#This Row],[Score]]/Table1[[#This Row],[Age]]</f>
        <v>3.3902439024390243</v>
      </c>
      <c r="V19" s="4">
        <f>Table1[[#This Row],[Score]]/Table1[[#This Row],[Views]]</f>
        <v>1.6352941176470588</v>
      </c>
    </row>
    <row r="20" spans="1:22" x14ac:dyDescent="0.25">
      <c r="A20" s="1">
        <v>46081</v>
      </c>
      <c r="B20" t="s">
        <v>0</v>
      </c>
      <c r="C20" s="1">
        <v>45784</v>
      </c>
      <c r="D20" s="2">
        <f>Table1[[#This Row],[Date]]-Table1[[#This Row],[Published]]</f>
        <v>297</v>
      </c>
      <c r="E20" s="3">
        <v>693</v>
      </c>
      <c r="F20">
        <v>158</v>
      </c>
      <c r="G20">
        <v>12</v>
      </c>
      <c r="H20">
        <v>5</v>
      </c>
      <c r="I20">
        <v>0</v>
      </c>
      <c r="J20">
        <v>0</v>
      </c>
      <c r="K20">
        <v>0</v>
      </c>
      <c r="L20">
        <v>0</v>
      </c>
      <c r="M20" s="4">
        <f>Table1[[#This Row],[Downloads]]/Table1[[#This Row],[Views]]</f>
        <v>0.227994227994228</v>
      </c>
      <c r="N20" s="4">
        <f>Table1[[#This Row],[Likes]]/Table1[[#This Row],[Views]]</f>
        <v>1.7316017316017316E-2</v>
      </c>
      <c r="O20" s="4">
        <f>Table1[[#This Row],[Collects]]/Table1[[#This Row],[Views]]</f>
        <v>7.215007215007215E-3</v>
      </c>
      <c r="P20" s="4">
        <f>Table1[[#This Row],[Views]]/Table1[[#This Row],[Age]]</f>
        <v>2.3333333333333335</v>
      </c>
      <c r="Q20" s="4">
        <f>Table1[[#This Row],[Downloads]]/Table1[[#This Row],[Age]]</f>
        <v>0.53198653198653201</v>
      </c>
      <c r="R20" s="4">
        <f>Table1[[#This Row],[Likes]]/Table1[[#This Row],[Age]]</f>
        <v>4.0404040404040407E-2</v>
      </c>
      <c r="S20" s="4">
        <f>Table1[[#This Row],[Collects]]/Table1[[#This Row],[Age]]</f>
        <v>1.6835016835016835E-2</v>
      </c>
      <c r="T20" s="4">
        <f>(4*Table1[[#This Row],[Collects]])+(3*Table1[[#This Row],[Likes]])+(2*Table1[[#This Row],[Downloads]])+Table1[[#This Row],[Views]]</f>
        <v>1065</v>
      </c>
      <c r="U20" s="4">
        <f>Table1[[#This Row],[Score]]/Table1[[#This Row],[Age]]</f>
        <v>3.5858585858585861</v>
      </c>
      <c r="V20" s="4">
        <f>Table1[[#This Row],[Score]]/Table1[[#This Row],[Views]]</f>
        <v>1.5367965367965368</v>
      </c>
    </row>
    <row r="21" spans="1:22" x14ac:dyDescent="0.25">
      <c r="A21" s="1">
        <v>46081</v>
      </c>
      <c r="B21" t="s">
        <v>1</v>
      </c>
      <c r="C21" s="1">
        <v>45785</v>
      </c>
      <c r="D21" s="2">
        <f>Table1[[#This Row],[Date]]-Table1[[#This Row],[Published]]</f>
        <v>296</v>
      </c>
      <c r="E21" s="3">
        <v>328</v>
      </c>
      <c r="F21">
        <v>85</v>
      </c>
      <c r="G21">
        <v>4</v>
      </c>
      <c r="H21">
        <v>0</v>
      </c>
      <c r="I21">
        <v>0</v>
      </c>
      <c r="J21">
        <v>0</v>
      </c>
      <c r="K21">
        <v>0</v>
      </c>
      <c r="L21">
        <v>0</v>
      </c>
      <c r="M21" s="4">
        <f>Table1[[#This Row],[Downloads]]/Table1[[#This Row],[Views]]</f>
        <v>0.25914634146341464</v>
      </c>
      <c r="N21" s="4">
        <f>Table1[[#This Row],[Likes]]/Table1[[#This Row],[Views]]</f>
        <v>1.2195121951219513E-2</v>
      </c>
      <c r="O21" s="4">
        <f>Table1[[#This Row],[Collects]]/Table1[[#This Row],[Views]]</f>
        <v>0</v>
      </c>
      <c r="P21" s="4">
        <f>Table1[[#This Row],[Views]]/Table1[[#This Row],[Age]]</f>
        <v>1.1081081081081081</v>
      </c>
      <c r="Q21" s="4">
        <f>Table1[[#This Row],[Downloads]]/Table1[[#This Row],[Age]]</f>
        <v>0.28716216216216217</v>
      </c>
      <c r="R21" s="4">
        <f>Table1[[#This Row],[Likes]]/Table1[[#This Row],[Age]]</f>
        <v>1.3513513513513514E-2</v>
      </c>
      <c r="S21" s="4">
        <f>Table1[[#This Row],[Collects]]/Table1[[#This Row],[Age]]</f>
        <v>0</v>
      </c>
      <c r="T21" s="4">
        <f>(4*Table1[[#This Row],[Collects]])+(3*Table1[[#This Row],[Likes]])+(2*Table1[[#This Row],[Downloads]])+Table1[[#This Row],[Views]]</f>
        <v>510</v>
      </c>
      <c r="U21" s="4">
        <f>Table1[[#This Row],[Score]]/Table1[[#This Row],[Age]]</f>
        <v>1.722972972972973</v>
      </c>
      <c r="V21" s="4">
        <f>Table1[[#This Row],[Score]]/Table1[[#This Row],[Views]]</f>
        <v>1.5548780487804879</v>
      </c>
    </row>
    <row r="22" spans="1:22" x14ac:dyDescent="0.25">
      <c r="A22" s="1">
        <v>46081</v>
      </c>
      <c r="B22" t="s">
        <v>2</v>
      </c>
      <c r="C22" s="1">
        <v>45930</v>
      </c>
      <c r="D22" s="2">
        <f>Table1[[#This Row],[Date]]-Table1[[#This Row],[Published]]</f>
        <v>151</v>
      </c>
      <c r="E22" s="3">
        <v>226</v>
      </c>
      <c r="F22">
        <v>100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 s="4">
        <f>Table1[[#This Row],[Downloads]]/Table1[[#This Row],[Views]]</f>
        <v>0.44247787610619471</v>
      </c>
      <c r="N22" s="4">
        <f>Table1[[#This Row],[Likes]]/Table1[[#This Row],[Views]]</f>
        <v>2.2123893805309734E-2</v>
      </c>
      <c r="O22" s="4">
        <f>Table1[[#This Row],[Collects]]/Table1[[#This Row],[Views]]</f>
        <v>0</v>
      </c>
      <c r="P22" s="4">
        <f>Table1[[#This Row],[Views]]/Table1[[#This Row],[Age]]</f>
        <v>1.4966887417218544</v>
      </c>
      <c r="Q22" s="4">
        <f>Table1[[#This Row],[Downloads]]/Table1[[#This Row],[Age]]</f>
        <v>0.66225165562913912</v>
      </c>
      <c r="R22" s="4">
        <f>Table1[[#This Row],[Likes]]/Table1[[#This Row],[Age]]</f>
        <v>3.3112582781456956E-2</v>
      </c>
      <c r="S22" s="4">
        <f>Table1[[#This Row],[Collects]]/Table1[[#This Row],[Age]]</f>
        <v>0</v>
      </c>
      <c r="T22" s="4">
        <f>(4*Table1[[#This Row],[Collects]])+(3*Table1[[#This Row],[Likes]])+(2*Table1[[#This Row],[Downloads]])+Table1[[#This Row],[Views]]</f>
        <v>441</v>
      </c>
      <c r="U22" s="4">
        <f>Table1[[#This Row],[Score]]/Table1[[#This Row],[Age]]</f>
        <v>2.9205298013245033</v>
      </c>
      <c r="V22" s="4">
        <f>Table1[[#This Row],[Score]]/Table1[[#This Row],[Views]]</f>
        <v>1.9513274336283186</v>
      </c>
    </row>
    <row r="23" spans="1:22" x14ac:dyDescent="0.25">
      <c r="A23" s="1">
        <v>46081</v>
      </c>
      <c r="B23" t="s">
        <v>13</v>
      </c>
      <c r="C23" s="1">
        <v>45750</v>
      </c>
      <c r="D23" s="2">
        <f>Table1[[#This Row],[Date]]-Table1[[#This Row],[Published]]</f>
        <v>331</v>
      </c>
      <c r="E23" s="3">
        <v>164</v>
      </c>
      <c r="F23">
        <v>29</v>
      </c>
      <c r="G23">
        <v>3</v>
      </c>
      <c r="H23">
        <v>2</v>
      </c>
      <c r="I23">
        <v>0</v>
      </c>
      <c r="J23">
        <v>0</v>
      </c>
      <c r="K23">
        <v>0</v>
      </c>
      <c r="L23">
        <v>0</v>
      </c>
      <c r="M23" s="4">
        <f>Table1[[#This Row],[Downloads]]/Table1[[#This Row],[Views]]</f>
        <v>0.17682926829268292</v>
      </c>
      <c r="N23" s="4">
        <f>Table1[[#This Row],[Likes]]/Table1[[#This Row],[Views]]</f>
        <v>1.8292682926829267E-2</v>
      </c>
      <c r="O23" s="4">
        <f>Table1[[#This Row],[Collects]]/Table1[[#This Row],[Views]]</f>
        <v>1.2195121951219513E-2</v>
      </c>
      <c r="P23" s="4">
        <f>Table1[[#This Row],[Views]]/Table1[[#This Row],[Age]]</f>
        <v>0.49546827794561932</v>
      </c>
      <c r="Q23" s="4">
        <f>Table1[[#This Row],[Downloads]]/Table1[[#This Row],[Age]]</f>
        <v>8.7613293051359523E-2</v>
      </c>
      <c r="R23" s="4">
        <f>Table1[[#This Row],[Likes]]/Table1[[#This Row],[Age]]</f>
        <v>9.0634441087613302E-3</v>
      </c>
      <c r="S23" s="4">
        <f>Table1[[#This Row],[Collects]]/Table1[[#This Row],[Age]]</f>
        <v>6.0422960725075529E-3</v>
      </c>
      <c r="T23" s="4">
        <f>(4*Table1[[#This Row],[Collects]])+(3*Table1[[#This Row],[Likes]])+(2*Table1[[#This Row],[Downloads]])+Table1[[#This Row],[Views]]</f>
        <v>239</v>
      </c>
      <c r="U23" s="4">
        <f>Table1[[#This Row],[Score]]/Table1[[#This Row],[Age]]</f>
        <v>0.72205438066465255</v>
      </c>
      <c r="V23" s="4">
        <f>Table1[[#This Row],[Score]]/Table1[[#This Row],[Views]]</f>
        <v>1.4573170731707317</v>
      </c>
    </row>
    <row r="24" spans="1:22" x14ac:dyDescent="0.25">
      <c r="A24" s="1">
        <v>46081</v>
      </c>
      <c r="B24" t="s">
        <v>3</v>
      </c>
      <c r="C24" s="1">
        <v>45932</v>
      </c>
      <c r="D24" s="2">
        <f>Table1[[#This Row],[Date]]-Table1[[#This Row],[Published]]</f>
        <v>149</v>
      </c>
      <c r="E24" s="3">
        <v>123</v>
      </c>
      <c r="F24">
        <v>12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 s="4">
        <f>Table1[[#This Row],[Downloads]]/Table1[[#This Row],[Views]]</f>
        <v>9.7560975609756101E-2</v>
      </c>
      <c r="N24" s="4">
        <f>Table1[[#This Row],[Likes]]/Table1[[#This Row],[Views]]</f>
        <v>8.130081300813009E-3</v>
      </c>
      <c r="O24" s="4">
        <f>Table1[[#This Row],[Collects]]/Table1[[#This Row],[Views]]</f>
        <v>8.130081300813009E-3</v>
      </c>
      <c r="P24" s="4">
        <f>Table1[[#This Row],[Views]]/Table1[[#This Row],[Age]]</f>
        <v>0.82550335570469802</v>
      </c>
      <c r="Q24" s="4">
        <f>Table1[[#This Row],[Downloads]]/Table1[[#This Row],[Age]]</f>
        <v>8.0536912751677847E-2</v>
      </c>
      <c r="R24" s="4">
        <f>Table1[[#This Row],[Likes]]/Table1[[#This Row],[Age]]</f>
        <v>6.7114093959731542E-3</v>
      </c>
      <c r="S24" s="4">
        <f>Table1[[#This Row],[Collects]]/Table1[[#This Row],[Age]]</f>
        <v>6.7114093959731542E-3</v>
      </c>
      <c r="T24" s="4">
        <f>(4*Table1[[#This Row],[Collects]])+(3*Table1[[#This Row],[Likes]])+(2*Table1[[#This Row],[Downloads]])+Table1[[#This Row],[Views]]</f>
        <v>154</v>
      </c>
      <c r="U24" s="4">
        <f>Table1[[#This Row],[Score]]/Table1[[#This Row],[Age]]</f>
        <v>1.0335570469798658</v>
      </c>
      <c r="V24" s="4">
        <f>Table1[[#This Row],[Score]]/Table1[[#This Row],[Views]]</f>
        <v>1.2520325203252032</v>
      </c>
    </row>
    <row r="25" spans="1:22" x14ac:dyDescent="0.25">
      <c r="A25" s="1">
        <v>46081</v>
      </c>
      <c r="B25" t="s">
        <v>4</v>
      </c>
      <c r="C25" s="1">
        <v>46034</v>
      </c>
      <c r="D25" s="2">
        <f>Table1[[#This Row],[Date]]-Table1[[#This Row],[Published]]</f>
        <v>47</v>
      </c>
      <c r="E25" s="3">
        <v>86</v>
      </c>
      <c r="F25">
        <v>24</v>
      </c>
      <c r="G25">
        <v>2</v>
      </c>
      <c r="H25">
        <v>0</v>
      </c>
      <c r="I25">
        <v>0</v>
      </c>
      <c r="J25">
        <v>0</v>
      </c>
      <c r="K25">
        <v>0</v>
      </c>
      <c r="L25">
        <v>0</v>
      </c>
      <c r="M25" s="4">
        <f>Table1[[#This Row],[Downloads]]/Table1[[#This Row],[Views]]</f>
        <v>0.27906976744186046</v>
      </c>
      <c r="N25" s="4">
        <f>Table1[[#This Row],[Likes]]/Table1[[#This Row],[Views]]</f>
        <v>2.3255813953488372E-2</v>
      </c>
      <c r="O25" s="4">
        <f>Table1[[#This Row],[Collects]]/Table1[[#This Row],[Views]]</f>
        <v>0</v>
      </c>
      <c r="P25" s="4">
        <f>Table1[[#This Row],[Views]]/Table1[[#This Row],[Age]]</f>
        <v>1.8297872340425532</v>
      </c>
      <c r="Q25" s="4">
        <f>Table1[[#This Row],[Downloads]]/Table1[[#This Row],[Age]]</f>
        <v>0.51063829787234039</v>
      </c>
      <c r="R25" s="4">
        <f>Table1[[#This Row],[Likes]]/Table1[[#This Row],[Age]]</f>
        <v>4.2553191489361701E-2</v>
      </c>
      <c r="S25" s="4">
        <f>Table1[[#This Row],[Collects]]/Table1[[#This Row],[Age]]</f>
        <v>0</v>
      </c>
      <c r="T25" s="4">
        <f>(4*Table1[[#This Row],[Collects]])+(3*Table1[[#This Row],[Likes]])+(2*Table1[[#This Row],[Downloads]])+Table1[[#This Row],[Views]]</f>
        <v>140</v>
      </c>
      <c r="U25" s="4">
        <f>Table1[[#This Row],[Score]]/Table1[[#This Row],[Age]]</f>
        <v>2.978723404255319</v>
      </c>
      <c r="V25" s="4">
        <f>Table1[[#This Row],[Score]]/Table1[[#This Row],[Views]]</f>
        <v>1.6279069767441861</v>
      </c>
    </row>
  </sheetData>
  <conditionalFormatting sqref="C1:D7 D8:E1048576 C8:C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E1048576 D1:D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1048576 E1:E2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:G1048576 F1:F2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48576 G1: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:N1048576 M1:M2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:O1048576 N1:N2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:Q1048576 O1:P2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8:R1048576 Q1:Q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8:S1048576 R1:R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8:T1048576 S1:S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8:U1048576 T1:T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048576 U1:U2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8:W1048576 V1:V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Jordan Briggs</dc:creator>
  <cp:lastModifiedBy>Avery Jordan Briggs</cp:lastModifiedBy>
  <dcterms:created xsi:type="dcterms:W3CDTF">2026-02-11T04:15:18Z</dcterms:created>
  <dcterms:modified xsi:type="dcterms:W3CDTF">2026-03-05T21:40:50Z</dcterms:modified>
</cp:coreProperties>
</file>