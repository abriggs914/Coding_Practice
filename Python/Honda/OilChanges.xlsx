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Honda\"/>
    </mc:Choice>
  </mc:AlternateContent>
  <xr:revisionPtr revIDLastSave="0" documentId="13_ncr:1_{D7E716B4-D5D0-49DB-9373-8896693C9AF6}" xr6:coauthVersionLast="47" xr6:coauthVersionMax="47" xr10:uidLastSave="{00000000-0000-0000-0000-000000000000}"/>
  <bookViews>
    <workbookView xWindow="-120" yWindow="-120" windowWidth="29040" windowHeight="15840" xr2:uid="{0BDFFAC0-D6A6-46C6-97D9-42BA07E905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5" i="2"/>
  <c r="B10" i="2"/>
  <c r="B8" i="2"/>
  <c r="D3" i="1"/>
  <c r="D4" i="1"/>
  <c r="D5" i="1"/>
  <c r="D6" i="1"/>
  <c r="D7" i="1"/>
  <c r="B6" i="2"/>
  <c r="B2" i="2"/>
  <c r="B3" i="2" s="1"/>
  <c r="C7" i="1"/>
  <c r="E7" i="1" s="1"/>
  <c r="B9" i="2" s="1"/>
  <c r="E4" i="1"/>
  <c r="E5" i="1"/>
  <c r="E6" i="1"/>
  <c r="C4" i="1"/>
  <c r="C5" i="1"/>
  <c r="C6" i="1"/>
  <c r="C3" i="1"/>
  <c r="E3" i="1" s="1"/>
  <c r="B7" i="2" l="1"/>
</calcChain>
</file>

<file path=xl/sharedStrings.xml><?xml version="1.0" encoding="utf-8"?>
<sst xmlns="http://schemas.openxmlformats.org/spreadsheetml/2006/main" count="14" uniqueCount="14">
  <si>
    <t>Date</t>
  </si>
  <si>
    <t>Kms</t>
  </si>
  <si>
    <t>KmsSinceLast</t>
  </si>
  <si>
    <t>KmsOver10K</t>
  </si>
  <si>
    <t>Total Days Owned</t>
  </si>
  <si>
    <t>Total Years Owned</t>
  </si>
  <si>
    <t>Next Oil Change Kms</t>
  </si>
  <si>
    <t>Next Oil Change Date</t>
  </si>
  <si>
    <t>Average Kms Between Changes</t>
  </si>
  <si>
    <t>DaysSinceLast</t>
  </si>
  <si>
    <t>Average Days Between Changes</t>
  </si>
  <si>
    <t>Average +/- Over 10K</t>
  </si>
  <si>
    <t>Sum +/- Over 10K</t>
  </si>
  <si>
    <t>Total Kms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</si>
</sst>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8FD62-4C45-4B43-88E1-2C7F11AB608B}" name="Table1" displayName="Table1" ref="A1:E7" totalsRowShown="0">
  <autoFilter ref="A1:E7" xr:uid="{A418FD62-4C45-4B43-88E1-2C7F11AB608B}"/>
  <tableColumns count="5">
    <tableColumn id="1" xr3:uid="{0EBCE222-EC4E-4FDA-8CF6-5627937AF34F}" name="Date" dataDxfId="1"/>
    <tableColumn id="2" xr3:uid="{4AD15C93-B839-477D-BBC3-BD5333CFF9DD}" name="Kms"/>
    <tableColumn id="3" xr3:uid="{D343833D-5EFD-44CC-8DDF-4BC9395D8E87}" name="KmsSinceLast">
      <calculatedColumnFormula>B2-B1</calculatedColumnFormula>
    </tableColumn>
    <tableColumn id="5" xr3:uid="{6550CDD1-CEA8-4A69-B5A7-DE6DEAEC3939}" name="DaysSinceLast" dataDxfId="0">
      <calculatedColumnFormula>Table1[[#This Row],[Date]]-A1</calculatedColumnFormula>
    </tableColumn>
    <tableColumn id="4" xr3:uid="{85F34F5F-846A-4ED9-BD27-B167441317DE}" name="KmsOver10K">
      <calculatedColumnFormula>C2-10000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5D60-7C6D-4F3E-8483-0AC503887BCA}">
  <dimension ref="A1:E7"/>
  <sheetViews>
    <sheetView tabSelected="1" workbookViewId="0">
      <selection activeCell="B3" sqref="B3"/>
    </sheetView>
  </sheetViews>
  <sheetFormatPr defaultRowHeight="15" x14ac:dyDescent="0.25"/>
  <cols>
    <col min="1" max="1" width="10.42578125" bestFit="1" customWidth="1"/>
    <col min="2" max="2" width="7" bestFit="1" customWidth="1"/>
    <col min="3" max="3" width="15.140625" bestFit="1" customWidth="1"/>
    <col min="4" max="4" width="15.7109375" style="2" bestFit="1" customWidth="1"/>
    <col min="5" max="5" width="1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9</v>
      </c>
      <c r="E1" t="s">
        <v>3</v>
      </c>
    </row>
    <row r="2" spans="1:5" x14ac:dyDescent="0.25">
      <c r="A2" s="1">
        <v>45216</v>
      </c>
      <c r="B2">
        <v>0</v>
      </c>
      <c r="C2">
        <v>0</v>
      </c>
      <c r="D2" s="2">
        <v>0</v>
      </c>
      <c r="E2">
        <v>0</v>
      </c>
    </row>
    <row r="3" spans="1:5" x14ac:dyDescent="0.25">
      <c r="A3" s="1">
        <v>45412</v>
      </c>
      <c r="B3">
        <v>13413</v>
      </c>
      <c r="C3">
        <f>B3-B2</f>
        <v>13413</v>
      </c>
      <c r="D3" s="2">
        <f>Table1[[#This Row],[Date]]-A2</f>
        <v>196</v>
      </c>
      <c r="E3">
        <f>C3-10000</f>
        <v>3413</v>
      </c>
    </row>
    <row r="4" spans="1:5" x14ac:dyDescent="0.25">
      <c r="A4" s="1">
        <v>45526</v>
      </c>
      <c r="B4">
        <v>23245</v>
      </c>
      <c r="C4">
        <f t="shared" ref="C4:C7" si="0">B4-B3</f>
        <v>9832</v>
      </c>
      <c r="D4" s="2">
        <f>Table1[[#This Row],[Date]]-A3</f>
        <v>114</v>
      </c>
      <c r="E4">
        <f t="shared" ref="E4:E7" si="1">C4-10000</f>
        <v>-168</v>
      </c>
    </row>
    <row r="5" spans="1:5" x14ac:dyDescent="0.25">
      <c r="A5" s="1">
        <v>45679</v>
      </c>
      <c r="B5">
        <v>32388</v>
      </c>
      <c r="C5">
        <f t="shared" si="0"/>
        <v>9143</v>
      </c>
      <c r="D5" s="2">
        <f>Table1[[#This Row],[Date]]-A4</f>
        <v>153</v>
      </c>
      <c r="E5">
        <f t="shared" si="1"/>
        <v>-857</v>
      </c>
    </row>
    <row r="6" spans="1:5" x14ac:dyDescent="0.25">
      <c r="A6" s="1">
        <v>45954</v>
      </c>
      <c r="B6">
        <v>46224</v>
      </c>
      <c r="C6">
        <f t="shared" si="0"/>
        <v>13836</v>
      </c>
      <c r="D6" s="2">
        <f>Table1[[#This Row],[Date]]-A5</f>
        <v>275</v>
      </c>
      <c r="E6">
        <f t="shared" si="1"/>
        <v>3836</v>
      </c>
    </row>
    <row r="7" spans="1:5" x14ac:dyDescent="0.25">
      <c r="A7" s="1">
        <v>46276</v>
      </c>
      <c r="B7">
        <v>54500</v>
      </c>
      <c r="C7">
        <f t="shared" si="0"/>
        <v>8276</v>
      </c>
      <c r="D7" s="2">
        <f>Table1[[#This Row],[Date]]-A6</f>
        <v>322</v>
      </c>
      <c r="E7">
        <f t="shared" si="1"/>
        <v>-1724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8BC6-DCDD-494B-BFCB-92DB7C456785}">
  <dimension ref="A2:B10"/>
  <sheetViews>
    <sheetView workbookViewId="0">
      <selection activeCell="E10" sqref="E10"/>
    </sheetView>
  </sheetViews>
  <sheetFormatPr defaultRowHeight="15" x14ac:dyDescent="0.25"/>
  <cols>
    <col min="1" max="1" width="29.28515625" bestFit="1" customWidth="1"/>
    <col min="2" max="2" width="10.42578125" bestFit="1" customWidth="1"/>
  </cols>
  <sheetData>
    <row r="2" spans="1:2" x14ac:dyDescent="0.25">
      <c r="A2" t="s">
        <v>4</v>
      </c>
      <c r="B2" s="2">
        <f ca="1">(NOW()-Sheet1!$A$2)</f>
        <v>1059.7004320601845</v>
      </c>
    </row>
    <row r="3" spans="1:2" x14ac:dyDescent="0.25">
      <c r="A3" t="s">
        <v>5</v>
      </c>
      <c r="B3" s="3">
        <f ca="1">B2/365</f>
        <v>2.9032888549594098</v>
      </c>
    </row>
    <row r="4" spans="1:2" x14ac:dyDescent="0.25">
      <c r="A4" t="s">
        <v>13</v>
      </c>
      <c r="B4" s="2">
        <f>MAX(Table1[Kms])</f>
        <v>54500</v>
      </c>
    </row>
    <row r="5" spans="1:2" x14ac:dyDescent="0.25">
      <c r="A5" t="s">
        <v>6</v>
      </c>
      <c r="B5">
        <f>MAX(Table1[Kms]) + 10000</f>
        <v>64500</v>
      </c>
    </row>
    <row r="6" spans="1:2" x14ac:dyDescent="0.25">
      <c r="A6" t="s">
        <v>7</v>
      </c>
      <c r="B6" s="1">
        <f>MAX(Table1[Date]) + 365</f>
        <v>46641</v>
      </c>
    </row>
    <row r="7" spans="1:2" x14ac:dyDescent="0.25">
      <c r="A7" t="s">
        <v>8</v>
      </c>
      <c r="B7">
        <f>AVERAGE(Table1[KmsSinceLast])</f>
        <v>9083.3333333333339</v>
      </c>
    </row>
    <row r="8" spans="1:2" x14ac:dyDescent="0.25">
      <c r="A8" t="s">
        <v>10</v>
      </c>
      <c r="B8">
        <f>AVERAGE(Table1[DaysSinceLast])</f>
        <v>176.66666666666666</v>
      </c>
    </row>
    <row r="9" spans="1:2" x14ac:dyDescent="0.25">
      <c r="A9" t="s">
        <v>11</v>
      </c>
      <c r="B9">
        <f>AVERAGE(Table1[KmsOver10K])</f>
        <v>750</v>
      </c>
    </row>
    <row r="10" spans="1:2" x14ac:dyDescent="0.25">
      <c r="A10" t="s">
        <v>12</v>
      </c>
      <c r="B10">
        <f>SUM(Table1[KmsOver10K])</f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2026-09-10T18:49:31Z</dcterms:created>
  <dcterms:modified xsi:type="dcterms:W3CDTF">2026-09-10T19:49:04Z</dcterms:modified>
</cp:coreProperties>
</file>