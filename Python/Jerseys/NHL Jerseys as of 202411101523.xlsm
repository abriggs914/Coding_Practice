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riggs\Documents\Coding_Practice\Python\Jerseys\"/>
    </mc:Choice>
  </mc:AlternateContent>
  <xr:revisionPtr revIDLastSave="0" documentId="13_ncr:1_{9638C681-D483-4EE2-B4E0-C289F956B37F}" xr6:coauthVersionLast="47" xr6:coauthVersionMax="47" xr10:uidLastSave="{00000000-0000-0000-0000-000000000000}"/>
  <bookViews>
    <workbookView xWindow="-120" yWindow="-120" windowWidth="29040" windowHeight="15840" activeTab="5" xr2:uid="{BA8CC626-EC21-40D4-90D0-12FE6302FD13}"/>
  </bookViews>
  <sheets>
    <sheet name="JerseyData" sheetId="1" r:id="rId1"/>
    <sheet name="JerseyImageData" sheetId="8" r:id="rId2"/>
    <sheet name="NikeJerseys" sheetId="7" r:id="rId3"/>
    <sheet name="Wishlist" sheetId="6" r:id="rId4"/>
    <sheet name="Reporting" sheetId="5" r:id="rId5"/>
    <sheet name="NHLTeams" sheetId="2" r:id="rId6"/>
    <sheet name="Divisions" sheetId="3" r:id="rId7"/>
    <sheet name="Conferences" sheetId="4" r:id="rId8"/>
    <sheet name="JerseysWornAtGames" sheetId="9" r:id="rId9"/>
  </sheets>
  <definedNames>
    <definedName name="_xlnm._FilterDatabase" localSheetId="0" hidden="1">JerseyData!$G$1:$G$103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2" i="1" l="1"/>
  <c r="AG62" i="1" s="1"/>
  <c r="AF63" i="1"/>
  <c r="AG63" i="1" s="1"/>
  <c r="AF64" i="1"/>
  <c r="AG64" i="1" s="1"/>
  <c r="AF65" i="1"/>
  <c r="AG65" i="1" s="1"/>
  <c r="AF66" i="1"/>
  <c r="AG66" i="1" s="1"/>
  <c r="AF67" i="1"/>
  <c r="AG67" i="1" s="1"/>
  <c r="AF68" i="1"/>
  <c r="AG68" i="1" s="1"/>
  <c r="AF69" i="1"/>
  <c r="AG69" i="1" s="1"/>
  <c r="AF70" i="1"/>
  <c r="AG70" i="1" s="1"/>
  <c r="AF71" i="1"/>
  <c r="AG71" i="1" s="1"/>
  <c r="AF72" i="1"/>
  <c r="AG72" i="1" s="1"/>
  <c r="AF73" i="1"/>
  <c r="AG73" i="1" s="1"/>
  <c r="AF74" i="1"/>
  <c r="AG74" i="1" s="1"/>
  <c r="AF75" i="1"/>
  <c r="AG75" i="1" s="1"/>
  <c r="AF76" i="1"/>
  <c r="AG76" i="1" s="1"/>
  <c r="AF77" i="1"/>
  <c r="AG77" i="1" s="1"/>
  <c r="AF78" i="1"/>
  <c r="AG78" i="1" s="1"/>
  <c r="AF79" i="1"/>
  <c r="AG79" i="1" s="1"/>
  <c r="AF80" i="1"/>
  <c r="AG80" i="1" s="1"/>
  <c r="AF81" i="1"/>
  <c r="AG81" i="1" s="1"/>
  <c r="AF82" i="1"/>
  <c r="AG82" i="1" s="1"/>
  <c r="AF83" i="1"/>
  <c r="AG83" i="1" s="1"/>
  <c r="AF84" i="1"/>
  <c r="AG84" i="1" s="1"/>
  <c r="AF85" i="1"/>
  <c r="AG85" i="1" s="1"/>
  <c r="AF86" i="1"/>
  <c r="AG86" i="1" s="1"/>
  <c r="AF87" i="1"/>
  <c r="AG87" i="1" s="1"/>
  <c r="AF88" i="1"/>
  <c r="AG88" i="1" s="1"/>
  <c r="AF89" i="1"/>
  <c r="AG89" i="1" s="1"/>
  <c r="AF90" i="1"/>
  <c r="AG90" i="1" s="1"/>
  <c r="AF91" i="1"/>
  <c r="AG91" i="1" s="1"/>
  <c r="AF92" i="1"/>
  <c r="AG92" i="1" s="1"/>
  <c r="AF93" i="1"/>
  <c r="AG93" i="1" s="1"/>
  <c r="AF94" i="1"/>
  <c r="AG94" i="1" s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I84" i="1"/>
  <c r="H84" i="1"/>
  <c r="I83" i="1"/>
  <c r="H83" i="1"/>
  <c r="I82" i="1"/>
  <c r="H82" i="1"/>
  <c r="I81" i="1"/>
  <c r="H81" i="1"/>
  <c r="AR76" i="1"/>
  <c r="AR77" i="1"/>
  <c r="AR78" i="1"/>
  <c r="AR79" i="1"/>
  <c r="AR80" i="1"/>
  <c r="AR81" i="1"/>
  <c r="AR82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2" i="1"/>
  <c r="H72" i="1"/>
  <c r="I73" i="1"/>
  <c r="H73" i="1"/>
  <c r="K9" i="5"/>
  <c r="P14" i="5"/>
  <c r="Q14" i="5"/>
  <c r="R14" i="5"/>
  <c r="P15" i="5"/>
  <c r="Q15" i="5"/>
  <c r="R15" i="5"/>
  <c r="H15" i="5"/>
  <c r="I15" i="5"/>
  <c r="J15" i="5"/>
  <c r="K15" i="5"/>
  <c r="L15" i="5"/>
  <c r="M15" i="5"/>
  <c r="N15" i="5"/>
  <c r="O15" i="5"/>
  <c r="G15" i="5"/>
  <c r="T6" i="5"/>
  <c r="T7" i="5"/>
  <c r="T8" i="5"/>
  <c r="T9" i="5"/>
  <c r="T10" i="5"/>
  <c r="T11" i="5"/>
  <c r="T12" i="5"/>
  <c r="T13" i="5"/>
  <c r="T5" i="5"/>
  <c r="S10" i="5"/>
  <c r="S11" i="5"/>
  <c r="S12" i="5"/>
  <c r="S13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L5" i="5"/>
  <c r="L6" i="5"/>
  <c r="L7" i="5"/>
  <c r="L8" i="5"/>
  <c r="L9" i="5"/>
  <c r="G9" i="5"/>
  <c r="H9" i="5"/>
  <c r="I9" i="5"/>
  <c r="J9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G6" i="5"/>
  <c r="G7" i="5"/>
  <c r="G8" i="5"/>
  <c r="G5" i="5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I71" i="1"/>
  <c r="H71" i="1"/>
  <c r="I70" i="1"/>
  <c r="H70" i="1"/>
  <c r="I69" i="1"/>
  <c r="H69" i="1"/>
  <c r="I68" i="1"/>
  <c r="H68" i="1"/>
  <c r="I67" i="1"/>
  <c r="H67" i="1"/>
  <c r="I66" i="1"/>
  <c r="H66" i="1"/>
  <c r="D3" i="7"/>
  <c r="AS2" i="7"/>
  <c r="AR2" i="7"/>
  <c r="AG2" i="7"/>
  <c r="E2" i="7"/>
  <c r="D2" i="7"/>
  <c r="I65" i="1"/>
  <c r="H65" i="1"/>
  <c r="I64" i="1"/>
  <c r="H64" i="1"/>
  <c r="AC57" i="1"/>
  <c r="AC56" i="1"/>
  <c r="AC55" i="1"/>
  <c r="AC54" i="1"/>
  <c r="AC53" i="1"/>
  <c r="AC52" i="1"/>
  <c r="AC51" i="1"/>
  <c r="AB53" i="1"/>
  <c r="AF53" i="1" s="1"/>
  <c r="AG53" i="1" s="1"/>
  <c r="AB57" i="1"/>
  <c r="AB56" i="1"/>
  <c r="AB55" i="1"/>
  <c r="AB54" i="1"/>
  <c r="AB52" i="1"/>
  <c r="AB51" i="1"/>
  <c r="AF57" i="1"/>
  <c r="AG57" i="1" s="1"/>
  <c r="AF49" i="1"/>
  <c r="AG49" i="1" s="1"/>
  <c r="AF50" i="1"/>
  <c r="AG50" i="1" s="1"/>
  <c r="AF52" i="1"/>
  <c r="AG52" i="1" s="1"/>
  <c r="AF58" i="1"/>
  <c r="AG58" i="1" s="1"/>
  <c r="AF59" i="1"/>
  <c r="AG59" i="1" s="1"/>
  <c r="AF60" i="1"/>
  <c r="AG60" i="1" s="1"/>
  <c r="AF61" i="1"/>
  <c r="AG61" i="1" s="1"/>
  <c r="AR60" i="1"/>
  <c r="I63" i="1"/>
  <c r="H63" i="1"/>
  <c r="I62" i="1"/>
  <c r="H62" i="1"/>
  <c r="I61" i="1"/>
  <c r="H61" i="1"/>
  <c r="I60" i="1"/>
  <c r="H60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R2" i="1"/>
  <c r="AR6" i="1"/>
  <c r="AR5" i="1"/>
  <c r="AR4" i="1"/>
  <c r="AR3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D27" i="5"/>
  <c r="D26" i="5"/>
  <c r="I59" i="1"/>
  <c r="H59" i="1"/>
  <c r="I58" i="1"/>
  <c r="H58" i="1"/>
  <c r="AF51" i="1" l="1"/>
  <c r="AG51" i="1" s="1"/>
  <c r="S5" i="5"/>
  <c r="N14" i="5"/>
  <c r="S8" i="5"/>
  <c r="J14" i="5"/>
  <c r="H14" i="5"/>
  <c r="M14" i="5"/>
  <c r="S7" i="5"/>
  <c r="I14" i="5"/>
  <c r="S6" i="5"/>
  <c r="L14" i="5"/>
  <c r="O14" i="5"/>
  <c r="G14" i="5"/>
  <c r="K14" i="5"/>
  <c r="S9" i="5"/>
  <c r="AF56" i="1"/>
  <c r="AG56" i="1" s="1"/>
  <c r="AF55" i="1"/>
  <c r="AG55" i="1" s="1"/>
  <c r="AF54" i="1"/>
  <c r="AG54" i="1" s="1"/>
  <c r="I57" i="1"/>
  <c r="H57" i="1"/>
  <c r="I56" i="1"/>
  <c r="H56" i="1"/>
  <c r="I55" i="1"/>
  <c r="H55" i="1"/>
  <c r="I51" i="1"/>
  <c r="H51" i="1"/>
  <c r="I54" i="1"/>
  <c r="H54" i="1"/>
  <c r="I53" i="1"/>
  <c r="H53" i="1"/>
  <c r="I52" i="1"/>
  <c r="H52" i="1"/>
  <c r="I50" i="1"/>
  <c r="H50" i="1"/>
  <c r="I49" i="1"/>
  <c r="H49" i="1"/>
  <c r="AC48" i="1"/>
  <c r="AC47" i="1"/>
  <c r="AF47" i="1" s="1"/>
  <c r="AG47" i="1" s="1"/>
  <c r="AC46" i="1"/>
  <c r="AF46" i="1" s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AA36" i="1"/>
  <c r="AF36" i="1" s="1"/>
  <c r="AG36" i="1" s="1"/>
  <c r="AA37" i="1"/>
  <c r="AA35" i="1"/>
  <c r="AF35" i="1" s="1"/>
  <c r="AG35" i="1" s="1"/>
  <c r="I36" i="1"/>
  <c r="H36" i="1"/>
  <c r="I37" i="1"/>
  <c r="H37" i="1"/>
  <c r="I35" i="1"/>
  <c r="H35" i="1"/>
  <c r="I34" i="1"/>
  <c r="H34" i="1"/>
  <c r="I33" i="1"/>
  <c r="H33" i="1"/>
  <c r="AB28" i="1"/>
  <c r="AF28" i="1" s="1"/>
  <c r="AG28" i="1" s="1"/>
  <c r="AB27" i="1"/>
  <c r="AF27" i="1" s="1"/>
  <c r="AG27" i="1" s="1"/>
  <c r="AB26" i="1"/>
  <c r="AF26" i="1" s="1"/>
  <c r="AG26" i="1" s="1"/>
  <c r="E25" i="5"/>
  <c r="D25" i="5"/>
  <c r="D24" i="5"/>
  <c r="D23" i="5"/>
  <c r="D22" i="5"/>
  <c r="D21" i="5"/>
  <c r="D20" i="5"/>
  <c r="AF34" i="1"/>
  <c r="AG34" i="1" s="1"/>
  <c r="AF33" i="1"/>
  <c r="AG33" i="1" s="1"/>
  <c r="AF32" i="1"/>
  <c r="AG32" i="1" s="1"/>
  <c r="AF31" i="1"/>
  <c r="AG31" i="1" s="1"/>
  <c r="AF30" i="1"/>
  <c r="AG30" i="1" s="1"/>
  <c r="AF29" i="1"/>
  <c r="AG29" i="1" s="1"/>
  <c r="I31" i="1"/>
  <c r="I32" i="1"/>
  <c r="I30" i="1"/>
  <c r="H32" i="1"/>
  <c r="H31" i="1"/>
  <c r="H30" i="1"/>
  <c r="I28" i="1"/>
  <c r="H28" i="1"/>
  <c r="I27" i="1"/>
  <c r="H27" i="1"/>
  <c r="I29" i="1"/>
  <c r="H29" i="1"/>
  <c r="I26" i="1"/>
  <c r="H26" i="1"/>
  <c r="I23" i="1"/>
  <c r="I24" i="1"/>
  <c r="I25" i="1"/>
  <c r="H25" i="1"/>
  <c r="H24" i="1"/>
  <c r="H23" i="1"/>
  <c r="I22" i="1"/>
  <c r="H22" i="1"/>
  <c r="C6" i="5"/>
  <c r="AF25" i="1"/>
  <c r="AG25" i="1" s="1"/>
  <c r="AF24" i="1"/>
  <c r="AG24" i="1" s="1"/>
  <c r="AF23" i="1"/>
  <c r="AG23" i="1" s="1"/>
  <c r="AF22" i="1"/>
  <c r="AG22" i="1" s="1"/>
  <c r="AC21" i="1"/>
  <c r="AF21" i="1" s="1"/>
  <c r="AG21" i="1" s="1"/>
  <c r="AC20" i="1"/>
  <c r="AF20" i="1" s="1"/>
  <c r="AG20" i="1" s="1"/>
  <c r="AC19" i="1"/>
  <c r="AF19" i="1" s="1"/>
  <c r="AG19" i="1" s="1"/>
  <c r="AC18" i="1"/>
  <c r="AF18" i="1" s="1"/>
  <c r="AG18" i="1" s="1"/>
  <c r="AC17" i="1"/>
  <c r="AF17" i="1" s="1"/>
  <c r="AG17" i="1" s="1"/>
  <c r="AC16" i="1"/>
  <c r="AF16" i="1" s="1"/>
  <c r="AG16" i="1" s="1"/>
  <c r="AC15" i="1"/>
  <c r="AF15" i="1" s="1"/>
  <c r="AG15" i="1" s="1"/>
  <c r="AF14" i="1"/>
  <c r="AG14" i="1" s="1"/>
  <c r="AF13" i="1"/>
  <c r="AG13" i="1" s="1"/>
  <c r="AF12" i="1"/>
  <c r="AG12" i="1" s="1"/>
  <c r="AF11" i="1"/>
  <c r="AG11" i="1" s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4" i="1"/>
  <c r="H3" i="1"/>
  <c r="H2" i="1"/>
  <c r="E10" i="1"/>
  <c r="E9" i="1"/>
  <c r="E8" i="1"/>
  <c r="E7" i="1"/>
  <c r="E6" i="1"/>
  <c r="E5" i="1"/>
  <c r="E4" i="1"/>
  <c r="E3" i="1"/>
  <c r="E2" i="1"/>
  <c r="F10" i="1"/>
  <c r="F9" i="1"/>
  <c r="F8" i="1"/>
  <c r="F7" i="1"/>
  <c r="F6" i="1"/>
  <c r="F5" i="1"/>
  <c r="F4" i="1"/>
  <c r="F3" i="1"/>
  <c r="F2" i="1"/>
  <c r="AC10" i="1"/>
  <c r="AF10" i="1" s="1"/>
  <c r="AG10" i="1" s="1"/>
  <c r="AC9" i="1"/>
  <c r="AF9" i="1" s="1"/>
  <c r="AG9" i="1" s="1"/>
  <c r="AC8" i="1"/>
  <c r="AF8" i="1" s="1"/>
  <c r="AG8" i="1" s="1"/>
  <c r="AD7" i="1"/>
  <c r="AD6" i="1"/>
  <c r="AD5" i="1"/>
  <c r="AC3" i="1"/>
  <c r="AF3" i="1" s="1"/>
  <c r="AG3" i="1" s="1"/>
  <c r="AC7" i="1"/>
  <c r="AC6" i="1"/>
  <c r="AC5" i="1"/>
  <c r="AF4" i="1"/>
  <c r="AG4" i="1" s="1"/>
  <c r="AG2" i="1"/>
  <c r="C5" i="5"/>
  <c r="C10" i="5" l="1"/>
  <c r="S14" i="5"/>
  <c r="T15" i="5" s="1"/>
  <c r="AF48" i="1"/>
  <c r="AG48" i="1" s="1"/>
  <c r="AF37" i="1"/>
  <c r="AG37" i="1" s="1"/>
  <c r="C15" i="5"/>
  <c r="C11" i="5"/>
  <c r="C14" i="5"/>
  <c r="C17" i="5"/>
  <c r="C16" i="5"/>
  <c r="AF6" i="1"/>
  <c r="AG6" i="1" s="1"/>
  <c r="AF7" i="1"/>
  <c r="AG7" i="1" s="1"/>
  <c r="AF5" i="1"/>
  <c r="AG5" i="1" s="1"/>
  <c r="C7" i="5" l="1"/>
</calcChain>
</file>

<file path=xl/sharedStrings.xml><?xml version="1.0" encoding="utf-8"?>
<sst xmlns="http://schemas.openxmlformats.org/spreadsheetml/2006/main" count="2045" uniqueCount="812">
  <si>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</si>
  <si>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</si>
  <si>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</si>
  <si>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</si>
  <si>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</si>
  <si>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</si>
  <si>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</si>
  <si>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</si>
  <si>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</si>
  <si>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</si>
  <si>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</si>
  <si>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</si>
  <si>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</si>
  <si>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</si>
  <si>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</si>
  <si>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</si>
  <si>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</si>
  <si>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</si>
  <si>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</si>
  <si>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</si>
  <si>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</si>
  <si>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</si>
  <si>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</si>
  <si>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</si>
  <si>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</si>
  <si>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</si>
  <si>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</si>
  <si>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</si>
  <si>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</si>
  <si>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</si>
  <si>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</si>
  <si>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</si>
  <si>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</si>
  <si>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</si>
  <si>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</si>
  <si>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</si>
  <si>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</si>
  <si>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</si>
  <si>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</si>
  <si>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</si>
  <si>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</si>
  <si>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</si>
  <si>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</si>
  <si>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</si>
  <si>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</si>
  <si>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</si>
  <si>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</si>
  <si>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</si>
  <si>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</si>
  <si>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</si>
  <si>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</si>
  <si>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</si>
  <si>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</si>
  <si>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</si>
  <si>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</si>
  <si>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</si>
  <si>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</si>
  <si>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</si>
  <si>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</si>
  <si>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</si>
  <si>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</si>
  <si>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</si>
  <si>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</si>
  <si>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</si>
  <si>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</si>
  <si>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</si>
  <si>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</si>
  <si>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</si>
  <si>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</si>
  <si>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</si>
  <si>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</si>
  <si>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</si>
  <si>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</si>
  <si>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</si>
  <si>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</si>
  <si>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</si>
  <si>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</si>
  <si>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</si>
  <si>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</si>
  <si>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</si>
  <si>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</si>
  <si>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</si>
  <si>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</si>
  <si>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</si>
  <si>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</si>
  <si>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</si>
  <si>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</si>
  <si>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</si>
  <si>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</si>
  <si>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</si>
  <si>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</si>
  <si>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</si>
  <si>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</si>
  <si>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</si>
  <si>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</si>
  <si>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</si>
  <si>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</si>
  <si>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</si>
  <si>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</si>
  <si>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</si>
  <si>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</si>
  <si>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</si>
  <si>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</si>
  <si>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</si>
  <si>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</si>
  <si>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</si>
  <si>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</si>
  <si>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</si>
  <si>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</si>
  <si>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</si>
  <si>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</si>
  <si>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</si>
  <si>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</si>
  <si>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</si>
  <si>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</si>
  <si>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</si>
  <si>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</si>
  <si>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</si>
  <si>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</si>
  <si>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</si>
  <si>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</si>
  <si>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</si>
  <si>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</si>
  <si>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</si>
  <si>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</si>
  <si>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</si>
  <si>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</si>
  <si>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</si>
  <si>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</si>
  <si>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</si>
  <si>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</si>
  <si>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</si>
  <si>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</si>
  <si>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</si>
  <si>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</si>
  <si>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</si>
  <si>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</si>
  <si>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</si>
  <si>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</si>
  <si>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</si>
  <si>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</si>
  <si>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</si>
  <si>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</si>
  <si>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</si>
  <si>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</si>
  <si>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</si>
  <si>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</si>
  <si>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</si>
  <si>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</si>
  <si>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</si>
  <si>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</si>
  <si>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</si>
  <si>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</si>
  <si>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</si>
  <si>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</si>
  <si>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</si>
  <si>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</si>
  <si>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</si>
  <si>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</si>
  <si>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</si>
  <si>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</si>
  <si>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</si>
  <si>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</si>
  <si>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</si>
  <si>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</si>
  <si>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</si>
  <si>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</si>
  <si>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</si>
  <si>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</si>
  <si>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</si>
  <si>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</si>
  <si>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</si>
  <si>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</si>
  <si>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</si>
  <si>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</si>
  <si>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</si>
  <si>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</si>
  <si>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</si>
  <si>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</si>
  <si>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</si>
  <si>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</si>
  <si>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</si>
  <si>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</si>
  <si>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</si>
  <si>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</si>
  <si>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</si>
  <si>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</si>
  <si>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</si>
  <si>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</si>
  <si>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</si>
  <si>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</si>
  <si>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</si>
  <si>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</si>
  <si>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</si>
  <si>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</si>
  <si>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</si>
  <si>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</si>
  <si>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</si>
  <si>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</si>
  <si>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</si>
  <si>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</si>
  <si>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</si>
  <si>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</si>
  <si>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</si>
  <si>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</si>
  <si>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</si>
  <si>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</si>
  <si>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</si>
  <si>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</si>
  <si>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</si>
  <si>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</si>
  <si>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</si>
  <si>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</si>
  <si>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</si>
  <si>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</si>
  <si>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</si>
  <si>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</si>
  <si>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</si>
  <si>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</si>
  <si>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</si>
  <si>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</si>
  <si>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</si>
  <si>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</si>
  <si>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</si>
  <si>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</si>
  <si>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</si>
  <si>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</si>
  <si>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</si>
  <si>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</si>
  <si>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</si>
  <si>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</si>
  <si>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</si>
  <si>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</si>
  <si>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</si>
  <si>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</si>
  <si>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</si>
  <si>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</si>
  <si>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</si>
  <si>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</si>
  <si>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</si>
  <si>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</si>
  <si>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</si>
  <si>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</si>
  <si>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</si>
  <si>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</si>
  <si>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</si>
  <si>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</si>
  <si>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</si>
  <si>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</si>
  <si>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</si>
  <si>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</si>
  <si>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</si>
  <si>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</si>
  <si>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</si>
  <si>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</si>
  <si>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</si>
  <si>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</si>
  <si>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</si>
  <si>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</si>
  <si>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</si>
  <si>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</si>
  <si>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</si>
  <si>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</si>
  <si>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</si>
  <si>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</si>
  <si>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</si>
  <si>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</si>
  <si>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</si>
  <si>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</si>
  <si>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</si>
  <si>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</si>
  <si>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</si>
  <si>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</si>
  <si>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</si>
  <si>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</si>
  <si>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</si>
  <si>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</si>
  <si>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</si>
  <si>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</si>
  <si>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</si>
  <si>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</si>
  <si>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</si>
  <si>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</si>
  <si>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</si>
  <si>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</si>
  <si>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</si>
  <si>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</si>
  <si>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</si>
  <si>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</si>
  <si>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</si>
  <si>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</si>
  <si>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</si>
  <si>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</si>
  <si>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</si>
  <si>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</si>
  <si>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</si>
  <si>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</si>
  <si>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</si>
  <si>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</si>
  <si>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</si>
  <si>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</si>
  <si>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</si>
  <si>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</si>
  <si>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</si>
  <si>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</si>
  <si>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</si>
  <si>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</si>
  <si>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</si>
  <si>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</si>
  <si>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</si>
  <si>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</si>
  <si>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</si>
  <si>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</si>
  <si>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</si>
  <si>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</si>
  <si>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</si>
  <si>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</si>
  <si>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</si>
  <si>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</si>
  <si>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</si>
  <si>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</si>
  <si>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</si>
  <si>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</si>
  <si>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</si>
  <si>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</si>
  <si>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</si>
  <si>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</si>
  <si>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</si>
  <si>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</si>
  <si>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</si>
  <si>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</si>
  <si>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</si>
  <si>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</si>
  <si>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</si>
  <si>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</si>
  <si>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</si>
  <si>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</si>
  <si>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</si>
  <si>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</si>
  <si>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</si>
  <si>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</si>
  <si>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</si>
  <si>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</si>
  <si>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</si>
  <si>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</si>
  <si>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</si>
  <si>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</si>
  <si>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</si>
  <si>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</si>
  <si>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</si>
  <si>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</si>
  <si>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</si>
  <si>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</si>
  <si>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</si>
  <si>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</si>
  <si>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</si>
  <si>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</si>
  <si>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</si>
  <si>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</si>
  <si>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</si>
  <si>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</si>
  <si>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</si>
  <si>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</si>
  <si>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</si>
  <si>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</si>
  <si>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</si>
  <si>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</si>
  <si>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</si>
  <si>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</si>
  <si>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</si>
  <si>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</si>
  <si>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</si>
  <si>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</si>
  <si>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</si>
  <si>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</si>
  <si>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</si>
  <si>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</si>
  <si>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</si>
  <si>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</si>
  <si>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</si>
  <si>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</si>
  <si>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</si>
  <si>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</si>
  <si>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</si>
  <si>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</si>
  <si>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</si>
  <si>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</si>
  <si>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</si>
  <si>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</si>
  <si>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</si>
  <si>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</si>
  <si>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</si>
  <si>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</si>
  <si>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</si>
  <si>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</si>
  <si>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</si>
  <si>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</si>
  <si>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</si>
  <si>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</si>
  <si>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</si>
  <si>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</si>
  <si>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</si>
  <si>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</si>
  <si>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</si>
  <si>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</si>
  <si>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</si>
  <si>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</si>
  <si>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</si>
  <si>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</si>
  <si>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</si>
  <si>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</si>
  <si>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</si>
  <si>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</si>
  <si>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</si>
  <si>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</si>
  <si>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</si>
  <si>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</si>
  <si>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</si>
  <si>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</si>
  <si>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</si>
  <si>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</si>
  <si>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</si>
  <si>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</si>
  <si>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</si>
  <si>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</si>
  <si>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</si>
  <si>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</si>
  <si>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</si>
  <si>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</si>
  <si>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</si>
  <si>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</si>
  <si>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</si>
  <si>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</si>
  <si>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</si>
  <si>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</si>
  <si>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</si>
  <si>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</si>
  <si>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</si>
  <si>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</si>
  <si>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</si>
  <si>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</si>
  <si>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</si>
  <si>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</si>
  <si>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</si>
  <si>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</si>
  <si>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</si>
  <si>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</si>
  <si>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</si>
  <si>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</si>
  <si>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</si>
  <si>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</si>
  <si>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</si>
  <si>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</si>
  <si>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</si>
  <si>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</si>
  <si>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</si>
  <si>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</si>
  <si>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</si>
  <si>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</si>
  <si>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</si>
  <si>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</si>
  <si>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</si>
  <si>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</si>
  <si>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</si>
  <si>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</si>
  <si>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</si>
  <si>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</si>
  <si>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</si>
  <si>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</si>
  <si>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</si>
  <si>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</si>
  <si>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</si>
  <si>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</si>
  <si>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</si>
  <si>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</si>
  <si>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</si>
  <si>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</si>
  <si>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</si>
  <si>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</si>
  <si>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</si>
  <si>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</si>
  <si>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</si>
  <si>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</si>
  <si>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</si>
  <si>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</si>
  <si>
    <t>FAKE</t>
  </si>
  <si>
    <t>Heritage Classic</t>
  </si>
  <si>
    <t>Centennial</t>
  </si>
  <si>
    <t>JerseyID</t>
  </si>
  <si>
    <t>JerseyImageID</t>
  </si>
  <si>
    <t>Path</t>
  </si>
  <si>
    <t>NoImageText</t>
  </si>
  <si>
    <t>D:\NHL jerseys\Jerseys 20240227\20240227_025651.jpg</t>
  </si>
  <si>
    <t>D:\NHL jerseys\Jerseys 20240227\20240227_025658.jpg</t>
  </si>
  <si>
    <t>D:\NHL jerseys\Jerseys 20240227\20240227_025724.jpg</t>
  </si>
  <si>
    <t>Pose</t>
  </si>
  <si>
    <t>Back</t>
  </si>
  <si>
    <t>Front</t>
  </si>
  <si>
    <t>D:\NHL jerseys\Jerseys 20240227\20240227_025609.jpg</t>
  </si>
  <si>
    <t>Sidney Crosby #87 Pittsburgh Penguins Adidas PrimeGreen Home Jersey Back</t>
  </si>
  <si>
    <t>Sidney Crosby #87 Pittsburgh Penguins Adidas PrimeGreen Home Jersey Right Sleve</t>
  </si>
  <si>
    <t>Sidney Crosby #87 Pittsburgh Penguins Adidas PrimeGreen Home Jersey Front</t>
  </si>
  <si>
    <t>D:\NHL jerseys\Jerseys 20240227\20240227_025532.jpg</t>
  </si>
  <si>
    <t>D:\NHL jerseys\Jerseys 20240227\20240227_025516.jpg</t>
  </si>
  <si>
    <t>D:\NHL jerseys\Jerseys 20240227\20240227_025321.jpg</t>
  </si>
  <si>
    <t>D:\NHL jerseys\Jerseys 20240227\20240227_025230.jpg</t>
  </si>
  <si>
    <t>D:\NHL jerseys\Jerseys 20240227\20240227_025221.jpg</t>
  </si>
  <si>
    <t>D:\NHL jerseys\Jerseys 20240227\20240227_025207.jpg</t>
  </si>
  <si>
    <t>D:\NHL jerseys\Jerseys 20240227\20240227_024943.jpg</t>
  </si>
  <si>
    <t>D:\NHL jerseys\Jerseys 20240227\20240227_024840.jpg</t>
  </si>
  <si>
    <t>D:\NHL jerseys\Jerseys 20240227\20240227_024822.jpg</t>
  </si>
  <si>
    <t>D:\NHL jerseys\Jerseys 20240227\20240227_024647.jpg</t>
  </si>
  <si>
    <t>D:\NHL jerseys\Jerseys 20240227\20240227_024611.jpg</t>
  </si>
  <si>
    <t>D:\NHL jerseys\Jerseys 20240227\20240227_024558.jpg</t>
  </si>
  <si>
    <t>D:\NHL jerseys\Jerseys 20240227\20240227_024537.jpg</t>
  </si>
  <si>
    <t>D:\NHL jerseys\Jerseys 20240227\20240227_024441.jpg</t>
  </si>
  <si>
    <t>D:\NHL jerseys\Jerseys 20240227\20240227_024401.jpg</t>
  </si>
  <si>
    <t>D:\NHL jerseys\Jerseys 20240227\20240227_024346.jpg</t>
  </si>
  <si>
    <t>D:\NHL jerseys\Jerseys 20240227\20240227_024235.jpg</t>
  </si>
  <si>
    <t>D:\NHL jerseys\Jerseys 20240227\20240227_024155.jpg</t>
  </si>
  <si>
    <t>D:\NHL jerseys\Jerseys 20240227\20240227_024031.jpg</t>
  </si>
  <si>
    <t>Sleve-Left</t>
  </si>
  <si>
    <t>Sleve-Right</t>
  </si>
  <si>
    <t>D:\NHL jerseys\Jerseys 20240227\20240227_023815.jpg</t>
  </si>
  <si>
    <t>D:\NHL jerseys\Jerseys 20240227\20240227_023734.jpg</t>
  </si>
  <si>
    <t>D:\NHL jerseys\Jerseys 20240227\20240227_023728.jpg</t>
  </si>
  <si>
    <t>D:\NHL jerseys\Jerseys 20240227\20240227_023718.jpg</t>
  </si>
  <si>
    <t>D:\NHL jerseys\Jerseys 20240227\20240227_023529.jpg</t>
  </si>
  <si>
    <t>D:\NHL jerseys\Jerseys 20240227\20240227_023454.jpg</t>
  </si>
  <si>
    <t>D:\NHL jerseys\Jerseys 20240227\20240227_023438.jpg</t>
  </si>
  <si>
    <t>D:\NHL jerseys\Jerseys 20240227\20240227_023126.jpg</t>
  </si>
  <si>
    <t>D:\NHL jerseys\Jerseys 20240227\20240227_023029.jpg</t>
  </si>
  <si>
    <t>D:\NHL jerseys\Jerseys 20240227\20240227_023011.jpg</t>
  </si>
  <si>
    <t>Patrick Kane #88 Chicago Blackhawks Reebok Premiere Home Jersey Back</t>
  </si>
  <si>
    <t>Mark Scheifele #55 Winnipeg Jets Adidas Climalite Away Jersey Front</t>
  </si>
  <si>
    <t>Mark Scheifele #55 Winnipeg Jets Adidas Climalite Away Jersey Left Sleve</t>
  </si>
  <si>
    <t>Mark Scheifele #55 Winnipeg Jets Adidas Climalite Away Jersey Back</t>
  </si>
  <si>
    <t>John Tavares #91 New York Islanders Adidas Climalite Home Jersey Back</t>
  </si>
  <si>
    <t>John Tavares #91 New York Islanders Adidas Climalite Home Jersey Left Sleve</t>
  </si>
  <si>
    <t>Jonathan Quick #32 Los Angeles Kings Reebok Premiere Home Jersey Front</t>
  </si>
  <si>
    <t>Jonathan Quick #32 Los Angeles Kings Reebok Premiere Home Jersey Left Sleve</t>
  </si>
  <si>
    <t>Jonathan Quick #32 Los Angeles Kings Reebok Premiere Home Jersey Right Sleve</t>
  </si>
  <si>
    <t>Jonathan Quick #32 Los Angeles Kings Reebok Premiere Home Jersey Back</t>
  </si>
  <si>
    <t>Sebastian Aho #20 Carolina Hurricanes Adidas PrimeGreen Home Jersey Front</t>
  </si>
  <si>
    <t>Sebastian Aho #20 Carolina Hurricanes Adidas PrimeGreen Home Jersey Right Sleve</t>
  </si>
  <si>
    <t>Sebastian Aho #20 Carolina Hurricanes Adidas PrimeGreen Home Jersey Back</t>
  </si>
  <si>
    <t>Jonathan Marchessault #81 Vegas Golden Knights Adidas PrimeGreen Home Jersey Front</t>
  </si>
  <si>
    <t>Jonathan Marchessault #81 Vegas Golden Knights Adidas PrimeGreen Home Jersey Right Sleve</t>
  </si>
  <si>
    <t>Jonathan Marchessault #81 Vegas Golden Knights Adidas PrimeGreen Home Jersey Back</t>
  </si>
  <si>
    <t>Filip Forsberg #9 Nashville Predators Adidas Climalite Home Jersey Back</t>
  </si>
  <si>
    <t>Filip Forsberg #9 Nashville Predators Adidas Climalite Home Jersey Right Sleve</t>
  </si>
  <si>
    <t>Filip Forsberg #9 Nashville Predators Adidas Climalite Home Jersey Left Sleve</t>
  </si>
  <si>
    <t>Filip Forsberg #9 Nashville Predators Adidas Climalite Home Jersey Front</t>
  </si>
  <si>
    <t>Logan Couture #39 San Jose Sharks Adidas PrimeGreen Home Jersey Front</t>
  </si>
  <si>
    <t>Logan Couture #39 San Jose Sharks Adidas PrimeGreen Home Jersey Left Sleve</t>
  </si>
  <si>
    <t>Logan Couture #39 San Jose Sharks Adidas PrimeGreen Home Jersey Back</t>
  </si>
  <si>
    <t>Anze Kopitar #11 Los Angeles Kings Reebok Premiere Home Jersey Front</t>
  </si>
  <si>
    <t>Anze Kopitar #11 Los Angeles Kings Reebok Premiere Home Jersey Left Sleve</t>
  </si>
  <si>
    <t>Anze Kopitar #11 Los Angeles Kings Reebok Premiere Home Jersey Right Sleve</t>
  </si>
  <si>
    <t>Anze Kopitar #11 Los Angeles Kings Reebok Premiere Home Jersey Back</t>
  </si>
  <si>
    <t>Jack Eichel #15 Buffalo Sabres Adidas Climalite Home Home Jersey Front</t>
  </si>
  <si>
    <t>Jack Eichel #15 Buffalo Sabres Adidas Climalite Home Home Jersey Left Sleve</t>
  </si>
  <si>
    <t>Jack Eichel #15 Buffalo Sabres Adidas Climalite Home Home Jersey Back</t>
  </si>
  <si>
    <t>Patrick Kane #88 Chicago Blackhawks Reebok Premiere Home Jersey Right Sleve</t>
  </si>
  <si>
    <t>Patrick Kane #88 Chicago Blackhawks Reebok Premiere Home Jersey Left Sleve</t>
  </si>
  <si>
    <t>Patrick Kane #88 Chicago Blackhawks Reebok Premiere Home Jersey Front</t>
  </si>
  <si>
    <t>D:\NHL jerseys\Jerseys 20240227\20240227_022817.jpg</t>
  </si>
  <si>
    <t>D:\NHL jerseys\Jerseys 20240227\20240227_022727.jpg</t>
  </si>
  <si>
    <t>D:\NHL jerseys\Jerseys 20240227\20240227_022657.jpg</t>
  </si>
  <si>
    <t>D:\NHL jerseys\Jerseys 20240227\20240227_022644.jpg</t>
  </si>
  <si>
    <t>D:\NHL jerseys\Jerseys 20240227\20240227_022542.jpg</t>
  </si>
  <si>
    <t>D:\NHL jerseys\Jerseys 20240227\20240227_022439.jpg</t>
  </si>
  <si>
    <t>D:\NHL jerseys\Jerseys 20240227\20240227_022425.jpg</t>
  </si>
  <si>
    <t>Jordan Eberle #7 Seattle Kraken Adidas PrimeGreen Reverse Retro 2.0 Jersey Back</t>
  </si>
  <si>
    <t>Jordan Eberle #7 Seattle Kraken Adidas PrimeGreen Reverse Retro 2.0 Jersey Front</t>
  </si>
  <si>
    <t>Marc Andre-Fleury #29 Minnesota Wild Adidas PrimeGreen Home Jersey Back</t>
  </si>
  <si>
    <t>Marc Andre-Fleury #29 Minnesota Wild Adidas PrimeGreen Home Jersey Left Sleve</t>
  </si>
  <si>
    <t>Marc Andre-Fleury #29 Minnesota Wild Adidas PrimeGreen Home Jersey Front</t>
  </si>
  <si>
    <t>Jordan Eberle #7 Seattle Kraken Adidas PrimeGreen Reverse Retro 2.0 Jersey Left Sleve</t>
  </si>
  <si>
    <t>D:\NHL jerseys\Jerseys 20240227\20240227_021052.jpg</t>
  </si>
  <si>
    <t>D:\NHL jerseys\Jerseys 20240227\20240227_020938.jpg</t>
  </si>
  <si>
    <t>D:\NHL jerseys\Jerseys 20240227\20240227_020928.jpg</t>
  </si>
  <si>
    <t>Dustin Wolf #32 Calgary Flames Adidas PrimeGreen Hockey Fights Cancer Jersery Back</t>
  </si>
  <si>
    <t>Dustin Wolf #32 Calgary Flames Adidas PrimeGreen Hockey Fights Cancer Jersery Front</t>
  </si>
  <si>
    <t>Dustin Wolf #32 Calgary Flames Adidas PrimeGreen Hockey Fights Cancer Jersery Left Sleve</t>
  </si>
  <si>
    <t>Dustin Wolf #32 Calgary Flames Adidas PrimeGreen Hockey Fights Cancer Jersery Right Sleve</t>
  </si>
  <si>
    <t>D:\NHL jerseys\Jerseys 20240227\20240227_020822.jpg</t>
  </si>
  <si>
    <t>D:\NHL jerseys\Jerseys 20240227\20240227_020736.jpg</t>
  </si>
  <si>
    <t>D:\NHL jerseys\Jerseys 20240227\20240227_020717.jpg</t>
  </si>
  <si>
    <t>D:\NHL jerseys\Jerseys 20240227\20240227_020708.jpg</t>
  </si>
  <si>
    <t>Corey Perry #10 Anaheim Ducks Reebok Premiere Away Jersey Back</t>
  </si>
  <si>
    <t>Corey Perry #10 Anaheim Ducks Reebok Premiere Away Jersey Right Sleve</t>
  </si>
  <si>
    <t>Corey Perry #10 Anaheim Ducks Reebok Premiere Away Jersey Left Sleve</t>
  </si>
  <si>
    <t>Corey Perry #10 Anaheim Ducks Reebok Premiere Away Jersey Front</t>
  </si>
  <si>
    <t>D:\NHL jerseys\Jerseys 20240227\20240227_020447.jpg</t>
  </si>
  <si>
    <t>D:\NHL jerseys\Jerseys 20240227\20240227_020404.jpg</t>
  </si>
  <si>
    <t>D:\NHL jerseys\Jerseys 20240227\20240227_020353.jpg</t>
  </si>
  <si>
    <t>D:\NHL jerseys\Jerseys 20240227\20240227_020340.jpg</t>
  </si>
  <si>
    <t>Jonthan Toews #19 Chicago Blackhawks Adidas Climaliate Away Jersey Back</t>
  </si>
  <si>
    <t>Jonthan Toews #19 Chicago Blackhawks Adidas Climaliate Away Jersey Front</t>
  </si>
  <si>
    <t>Jonthan Toews #19 Chicago Blackhawks Adidas Climaliate Away Jersey Left Sleve</t>
  </si>
  <si>
    <t>D:\NHL jerseys\Jerseys 20240227\20240227_020233.jpg</t>
  </si>
  <si>
    <t>D:\NHL jerseys\Jerseys 20240227\20240227_020143.jpg</t>
  </si>
  <si>
    <t>D:\NHL jerseys\Jerseys 20240227\20240227_020125.jpg</t>
  </si>
  <si>
    <t>Patrice Bergeron #37 Boston Bruins Reebok Premiere Home Jersey Back</t>
  </si>
  <si>
    <t>Patrice Bergeron #37 Boston Bruins Reebok Premiere Home Jersey Left Sleve</t>
  </si>
  <si>
    <t>Patrice Bergeron #37 Boston Bruins Reebok Premiere Home Jersey Right Sleve</t>
  </si>
  <si>
    <t>Patrice Bergeron #37 Boston Bruins Reebok Premiere Home Jersey Front</t>
  </si>
  <si>
    <t>D:\NHL jerseys\Jerseys 20240227\20240227_015956.jpg</t>
  </si>
  <si>
    <t>D:\NHL jerseys\Jerseys 20240227\20240227_015901.jpg</t>
  </si>
  <si>
    <t>D:\NHL jerseys\Jerseys 20240227\20240227_015841.jpg</t>
  </si>
  <si>
    <t>D:\NHL jerseys\Jerseys 20240227\20240227_015828.jpg</t>
  </si>
  <si>
    <t>Jonathan Huberdeau #10 Calgary Flames Adidas PrimeGreen Heritage Classic Away Jersey Back</t>
  </si>
  <si>
    <t>Jonathan Huberdeau #10 Calgary Flames Adidas PrimeGreen Heritage Classic Away Jersey Left Sleve</t>
  </si>
  <si>
    <t>D:\NHL jerseys\Jerseys 20240227\20240227_014635.jpg</t>
  </si>
  <si>
    <t>D:\NHL jerseys\Jerseys 20240227\20240227_014430.jpg</t>
  </si>
  <si>
    <t>D:\NHL jerseys\Jerseys 20240227\20240227_014345.jpg</t>
  </si>
  <si>
    <t>D:\NHL jerseys\Jerseys 20240227\20240227_014156.jpg</t>
  </si>
  <si>
    <t>D:\NHL jerseys\Jerseys 20240227\20240227_014110.jpg</t>
  </si>
  <si>
    <t>D:\NHL jerseys\Jerseys 20240227\20240227_014100.jpg</t>
  </si>
  <si>
    <t>Ryan McDonagh #27 New York Rangers Adidas Climalite Home Jersey Back</t>
  </si>
  <si>
    <t>Ryan McDonagh #27 New York Rangers Adidas Climalite Home Jersey Left Sleve</t>
  </si>
  <si>
    <t>Ryan McDonagh #27 New York Rangers Adidas Climalite Home Jersey Front</t>
  </si>
  <si>
    <t>Patrice Bergeron #37 Boston Bruins Adidas PrimeGreen Centennial Alternate Jersey Back</t>
  </si>
  <si>
    <t>Patrice Bergeron #37 Boston Bruins Adidas PrimeGreen Centennial Alternate Jersey Front</t>
  </si>
  <si>
    <t>Patrice Bergeron #37 Boston Bruins Adidas PrimeGreen Centennial Alternate Jersey Left Sleve</t>
  </si>
  <si>
    <t>Patrice Bergeron #37 Boston Bruins Adidas PrimeGreen Centennial Alternate Jersey Right Sleve</t>
  </si>
  <si>
    <t>D:\NHL jerseys\Jerseys 20240227\20240227_014006.jpg</t>
  </si>
  <si>
    <t>D:\NHL jerseys\Jerseys 20240227\20240227_013914.jpg</t>
  </si>
  <si>
    <t>D:\NHL jerseys\Jerseys 20240227\20240227_013900.jpg</t>
  </si>
  <si>
    <t>D:\NHL jerseys\Jerseys 20240227\20240227_013749.jpg</t>
  </si>
  <si>
    <t>Matthew Tkachuk #19 Florida Panthers Adidas PrimeGreen Home Jersey Back</t>
  </si>
  <si>
    <t>Matthew Tkachuk #19 Florida Panthers Adidas PrimeGreen Home Jersey Left Sleve</t>
  </si>
  <si>
    <t>Matthew Tkachuk #19 Florida Panthers Adidas PrimeGreen Home Jersey Front</t>
  </si>
  <si>
    <t>D:\NHL jerseys\Jerseys 20240227\20240227_013414.jpg</t>
  </si>
  <si>
    <t>D:\NHL jerseys\Jerseys 20240227\20240227_013331.jpg</t>
  </si>
  <si>
    <t>D:\NHL jerseys\Jerseys 20240227\20240227_013309.jpg</t>
  </si>
  <si>
    <t>D:\NHL jerseys\Jerseys 20240227\20240227_013129.jpg</t>
  </si>
  <si>
    <t>D:\NHL jerseys\Jerseys 20240227\20240227_013022.jpg</t>
  </si>
  <si>
    <t>D:\NHL jerseys\Jerseys 20240227\20240227_013007.jpg</t>
  </si>
  <si>
    <t>D:\NHL jerseys\Jerseys 20240227\20240227_012853.jpg</t>
  </si>
  <si>
    <t>D:\NHL jerseys\Jerseys 20240227\20240227_012741.jpg</t>
  </si>
  <si>
    <t>D:\NHL jerseys\Jerseys 20240227\20240227_012723.jpg</t>
  </si>
  <si>
    <t>Jonathan Huberdeau #10 Calgary Flames Adidas PrimeGreen Home Jersey Back</t>
  </si>
  <si>
    <t>Jonathan Huberdeau #10 Calgary Flames Adidas PrimeGreen Home Jersey Front</t>
  </si>
  <si>
    <t>Jonathan Huberdeau #10 Calgary Flames Adidas PrimeGreen Home Jersey Left Sleve</t>
  </si>
  <si>
    <t>Bo Horvat #53 Vancouver Canucks Adidas Climalite Home Jersey Back</t>
  </si>
  <si>
    <t>Bo Horvat #53 Vancouver Canucks Adidas Climalite Home Jersey Left Sleve</t>
  </si>
  <si>
    <t>Bo Horvat #53 Vancouver Canucks Adidas Climalite Home Jersey Front</t>
  </si>
  <si>
    <t>Nathan MacKinnon #29 Colorado Avalanche Adidas PrimeGreen Home Jersey Back</t>
  </si>
  <si>
    <t>Nathan MacKinnon #29 Colorado Avalanche Adidas PrimeGreen Home Jersey Front</t>
  </si>
  <si>
    <t>Nathan MacKinnon #29 Colorado Avalanche Adidas PrimeGreen Home Jersey Left Sleve</t>
  </si>
  <si>
    <t>D:\NHL jerseys\Jerseys 20240227\20240227_012628.jpg</t>
  </si>
  <si>
    <t>D:\NHL jerseys\Jerseys 20240227\20240227_012452.jpg</t>
  </si>
  <si>
    <t>D:\NHL jerseys\Jerseys 20240227\20240227_012428.jpg</t>
  </si>
  <si>
    <t>Auston Matthews #34 Toronto Maple Leafs Adidas PrimeGreen Home Jersey Back</t>
  </si>
  <si>
    <t>Auston Matthews #34 Toronto Maple Leafs Adidas PrimeGreen Home Jersey Left Sleve</t>
  </si>
  <si>
    <t>Auston Matthews #34 Toronto Maple Leafs Adidas PrimeGreen Home Jersey Front</t>
  </si>
  <si>
    <t>D:\NHL jerseys\Jerseys 20240227\20240227_012238.jpg</t>
  </si>
  <si>
    <t>D:\NHL jerseys\Jerseys 20240227\20240227_011957.jpg</t>
  </si>
  <si>
    <t>D:\NHL jerseys\Jerseys 20240227\20240227_011915.jpg</t>
  </si>
  <si>
    <t>D:\NHL jerseys\Jerseys 20240227\20240227_011519.jpg</t>
  </si>
  <si>
    <t>D:\NHL jerseys\Jerseys 20240227\20240227_011441.jpg</t>
  </si>
  <si>
    <t>D:\NHL jerseys\Jerseys 20240227\20240227_011423.jpg</t>
  </si>
  <si>
    <t>D:\NHL jerseys\Jerseys 20240227\20240227_011329.jpg</t>
  </si>
  <si>
    <t>D:\NHL jerseys\Jerseys 20240227\20240227_011241.jpg</t>
  </si>
  <si>
    <t>D:\NHL jerseys\Jerseys 20240227\20240227_011232.jpg</t>
  </si>
  <si>
    <t>Connor McDavid #97 Edmonton Oilers Adidas PrimeGreen Home Jersey Back</t>
  </si>
  <si>
    <t>Connor McDavid #97 Edmonton Oilers Adidas PrimeGreen Home Jersey Left Sleve</t>
  </si>
  <si>
    <t>Connor McDavid #97 Edmonton Oilers Adidas PrimeGreen Home Jersey Front</t>
  </si>
  <si>
    <t>Carey Price #31 Montreal Canadiens Adidas PrimeGreen Home Jersey Back</t>
  </si>
  <si>
    <t>Carey Price #31 Montreal Canadiens Adidas PrimeGreen Home Jersey Front</t>
  </si>
  <si>
    <t>Carey Price #31 Montreal Canadiens Adidas PrimeGreen Home Jersey Left Sleve</t>
  </si>
  <si>
    <t>D:\NHL jerseys\Jerseys 20240227\20240227_011136.jpg</t>
  </si>
  <si>
    <t>D:\NHL jerseys\Jerseys 20240227\20240227_011048.jpg</t>
  </si>
  <si>
    <t>D:\NHL jerseys\Jerseys 20240227\20240227_011023.jpg</t>
  </si>
  <si>
    <t>D:\NHL jerseys\Jerseys 20240227\20240227_010858.jpg</t>
  </si>
  <si>
    <t>D:\NHL jerseys\Jerseys 20240227\20240227_010754.jpg</t>
  </si>
  <si>
    <t>D:\NHL jerseys\Jerseys 20240227\20240227_010703.jpg</t>
  </si>
  <si>
    <t>Alexander Ovechkin #8 Washington Capitals Adidas PrimeGreen Home Jersey Back</t>
  </si>
  <si>
    <t>Alexander Ovechkin #8 Washington Capitals Adidas PrimeGreen Home Jersey Front</t>
  </si>
  <si>
    <t>Alexander Ovechkin #8 Washington Capitals Adidas PrimeGreen Home Jersey Left Sleve</t>
  </si>
  <si>
    <t>Blake Wheeler #26 Winnipeg Jets Adidas PrimeGreen Home Jersey Back</t>
  </si>
  <si>
    <t>Blake Wheeler #26 Winnipeg Jets Adidas PrimeGreen Home Jersey Left Sleve</t>
  </si>
  <si>
    <t>Blake Wheeler #26 Winnipeg Jets Adidas PrimeGreen Home Jersey Front</t>
  </si>
  <si>
    <t>D:\NHL jerseys\Jerseys 20240227\20240227_010557.jpg</t>
  </si>
  <si>
    <t>D:\NHL jerseys\Jerseys 20240227\20240227_010516.jpg</t>
  </si>
  <si>
    <t>D:\NHL jerseys\Jerseys 20240227\20240227_010456.jpg</t>
  </si>
  <si>
    <t>D:\NHL jerseys\Jerseys 20240227\20240227_010439.jpg</t>
  </si>
  <si>
    <t>D:\NHL jerseys\Jerseys 20240227\20240227_010317.jpg</t>
  </si>
  <si>
    <t>D:\NHL jerseys\Jerseys 20240227\20240227_010223.jpg</t>
  </si>
  <si>
    <t>D:\NHL jerseys\Jerseys 20240227\20240227_010206.jpg</t>
  </si>
  <si>
    <t>D:\NHL jerseys\Jerseys 20240227\20240227_010026.jpg</t>
  </si>
  <si>
    <t>D:\NHL jerseys\Jerseys 20240227\20240227_005957.jpg</t>
  </si>
  <si>
    <t>D:\NHL jerseys\Jerseys 20240227\20240227_005939.jpg</t>
  </si>
  <si>
    <t>Sidney Crosby #87 Pittsburgh Penguins Adidas Climalite Home Jersey Back</t>
  </si>
  <si>
    <t>Sidney Crosby #87 Pittsburgh Penguins Adidas Climalite Home Jersey Right Sleve</t>
  </si>
  <si>
    <t>Sean Monahan #23 Calgary Flames Adidas Climalite Home Jersey Back</t>
  </si>
  <si>
    <t>Sean Monahan #23 Calgary Flames Adidas Climalite Home Jersey Left Sleve</t>
  </si>
  <si>
    <t>Sean Monahan #23 Calgary Flames Adidas Climalite Home Jersey Right sleve</t>
  </si>
  <si>
    <t>Sean Monahan #23 Calgary Flames Adidas Climalite Home Jersey Front</t>
  </si>
  <si>
    <t>Henrik Zetterberg #40 Adidas Climalite Home Jersey Back</t>
  </si>
  <si>
    <t>Henrik Zetterberg #40 Adidas Climalite Home Jersey Front</t>
  </si>
  <si>
    <t>Henrik Zetterberg #40 Adidas Climalite Home Jersey Left Sleve</t>
  </si>
  <si>
    <t>Miikka Kiprusoff #34 Calgary Flames Adidas PrimeGreen Alternate Jersey Back</t>
  </si>
  <si>
    <t>Shoulder</t>
  </si>
  <si>
    <t>Miikka Kiprusoff #34 Calgary Flames Adidas PrimeGreen Alternate Jersey Front</t>
  </si>
  <si>
    <t>Miikka Kiprusoff #34 Calgary Flames Adidas PrimeGreen Alternate Jersey Shoulder Patch</t>
  </si>
  <si>
    <t>Miikka Kiprusoff #34 Calgary Flames Adidas PrimeGreen Alternate Jersey Right Sleve</t>
  </si>
  <si>
    <t>D:\NHL jerseys\Jerseys 20240227\20240227_005804.jpg</t>
  </si>
  <si>
    <t>D:\NHL jerseys\Jerseys 20240227\20240227_005733.jpg</t>
  </si>
  <si>
    <t>D:\NHL jerseys\Jerseys 20240227\20240227_005601.jpg</t>
  </si>
  <si>
    <t>D:\NHL jerseys\Jerseys 20240227\20240227_005412.jpg</t>
  </si>
  <si>
    <t>Nike</t>
  </si>
  <si>
    <t>NHLUniformLink</t>
  </si>
  <si>
    <t>https://www.nhluniforms.com/Panthers/Panthers10.html</t>
  </si>
  <si>
    <t>https://www.nhluniforms.com/Flames/FlamesCGY15.html</t>
  </si>
  <si>
    <t>https://www.nhluniforms.com/BlueJackets/BlueJackets08.html</t>
  </si>
  <si>
    <t>https://www.nhluniforms.com/Rangers/Rangers30.html</t>
  </si>
  <si>
    <t>https://www.nhluniforms.com/Rangers/RangersSpecial06.html</t>
  </si>
  <si>
    <t>https://www.nhluniforms.com/Penguins/Penguins29.html</t>
  </si>
  <si>
    <t>06/21</t>
  </si>
  <si>
    <t>08/21</t>
  </si>
  <si>
    <t>12/17</t>
  </si>
  <si>
    <t>06/20</t>
  </si>
  <si>
    <t>07/15</t>
  </si>
  <si>
    <t>06/16</t>
  </si>
  <si>
    <t>10/17</t>
  </si>
  <si>
    <t>05/12</t>
  </si>
  <si>
    <t>08/15</t>
  </si>
  <si>
    <t>09/18</t>
  </si>
  <si>
    <t>05/22</t>
  </si>
  <si>
    <t>06/15</t>
  </si>
  <si>
    <t>05/23</t>
  </si>
  <si>
    <t>11/23</t>
  </si>
  <si>
    <t>12/14</t>
  </si>
  <si>
    <t>12/10</t>
  </si>
  <si>
    <t>08/14</t>
  </si>
  <si>
    <t>06/22</t>
  </si>
  <si>
    <t>02/18</t>
  </si>
  <si>
    <t>Kevin</t>
  </si>
  <si>
    <t>Bieksa</t>
  </si>
  <si>
    <t>2014 Heritage Classic</t>
  </si>
  <si>
    <t>2023 Heritage Classic</t>
  </si>
  <si>
    <t>NHL_API_PlayerID</t>
  </si>
  <si>
    <t>Pettersson</t>
  </si>
  <si>
    <t>O'Rielly</t>
  </si>
  <si>
    <t>Team USA</t>
  </si>
  <si>
    <t>David</t>
  </si>
  <si>
    <t>Pastrnak</t>
  </si>
  <si>
    <t>Rasmus</t>
  </si>
  <si>
    <t>Dahlin</t>
  </si>
  <si>
    <t>CZECHIA</t>
  </si>
  <si>
    <t>Aeroready</t>
  </si>
  <si>
    <t>Utah Hockey Club</t>
  </si>
  <si>
    <t>Images\logo_utah_hockey_club.png</t>
  </si>
  <si>
    <t>#2B2B2B</t>
  </si>
  <si>
    <t>#F8F8F8</t>
  </si>
  <si>
    <t>#1E3A5F</t>
  </si>
  <si>
    <t>Dougie</t>
  </si>
  <si>
    <t>Hamilton</t>
  </si>
  <si>
    <t>GameID</t>
  </si>
  <si>
    <t>GameDate</t>
  </si>
  <si>
    <t>Location</t>
  </si>
  <si>
    <t>AwayTeamName</t>
  </si>
  <si>
    <t>AwayTeamScore</t>
  </si>
  <si>
    <t>HomeTeamName</t>
  </si>
  <si>
    <t>HomeTeamScore</t>
  </si>
  <si>
    <t>WearerName</t>
  </si>
  <si>
    <t>Montreal, QC, CAN</t>
  </si>
  <si>
    <t>AwayTeamID</t>
  </si>
  <si>
    <t>HomeTeamID</t>
  </si>
  <si>
    <t>GameResult</t>
  </si>
  <si>
    <t>SO</t>
  </si>
  <si>
    <t>GameType</t>
  </si>
  <si>
    <t>Regular Season</t>
  </si>
  <si>
    <t>Avery Briggs</t>
  </si>
  <si>
    <t>Susan Briggs</t>
  </si>
  <si>
    <t>JerseyPlayerName</t>
  </si>
  <si>
    <t>PlayerInGame</t>
  </si>
  <si>
    <t>PlayerAtGame</t>
  </si>
  <si>
    <t>Dylan</t>
  </si>
  <si>
    <t>Brock</t>
  </si>
  <si>
    <t>Boeser</t>
  </si>
  <si>
    <t>Coleman</t>
  </si>
  <si>
    <t>09/23</t>
  </si>
  <si>
    <t>-</t>
  </si>
  <si>
    <t>11/19</t>
  </si>
  <si>
    <t>08/22</t>
  </si>
  <si>
    <t>07/23</t>
  </si>
  <si>
    <t>Space Coyote</t>
  </si>
  <si>
    <t>Free Shipping</t>
  </si>
  <si>
    <t>10/23</t>
  </si>
  <si>
    <t>Pre-Season</t>
  </si>
  <si>
    <t>Quebec City, QC, CAN</t>
  </si>
  <si>
    <t>Regulation</t>
  </si>
  <si>
    <t>Robert Leblanc</t>
  </si>
  <si>
    <t>Alex MacLaughlin</t>
  </si>
  <si>
    <t>Kyle MacLaughlin</t>
  </si>
  <si>
    <t>Justin Thibault</t>
  </si>
  <si>
    <t>Mackinnon</t>
  </si>
  <si>
    <t>Center Ice</t>
  </si>
  <si>
    <t>Corner</t>
  </si>
  <si>
    <t>Nosebleeds, when standing you could not see the player benches for the above-ice broadcasting booths</t>
  </si>
  <si>
    <t>Just right, in the same corner as the player benches, maybe 30 degrees off of the goal-line</t>
  </si>
  <si>
    <t>Just left, in the same corner as the player benches, maybe 30 degrees off of the goal-line</t>
  </si>
  <si>
    <t>RinkPosition</t>
  </si>
  <si>
    <t>BowlNumber</t>
  </si>
  <si>
    <t>Comments</t>
  </si>
  <si>
    <t>NHL_ID</t>
  </si>
  <si>
    <t>FranchiseID</t>
  </si>
  <si>
    <t>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</si>
</sst>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1E3A5F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8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  <xf numFmtId="0" fontId="1" fillId="0" borderId="4" xfId="1" applyFont="1" applyBorder="1" applyAlignment="1">
      <alignment horizontal="right" wrapText="1"/>
    </xf>
    <xf numFmtId="0" fontId="1" fillId="0" borderId="4" xfId="1" applyFont="1" applyBorder="1" applyAlignment="1">
      <alignment wrapText="1"/>
    </xf>
    <xf numFmtId="0" fontId="23" fillId="68" borderId="0" xfId="0" applyFont="1" applyFill="1"/>
    <xf numFmtId="0" fontId="0" fillId="69" borderId="0" xfId="0" applyFill="1"/>
    <xf numFmtId="0" fontId="23" fillId="70" borderId="0" xfId="0" applyFont="1" applyFill="1"/>
    <xf numFmtId="0" fontId="4" fillId="0" borderId="0" xfId="0" applyFont="1"/>
    <xf numFmtId="1" fontId="1" fillId="2" borderId="5" xfId="1" applyNumberFormat="1" applyFont="1" applyFill="1" applyBorder="1" applyAlignment="1">
      <alignment horizontal="center"/>
    </xf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17">
    <dxf>
      <numFmt numFmtId="19" formatCode="yyyy/mm/dd"/>
    </dxf>
    <dxf>
      <numFmt numFmtId="1" formatCode="0"/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numFmt numFmtId="1" formatCode="0"/>
    </dxf>
    <dxf>
      <numFmt numFmtId="1" formatCode="0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numFmt numFmtId="2" formatCode="0.00"/>
    </dxf>
    <dxf>
      <numFmt numFmtId="2" formatCode="0.00"/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1E3A5F"/>
      <color rgb="FFF8F8F8"/>
      <color rgb="FF2B2B2B"/>
      <color rgb="FFC52032"/>
      <color rgb="FFC09867"/>
      <color rgb="FF8C2633"/>
      <color rgb="FFFCB514"/>
      <color rgb="FF002F87"/>
      <color rgb="FFCE1126"/>
      <color rgb="FFF749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FF31A0-A096-4A90-9644-D0BA4593DC8C}" name="Table1" displayName="Table1" ref="A1:AV102" totalsRowShown="0">
  <sortState xmlns:xlrd2="http://schemas.microsoft.com/office/spreadsheetml/2017/richdata2" ref="A2:AV102">
    <sortCondition ref="A2:A102"/>
  </sortState>
  <tableColumns count="48">
    <tableColumn id="1" xr3:uid="{A966510B-EC08-4298-97C1-B758E7C89989}" name="JerseyID"/>
    <tableColumn id="2" xr3:uid="{A9180E7B-36FE-4A9C-A2CB-D156B72499E2}" name="OrderDate"/>
    <tableColumn id="3" xr3:uid="{481135C4-52D0-468F-A057-6BF24E1CF570}" name="ReceiveDate"/>
    <tableColumn id="4" xr3:uid="{66F5175D-F986-4994-9329-848A2F3EF5B4}" name="OpenDate"/>
    <tableColumn id="5" xr3:uid="{2A3755B5-FE59-4C95-AC4F-2A41EB0EB1C5}" name="WaitDays" dataDxfId="13"/>
    <tableColumn id="6" xr3:uid="{9E481CFD-B434-427C-8DDA-C4C3B6FF0A59}" name="OwnedDays" dataDxfId="12"/>
    <tableColumn id="7" xr3:uid="{16CBBECC-A414-480D-81D7-ABFEDEE32516}" name="Team" dataDxfId="11"/>
    <tableColumn id="8" xr3:uid="{7171FD0A-6C84-4982-9B20-D6B2D8B1C01C}" name="Conference" dataDxfId="10">
      <calculatedColumnFormula>IF(ISBLANK(G2), "", VLOOKUP(VLOOKUP(G2, NHLTeams!$B$2:$F$33, 4,FALSE), Conferences!$A$2:$B$3, 2,FALSE))</calculatedColumnFormula>
    </tableColumn>
    <tableColumn id="9" xr3:uid="{5C83BB02-E6BB-4F22-8D7C-5AD2D6B1F902}" name="Division" dataDxfId="9">
      <calculatedColumnFormula>IF(ISBLANK(G2), "", VLOOKUP(VLOOKUP(G2, NHLTeams!$B$2:$F$33, 5, FALSE), Divisions!$A$2:$B$5, 2, FALSE))</calculatedColumnFormula>
    </tableColumn>
    <tableColumn id="10" xr3:uid="{2F2FC713-DCF5-4D08-A934-64F108FFD104}" name="Position"/>
    <tableColumn id="11" xr3:uid="{7958876A-A75A-4377-AAE8-79E2FDACE858}" name="PlayerFirst"/>
    <tableColumn id="12" xr3:uid="{ED047C06-75FE-412A-A2D8-84FAB52C4C38}" name="PlayerLast"/>
    <tableColumn id="13" xr3:uid="{C9380BC8-9D8E-48F7-AD4F-2A078845868F}" name="Number"/>
    <tableColumn id="14" xr3:uid="{69AF68D9-3F19-4414-A6A3-9674A7D0484D}" name="CaptainPatch"/>
    <tableColumn id="15" xr3:uid="{BBCE54F6-D1D9-472B-B4D5-E54D993C3544}" name="AssistantPatch"/>
    <tableColumn id="16" xr3:uid="{3642D8DB-F072-4F0A-8C34-FBB9920B8BC2}" name="Nationality"/>
    <tableColumn id="17" xr3:uid="{8059F1DB-BAFD-4DB3-9B86-B1286358D2C5}" name="Colours"/>
    <tableColumn id="18" xr3:uid="{ABA5C479-D06B-442E-B85A-01DE8FDE954F}" name="MainColour"/>
    <tableColumn id="19" xr3:uid="{82637293-C416-4A9E-A6BB-4A27BB538BF3}" name="SecondColour"/>
    <tableColumn id="20" xr3:uid="{1A128FA7-F851-4793-A190-E051D49E5C8F}" name="ThirdColour"/>
    <tableColumn id="21" xr3:uid="{89F4FB78-331C-4934-A9F5-7AB92A4CBBF0}" name="Size" dataDxfId="8"/>
    <tableColumn id="22" xr3:uid="{D99AF2AF-26BC-41E9-AFEF-4F03E8663588}" name="BrandName"/>
    <tableColumn id="23" xr3:uid="{FE1FC102-4045-4B1E-8261-441B612E07F7}" name="JerseyMake"/>
    <tableColumn id="24" xr3:uid="{56BB27D6-2F5A-4C74-A9AF-2713CE8CCC9F}" name="Supplier"/>
    <tableColumn id="25" xr3:uid="{93485696-EF1F-4C06-9097-69A77B69CC56}" name="MadeDate" dataDxfId="7"/>
    <tableColumn id="26" xr3:uid="{9367E0AD-D1B0-47D6-843A-94730DD5E1EC}" name="USStickerPrice"/>
    <tableColumn id="27" xr3:uid="{03447C22-F86C-4F06-8D0A-00D51E6A46E9}" name="StickerPrice"/>
    <tableColumn id="28" xr3:uid="{A7566038-015E-4C6B-8163-CFF42EDA5B5D}" name="Duty"/>
    <tableColumn id="29" xr3:uid="{58522DA4-781E-473D-9038-FFCC326493E1}" name="Shipping"/>
    <tableColumn id="30" xr3:uid="{B2DA9C6A-A1CA-4901-B0E0-39D01450A4E3}" name="Discount"/>
    <tableColumn id="31" xr3:uid="{7D0D647A-F802-4C3F-911D-7BD9B48E632D}" name="DiscountReason"/>
    <tableColumn id="32" xr3:uid="{D559AF92-2933-421D-A769-99FD9407D499}" name="Tax"/>
    <tableColumn id="33" xr3:uid="{652F1A1F-37EA-4011-A200-F584C87118D8}" name="PriceC"/>
    <tableColumn id="34" xr3:uid="{9C8790FC-FA18-43C6-8BDD-7FB7CB0E6C1B}" name="Price"/>
    <tableColumn id="35" xr3:uid="{C4F09710-EF83-41EF-AC2C-99AFA0B7C2A4}" name="USSale"/>
    <tableColumn id="36" xr3:uid="{151812C2-DE6D-4D70-9541-DB6D79D76D2B}" name="IsUSPrice"/>
    <tableColumn id="37" xr3:uid="{500FEE02-1A14-4074-9717-89CCB74E1F9F}" name="ExchangeRate"/>
    <tableColumn id="38" xr3:uid="{9841E306-94CB-453A-BAD7-C5DBE8D82512}" name="DOB"/>
    <tableColumn id="39" xr3:uid="{1288876B-F21C-4B50-AD12-BAF7A81F6296}" name="RetireDate"/>
    <tableColumn id="40" xr3:uid="{552A7AA3-3275-428B-A04E-84828526FC98}" name="FirstSeason"/>
    <tableColumn id="41" xr3:uid="{19E7549D-56D1-47A0-A834-F3B3837B6B67}" name="LastSeason"/>
    <tableColumn id="42" xr3:uid="{9AC44A83-6A95-4BB5-A8F3-DCEE2B1CF89C}" name="ImageFront"/>
    <tableColumn id="43" xr3:uid="{50AED3CA-1E50-48D1-9E84-9C3BC51DA3C8}" name="ImageBack"/>
    <tableColumn id="44" xr3:uid="{19C3E726-3002-4478-9E2B-010B029EEC75}" name="Oldest" dataDxfId="6"/>
    <tableColumn id="45" xr3:uid="{E58AA56F-3587-429E-AABD-854F7A2C6B99}" name="ClosestToMe" dataDxfId="5"/>
    <tableColumn id="46" xr3:uid="{DB3327D8-501F-4FF9-A891-00FC46E9803C}" name="CancelledOrder"/>
    <tableColumn id="47" xr3:uid="{5E0202BF-ACF0-43CE-AE46-2EA2770C3F96}" name="NHLUniformLink"/>
    <tableColumn id="48" xr3:uid="{1096607B-98C9-46AE-8642-264108A49737}" name="NHL_API_Player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AA1D39-ED79-4943-9F99-ED5A02887CEA}" name="Table2" displayName="Table2" ref="A1:T13" totalsRowShown="0">
  <autoFilter ref="A1:T13" xr:uid="{8AAA1D39-ED79-4943-9F99-ED5A02887CEA}"/>
  <tableColumns count="20">
    <tableColumn id="1" xr3:uid="{23B940F3-FC7F-47AC-AC35-98FD813798A9}" name="ID"/>
    <tableColumn id="2" xr3:uid="{726E5796-8BAA-4469-B0D2-63FCE0BDDD27}" name="GameID" dataDxfId="1"/>
    <tableColumn id="3" xr3:uid="{AEDC4A7A-DF40-4FB7-9624-CE880831FFD2}" name="GameDate" dataDxfId="0"/>
    <tableColumn id="4" xr3:uid="{F606E4C6-29E2-4B20-9E31-2BFF5CE6ADE2}" name="GameType"/>
    <tableColumn id="5" xr3:uid="{979D7834-CA1F-4166-9A79-1DDD968ED96B}" name="Location"/>
    <tableColumn id="6" xr3:uid="{2BCEAF44-69B1-4E60-A749-98DBCF307A57}" name="AwayTeamID"/>
    <tableColumn id="7" xr3:uid="{D3C82A08-E873-47BC-90F9-5A0786C3783A}" name="AwayTeamName"/>
    <tableColumn id="8" xr3:uid="{958A4210-FA1F-4F06-944E-09804814FD94}" name="AwayTeamScore"/>
    <tableColumn id="9" xr3:uid="{7D248946-DC52-4019-842C-53C2C5250874}" name="HomeTeamID"/>
    <tableColumn id="10" xr3:uid="{78FEF189-2A01-48BB-AC3F-25F0F592B7B3}" name="HomeTeamName"/>
    <tableColumn id="11" xr3:uid="{579526C9-638A-49D5-B8A1-83B924C8DCEB}" name="HomeTeamScore"/>
    <tableColumn id="12" xr3:uid="{0550DCEA-8234-4DD6-B6D0-DA971A5D3DEE}" name="GameResult"/>
    <tableColumn id="13" xr3:uid="{5FCD7081-18A3-4094-A9A5-3CD2A0F01220}" name="JerseyID"/>
    <tableColumn id="14" xr3:uid="{51DDBA8F-D3C0-4542-A2A2-E0174FDB14C6}" name="JerseyPlayerName"/>
    <tableColumn id="15" xr3:uid="{2F4ADD91-18DF-4324-810D-5076755AE50D}" name="PlayerInGame"/>
    <tableColumn id="16" xr3:uid="{7A7E9B79-22E9-4756-92C0-4333CD8D409B}" name="PlayerAtGame"/>
    <tableColumn id="17" xr3:uid="{74D2BE82-5ACE-4D76-B52B-EB88902C6245}" name="WearerName"/>
    <tableColumn id="18" xr3:uid="{D2874FF8-55C2-4A99-B71E-B8367464A6B2}" name="RinkPosition"/>
    <tableColumn id="19" xr3:uid="{20414FAC-3940-42B5-9430-50B2B3F37916}" name="BowlNumber"/>
    <tableColumn id="20" xr3:uid="{A616E5D6-14BD-47CF-B0AA-637FA064C596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V104"/>
  <sheetViews>
    <sheetView topLeftCell="A64" workbookViewId="0">
      <pane xSplit="12" topLeftCell="U1" activePane="topRight" state="frozen"/>
      <selection pane="topRight" activeCell="D83" sqref="D83"/>
    </sheetView>
  </sheetViews>
  <sheetFormatPr defaultRowHeight="15" x14ac:dyDescent="0.25"/>
  <cols>
    <col min="1" max="1" width="10.5703125" customWidth="1"/>
    <col min="2" max="2" width="12.42578125" customWidth="1"/>
    <col min="3" max="3" width="14.28515625" customWidth="1"/>
    <col min="4" max="5" width="12.140625" customWidth="1"/>
    <col min="6" max="6" width="16.42578125" customWidth="1"/>
    <col min="7" max="7" width="21.42578125" bestFit="1" customWidth="1"/>
    <col min="8" max="8" width="13.42578125" customWidth="1"/>
    <col min="9" max="9" width="12.7109375" bestFit="1" customWidth="1"/>
    <col min="10" max="10" width="10.42578125" customWidth="1"/>
    <col min="11" max="11" width="12.5703125" customWidth="1"/>
    <col min="12" max="12" width="12.7109375" bestFit="1" customWidth="1"/>
    <col min="13" max="13" width="10.85546875" customWidth="1"/>
    <col min="14" max="14" width="14.7109375" customWidth="1"/>
    <col min="15" max="15" width="16" customWidth="1"/>
    <col min="16" max="16" width="13.5703125" bestFit="1" customWidth="1"/>
    <col min="17" max="17" width="29" bestFit="1" customWidth="1"/>
    <col min="18" max="18" width="13.5703125" customWidth="1"/>
    <col min="19" max="19" width="15.42578125" customWidth="1"/>
    <col min="20" max="20" width="13.5703125" customWidth="1"/>
    <col min="21" max="21" width="13.42578125" style="118" customWidth="1"/>
    <col min="22" max="22" width="15" bestFit="1" customWidth="1"/>
    <col min="23" max="23" width="13.7109375" customWidth="1"/>
    <col min="24" max="24" width="26.85546875" bestFit="1" customWidth="1"/>
    <col min="25" max="25" width="13.42578125" style="109" customWidth="1"/>
    <col min="26" max="26" width="16" customWidth="1"/>
    <col min="27" max="27" width="13.5703125" customWidth="1"/>
    <col min="28" max="30" width="13.42578125" customWidth="1"/>
    <col min="31" max="31" width="17.28515625" customWidth="1"/>
    <col min="32" max="33" width="13.42578125" customWidth="1"/>
    <col min="34" max="34" width="7.5703125" customWidth="1"/>
    <col min="35" max="35" width="9.28515625" customWidth="1"/>
    <col min="36" max="36" width="11.42578125" customWidth="1"/>
    <col min="37" max="37" width="15.42578125" customWidth="1"/>
    <col min="38" max="38" width="10.42578125" bestFit="1" customWidth="1"/>
    <col min="39" max="39" width="12.7109375" customWidth="1"/>
    <col min="40" max="40" width="13.28515625" customWidth="1"/>
    <col min="41" max="41" width="12.85546875" customWidth="1"/>
    <col min="42" max="42" width="13.28515625" customWidth="1"/>
    <col min="43" max="43" width="12.5703125" customWidth="1"/>
    <col min="44" max="44" width="10.42578125" style="120" bestFit="1" customWidth="1"/>
    <col min="45" max="45" width="14.7109375" style="120" customWidth="1"/>
    <col min="46" max="46" width="17" customWidth="1"/>
    <col min="47" max="47" width="59" bestFit="1" customWidth="1"/>
    <col min="48" max="48" width="19.140625" customWidth="1"/>
  </cols>
  <sheetData>
    <row r="1" spans="1:48" x14ac:dyDescent="0.25">
      <c r="A1" t="s">
        <v>488</v>
      </c>
      <c r="B1" t="s">
        <v>11</v>
      </c>
      <c r="C1" t="s">
        <v>12</v>
      </c>
      <c r="D1" t="s">
        <v>362</v>
      </c>
      <c r="E1" t="s">
        <v>76</v>
      </c>
      <c r="F1" t="s">
        <v>77</v>
      </c>
      <c r="G1" s="80" t="s">
        <v>13</v>
      </c>
      <c r="H1" s="80" t="s">
        <v>33</v>
      </c>
      <c r="I1" s="80" t="s">
        <v>34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  <c r="AT1" t="s">
        <v>482</v>
      </c>
      <c r="AU1" t="s">
        <v>714</v>
      </c>
      <c r="AV1" t="s">
        <v>744</v>
      </c>
    </row>
    <row r="2" spans="1:48" x14ac:dyDescent="0.25">
      <c r="A2">
        <v>0</v>
      </c>
      <c r="B2" s="1">
        <v>45071</v>
      </c>
      <c r="C2" s="1">
        <v>45091</v>
      </c>
      <c r="D2" s="1">
        <v>45091</v>
      </c>
      <c r="E2" s="2">
        <f t="shared" ref="E2:E33" ca="1" si="0">IF(ISBLANK(C2), (NOW()-B2), (C2-B2))</f>
        <v>20</v>
      </c>
      <c r="F2" s="2">
        <f t="shared" ref="F2:F33" ca="1" si="1">IF(ISBLANK(C2), 0, NOW()-C2)</f>
        <v>520.58256215277652</v>
      </c>
      <c r="G2" s="12" t="s">
        <v>0</v>
      </c>
      <c r="H2" s="81" t="str">
        <f>IF(ISBLANK(G2), "", VLOOKUP(VLOOKUP(G2, NHLTeams!$B$2:$F$33, 4,FALSE), Conferences!$A$2:$B$3, 2,FALSE))</f>
        <v>Eastern</v>
      </c>
      <c r="I2" s="82" t="str">
        <f>IF(ISBLANK(G2), "", VLOOKUP(VLOOKUP(G2, NHLTeams!$B$2:$F$33, 5, FALSE), Divisions!$A$2:$B$5, 2, FALSE))</f>
        <v>Atlantic</v>
      </c>
      <c r="J2" t="s">
        <v>53</v>
      </c>
      <c r="K2" t="s">
        <v>1</v>
      </c>
      <c r="L2" t="s">
        <v>2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:AG33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9836</v>
      </c>
      <c r="AS2" s="120">
        <f t="shared" ref="AS2:AS33" si="3">IF(ISBLANK($AL2), 0, DATE(YEAR("1995-08-3"),MONTH("1995-08-3"), DAY("1995-08-3")) - DATE(YEAR($AL2),MONTH($AL2), DAY($AL2)))</f>
        <v>-861</v>
      </c>
      <c r="AT2">
        <v>0</v>
      </c>
      <c r="AU2" t="s">
        <v>715</v>
      </c>
      <c r="AV2">
        <v>8479314</v>
      </c>
    </row>
    <row r="3" spans="1:48" x14ac:dyDescent="0.25">
      <c r="A3">
        <v>1</v>
      </c>
      <c r="B3" s="1">
        <v>45193</v>
      </c>
      <c r="C3" s="1">
        <v>45205</v>
      </c>
      <c r="D3" s="1">
        <v>45205</v>
      </c>
      <c r="E3" s="2">
        <f t="shared" ca="1" si="0"/>
        <v>12</v>
      </c>
      <c r="F3" s="2">
        <f t="shared" ca="1" si="1"/>
        <v>406.58256215277652</v>
      </c>
      <c r="G3" s="19" t="s">
        <v>5</v>
      </c>
      <c r="H3" s="83" t="str">
        <f>IF(ISBLANK(G3), "", VLOOKUP(VLOOKUP(G3, NHLTeams!$B$2:$F$33, 4,FALSE), Conferences!$A$2:$B$3, 2,FALSE))</f>
        <v>Western</v>
      </c>
      <c r="I3" s="84" t="str">
        <f>IF(ISBLANK(G3), "", VLOOKUP(VLOOKUP(G3, NHLTeams!$B$2:$F$33, 5, FALSE), Divisions!$A$2:$B$5, 2, FALSE))</f>
        <v>Pacific</v>
      </c>
      <c r="J3" t="s">
        <v>53</v>
      </c>
      <c r="K3" t="s">
        <v>7</v>
      </c>
      <c r="L3" t="s">
        <v>8</v>
      </c>
      <c r="M3">
        <v>10</v>
      </c>
      <c r="N3">
        <v>0</v>
      </c>
      <c r="O3">
        <v>0</v>
      </c>
      <c r="P3" t="s">
        <v>293</v>
      </c>
      <c r="Q3" t="s">
        <v>4</v>
      </c>
      <c r="R3" t="s">
        <v>3</v>
      </c>
      <c r="S3" t="s">
        <v>22</v>
      </c>
      <c r="U3" s="118">
        <v>56</v>
      </c>
      <c r="V3" t="s">
        <v>302</v>
      </c>
      <c r="W3" t="s">
        <v>303</v>
      </c>
      <c r="X3" t="s">
        <v>372</v>
      </c>
      <c r="Y3" s="109" t="s">
        <v>380</v>
      </c>
      <c r="AA3">
        <v>249.99</v>
      </c>
      <c r="AB3">
        <v>0</v>
      </c>
      <c r="AC3">
        <f>15.99/4</f>
        <v>3.9975000000000001</v>
      </c>
      <c r="AD3">
        <v>0</v>
      </c>
      <c r="AF3">
        <f t="shared" ref="AF3:AF34" si="4">(SUM(AA3:AC3)-AD3)*0.15</f>
        <v>38.098125000000003</v>
      </c>
      <c r="AG3">
        <f t="shared" si="2"/>
        <v>292.08562499999999</v>
      </c>
      <c r="AH3">
        <v>305.87</v>
      </c>
      <c r="AI3">
        <v>0</v>
      </c>
      <c r="AJ3">
        <v>0</v>
      </c>
      <c r="AL3" s="1">
        <v>34124</v>
      </c>
      <c r="AN3" t="s">
        <v>63</v>
      </c>
      <c r="AP3" t="s">
        <v>333</v>
      </c>
      <c r="AQ3" t="s">
        <v>338</v>
      </c>
      <c r="AR3" s="120">
        <f ca="1">DATE(YEAR(NOW()),MONTH(NOW()), DAY(NOW())) - DATE(YEAR($AL3),MONTH($AL3), DAY($AL3))</f>
        <v>11487</v>
      </c>
      <c r="AS3" s="120">
        <f t="shared" si="3"/>
        <v>790</v>
      </c>
      <c r="AT3">
        <v>0</v>
      </c>
      <c r="AU3" t="s">
        <v>716</v>
      </c>
      <c r="AV3">
        <v>8476456</v>
      </c>
    </row>
    <row r="4" spans="1:48" x14ac:dyDescent="0.25">
      <c r="A4">
        <v>2</v>
      </c>
      <c r="B4" s="1">
        <v>45194</v>
      </c>
      <c r="C4" s="1">
        <v>45202</v>
      </c>
      <c r="D4" s="1">
        <v>45202</v>
      </c>
      <c r="E4" s="2">
        <f t="shared" ca="1" si="0"/>
        <v>8</v>
      </c>
      <c r="F4" s="2">
        <f t="shared" ca="1" si="1"/>
        <v>409.58256215277652</v>
      </c>
      <c r="G4" s="13" t="s">
        <v>6</v>
      </c>
      <c r="H4" s="83" t="str">
        <f>IF(ISBLANK(G4), "", VLOOKUP(VLOOKUP(G4, NHLTeams!$B$2:$F$33, 4,FALSE), Conferences!$A$2:$B$3, 2,FALSE))</f>
        <v>Western</v>
      </c>
      <c r="I4" s="84" t="str">
        <f>IF(ISBLANK(G4), "", VLOOKUP(VLOOKUP(G4, NHLTeams!$B$2:$F$33, 5, FALSE), Divisions!$A$2:$B$5, 2, FALSE))</f>
        <v>Pacific</v>
      </c>
      <c r="J4" t="s">
        <v>53</v>
      </c>
      <c r="K4" t="s">
        <v>9</v>
      </c>
      <c r="L4" t="s">
        <v>454</v>
      </c>
      <c r="M4">
        <v>97</v>
      </c>
      <c r="N4">
        <v>1</v>
      </c>
      <c r="O4">
        <v>0</v>
      </c>
      <c r="P4" t="s">
        <v>293</v>
      </c>
      <c r="Q4" t="s">
        <v>4</v>
      </c>
      <c r="R4" t="s">
        <v>10</v>
      </c>
      <c r="S4" t="s">
        <v>21</v>
      </c>
      <c r="U4" s="118">
        <v>56</v>
      </c>
      <c r="V4" t="s">
        <v>302</v>
      </c>
      <c r="W4" t="s">
        <v>303</v>
      </c>
      <c r="X4" t="s">
        <v>372</v>
      </c>
      <c r="Y4" s="109" t="s">
        <v>420</v>
      </c>
      <c r="AA4">
        <v>249.99</v>
      </c>
      <c r="AB4">
        <v>0</v>
      </c>
      <c r="AC4">
        <v>11.99</v>
      </c>
      <c r="AD4">
        <v>75</v>
      </c>
      <c r="AE4" t="s">
        <v>50</v>
      </c>
      <c r="AF4">
        <f t="shared" si="4"/>
        <v>28.047000000000001</v>
      </c>
      <c r="AG4">
        <f t="shared" si="2"/>
        <v>215.02700000000002</v>
      </c>
      <c r="AH4">
        <v>215.03</v>
      </c>
      <c r="AI4">
        <v>0</v>
      </c>
      <c r="AJ4">
        <v>0</v>
      </c>
      <c r="AL4" s="1">
        <v>35443</v>
      </c>
      <c r="AN4" t="s">
        <v>59</v>
      </c>
      <c r="AP4" t="s">
        <v>348</v>
      </c>
      <c r="AQ4" t="s">
        <v>349</v>
      </c>
      <c r="AR4" s="120">
        <f ca="1">DATE(YEAR(NOW()),MONTH(NOW()), DAY(NOW())) - DATE(YEAR($AL4),MONTH($AL4), DAY($AL4))</f>
        <v>10168</v>
      </c>
      <c r="AS4" s="120">
        <f t="shared" si="3"/>
        <v>-529</v>
      </c>
      <c r="AT4">
        <v>0</v>
      </c>
      <c r="AV4">
        <v>8478402</v>
      </c>
    </row>
    <row r="5" spans="1:48" x14ac:dyDescent="0.25">
      <c r="A5">
        <v>3</v>
      </c>
      <c r="B5" s="1">
        <v>45199</v>
      </c>
      <c r="C5" s="1">
        <v>45209</v>
      </c>
      <c r="D5" s="1">
        <v>45209</v>
      </c>
      <c r="E5" s="2">
        <f t="shared" ca="1" si="0"/>
        <v>10</v>
      </c>
      <c r="F5" s="2">
        <f t="shared" ca="1" si="1"/>
        <v>402.58256215277652</v>
      </c>
      <c r="G5" s="20" t="s">
        <v>24</v>
      </c>
      <c r="H5" s="81" t="str">
        <f>IF(ISBLANK(G5), "", VLOOKUP(VLOOKUP(G5, NHLTeams!$B$2:$F$33, 4,FALSE), Conferences!$A$2:$B$3, 2,FALSE))</f>
        <v>Eastern</v>
      </c>
      <c r="I5" s="85" t="str">
        <f>IF(ISBLANK(G5), "", VLOOKUP(VLOOKUP(G5, NHLTeams!$B$2:$F$33, 5, FALSE), Divisions!$A$2:$B$5, 2, FALSE))</f>
        <v>Metropolitan</v>
      </c>
      <c r="J5" t="s">
        <v>53</v>
      </c>
      <c r="K5" t="s">
        <v>27</v>
      </c>
      <c r="L5" t="s">
        <v>31</v>
      </c>
      <c r="M5">
        <v>8</v>
      </c>
      <c r="N5">
        <v>1</v>
      </c>
      <c r="O5">
        <v>0</v>
      </c>
      <c r="P5" t="s">
        <v>297</v>
      </c>
      <c r="Q5" t="s">
        <v>4</v>
      </c>
      <c r="R5" t="s">
        <v>3</v>
      </c>
      <c r="S5" t="s">
        <v>20</v>
      </c>
      <c r="U5" s="118">
        <v>56</v>
      </c>
      <c r="V5" t="s">
        <v>302</v>
      </c>
      <c r="W5" t="s">
        <v>303</v>
      </c>
      <c r="X5" t="s">
        <v>372</v>
      </c>
      <c r="Y5" s="109" t="s">
        <v>382</v>
      </c>
      <c r="AA5">
        <v>249.99</v>
      </c>
      <c r="AC5">
        <f>15.99/12</f>
        <v>1.3325</v>
      </c>
      <c r="AD5">
        <f>249.99/4</f>
        <v>62.497500000000002</v>
      </c>
      <c r="AE5" t="s">
        <v>51</v>
      </c>
      <c r="AF5">
        <f t="shared" si="4"/>
        <v>28.32375</v>
      </c>
      <c r="AG5">
        <f t="shared" si="2"/>
        <v>217.14875000000001</v>
      </c>
      <c r="AI5">
        <v>0</v>
      </c>
      <c r="AJ5">
        <v>0</v>
      </c>
      <c r="AL5" s="1">
        <v>31307</v>
      </c>
      <c r="AN5" t="s">
        <v>58</v>
      </c>
      <c r="AP5" t="s">
        <v>341</v>
      </c>
      <c r="AQ5" t="s">
        <v>342</v>
      </c>
      <c r="AR5" s="120">
        <f ca="1">DATE(YEAR(NOW()),MONTH(NOW()), DAY(NOW())) - DATE(YEAR($AL5),MONTH($AL5), DAY($AL5))</f>
        <v>14304</v>
      </c>
      <c r="AS5" s="120">
        <f t="shared" si="3"/>
        <v>3607</v>
      </c>
      <c r="AT5">
        <v>0</v>
      </c>
      <c r="AV5">
        <v>8471214</v>
      </c>
    </row>
    <row r="6" spans="1:48" x14ac:dyDescent="0.25">
      <c r="A6">
        <v>4</v>
      </c>
      <c r="B6" s="1">
        <v>45199</v>
      </c>
      <c r="C6" s="1">
        <v>45209</v>
      </c>
      <c r="D6" s="1">
        <v>45209</v>
      </c>
      <c r="E6" s="2">
        <f t="shared" ca="1" si="0"/>
        <v>10</v>
      </c>
      <c r="F6" s="2">
        <f t="shared" ca="1" si="1"/>
        <v>402.58256215277652</v>
      </c>
      <c r="G6" s="14" t="s">
        <v>25</v>
      </c>
      <c r="H6" s="81" t="str">
        <f>IF(ISBLANK(G6), "", VLOOKUP(VLOOKUP(G6, NHLTeams!$B$2:$F$33, 4,FALSE), Conferences!$A$2:$B$3, 2,FALSE))</f>
        <v>Eastern</v>
      </c>
      <c r="I6" s="82" t="str">
        <f>IF(ISBLANK(G6), "", VLOOKUP(VLOOKUP(G6, NHLTeams!$B$2:$F$33, 5, FALSE), Divisions!$A$2:$B$5, 2, FALSE))</f>
        <v>Atlantic</v>
      </c>
      <c r="J6" t="s">
        <v>259</v>
      </c>
      <c r="K6" t="s">
        <v>28</v>
      </c>
      <c r="L6" t="s">
        <v>17</v>
      </c>
      <c r="M6">
        <v>31</v>
      </c>
      <c r="N6">
        <v>0</v>
      </c>
      <c r="O6">
        <v>0</v>
      </c>
      <c r="P6" t="s">
        <v>293</v>
      </c>
      <c r="Q6" t="s">
        <v>4</v>
      </c>
      <c r="R6" t="s">
        <v>3</v>
      </c>
      <c r="S6" t="s">
        <v>10</v>
      </c>
      <c r="U6" s="118">
        <v>56</v>
      </c>
      <c r="V6" t="s">
        <v>302</v>
      </c>
      <c r="W6" t="s">
        <v>303</v>
      </c>
      <c r="X6" t="s">
        <v>372</v>
      </c>
      <c r="Y6" s="109" t="s">
        <v>721</v>
      </c>
      <c r="AA6">
        <v>249.99</v>
      </c>
      <c r="AC6">
        <f>15.99/12</f>
        <v>1.3325</v>
      </c>
      <c r="AD6">
        <f>249.99/4</f>
        <v>62.497500000000002</v>
      </c>
      <c r="AE6" t="s">
        <v>51</v>
      </c>
      <c r="AF6">
        <f t="shared" si="4"/>
        <v>28.32375</v>
      </c>
      <c r="AG6">
        <f t="shared" si="2"/>
        <v>217.14875000000001</v>
      </c>
      <c r="AI6">
        <v>0</v>
      </c>
      <c r="AJ6">
        <v>0</v>
      </c>
      <c r="AL6" s="1">
        <v>32005</v>
      </c>
      <c r="AM6">
        <v>2023</v>
      </c>
      <c r="AN6" t="s">
        <v>61</v>
      </c>
      <c r="AO6" t="s">
        <v>62</v>
      </c>
      <c r="AP6" t="s">
        <v>343</v>
      </c>
      <c r="AQ6" t="s">
        <v>344</v>
      </c>
      <c r="AR6" s="120">
        <f ca="1">DATE(YEAR(NOW()),MONTH(NOW()), DAY(NOW())) - DATE(YEAR($AL6),MONTH($AL6), DAY($AL6))</f>
        <v>13606</v>
      </c>
      <c r="AS6" s="120">
        <f t="shared" si="3"/>
        <v>2909</v>
      </c>
      <c r="AT6">
        <v>0</v>
      </c>
      <c r="AV6">
        <v>8471679</v>
      </c>
    </row>
    <row r="7" spans="1:48" x14ac:dyDescent="0.25">
      <c r="A7">
        <v>5</v>
      </c>
      <c r="B7" s="1">
        <v>45199</v>
      </c>
      <c r="C7" s="1">
        <v>45209</v>
      </c>
      <c r="D7" s="1">
        <v>45209</v>
      </c>
      <c r="E7" s="2">
        <f t="shared" ca="1" si="0"/>
        <v>10</v>
      </c>
      <c r="F7" s="2">
        <f t="shared" ca="1" si="1"/>
        <v>402.58256215277652</v>
      </c>
      <c r="G7" s="15" t="s">
        <v>26</v>
      </c>
      <c r="H7" s="83" t="str">
        <f>IF(ISBLANK(G7), "", VLOOKUP(VLOOKUP(G7, NHLTeams!$B$2:$F$33, 4,FALSE), Conferences!$A$2:$B$3, 2,FALSE))</f>
        <v>Western</v>
      </c>
      <c r="I7" s="93" t="str">
        <f>IF(ISBLANK(G7), "", VLOOKUP(VLOOKUP(G7, NHLTeams!$B$2:$F$33, 5, FALSE), Divisions!$A$2:$B$5, 2, FALSE))</f>
        <v>Central</v>
      </c>
      <c r="J7" t="s">
        <v>53</v>
      </c>
      <c r="K7" t="s">
        <v>29</v>
      </c>
      <c r="L7" t="s">
        <v>30</v>
      </c>
      <c r="M7">
        <v>29</v>
      </c>
      <c r="N7">
        <v>0</v>
      </c>
      <c r="O7">
        <v>0</v>
      </c>
      <c r="P7" t="s">
        <v>293</v>
      </c>
      <c r="Q7" t="s">
        <v>4</v>
      </c>
      <c r="R7" t="s">
        <v>32</v>
      </c>
      <c r="S7" t="s">
        <v>10</v>
      </c>
      <c r="U7" s="118">
        <v>56</v>
      </c>
      <c r="V7" t="s">
        <v>302</v>
      </c>
      <c r="W7" t="s">
        <v>303</v>
      </c>
      <c r="X7" t="s">
        <v>372</v>
      </c>
      <c r="Y7" s="109" t="s">
        <v>420</v>
      </c>
      <c r="AA7">
        <v>249.99</v>
      </c>
      <c r="AC7">
        <f>15.99/12</f>
        <v>1.3325</v>
      </c>
      <c r="AD7">
        <f>249.99/4</f>
        <v>62.497500000000002</v>
      </c>
      <c r="AE7" t="s">
        <v>51</v>
      </c>
      <c r="AF7">
        <f t="shared" si="4"/>
        <v>28.32375</v>
      </c>
      <c r="AG7">
        <f t="shared" si="2"/>
        <v>217.14875000000001</v>
      </c>
      <c r="AI7">
        <v>0</v>
      </c>
      <c r="AJ7">
        <v>0</v>
      </c>
      <c r="AL7" s="1">
        <v>34943</v>
      </c>
      <c r="AN7" t="s">
        <v>60</v>
      </c>
      <c r="AP7" t="s">
        <v>345</v>
      </c>
      <c r="AQ7" t="s">
        <v>346</v>
      </c>
      <c r="AR7" s="120">
        <f t="shared" ref="AR7:AR38" ca="1" si="5">NOW()-AL7</f>
        <v>10668.582562152777</v>
      </c>
      <c r="AS7" s="120">
        <f t="shared" si="3"/>
        <v>-29</v>
      </c>
      <c r="AT7">
        <v>0</v>
      </c>
      <c r="AV7">
        <v>8477492</v>
      </c>
    </row>
    <row r="8" spans="1:48" x14ac:dyDescent="0.25">
      <c r="A8">
        <v>6</v>
      </c>
      <c r="B8" s="1">
        <v>45201</v>
      </c>
      <c r="C8" s="1">
        <v>45205</v>
      </c>
      <c r="D8" s="1">
        <v>45205</v>
      </c>
      <c r="E8" s="2">
        <f t="shared" ca="1" si="0"/>
        <v>4</v>
      </c>
      <c r="F8" s="2">
        <f t="shared" ca="1" si="1"/>
        <v>406.58256215277652</v>
      </c>
      <c r="G8" s="16" t="s">
        <v>65</v>
      </c>
      <c r="H8" s="83" t="str">
        <f>IF(ISBLANK(G8), "", VLOOKUP(VLOOKUP(G8, NHLTeams!$B$2:$F$33, 4,FALSE), Conferences!$A$2:$B$3, 2,FALSE))</f>
        <v>Western</v>
      </c>
      <c r="I8" s="93" t="str">
        <f>IF(ISBLANK(G8), "", VLOOKUP(VLOOKUP(G8, NHLTeams!$B$2:$F$33, 5, FALSE), Divisions!$A$2:$B$5, 2, FALSE))</f>
        <v>Central</v>
      </c>
      <c r="J8" t="s">
        <v>53</v>
      </c>
      <c r="K8" t="s">
        <v>68</v>
      </c>
      <c r="L8" t="s">
        <v>69</v>
      </c>
      <c r="M8">
        <v>26</v>
      </c>
      <c r="N8">
        <v>1</v>
      </c>
      <c r="O8">
        <v>0</v>
      </c>
      <c r="P8" t="s">
        <v>75</v>
      </c>
      <c r="Q8" t="s">
        <v>4</v>
      </c>
      <c r="R8" t="s">
        <v>287</v>
      </c>
      <c r="S8" t="s">
        <v>20</v>
      </c>
      <c r="U8" s="118">
        <v>56</v>
      </c>
      <c r="V8" t="s">
        <v>302</v>
      </c>
      <c r="W8" t="s">
        <v>303</v>
      </c>
      <c r="X8" t="s">
        <v>372</v>
      </c>
      <c r="Y8" s="109" t="s">
        <v>379</v>
      </c>
      <c r="AA8">
        <v>249.99</v>
      </c>
      <c r="AC8">
        <f>15.99/3</f>
        <v>5.33</v>
      </c>
      <c r="AE8">
        <v>75.989999999999995</v>
      </c>
      <c r="AF8">
        <f t="shared" si="4"/>
        <v>38.298000000000002</v>
      </c>
      <c r="AG8">
        <f t="shared" si="2"/>
        <v>293.61800000000005</v>
      </c>
      <c r="AI8">
        <v>0</v>
      </c>
      <c r="AJ8">
        <v>0</v>
      </c>
      <c r="AL8" s="1">
        <v>31655</v>
      </c>
      <c r="AN8" t="s">
        <v>260</v>
      </c>
      <c r="AP8" t="s">
        <v>350</v>
      </c>
      <c r="AQ8" t="s">
        <v>351</v>
      </c>
      <c r="AR8" s="120">
        <f t="shared" ca="1" si="5"/>
        <v>13956.582562152777</v>
      </c>
      <c r="AS8" s="120">
        <f t="shared" si="3"/>
        <v>3259</v>
      </c>
      <c r="AT8">
        <v>0</v>
      </c>
      <c r="AV8">
        <v>8471218</v>
      </c>
    </row>
    <row r="9" spans="1:48" x14ac:dyDescent="0.25">
      <c r="A9">
        <v>7</v>
      </c>
      <c r="B9" s="1">
        <v>45201</v>
      </c>
      <c r="C9" s="1">
        <v>45211</v>
      </c>
      <c r="D9" s="1">
        <v>45211</v>
      </c>
      <c r="E9" s="2">
        <f t="shared" ca="1" si="0"/>
        <v>10</v>
      </c>
      <c r="F9" s="2">
        <f t="shared" ca="1" si="1"/>
        <v>400.58256215277652</v>
      </c>
      <c r="G9" s="17" t="s">
        <v>66</v>
      </c>
      <c r="H9" s="81" t="str">
        <f>IF(ISBLANK(G9), "", VLOOKUP(VLOOKUP(G9, NHLTeams!$B$2:$F$33, 4,FALSE), Conferences!$A$2:$B$3, 2,FALSE))</f>
        <v>Eastern</v>
      </c>
      <c r="I9" s="85" t="str">
        <f>IF(ISBLANK(G9), "", VLOOKUP(VLOOKUP(G9, NHLTeams!$B$2:$F$33, 5, FALSE), Divisions!$A$2:$B$5, 2, FALSE))</f>
        <v>Metropolitan</v>
      </c>
      <c r="J9" t="s">
        <v>53</v>
      </c>
      <c r="K9" t="s">
        <v>70</v>
      </c>
      <c r="L9" t="s">
        <v>71</v>
      </c>
      <c r="M9">
        <v>87</v>
      </c>
      <c r="N9">
        <v>1</v>
      </c>
      <c r="O9">
        <v>0</v>
      </c>
      <c r="P9" t="s">
        <v>293</v>
      </c>
      <c r="Q9" t="s">
        <v>4</v>
      </c>
      <c r="R9" t="s">
        <v>73</v>
      </c>
      <c r="S9" t="s">
        <v>22</v>
      </c>
      <c r="U9" s="118">
        <v>56</v>
      </c>
      <c r="V9" t="s">
        <v>302</v>
      </c>
      <c r="W9" t="s">
        <v>303</v>
      </c>
      <c r="X9" t="s">
        <v>372</v>
      </c>
      <c r="Y9" s="109" t="s">
        <v>420</v>
      </c>
      <c r="AA9">
        <v>367.99</v>
      </c>
      <c r="AC9">
        <f>15.99/3</f>
        <v>5.33</v>
      </c>
      <c r="AF9">
        <f t="shared" si="4"/>
        <v>55.997999999999998</v>
      </c>
      <c r="AG9">
        <f t="shared" si="2"/>
        <v>429.31799999999998</v>
      </c>
      <c r="AI9">
        <v>0</v>
      </c>
      <c r="AJ9">
        <v>0</v>
      </c>
      <c r="AL9" s="1">
        <v>31996</v>
      </c>
      <c r="AN9" t="s">
        <v>58</v>
      </c>
      <c r="AR9" s="120">
        <f t="shared" ca="1" si="5"/>
        <v>13615.582562152777</v>
      </c>
      <c r="AS9" s="120">
        <f t="shared" si="3"/>
        <v>2918</v>
      </c>
      <c r="AT9">
        <v>0</v>
      </c>
      <c r="AV9">
        <v>8471675</v>
      </c>
    </row>
    <row r="10" spans="1:48" x14ac:dyDescent="0.25">
      <c r="A10">
        <v>8</v>
      </c>
      <c r="B10" s="1">
        <v>45201</v>
      </c>
      <c r="C10" s="1">
        <v>45205</v>
      </c>
      <c r="D10" s="1">
        <v>45205</v>
      </c>
      <c r="E10" s="2">
        <f t="shared" ca="1" si="0"/>
        <v>4</v>
      </c>
      <c r="F10" s="2">
        <f t="shared" ca="1" si="1"/>
        <v>406.58256215277652</v>
      </c>
      <c r="G10" s="18" t="s">
        <v>67</v>
      </c>
      <c r="H10" s="81" t="str">
        <f>IF(ISBLANK(G10), "", VLOOKUP(VLOOKUP(G10, NHLTeams!$B$2:$F$33, 4,FALSE), Conferences!$A$2:$B$3, 2,FALSE))</f>
        <v>Eastern</v>
      </c>
      <c r="I10" s="82" t="str">
        <f>IF(ISBLANK(G10), "", VLOOKUP(VLOOKUP(G10, NHLTeams!$B$2:$F$33, 5, FALSE), Divisions!$A$2:$B$5, 2, FALSE))</f>
        <v>Atlantic</v>
      </c>
      <c r="J10" t="s">
        <v>53</v>
      </c>
      <c r="K10" t="s">
        <v>446</v>
      </c>
      <c r="L10" t="s">
        <v>72</v>
      </c>
      <c r="M10">
        <v>34</v>
      </c>
      <c r="N10">
        <v>0</v>
      </c>
      <c r="O10">
        <v>0</v>
      </c>
      <c r="P10" t="s">
        <v>75</v>
      </c>
      <c r="Q10" t="s">
        <v>4</v>
      </c>
      <c r="R10" t="s">
        <v>10</v>
      </c>
      <c r="S10" t="s">
        <v>20</v>
      </c>
      <c r="U10" s="118">
        <v>56</v>
      </c>
      <c r="V10" t="s">
        <v>302</v>
      </c>
      <c r="W10" t="s">
        <v>303</v>
      </c>
      <c r="X10" t="s">
        <v>372</v>
      </c>
      <c r="Y10" s="109" t="s">
        <v>722</v>
      </c>
      <c r="AA10">
        <v>249.99</v>
      </c>
      <c r="AC10">
        <f>15.99/3</f>
        <v>5.33</v>
      </c>
      <c r="AF10">
        <f t="shared" si="4"/>
        <v>38.298000000000002</v>
      </c>
      <c r="AG10">
        <f t="shared" si="2"/>
        <v>293.61800000000005</v>
      </c>
      <c r="AI10">
        <v>0</v>
      </c>
      <c r="AJ10">
        <v>0</v>
      </c>
      <c r="AL10" s="1">
        <v>35690</v>
      </c>
      <c r="AN10" t="s">
        <v>64</v>
      </c>
      <c r="AP10" t="s">
        <v>339</v>
      </c>
      <c r="AQ10" t="s">
        <v>340</v>
      </c>
      <c r="AR10" s="120">
        <f t="shared" ca="1" si="5"/>
        <v>9921.5825621527765</v>
      </c>
      <c r="AS10" s="120">
        <f t="shared" si="3"/>
        <v>-776</v>
      </c>
      <c r="AT10">
        <v>0</v>
      </c>
      <c r="AV10">
        <v>8479318</v>
      </c>
    </row>
    <row r="11" spans="1:48" x14ac:dyDescent="0.25">
      <c r="A11">
        <v>9</v>
      </c>
      <c r="B11" s="1">
        <v>45205</v>
      </c>
      <c r="C11" s="1">
        <v>45219</v>
      </c>
      <c r="D11" s="1">
        <v>45513</v>
      </c>
      <c r="E11" s="2">
        <f t="shared" ca="1" si="0"/>
        <v>14</v>
      </c>
      <c r="F11" s="2">
        <f t="shared" ca="1" si="1"/>
        <v>392.58256215277652</v>
      </c>
      <c r="G11" s="17" t="s">
        <v>66</v>
      </c>
      <c r="H11" s="81" t="str">
        <f>IF(ISBLANK(G11), "", VLOOKUP(VLOOKUP(G11, NHLTeams!$B$2:$F$33, 4,FALSE), Conferences!$A$2:$B$3, 2,FALSE))</f>
        <v>Eastern</v>
      </c>
      <c r="I11" s="85" t="str">
        <f>IF(ISBLANK(G11), "", VLOOKUP(VLOOKUP(G11, NHLTeams!$B$2:$F$33, 5, FALSE), Divisions!$A$2:$B$5, 2, FALSE))</f>
        <v>Metropolitan</v>
      </c>
      <c r="J11" t="s">
        <v>53</v>
      </c>
      <c r="K11" t="s">
        <v>70</v>
      </c>
      <c r="L11" t="s">
        <v>71</v>
      </c>
      <c r="M11">
        <v>87</v>
      </c>
      <c r="N11">
        <v>1</v>
      </c>
      <c r="O11">
        <v>0</v>
      </c>
      <c r="P11" t="s">
        <v>293</v>
      </c>
      <c r="Q11" t="s">
        <v>4</v>
      </c>
      <c r="R11" t="s">
        <v>73</v>
      </c>
      <c r="S11" t="s">
        <v>22</v>
      </c>
      <c r="U11" s="118">
        <v>56</v>
      </c>
      <c r="V11" t="s">
        <v>302</v>
      </c>
      <c r="W11" t="s">
        <v>310</v>
      </c>
      <c r="X11" t="s">
        <v>372</v>
      </c>
      <c r="Y11" s="109" t="s">
        <v>381</v>
      </c>
      <c r="AA11">
        <v>369.99</v>
      </c>
      <c r="AE11">
        <v>110.99</v>
      </c>
      <c r="AF11">
        <f t="shared" si="4"/>
        <v>55.4985</v>
      </c>
      <c r="AG11">
        <f t="shared" si="2"/>
        <v>425.48849999999999</v>
      </c>
      <c r="AH11">
        <v>135.05000000000001</v>
      </c>
      <c r="AI11">
        <v>0</v>
      </c>
      <c r="AJ11">
        <v>0</v>
      </c>
      <c r="AL11" s="1">
        <v>31996</v>
      </c>
      <c r="AN11" t="s">
        <v>58</v>
      </c>
      <c r="AP11" t="s">
        <v>353</v>
      </c>
      <c r="AQ11" t="s">
        <v>352</v>
      </c>
      <c r="AR11" s="120">
        <f t="shared" ca="1" si="5"/>
        <v>13615.582562152777</v>
      </c>
      <c r="AS11" s="120">
        <f t="shared" si="3"/>
        <v>2918</v>
      </c>
      <c r="AT11">
        <v>0</v>
      </c>
      <c r="AV11">
        <v>8471675</v>
      </c>
    </row>
    <row r="12" spans="1:48" x14ac:dyDescent="0.25">
      <c r="A12">
        <v>10</v>
      </c>
      <c r="B12" s="1">
        <v>45209</v>
      </c>
      <c r="C12" s="1">
        <v>45222</v>
      </c>
      <c r="D12" s="1">
        <v>45222</v>
      </c>
      <c r="E12" s="2">
        <f t="shared" ca="1" si="0"/>
        <v>13</v>
      </c>
      <c r="F12" s="2">
        <f t="shared" ca="1" si="1"/>
        <v>389.58256215277652</v>
      </c>
      <c r="G12" s="19" t="s">
        <v>5</v>
      </c>
      <c r="H12" s="83" t="str">
        <f>IF(ISBLANK(G12), "", VLOOKUP(VLOOKUP(G12, NHLTeams!$B$2:$F$33, 4,FALSE), Conferences!$A$2:$B$3, 2,FALSE))</f>
        <v>Western</v>
      </c>
      <c r="I12" s="84" t="str">
        <f>IF(ISBLANK(G12), "", VLOOKUP(VLOOKUP(G12, NHLTeams!$B$2:$F$33, 5, FALSE), Divisions!$A$2:$B$5, 2, FALSE))</f>
        <v>Pacific</v>
      </c>
      <c r="J12" t="s">
        <v>259</v>
      </c>
      <c r="K12" t="s">
        <v>263</v>
      </c>
      <c r="L12" t="s">
        <v>261</v>
      </c>
      <c r="M12">
        <v>34</v>
      </c>
      <c r="N12">
        <v>0</v>
      </c>
      <c r="O12">
        <v>0</v>
      </c>
      <c r="P12" t="s">
        <v>298</v>
      </c>
      <c r="Q12" t="s">
        <v>262</v>
      </c>
      <c r="R12" t="s">
        <v>73</v>
      </c>
      <c r="S12" t="s">
        <v>3</v>
      </c>
      <c r="U12" s="118">
        <v>56</v>
      </c>
      <c r="V12" t="s">
        <v>302</v>
      </c>
      <c r="W12" t="s">
        <v>303</v>
      </c>
      <c r="X12" t="s">
        <v>372</v>
      </c>
      <c r="Y12" s="109" t="s">
        <v>378</v>
      </c>
      <c r="AA12">
        <v>279.99</v>
      </c>
      <c r="AF12">
        <f t="shared" si="4"/>
        <v>41.9985</v>
      </c>
      <c r="AG12">
        <f t="shared" si="2"/>
        <v>321.98849999999999</v>
      </c>
      <c r="AI12">
        <v>0</v>
      </c>
      <c r="AJ12">
        <v>0</v>
      </c>
      <c r="AL12" s="1">
        <v>28059</v>
      </c>
      <c r="AM12">
        <v>2013</v>
      </c>
      <c r="AN12" t="s">
        <v>264</v>
      </c>
      <c r="AO12" t="s">
        <v>63</v>
      </c>
      <c r="AP12" t="s">
        <v>334</v>
      </c>
      <c r="AQ12" t="s">
        <v>337</v>
      </c>
      <c r="AR12" s="120">
        <f t="shared" ca="1" si="5"/>
        <v>17552.582562152777</v>
      </c>
      <c r="AS12" s="120">
        <f t="shared" si="3"/>
        <v>6855</v>
      </c>
      <c r="AT12">
        <v>0</v>
      </c>
      <c r="AU12" t="s">
        <v>716</v>
      </c>
      <c r="AV12">
        <v>8462147</v>
      </c>
    </row>
    <row r="13" spans="1:48" x14ac:dyDescent="0.25">
      <c r="A13">
        <v>11</v>
      </c>
      <c r="B13" s="1">
        <v>45247</v>
      </c>
      <c r="C13" s="1">
        <v>45257</v>
      </c>
      <c r="D13" s="1">
        <v>45285</v>
      </c>
      <c r="E13" s="2">
        <f t="shared" ca="1" si="0"/>
        <v>10</v>
      </c>
      <c r="F13" s="2">
        <f t="shared" ca="1" si="1"/>
        <v>354.58256215277652</v>
      </c>
      <c r="G13" s="19" t="s">
        <v>5</v>
      </c>
      <c r="H13" s="83" t="str">
        <f>IF(ISBLANK(G13), "", VLOOKUP(VLOOKUP(G13, NHLTeams!$B$2:$F$33, 4,FALSE), Conferences!$A$2:$B$3, 2,FALSE))</f>
        <v>Western</v>
      </c>
      <c r="I13" s="84" t="str">
        <f>IF(ISBLANK(G13), "", VLOOKUP(VLOOKUP(G13, NHLTeams!$B$2:$F$33, 5, FALSE), Divisions!$A$2:$B$5, 2, FALSE))</f>
        <v>Pacific</v>
      </c>
      <c r="J13" t="s">
        <v>53</v>
      </c>
      <c r="K13" t="s">
        <v>265</v>
      </c>
      <c r="L13" t="s">
        <v>266</v>
      </c>
      <c r="M13">
        <v>23</v>
      </c>
      <c r="N13">
        <v>0</v>
      </c>
      <c r="O13">
        <v>0</v>
      </c>
      <c r="P13" t="s">
        <v>293</v>
      </c>
      <c r="Q13" t="s">
        <v>4</v>
      </c>
      <c r="R13" t="s">
        <v>3</v>
      </c>
      <c r="S13" t="s">
        <v>73</v>
      </c>
      <c r="U13" s="118">
        <v>56</v>
      </c>
      <c r="V13" t="s">
        <v>302</v>
      </c>
      <c r="W13" t="s">
        <v>310</v>
      </c>
      <c r="X13" t="s">
        <v>372</v>
      </c>
      <c r="Y13" s="109" t="s">
        <v>723</v>
      </c>
      <c r="AA13">
        <v>249.99</v>
      </c>
      <c r="AD13">
        <v>170</v>
      </c>
      <c r="AF13">
        <f t="shared" si="4"/>
        <v>11.998500000000002</v>
      </c>
      <c r="AG13">
        <f t="shared" si="2"/>
        <v>91.988500000000016</v>
      </c>
      <c r="AH13">
        <v>91.99</v>
      </c>
      <c r="AI13">
        <v>0</v>
      </c>
      <c r="AJ13">
        <v>0</v>
      </c>
      <c r="AL13" s="1">
        <v>34611</v>
      </c>
      <c r="AN13" t="s">
        <v>60</v>
      </c>
      <c r="AR13" s="120">
        <f t="shared" ca="1" si="5"/>
        <v>11000.582562152777</v>
      </c>
      <c r="AS13" s="120">
        <f t="shared" si="3"/>
        <v>303</v>
      </c>
      <c r="AT13">
        <v>0</v>
      </c>
      <c r="AV13">
        <v>8477497</v>
      </c>
    </row>
    <row r="14" spans="1:48" x14ac:dyDescent="0.25">
      <c r="A14">
        <v>12</v>
      </c>
      <c r="B14" s="1">
        <v>45247</v>
      </c>
      <c r="C14" s="1">
        <v>45257</v>
      </c>
      <c r="D14" s="1">
        <v>45285</v>
      </c>
      <c r="E14" s="2">
        <f t="shared" ca="1" si="0"/>
        <v>10</v>
      </c>
      <c r="F14" s="2">
        <f t="shared" ca="1" si="1"/>
        <v>354.58256215277652</v>
      </c>
      <c r="G14" s="94" t="s">
        <v>216</v>
      </c>
      <c r="H14" s="83" t="str">
        <f>IF(ISBLANK(G14), "", VLOOKUP(VLOOKUP(G14, NHLTeams!$B$2:$F$33, 4,FALSE), Conferences!$A$2:$B$3, 2,FALSE))</f>
        <v>Western</v>
      </c>
      <c r="I14" s="84" t="str">
        <f>IF(ISBLANK(G14), "", VLOOKUP(VLOOKUP(G14, NHLTeams!$B$2:$F$33, 5, FALSE), Divisions!$A$2:$B$5, 2, FALSE))</f>
        <v>Pacific</v>
      </c>
      <c r="J14" t="s">
        <v>53</v>
      </c>
      <c r="K14" t="s">
        <v>267</v>
      </c>
      <c r="L14" t="s">
        <v>268</v>
      </c>
      <c r="M14">
        <v>53</v>
      </c>
      <c r="N14">
        <v>1</v>
      </c>
      <c r="O14">
        <v>0</v>
      </c>
      <c r="P14" t="s">
        <v>293</v>
      </c>
      <c r="Q14" t="s">
        <v>4</v>
      </c>
      <c r="R14" t="s">
        <v>10</v>
      </c>
      <c r="S14" t="s">
        <v>270</v>
      </c>
      <c r="U14" s="118">
        <v>56</v>
      </c>
      <c r="V14" t="s">
        <v>302</v>
      </c>
      <c r="W14" t="s">
        <v>310</v>
      </c>
      <c r="X14" t="s">
        <v>372</v>
      </c>
      <c r="Y14" s="109" t="s">
        <v>724</v>
      </c>
      <c r="AA14">
        <v>249.99</v>
      </c>
      <c r="AD14">
        <v>170</v>
      </c>
      <c r="AF14">
        <f t="shared" si="4"/>
        <v>11.998500000000002</v>
      </c>
      <c r="AG14">
        <f t="shared" si="2"/>
        <v>91.988500000000016</v>
      </c>
      <c r="AH14">
        <v>91.99</v>
      </c>
      <c r="AI14">
        <v>0</v>
      </c>
      <c r="AJ14">
        <v>0</v>
      </c>
      <c r="AL14" s="1">
        <v>34794</v>
      </c>
      <c r="AN14" t="s">
        <v>269</v>
      </c>
      <c r="AR14" s="120">
        <f t="shared" ca="1" si="5"/>
        <v>10817.582562152777</v>
      </c>
      <c r="AS14" s="120">
        <f t="shared" si="3"/>
        <v>120</v>
      </c>
      <c r="AT14">
        <v>0</v>
      </c>
      <c r="AV14">
        <v>8477500</v>
      </c>
    </row>
    <row r="15" spans="1:48" x14ac:dyDescent="0.25">
      <c r="A15">
        <v>13</v>
      </c>
      <c r="B15" s="1">
        <v>45267</v>
      </c>
      <c r="C15" s="1">
        <v>45294</v>
      </c>
      <c r="D15" s="1">
        <v>45397</v>
      </c>
      <c r="E15" s="2">
        <f t="shared" ca="1" si="0"/>
        <v>27</v>
      </c>
      <c r="F15" s="2">
        <f t="shared" ca="1" si="1"/>
        <v>317.58256215277652</v>
      </c>
      <c r="G15" s="95" t="s">
        <v>151</v>
      </c>
      <c r="H15" s="83" t="str">
        <f>IF(ISBLANK(G15), "", VLOOKUP(VLOOKUP(G15, NHLTeams!$B$2:$F$33, 4,FALSE), Conferences!$A$2:$B$3, 2,FALSE))</f>
        <v>Western</v>
      </c>
      <c r="I15" s="84" t="str">
        <f>IF(ISBLANK(G15), "", VLOOKUP(VLOOKUP(G15, NHLTeams!$B$2:$F$33, 5, FALSE), Divisions!$A$2:$B$5, 2, FALSE))</f>
        <v>Pacific</v>
      </c>
      <c r="J15" t="s">
        <v>53</v>
      </c>
      <c r="K15" t="s">
        <v>274</v>
      </c>
      <c r="L15" t="s">
        <v>275</v>
      </c>
      <c r="M15">
        <v>11</v>
      </c>
      <c r="N15">
        <v>1</v>
      </c>
      <c r="O15">
        <v>0</v>
      </c>
      <c r="P15" t="s">
        <v>292</v>
      </c>
      <c r="Q15" t="s">
        <v>4</v>
      </c>
      <c r="R15" t="s">
        <v>73</v>
      </c>
      <c r="S15" t="s">
        <v>20</v>
      </c>
      <c r="U15" s="118" t="s">
        <v>288</v>
      </c>
      <c r="V15" t="s">
        <v>311</v>
      </c>
      <c r="Y15" s="109" t="s">
        <v>725</v>
      </c>
      <c r="Z15">
        <v>69.989999999999995</v>
      </c>
      <c r="AA15">
        <v>95.046419999999998</v>
      </c>
      <c r="AC15">
        <f t="shared" ref="AC15:AC21" si="6">83/7</f>
        <v>11.857142857142858</v>
      </c>
      <c r="AF15">
        <f t="shared" si="4"/>
        <v>16.035534428571427</v>
      </c>
      <c r="AG15">
        <f t="shared" si="2"/>
        <v>122.93909728571428</v>
      </c>
      <c r="AI15">
        <v>1</v>
      </c>
      <c r="AJ15">
        <v>0</v>
      </c>
      <c r="AK15">
        <v>1.3580000000000001</v>
      </c>
      <c r="AL15" s="1">
        <v>32013</v>
      </c>
      <c r="AN15" t="s">
        <v>291</v>
      </c>
      <c r="AR15" s="120">
        <f t="shared" ca="1" si="5"/>
        <v>13598.582562152777</v>
      </c>
      <c r="AS15" s="120">
        <f t="shared" si="3"/>
        <v>2901</v>
      </c>
      <c r="AT15">
        <v>0</v>
      </c>
      <c r="AV15">
        <v>8471685</v>
      </c>
    </row>
    <row r="16" spans="1:48" x14ac:dyDescent="0.25">
      <c r="A16">
        <v>14</v>
      </c>
      <c r="B16" s="1">
        <v>45267</v>
      </c>
      <c r="C16" s="1">
        <v>45294</v>
      </c>
      <c r="D16" s="1">
        <v>45349</v>
      </c>
      <c r="E16" s="2">
        <f t="shared" ca="1" si="0"/>
        <v>27</v>
      </c>
      <c r="F16" s="2">
        <f t="shared" ca="1" si="1"/>
        <v>317.58256215277652</v>
      </c>
      <c r="G16" s="95" t="s">
        <v>151</v>
      </c>
      <c r="H16" s="83" t="str">
        <f>IF(ISBLANK(G16), "", VLOOKUP(VLOOKUP(G16, NHLTeams!$B$2:$F$33, 4,FALSE), Conferences!$A$2:$B$3, 2,FALSE))</f>
        <v>Western</v>
      </c>
      <c r="I16" s="84" t="str">
        <f>IF(ISBLANK(G16), "", VLOOKUP(VLOOKUP(G16, NHLTeams!$B$2:$F$33, 5, FALSE), Divisions!$A$2:$B$5, 2, FALSE))</f>
        <v>Pacific</v>
      </c>
      <c r="J16" t="s">
        <v>259</v>
      </c>
      <c r="K16" t="s">
        <v>7</v>
      </c>
      <c r="L16" t="s">
        <v>276</v>
      </c>
      <c r="M16">
        <v>32</v>
      </c>
      <c r="N16">
        <v>0</v>
      </c>
      <c r="O16">
        <v>0</v>
      </c>
      <c r="P16" t="s">
        <v>75</v>
      </c>
      <c r="Q16" t="s">
        <v>4</v>
      </c>
      <c r="R16" t="s">
        <v>73</v>
      </c>
      <c r="S16" t="s">
        <v>20</v>
      </c>
      <c r="U16" s="118" t="s">
        <v>288</v>
      </c>
      <c r="V16" t="s">
        <v>311</v>
      </c>
      <c r="Y16" s="109" t="s">
        <v>726</v>
      </c>
      <c r="Z16">
        <v>69.989999999999995</v>
      </c>
      <c r="AA16">
        <v>95.046419999999998</v>
      </c>
      <c r="AC16">
        <f t="shared" si="6"/>
        <v>11.857142857142858</v>
      </c>
      <c r="AF16">
        <f t="shared" si="4"/>
        <v>16.035534428571427</v>
      </c>
      <c r="AG16">
        <f t="shared" si="2"/>
        <v>122.93909728571428</v>
      </c>
      <c r="AI16">
        <v>1</v>
      </c>
      <c r="AJ16">
        <v>0</v>
      </c>
      <c r="AK16">
        <v>1.3580000000000001</v>
      </c>
      <c r="AL16" s="1">
        <v>31433</v>
      </c>
      <c r="AN16" t="s">
        <v>61</v>
      </c>
      <c r="AR16" s="120">
        <f t="shared" ca="1" si="5"/>
        <v>14178.582562152777</v>
      </c>
      <c r="AS16" s="120">
        <f t="shared" si="3"/>
        <v>3481</v>
      </c>
      <c r="AT16">
        <v>0</v>
      </c>
      <c r="AV16">
        <v>8471734</v>
      </c>
    </row>
    <row r="17" spans="1:48" x14ac:dyDescent="0.25">
      <c r="A17">
        <v>15</v>
      </c>
      <c r="B17" s="1">
        <v>45267</v>
      </c>
      <c r="C17" s="1">
        <v>45294</v>
      </c>
      <c r="D17" s="1">
        <v>45347</v>
      </c>
      <c r="E17" s="2">
        <f t="shared" ca="1" si="0"/>
        <v>27</v>
      </c>
      <c r="F17" s="2">
        <f t="shared" ca="1" si="1"/>
        <v>317.58256215277652</v>
      </c>
      <c r="G17" s="96" t="s">
        <v>177</v>
      </c>
      <c r="H17" s="81" t="str">
        <f>IF(ISBLANK(G17), "", VLOOKUP(VLOOKUP(G17, NHLTeams!$B$2:$F$33, 4,FALSE), Conferences!$A$2:$B$3, 2,FALSE))</f>
        <v>Eastern</v>
      </c>
      <c r="I17" s="85" t="str">
        <f>IF(ISBLANK(G17), "", VLOOKUP(VLOOKUP(G17, NHLTeams!$B$2:$F$33, 5, FALSE), Divisions!$A$2:$B$5, 2, FALSE))</f>
        <v>Metropolitan</v>
      </c>
      <c r="J17" t="s">
        <v>273</v>
      </c>
      <c r="K17" t="s">
        <v>277</v>
      </c>
      <c r="L17" t="s">
        <v>289</v>
      </c>
      <c r="M17">
        <v>27</v>
      </c>
      <c r="N17">
        <v>1</v>
      </c>
      <c r="O17">
        <v>0</v>
      </c>
      <c r="P17" t="s">
        <v>75</v>
      </c>
      <c r="Q17" t="s">
        <v>4</v>
      </c>
      <c r="R17" t="s">
        <v>10</v>
      </c>
      <c r="S17" t="s">
        <v>3</v>
      </c>
      <c r="U17" s="118">
        <v>56</v>
      </c>
      <c r="V17" t="s">
        <v>302</v>
      </c>
      <c r="W17" t="s">
        <v>310</v>
      </c>
      <c r="Y17" s="109" t="s">
        <v>727</v>
      </c>
      <c r="Z17">
        <v>59.99</v>
      </c>
      <c r="AA17">
        <v>81.466419999999999</v>
      </c>
      <c r="AC17">
        <f t="shared" si="6"/>
        <v>11.857142857142858</v>
      </c>
      <c r="AF17">
        <f t="shared" si="4"/>
        <v>13.998534428571428</v>
      </c>
      <c r="AG17">
        <f t="shared" si="2"/>
        <v>107.32209728571429</v>
      </c>
      <c r="AI17">
        <v>1</v>
      </c>
      <c r="AJ17">
        <v>0</v>
      </c>
      <c r="AK17">
        <v>1.3580000000000001</v>
      </c>
      <c r="AL17" s="1">
        <v>32672</v>
      </c>
      <c r="AN17" t="s">
        <v>290</v>
      </c>
      <c r="AR17" s="120">
        <f t="shared" ca="1" si="5"/>
        <v>12939.582562152777</v>
      </c>
      <c r="AS17" s="120">
        <f t="shared" si="3"/>
        <v>2242</v>
      </c>
      <c r="AT17">
        <v>0</v>
      </c>
      <c r="AV17">
        <v>8474151</v>
      </c>
    </row>
    <row r="18" spans="1:48" x14ac:dyDescent="0.25">
      <c r="A18">
        <v>16</v>
      </c>
      <c r="B18" s="1">
        <v>45267</v>
      </c>
      <c r="C18" s="1">
        <v>45294</v>
      </c>
      <c r="D18" s="1">
        <v>45375</v>
      </c>
      <c r="E18" s="2">
        <f t="shared" ca="1" si="0"/>
        <v>27</v>
      </c>
      <c r="F18" s="2">
        <f t="shared" ca="1" si="1"/>
        <v>317.58256215277652</v>
      </c>
      <c r="G18" s="97" t="s">
        <v>106</v>
      </c>
      <c r="H18" s="81" t="str">
        <f>IF(ISBLANK(G18), "", VLOOKUP(VLOOKUP(G18, NHLTeams!$B$2:$F$33, 4,FALSE), Conferences!$A$2:$B$3, 2,FALSE))</f>
        <v>Eastern</v>
      </c>
      <c r="I18" s="82" t="str">
        <f>IF(ISBLANK(G18), "", VLOOKUP(VLOOKUP(G18, NHLTeams!$B$2:$F$33, 5, FALSE), Divisions!$A$2:$B$5, 2, FALSE))</f>
        <v>Atlantic</v>
      </c>
      <c r="J18" t="s">
        <v>53</v>
      </c>
      <c r="K18" t="s">
        <v>278</v>
      </c>
      <c r="L18" t="s">
        <v>279</v>
      </c>
      <c r="M18">
        <v>15</v>
      </c>
      <c r="N18">
        <v>0</v>
      </c>
      <c r="O18">
        <v>0</v>
      </c>
      <c r="P18" t="s">
        <v>75</v>
      </c>
      <c r="Q18" t="s">
        <v>4</v>
      </c>
      <c r="R18" t="s">
        <v>287</v>
      </c>
      <c r="S18" t="s">
        <v>286</v>
      </c>
      <c r="U18" s="118">
        <v>56</v>
      </c>
      <c r="V18" t="s">
        <v>302</v>
      </c>
      <c r="W18" t="s">
        <v>310</v>
      </c>
      <c r="Y18" s="109" t="s">
        <v>376</v>
      </c>
      <c r="Z18">
        <v>59.99</v>
      </c>
      <c r="AA18">
        <v>81.466419999999999</v>
      </c>
      <c r="AC18">
        <f t="shared" si="6"/>
        <v>11.857142857142858</v>
      </c>
      <c r="AF18">
        <f t="shared" si="4"/>
        <v>13.998534428571428</v>
      </c>
      <c r="AG18">
        <f t="shared" si="2"/>
        <v>107.32209728571429</v>
      </c>
      <c r="AI18">
        <v>1</v>
      </c>
      <c r="AJ18">
        <v>0</v>
      </c>
      <c r="AK18">
        <v>1.3580000000000001</v>
      </c>
      <c r="AL18" s="1">
        <v>35366</v>
      </c>
      <c r="AN18" t="s">
        <v>59</v>
      </c>
      <c r="AR18" s="120">
        <f t="shared" ca="1" si="5"/>
        <v>10245.582562152777</v>
      </c>
      <c r="AS18" s="120">
        <f t="shared" si="3"/>
        <v>-452</v>
      </c>
      <c r="AT18">
        <v>0</v>
      </c>
      <c r="AV18">
        <v>8478403</v>
      </c>
    </row>
    <row r="19" spans="1:48" x14ac:dyDescent="0.25">
      <c r="A19">
        <v>17</v>
      </c>
      <c r="B19" s="1">
        <v>45267</v>
      </c>
      <c r="C19" s="1">
        <v>45294</v>
      </c>
      <c r="D19" s="1">
        <v>45373</v>
      </c>
      <c r="E19" s="2">
        <f t="shared" ca="1" si="0"/>
        <v>27</v>
      </c>
      <c r="F19" s="2">
        <f t="shared" ca="1" si="1"/>
        <v>317.58256215277652</v>
      </c>
      <c r="G19" s="17" t="s">
        <v>101</v>
      </c>
      <c r="H19" s="81" t="str">
        <f>IF(ISBLANK(G19), "", VLOOKUP(VLOOKUP(G19, NHLTeams!$B$2:$F$33, 4,FALSE), Conferences!$A$2:$B$3, 2,FALSE))</f>
        <v>Eastern</v>
      </c>
      <c r="I19" s="82" t="str">
        <f>IF(ISBLANK(G19), "", VLOOKUP(VLOOKUP(G19, NHLTeams!$B$2:$F$33, 5, FALSE), Divisions!$A$2:$B$5, 2, FALSE))</f>
        <v>Atlantic</v>
      </c>
      <c r="J19" t="s">
        <v>53</v>
      </c>
      <c r="K19" t="s">
        <v>280</v>
      </c>
      <c r="L19" t="s">
        <v>281</v>
      </c>
      <c r="M19">
        <v>37</v>
      </c>
      <c r="N19">
        <v>1</v>
      </c>
      <c r="O19">
        <v>0</v>
      </c>
      <c r="P19" t="s">
        <v>293</v>
      </c>
      <c r="Q19" t="s">
        <v>4</v>
      </c>
      <c r="R19" t="s">
        <v>73</v>
      </c>
      <c r="S19" t="s">
        <v>286</v>
      </c>
      <c r="U19" s="118" t="s">
        <v>288</v>
      </c>
      <c r="V19" t="s">
        <v>311</v>
      </c>
      <c r="Y19" s="109" t="s">
        <v>728</v>
      </c>
      <c r="Z19">
        <v>89.99</v>
      </c>
      <c r="AA19">
        <v>122.20641999999999</v>
      </c>
      <c r="AC19">
        <f t="shared" si="6"/>
        <v>11.857142857142858</v>
      </c>
      <c r="AF19">
        <f t="shared" si="4"/>
        <v>20.109534428571425</v>
      </c>
      <c r="AG19">
        <f t="shared" si="2"/>
        <v>154.17309728571428</v>
      </c>
      <c r="AI19">
        <v>1</v>
      </c>
      <c r="AJ19">
        <v>0</v>
      </c>
      <c r="AK19">
        <v>1.3580000000000001</v>
      </c>
      <c r="AL19" s="1">
        <v>31222</v>
      </c>
      <c r="AM19">
        <v>2023</v>
      </c>
      <c r="AN19" t="s">
        <v>294</v>
      </c>
      <c r="AO19" t="s">
        <v>295</v>
      </c>
      <c r="AR19" s="120">
        <f t="shared" ca="1" si="5"/>
        <v>14389.582562152777</v>
      </c>
      <c r="AS19" s="120">
        <f t="shared" si="3"/>
        <v>3692</v>
      </c>
      <c r="AT19">
        <v>0</v>
      </c>
      <c r="AV19">
        <v>8470638</v>
      </c>
    </row>
    <row r="20" spans="1:48" x14ac:dyDescent="0.25">
      <c r="A20">
        <v>18</v>
      </c>
      <c r="B20" s="1">
        <v>45267</v>
      </c>
      <c r="C20" s="1">
        <v>45294</v>
      </c>
      <c r="D20" s="1">
        <v>45382</v>
      </c>
      <c r="E20" s="2">
        <f t="shared" ca="1" si="0"/>
        <v>27</v>
      </c>
      <c r="F20" s="2">
        <f t="shared" ca="1" si="1"/>
        <v>317.58256215277652</v>
      </c>
      <c r="G20" s="98" t="s">
        <v>88</v>
      </c>
      <c r="H20" s="83" t="str">
        <f>IF(ISBLANK(G20), "", VLOOKUP(VLOOKUP(G20, NHLTeams!$B$2:$F$33, 4,FALSE), Conferences!$A$2:$B$3, 2,FALSE))</f>
        <v>Western</v>
      </c>
      <c r="I20" s="84" t="str">
        <f>IF(ISBLANK(G20), "", VLOOKUP(VLOOKUP(G20, NHLTeams!$B$2:$F$33, 5, FALSE), Divisions!$A$2:$B$5, 2, FALSE))</f>
        <v>Pacific</v>
      </c>
      <c r="J20" t="s">
        <v>53</v>
      </c>
      <c r="K20" t="s">
        <v>282</v>
      </c>
      <c r="L20" t="s">
        <v>283</v>
      </c>
      <c r="M20">
        <v>10</v>
      </c>
      <c r="N20">
        <v>0</v>
      </c>
      <c r="O20">
        <v>0</v>
      </c>
      <c r="P20" t="s">
        <v>293</v>
      </c>
      <c r="Q20" t="s">
        <v>285</v>
      </c>
      <c r="R20" t="s">
        <v>20</v>
      </c>
      <c r="S20" t="s">
        <v>21</v>
      </c>
      <c r="U20" s="118" t="s">
        <v>288</v>
      </c>
      <c r="V20" t="s">
        <v>311</v>
      </c>
      <c r="Y20" s="109" t="s">
        <v>729</v>
      </c>
      <c r="Z20">
        <v>59.99</v>
      </c>
      <c r="AA20">
        <v>81.466419999999999</v>
      </c>
      <c r="AC20">
        <f t="shared" si="6"/>
        <v>11.857142857142858</v>
      </c>
      <c r="AF20">
        <f t="shared" si="4"/>
        <v>13.998534428571428</v>
      </c>
      <c r="AG20">
        <f t="shared" si="2"/>
        <v>107.32209728571429</v>
      </c>
      <c r="AI20">
        <v>1</v>
      </c>
      <c r="AJ20">
        <v>0</v>
      </c>
      <c r="AK20">
        <v>1.1240000000000001</v>
      </c>
      <c r="AL20" s="1">
        <v>31183</v>
      </c>
      <c r="AN20" t="s">
        <v>58</v>
      </c>
      <c r="AR20" s="120">
        <f t="shared" ca="1" si="5"/>
        <v>14428.582562152777</v>
      </c>
      <c r="AS20" s="120">
        <f t="shared" si="3"/>
        <v>3731</v>
      </c>
      <c r="AT20">
        <v>0</v>
      </c>
      <c r="AV20">
        <v>8470621</v>
      </c>
    </row>
    <row r="21" spans="1:48" x14ac:dyDescent="0.25">
      <c r="A21">
        <v>19</v>
      </c>
      <c r="B21" s="1">
        <v>45267</v>
      </c>
      <c r="C21" s="1">
        <v>45294</v>
      </c>
      <c r="D21" s="1">
        <v>45377</v>
      </c>
      <c r="E21" s="2">
        <f t="shared" ca="1" si="0"/>
        <v>27</v>
      </c>
      <c r="F21" s="2">
        <f t="shared" ca="1" si="1"/>
        <v>317.58256215277652</v>
      </c>
      <c r="G21" s="99" t="s">
        <v>128</v>
      </c>
      <c r="H21" s="83" t="str">
        <f>IF(ISBLANK(G21), "", VLOOKUP(VLOOKUP(G21, NHLTeams!$B$2:$F$33, 4,FALSE), Conferences!$A$2:$B$3, 2,FALSE))</f>
        <v>Western</v>
      </c>
      <c r="I21" s="93" t="str">
        <f>IF(ISBLANK(G21), "", VLOOKUP(VLOOKUP(G21, NHLTeams!$B$2:$F$33, 5, FALSE), Divisions!$A$2:$B$5, 2, FALSE))</f>
        <v>Central</v>
      </c>
      <c r="J21" t="s">
        <v>53</v>
      </c>
      <c r="K21" t="s">
        <v>7</v>
      </c>
      <c r="L21" t="s">
        <v>284</v>
      </c>
      <c r="M21">
        <v>19</v>
      </c>
      <c r="N21">
        <v>1</v>
      </c>
      <c r="O21">
        <v>0</v>
      </c>
      <c r="P21" t="s">
        <v>293</v>
      </c>
      <c r="Q21" t="s">
        <v>285</v>
      </c>
      <c r="R21" t="s">
        <v>20</v>
      </c>
      <c r="S21" t="s">
        <v>73</v>
      </c>
      <c r="U21" s="118">
        <v>56</v>
      </c>
      <c r="V21" t="s">
        <v>302</v>
      </c>
      <c r="W21" t="s">
        <v>310</v>
      </c>
      <c r="Y21" s="109" t="s">
        <v>376</v>
      </c>
      <c r="Z21">
        <v>79.989999999999995</v>
      </c>
      <c r="AA21">
        <v>108.62642</v>
      </c>
      <c r="AC21">
        <f t="shared" si="6"/>
        <v>11.857142857142858</v>
      </c>
      <c r="AF21">
        <f t="shared" si="4"/>
        <v>18.072534428571426</v>
      </c>
      <c r="AG21">
        <f t="shared" si="2"/>
        <v>138.55609728571429</v>
      </c>
      <c r="AI21">
        <v>1</v>
      </c>
      <c r="AJ21">
        <v>0</v>
      </c>
      <c r="AK21">
        <v>1.3580000000000001</v>
      </c>
      <c r="AL21" s="1">
        <v>32262</v>
      </c>
      <c r="AN21" t="s">
        <v>61</v>
      </c>
      <c r="AO21" t="s">
        <v>295</v>
      </c>
      <c r="AR21" s="120">
        <f t="shared" ca="1" si="5"/>
        <v>13349.582562152777</v>
      </c>
      <c r="AS21" s="120">
        <f t="shared" si="3"/>
        <v>2652</v>
      </c>
      <c r="AT21">
        <v>0</v>
      </c>
      <c r="AV21">
        <v>8473604</v>
      </c>
    </row>
    <row r="22" spans="1:48" x14ac:dyDescent="0.25">
      <c r="A22">
        <v>20</v>
      </c>
      <c r="B22" s="1">
        <v>45276</v>
      </c>
      <c r="C22" s="1">
        <v>45289</v>
      </c>
      <c r="D22" s="1">
        <v>45364</v>
      </c>
      <c r="E22" s="2">
        <f t="shared" ca="1" si="0"/>
        <v>13</v>
      </c>
      <c r="F22" s="2">
        <f t="shared" ca="1" si="1"/>
        <v>322.58256215277652</v>
      </c>
      <c r="G22" s="101" t="s">
        <v>168</v>
      </c>
      <c r="H22" s="83" t="str">
        <f>IF(ISBLANK(G22), "", VLOOKUP(VLOOKUP(G22, NHLTeams!$B$2:$F$33, 4,FALSE), Conferences!$A$2:$B$3, 2,FALSE))</f>
        <v>Western</v>
      </c>
      <c r="I22" s="93" t="str">
        <f>IF(ISBLANK(G22), "", VLOOKUP(VLOOKUP(G22, NHLTeams!$B$2:$F$33, 5, FALSE), Divisions!$A$2:$B$5, 2, FALSE))</f>
        <v>Central</v>
      </c>
      <c r="J22" t="s">
        <v>53</v>
      </c>
      <c r="K22" t="s">
        <v>307</v>
      </c>
      <c r="L22" s="126" t="s">
        <v>308</v>
      </c>
      <c r="M22">
        <v>9</v>
      </c>
      <c r="O22">
        <v>0</v>
      </c>
      <c r="P22" t="s">
        <v>309</v>
      </c>
      <c r="Q22" t="s">
        <v>4</v>
      </c>
      <c r="R22" t="s">
        <v>22</v>
      </c>
      <c r="S22" t="s">
        <v>10</v>
      </c>
      <c r="T22" t="s">
        <v>20</v>
      </c>
      <c r="U22" s="118">
        <v>56</v>
      </c>
      <c r="V22" t="s">
        <v>302</v>
      </c>
      <c r="W22" t="s">
        <v>310</v>
      </c>
      <c r="Y22" s="109" t="s">
        <v>730</v>
      </c>
      <c r="Z22">
        <v>109.12</v>
      </c>
      <c r="AB22">
        <v>31.81</v>
      </c>
      <c r="AC22">
        <v>31.324780000000001</v>
      </c>
      <c r="AF22">
        <f t="shared" si="4"/>
        <v>9.4702169999999999</v>
      </c>
      <c r="AG22">
        <f t="shared" si="2"/>
        <v>72.604996999999997</v>
      </c>
      <c r="AI22">
        <v>1</v>
      </c>
      <c r="AJ22">
        <v>0</v>
      </c>
      <c r="AK22">
        <v>1.33866586175</v>
      </c>
      <c r="AL22" s="1">
        <v>34559</v>
      </c>
      <c r="AN22" t="s">
        <v>63</v>
      </c>
      <c r="AR22" s="120">
        <f t="shared" ca="1" si="5"/>
        <v>11052.582562152777</v>
      </c>
      <c r="AS22" s="120">
        <f t="shared" si="3"/>
        <v>355</v>
      </c>
      <c r="AT22">
        <v>0</v>
      </c>
      <c r="AV22">
        <v>8476887</v>
      </c>
    </row>
    <row r="23" spans="1:48" x14ac:dyDescent="0.25">
      <c r="A23">
        <v>21</v>
      </c>
      <c r="B23" s="1">
        <v>45276</v>
      </c>
      <c r="C23" s="1">
        <v>45299</v>
      </c>
      <c r="D23" s="1">
        <v>45339</v>
      </c>
      <c r="E23" s="2">
        <f t="shared" ca="1" si="0"/>
        <v>23</v>
      </c>
      <c r="F23" s="2">
        <f t="shared" ca="1" si="1"/>
        <v>312.58256215277652</v>
      </c>
      <c r="G23" s="102" t="s">
        <v>141</v>
      </c>
      <c r="H23" s="81" t="str">
        <f>IF(ISBLANK(G23), "", VLOOKUP(VLOOKUP(G23, NHLTeams!$B$2:$F$33, 4,FALSE), Conferences!$A$2:$B$3, 2,FALSE))</f>
        <v>Eastern</v>
      </c>
      <c r="I23" s="82" t="str">
        <f>IF(ISBLANK(G23), "", VLOOKUP(VLOOKUP(G23, NHLTeams!$B$2:$F$33, 5, FALSE), Divisions!$A$2:$B$5, 2, FALSE))</f>
        <v>Atlantic</v>
      </c>
      <c r="J23" t="s">
        <v>53</v>
      </c>
      <c r="K23" t="s">
        <v>312</v>
      </c>
      <c r="L23" t="s">
        <v>313</v>
      </c>
      <c r="M23">
        <v>40</v>
      </c>
      <c r="N23">
        <v>1</v>
      </c>
      <c r="O23">
        <v>0</v>
      </c>
      <c r="P23" t="s">
        <v>309</v>
      </c>
      <c r="Q23" t="s">
        <v>4</v>
      </c>
      <c r="R23" t="s">
        <v>3</v>
      </c>
      <c r="S23" t="s">
        <v>20</v>
      </c>
      <c r="U23" s="118">
        <v>56</v>
      </c>
      <c r="V23" t="s">
        <v>302</v>
      </c>
      <c r="W23" t="s">
        <v>310</v>
      </c>
      <c r="Y23" s="109" t="s">
        <v>381</v>
      </c>
      <c r="AF23">
        <f t="shared" si="4"/>
        <v>0</v>
      </c>
      <c r="AG23">
        <f t="shared" si="2"/>
        <v>0</v>
      </c>
      <c r="AI23">
        <v>1</v>
      </c>
      <c r="AJ23">
        <v>0</v>
      </c>
      <c r="AL23" s="1">
        <v>29503</v>
      </c>
      <c r="AM23">
        <v>2018</v>
      </c>
      <c r="AN23" t="s">
        <v>321</v>
      </c>
      <c r="AO23" t="s">
        <v>322</v>
      </c>
      <c r="AR23" s="120">
        <f t="shared" ca="1" si="5"/>
        <v>16108.582562152777</v>
      </c>
      <c r="AS23" s="120">
        <f t="shared" si="3"/>
        <v>5411</v>
      </c>
      <c r="AT23">
        <v>0</v>
      </c>
      <c r="AV23">
        <v>8468083</v>
      </c>
    </row>
    <row r="24" spans="1:48" x14ac:dyDescent="0.25">
      <c r="A24">
        <v>22</v>
      </c>
      <c r="B24" s="1">
        <v>45276</v>
      </c>
      <c r="C24" s="1">
        <v>45299</v>
      </c>
      <c r="D24" s="1">
        <v>45368</v>
      </c>
      <c r="E24" s="2">
        <f t="shared" ca="1" si="0"/>
        <v>23</v>
      </c>
      <c r="F24" s="2">
        <f t="shared" ca="1" si="1"/>
        <v>312.58256215277652</v>
      </c>
      <c r="G24" s="103" t="s">
        <v>171</v>
      </c>
      <c r="H24" s="81" t="str">
        <f>IF(ISBLANK(G24), "", VLOOKUP(VLOOKUP(G24, NHLTeams!$B$2:$F$33, 4,FALSE), Conferences!$A$2:$B$3, 2,FALSE))</f>
        <v>Eastern</v>
      </c>
      <c r="I24" s="85" t="str">
        <f>IF(ISBLANK(G24), "", VLOOKUP(VLOOKUP(G24, NHLTeams!$B$2:$F$33, 5, FALSE), Divisions!$A$2:$B$5, 2, FALSE))</f>
        <v>Metropolitan</v>
      </c>
      <c r="J24" t="s">
        <v>53</v>
      </c>
      <c r="K24" t="s">
        <v>314</v>
      </c>
      <c r="L24" t="s">
        <v>315</v>
      </c>
      <c r="M24">
        <v>91</v>
      </c>
      <c r="O24">
        <v>0</v>
      </c>
      <c r="P24" t="s">
        <v>293</v>
      </c>
      <c r="Q24" t="s">
        <v>262</v>
      </c>
      <c r="R24" t="s">
        <v>10</v>
      </c>
      <c r="S24" t="s">
        <v>20</v>
      </c>
      <c r="T24" t="s">
        <v>21</v>
      </c>
      <c r="U24" s="118">
        <v>56</v>
      </c>
      <c r="V24" t="s">
        <v>302</v>
      </c>
      <c r="W24" t="s">
        <v>310</v>
      </c>
      <c r="Y24" s="109" t="s">
        <v>389</v>
      </c>
      <c r="AF24">
        <f t="shared" si="4"/>
        <v>0</v>
      </c>
      <c r="AG24">
        <f t="shared" si="2"/>
        <v>0</v>
      </c>
      <c r="AI24">
        <v>1</v>
      </c>
      <c r="AJ24">
        <v>0</v>
      </c>
      <c r="AL24" s="1">
        <v>33136</v>
      </c>
      <c r="AN24" t="s">
        <v>323</v>
      </c>
      <c r="AR24" s="120">
        <f t="shared" ca="1" si="5"/>
        <v>12475.582562152777</v>
      </c>
      <c r="AS24" s="120">
        <f t="shared" si="3"/>
        <v>1778</v>
      </c>
      <c r="AT24">
        <v>0</v>
      </c>
      <c r="AV24">
        <v>8475166</v>
      </c>
    </row>
    <row r="25" spans="1:48" x14ac:dyDescent="0.25">
      <c r="A25">
        <v>23</v>
      </c>
      <c r="B25" s="1">
        <v>45277</v>
      </c>
      <c r="C25" s="1">
        <v>45296</v>
      </c>
      <c r="D25" s="1">
        <v>45381</v>
      </c>
      <c r="E25" s="2">
        <f t="shared" ca="1" si="0"/>
        <v>19</v>
      </c>
      <c r="F25" s="2">
        <f t="shared" ca="1" si="1"/>
        <v>315.58256215277652</v>
      </c>
      <c r="G25" s="19" t="s">
        <v>5</v>
      </c>
      <c r="H25" s="83" t="str">
        <f>IF(ISBLANK(G25), "", VLOOKUP(VLOOKUP(G25, NHLTeams!$B$2:$F$33, 4,FALSE), Conferences!$A$2:$B$3, 2,FALSE))</f>
        <v>Western</v>
      </c>
      <c r="I25" s="84" t="str">
        <f>IF(ISBLANK(G25), "", VLOOKUP(VLOOKUP(G25, NHLTeams!$B$2:$F$33, 5, FALSE), Divisions!$A$2:$B$5, 2, FALSE))</f>
        <v>Pacific</v>
      </c>
      <c r="J25" t="s">
        <v>259</v>
      </c>
      <c r="K25" t="s">
        <v>316</v>
      </c>
      <c r="L25" t="s">
        <v>317</v>
      </c>
      <c r="M25">
        <v>32</v>
      </c>
      <c r="N25">
        <v>0</v>
      </c>
      <c r="O25">
        <v>0</v>
      </c>
      <c r="P25" t="s">
        <v>75</v>
      </c>
      <c r="Q25" t="s">
        <v>318</v>
      </c>
      <c r="R25" t="s">
        <v>20</v>
      </c>
      <c r="S25" t="s">
        <v>319</v>
      </c>
      <c r="T25" t="s">
        <v>320</v>
      </c>
      <c r="U25" s="118">
        <v>56</v>
      </c>
      <c r="V25" t="s">
        <v>302</v>
      </c>
      <c r="W25" t="s">
        <v>303</v>
      </c>
      <c r="X25" t="s">
        <v>372</v>
      </c>
      <c r="Y25" s="109" t="s">
        <v>371</v>
      </c>
      <c r="AA25">
        <v>199.99</v>
      </c>
      <c r="AF25">
        <f t="shared" si="4"/>
        <v>29.9985</v>
      </c>
      <c r="AG25">
        <f t="shared" si="2"/>
        <v>229.98850000000002</v>
      </c>
      <c r="AI25">
        <v>0</v>
      </c>
      <c r="AJ25">
        <v>0</v>
      </c>
      <c r="AL25" s="1">
        <v>36997</v>
      </c>
      <c r="AN25" t="s">
        <v>295</v>
      </c>
      <c r="AR25" s="120">
        <f t="shared" ca="1" si="5"/>
        <v>8614.5825621527765</v>
      </c>
      <c r="AS25" s="120">
        <f t="shared" si="3"/>
        <v>-2083</v>
      </c>
      <c r="AT25">
        <v>0</v>
      </c>
      <c r="AV25">
        <v>8481692</v>
      </c>
    </row>
    <row r="26" spans="1:48" x14ac:dyDescent="0.25">
      <c r="A26">
        <v>24</v>
      </c>
      <c r="B26" s="1">
        <v>45283</v>
      </c>
      <c r="C26" s="1">
        <v>45294</v>
      </c>
      <c r="D26" s="1">
        <v>45345</v>
      </c>
      <c r="E26" s="2">
        <f t="shared" ca="1" si="0"/>
        <v>11</v>
      </c>
      <c r="F26" s="2">
        <f t="shared" ca="1" si="1"/>
        <v>317.58256215277652</v>
      </c>
      <c r="G26" s="17" t="s">
        <v>101</v>
      </c>
      <c r="H26" s="81" t="str">
        <f>IF(ISBLANK(G26), "", VLOOKUP(VLOOKUP(G26, NHLTeams!$B$2:$F$33, 4,FALSE), Conferences!$A$2:$B$3, 2,FALSE))</f>
        <v>Eastern</v>
      </c>
      <c r="I26" s="82" t="str">
        <f>IF(ISBLANK(G26), "", VLOOKUP(VLOOKUP(G26, NHLTeams!$B$2:$F$33, 5, FALSE), Divisions!$A$2:$B$5, 2, FALSE))</f>
        <v>Atlantic</v>
      </c>
      <c r="J26" t="s">
        <v>53</v>
      </c>
      <c r="K26" t="s">
        <v>280</v>
      </c>
      <c r="L26" t="s">
        <v>281</v>
      </c>
      <c r="M26">
        <v>37</v>
      </c>
      <c r="N26">
        <v>1</v>
      </c>
      <c r="O26">
        <v>0</v>
      </c>
      <c r="P26" t="s">
        <v>293</v>
      </c>
      <c r="Q26" t="s">
        <v>487</v>
      </c>
      <c r="R26" t="s">
        <v>20</v>
      </c>
      <c r="S26" t="s">
        <v>286</v>
      </c>
      <c r="T26" t="s">
        <v>73</v>
      </c>
      <c r="U26" s="118">
        <v>56</v>
      </c>
      <c r="V26" t="s">
        <v>302</v>
      </c>
      <c r="W26" t="s">
        <v>303</v>
      </c>
      <c r="X26" t="s">
        <v>373</v>
      </c>
      <c r="Y26" s="109" t="s">
        <v>375</v>
      </c>
      <c r="AB26">
        <f>102.34/3</f>
        <v>34.113333333333337</v>
      </c>
      <c r="AF26">
        <f t="shared" si="4"/>
        <v>5.117</v>
      </c>
      <c r="AG26">
        <f t="shared" si="2"/>
        <v>39.230333333333334</v>
      </c>
      <c r="AI26">
        <v>1</v>
      </c>
      <c r="AJ26">
        <v>0</v>
      </c>
      <c r="AL26" s="1">
        <v>31222</v>
      </c>
      <c r="AM26">
        <v>2023</v>
      </c>
      <c r="AN26" t="s">
        <v>294</v>
      </c>
      <c r="AO26" t="s">
        <v>295</v>
      </c>
      <c r="AR26" s="120">
        <f t="shared" ca="1" si="5"/>
        <v>14389.582562152777</v>
      </c>
      <c r="AS26" s="120">
        <f t="shared" si="3"/>
        <v>3692</v>
      </c>
      <c r="AT26">
        <v>0</v>
      </c>
      <c r="AV26">
        <v>8470638</v>
      </c>
    </row>
    <row r="27" spans="1:48" x14ac:dyDescent="0.25">
      <c r="A27">
        <v>25</v>
      </c>
      <c r="B27" s="1">
        <v>45283</v>
      </c>
      <c r="C27" s="1">
        <v>45294</v>
      </c>
      <c r="D27" s="1">
        <v>45355</v>
      </c>
      <c r="E27" s="2">
        <f t="shared" ca="1" si="0"/>
        <v>11</v>
      </c>
      <c r="F27" s="2">
        <f t="shared" ca="1" si="1"/>
        <v>317.58256215277652</v>
      </c>
      <c r="G27" s="104" t="s">
        <v>192</v>
      </c>
      <c r="H27" s="83" t="str">
        <f>IF(ISBLANK(G27), "", VLOOKUP(VLOOKUP(G27, NHLTeams!$B$2:$F$33, 4,FALSE), Conferences!$A$2:$B$3, 2,FALSE))</f>
        <v>Western</v>
      </c>
      <c r="I27" s="84" t="str">
        <f>IF(ISBLANK(G27), "", VLOOKUP(VLOOKUP(G27, NHLTeams!$B$2:$F$33, 5, FALSE), Divisions!$A$2:$B$5, 2, FALSE))</f>
        <v>Pacific</v>
      </c>
      <c r="J27" t="s">
        <v>53</v>
      </c>
      <c r="K27" t="s">
        <v>328</v>
      </c>
      <c r="L27" s="126" t="s">
        <v>329</v>
      </c>
      <c r="M27">
        <v>7</v>
      </c>
      <c r="O27">
        <v>0</v>
      </c>
      <c r="P27" t="s">
        <v>293</v>
      </c>
      <c r="Q27" t="s">
        <v>483</v>
      </c>
      <c r="R27" t="s">
        <v>10</v>
      </c>
      <c r="S27" t="s">
        <v>331</v>
      </c>
      <c r="T27" t="s">
        <v>3</v>
      </c>
      <c r="U27" s="118">
        <v>56</v>
      </c>
      <c r="V27" t="s">
        <v>302</v>
      </c>
      <c r="W27" t="s">
        <v>303</v>
      </c>
      <c r="X27" t="s">
        <v>373</v>
      </c>
      <c r="Y27" s="109" t="s">
        <v>731</v>
      </c>
      <c r="AB27">
        <f>102.34/3</f>
        <v>34.113333333333337</v>
      </c>
      <c r="AF27">
        <f t="shared" si="4"/>
        <v>5.117</v>
      </c>
      <c r="AG27">
        <f t="shared" si="2"/>
        <v>39.230333333333334</v>
      </c>
      <c r="AI27">
        <v>1</v>
      </c>
      <c r="AJ27">
        <v>0</v>
      </c>
      <c r="AL27" s="1">
        <v>33008</v>
      </c>
      <c r="AN27" t="s">
        <v>290</v>
      </c>
      <c r="AR27" s="120">
        <f t="shared" ca="1" si="5"/>
        <v>12603.582562152777</v>
      </c>
      <c r="AS27" s="120">
        <f t="shared" si="3"/>
        <v>1906</v>
      </c>
      <c r="AT27">
        <v>0</v>
      </c>
      <c r="AV27">
        <v>8474586</v>
      </c>
    </row>
    <row r="28" spans="1:48" x14ac:dyDescent="0.25">
      <c r="A28">
        <v>26</v>
      </c>
      <c r="B28" s="1">
        <v>45283</v>
      </c>
      <c r="C28" s="1">
        <v>45294</v>
      </c>
      <c r="D28" s="1">
        <v>45361</v>
      </c>
      <c r="E28" s="2">
        <f t="shared" ca="1" si="0"/>
        <v>11</v>
      </c>
      <c r="F28" s="2">
        <f t="shared" ca="1" si="1"/>
        <v>317.58256215277652</v>
      </c>
      <c r="G28" s="105" t="s">
        <v>112</v>
      </c>
      <c r="H28" s="81" t="str">
        <f>IF(ISBLANK(G28), "", VLOOKUP(VLOOKUP(G28, NHLTeams!$B$2:$F$33, 4,FALSE), Conferences!$A$2:$B$3, 2,FALSE))</f>
        <v>Eastern</v>
      </c>
      <c r="I28" s="85" t="str">
        <f>IF(ISBLANK(G28), "", VLOOKUP(VLOOKUP(G28, NHLTeams!$B$2:$F$33, 5, FALSE), Divisions!$A$2:$B$5, 2, FALSE))</f>
        <v>Metropolitan</v>
      </c>
      <c r="J28" t="s">
        <v>53</v>
      </c>
      <c r="K28" t="s">
        <v>324</v>
      </c>
      <c r="L28" s="126" t="s">
        <v>325</v>
      </c>
      <c r="M28">
        <v>20</v>
      </c>
      <c r="N28">
        <v>0</v>
      </c>
      <c r="O28">
        <v>0</v>
      </c>
      <c r="P28" t="s">
        <v>298</v>
      </c>
      <c r="Q28" t="s">
        <v>4</v>
      </c>
      <c r="R28" t="s">
        <v>3</v>
      </c>
      <c r="S28" t="s">
        <v>73</v>
      </c>
      <c r="T28" t="s">
        <v>20</v>
      </c>
      <c r="U28" s="118">
        <v>56</v>
      </c>
      <c r="V28" t="s">
        <v>302</v>
      </c>
      <c r="W28" t="s">
        <v>303</v>
      </c>
      <c r="X28" t="s">
        <v>373</v>
      </c>
      <c r="Y28" s="109" t="s">
        <v>420</v>
      </c>
      <c r="AB28">
        <f>102.34/3</f>
        <v>34.113333333333337</v>
      </c>
      <c r="AF28">
        <f t="shared" si="4"/>
        <v>5.117</v>
      </c>
      <c r="AG28">
        <f t="shared" si="2"/>
        <v>39.230333333333334</v>
      </c>
      <c r="AI28">
        <v>1</v>
      </c>
      <c r="AJ28">
        <v>0</v>
      </c>
      <c r="AL28" s="1">
        <v>35607</v>
      </c>
      <c r="AN28" t="s">
        <v>64</v>
      </c>
      <c r="AR28" s="120">
        <f t="shared" ca="1" si="5"/>
        <v>10004.582562152777</v>
      </c>
      <c r="AS28" s="120">
        <f t="shared" si="3"/>
        <v>-693</v>
      </c>
      <c r="AT28">
        <v>0</v>
      </c>
      <c r="AV28">
        <v>8478427</v>
      </c>
    </row>
    <row r="29" spans="1:48" x14ac:dyDescent="0.25">
      <c r="A29">
        <v>27</v>
      </c>
      <c r="B29" s="1">
        <v>45283</v>
      </c>
      <c r="C29" s="1">
        <v>45299</v>
      </c>
      <c r="D29" s="1">
        <v>45394</v>
      </c>
      <c r="E29" s="2">
        <f t="shared" ca="1" si="0"/>
        <v>16</v>
      </c>
      <c r="F29" s="2">
        <f t="shared" ca="1" si="1"/>
        <v>312.58256215277652</v>
      </c>
      <c r="G29" s="99" t="s">
        <v>128</v>
      </c>
      <c r="H29" s="83" t="str">
        <f>IF(ISBLANK(G29), "", VLOOKUP(VLOOKUP(G29, NHLTeams!$B$2:$F$33, 4,FALSE), Conferences!$A$2:$B$3, 2,FALSE))</f>
        <v>Western</v>
      </c>
      <c r="I29" s="93" t="str">
        <f>IF(ISBLANK(G29), "", VLOOKUP(VLOOKUP(G29, NHLTeams!$B$2:$F$33, 5, FALSE), Divisions!$A$2:$B$5, 2, FALSE))</f>
        <v>Central</v>
      </c>
      <c r="J29" t="s">
        <v>53</v>
      </c>
      <c r="K29" t="s">
        <v>327</v>
      </c>
      <c r="L29" t="s">
        <v>326</v>
      </c>
      <c r="M29">
        <v>88</v>
      </c>
      <c r="N29">
        <v>0</v>
      </c>
      <c r="O29">
        <v>0</v>
      </c>
      <c r="P29" t="s">
        <v>75</v>
      </c>
      <c r="Q29" t="s">
        <v>4</v>
      </c>
      <c r="R29" t="s">
        <v>3</v>
      </c>
      <c r="S29" t="s">
        <v>73</v>
      </c>
      <c r="T29" t="s">
        <v>20</v>
      </c>
      <c r="U29" s="118" t="s">
        <v>288</v>
      </c>
      <c r="V29" t="s">
        <v>311</v>
      </c>
      <c r="W29" t="s">
        <v>332</v>
      </c>
      <c r="Y29" s="109" t="s">
        <v>732</v>
      </c>
      <c r="AF29">
        <f t="shared" si="4"/>
        <v>0</v>
      </c>
      <c r="AG29">
        <f t="shared" si="2"/>
        <v>0</v>
      </c>
      <c r="AJ29">
        <v>0</v>
      </c>
      <c r="AL29" s="1">
        <v>32466</v>
      </c>
      <c r="AN29" t="s">
        <v>61</v>
      </c>
      <c r="AR29" s="120">
        <f t="shared" ca="1" si="5"/>
        <v>13145.582562152777</v>
      </c>
      <c r="AS29" s="120">
        <f t="shared" si="3"/>
        <v>2448</v>
      </c>
      <c r="AT29">
        <v>0</v>
      </c>
      <c r="AV29">
        <v>8474141</v>
      </c>
    </row>
    <row r="30" spans="1:48" x14ac:dyDescent="0.25">
      <c r="A30">
        <v>28</v>
      </c>
      <c r="B30" s="1">
        <v>45291</v>
      </c>
      <c r="C30" s="1">
        <v>45306</v>
      </c>
      <c r="D30" s="1">
        <v>45365</v>
      </c>
      <c r="E30" s="2">
        <f t="shared" ca="1" si="0"/>
        <v>15</v>
      </c>
      <c r="F30" s="2">
        <f t="shared" ca="1" si="1"/>
        <v>305.58256215277652</v>
      </c>
      <c r="G30" s="106" t="s">
        <v>222</v>
      </c>
      <c r="H30" s="83" t="str">
        <f>IF(ISBLANK(G30), "", VLOOKUP(VLOOKUP(G30, NHLTeams!$B$2:$F$33, 4,FALSE), Conferences!$A$2:$B$3, 2,FALSE))</f>
        <v>Western</v>
      </c>
      <c r="I30" s="84" t="str">
        <f>IF(ISBLANK(G30), "", VLOOKUP(VLOOKUP(G30, NHLTeams!$B$2:$F$33, 5, FALSE), Divisions!$A$2:$B$5, 2, FALSE))</f>
        <v>Pacific</v>
      </c>
      <c r="J30" t="s">
        <v>53</v>
      </c>
      <c r="K30" t="s">
        <v>7</v>
      </c>
      <c r="L30" s="126" t="s">
        <v>354</v>
      </c>
      <c r="M30">
        <v>81</v>
      </c>
      <c r="N30">
        <v>0</v>
      </c>
      <c r="O30">
        <v>0</v>
      </c>
      <c r="P30" t="s">
        <v>293</v>
      </c>
      <c r="Q30" t="s">
        <v>4</v>
      </c>
      <c r="R30" t="s">
        <v>361</v>
      </c>
      <c r="S30" t="s">
        <v>73</v>
      </c>
      <c r="T30" t="s">
        <v>286</v>
      </c>
      <c r="U30" s="118">
        <v>56</v>
      </c>
      <c r="V30" t="s">
        <v>302</v>
      </c>
      <c r="W30" t="s">
        <v>303</v>
      </c>
      <c r="X30" t="s">
        <v>372</v>
      </c>
      <c r="Y30" s="109" t="s">
        <v>382</v>
      </c>
      <c r="AA30">
        <v>279.99</v>
      </c>
      <c r="AC30">
        <v>0</v>
      </c>
      <c r="AF30">
        <f t="shared" si="4"/>
        <v>41.9985</v>
      </c>
      <c r="AG30">
        <f t="shared" si="2"/>
        <v>321.98849999999999</v>
      </c>
      <c r="AI30">
        <v>0</v>
      </c>
      <c r="AJ30">
        <v>0</v>
      </c>
      <c r="AL30" s="1">
        <v>33234</v>
      </c>
      <c r="AN30" t="s">
        <v>63</v>
      </c>
      <c r="AR30" s="120">
        <f t="shared" ca="1" si="5"/>
        <v>12377.582562152777</v>
      </c>
      <c r="AS30" s="120">
        <f t="shared" si="3"/>
        <v>1680</v>
      </c>
      <c r="AT30">
        <v>0</v>
      </c>
      <c r="AV30">
        <v>8476539</v>
      </c>
    </row>
    <row r="31" spans="1:48" x14ac:dyDescent="0.25">
      <c r="A31">
        <v>29</v>
      </c>
      <c r="B31" s="1">
        <v>45291</v>
      </c>
      <c r="C31" s="1">
        <v>45306</v>
      </c>
      <c r="D31" s="1">
        <v>45354</v>
      </c>
      <c r="E31" s="2">
        <f t="shared" ca="1" si="0"/>
        <v>15</v>
      </c>
      <c r="F31" s="2">
        <f t="shared" ca="1" si="1"/>
        <v>305.58256215277652</v>
      </c>
      <c r="G31" s="107" t="s">
        <v>156</v>
      </c>
      <c r="H31" s="83" t="str">
        <f>IF(ISBLANK(G31), "", VLOOKUP(VLOOKUP(G31, NHLTeams!$B$2:$F$33, 4,FALSE), Conferences!$A$2:$B$3, 2,FALSE))</f>
        <v>Western</v>
      </c>
      <c r="I31" s="93" t="str">
        <f>IF(ISBLANK(G31), "", VLOOKUP(VLOOKUP(G31, NHLTeams!$B$2:$F$33, 5, FALSE), Divisions!$A$2:$B$5, 2, FALSE))</f>
        <v>Central</v>
      </c>
      <c r="J31" t="s">
        <v>259</v>
      </c>
      <c r="K31" t="s">
        <v>355</v>
      </c>
      <c r="L31" s="126" t="s">
        <v>356</v>
      </c>
      <c r="M31">
        <v>29</v>
      </c>
      <c r="N31">
        <v>0</v>
      </c>
      <c r="O31">
        <v>0</v>
      </c>
      <c r="P31" t="s">
        <v>293</v>
      </c>
      <c r="Q31" t="s">
        <v>4</v>
      </c>
      <c r="R31" t="s">
        <v>270</v>
      </c>
      <c r="S31" t="s">
        <v>20</v>
      </c>
      <c r="T31" t="s">
        <v>3</v>
      </c>
      <c r="U31" s="118">
        <v>56</v>
      </c>
      <c r="V31" t="s">
        <v>302</v>
      </c>
      <c r="W31" t="s">
        <v>303</v>
      </c>
      <c r="X31" t="s">
        <v>372</v>
      </c>
      <c r="Y31" s="109" t="s">
        <v>380</v>
      </c>
      <c r="AA31">
        <v>279.99</v>
      </c>
      <c r="AC31">
        <v>0</v>
      </c>
      <c r="AF31">
        <f t="shared" si="4"/>
        <v>41.9985</v>
      </c>
      <c r="AG31">
        <f t="shared" si="2"/>
        <v>321.98849999999999</v>
      </c>
      <c r="AI31">
        <v>0</v>
      </c>
      <c r="AJ31">
        <v>0</v>
      </c>
      <c r="AL31" s="1">
        <v>31014</v>
      </c>
      <c r="AN31" t="s">
        <v>294</v>
      </c>
      <c r="AR31" s="120">
        <f t="shared" ca="1" si="5"/>
        <v>14597.582562152777</v>
      </c>
      <c r="AS31" s="120">
        <f t="shared" si="3"/>
        <v>3900</v>
      </c>
      <c r="AT31">
        <v>0</v>
      </c>
      <c r="AV31">
        <v>8470594</v>
      </c>
    </row>
    <row r="32" spans="1:48" x14ac:dyDescent="0.25">
      <c r="A32">
        <v>30</v>
      </c>
      <c r="B32" s="1">
        <v>45291</v>
      </c>
      <c r="C32" s="1">
        <v>45306</v>
      </c>
      <c r="D32" s="1">
        <v>45391</v>
      </c>
      <c r="E32" s="2">
        <f t="shared" ca="1" si="0"/>
        <v>15</v>
      </c>
      <c r="F32" s="2">
        <f t="shared" ca="1" si="1"/>
        <v>305.58256215277652</v>
      </c>
      <c r="G32" s="108" t="s">
        <v>200</v>
      </c>
      <c r="H32" s="83" t="str">
        <f>IF(ISBLANK(G32), "", VLOOKUP(VLOOKUP(G32, NHLTeams!$B$2:$F$33, 4,FALSE), Conferences!$A$2:$B$3, 2,FALSE))</f>
        <v>Western</v>
      </c>
      <c r="I32" s="84" t="str">
        <f>IF(ISBLANK(G32), "", VLOOKUP(VLOOKUP(G32, NHLTeams!$B$2:$F$33, 5, FALSE), Divisions!$A$2:$B$5, 2, FALSE))</f>
        <v>Pacific</v>
      </c>
      <c r="J32" t="s">
        <v>53</v>
      </c>
      <c r="K32" t="s">
        <v>357</v>
      </c>
      <c r="L32" s="126" t="s">
        <v>358</v>
      </c>
      <c r="M32">
        <v>39</v>
      </c>
      <c r="N32">
        <v>1</v>
      </c>
      <c r="O32">
        <v>0</v>
      </c>
      <c r="P32" t="s">
        <v>293</v>
      </c>
      <c r="Q32" t="s">
        <v>4</v>
      </c>
      <c r="R32" t="s">
        <v>331</v>
      </c>
      <c r="S32" t="s">
        <v>73</v>
      </c>
      <c r="T32" t="s">
        <v>20</v>
      </c>
      <c r="U32" s="118">
        <v>56</v>
      </c>
      <c r="V32" t="s">
        <v>302</v>
      </c>
      <c r="W32" t="s">
        <v>303</v>
      </c>
      <c r="X32" t="s">
        <v>372</v>
      </c>
      <c r="Y32" s="109" t="s">
        <v>378</v>
      </c>
      <c r="AA32">
        <v>279.99</v>
      </c>
      <c r="AC32">
        <v>0</v>
      </c>
      <c r="AF32">
        <f t="shared" si="4"/>
        <v>41.9985</v>
      </c>
      <c r="AG32">
        <f t="shared" si="2"/>
        <v>321.98849999999999</v>
      </c>
      <c r="AI32">
        <v>0</v>
      </c>
      <c r="AJ32">
        <v>0</v>
      </c>
      <c r="AL32" s="1">
        <v>32595</v>
      </c>
      <c r="AN32" t="s">
        <v>323</v>
      </c>
      <c r="AR32" s="120">
        <f t="shared" ca="1" si="5"/>
        <v>13016.582562152777</v>
      </c>
      <c r="AS32" s="120">
        <f t="shared" si="3"/>
        <v>2319</v>
      </c>
      <c r="AT32">
        <v>0</v>
      </c>
      <c r="AV32">
        <v>8474053</v>
      </c>
    </row>
    <row r="33" spans="1:48" x14ac:dyDescent="0.25">
      <c r="A33">
        <v>31</v>
      </c>
      <c r="B33" s="1">
        <v>45328</v>
      </c>
      <c r="C33" s="1">
        <v>45334</v>
      </c>
      <c r="D33" s="1">
        <v>45339</v>
      </c>
      <c r="E33" s="2">
        <f t="shared" ca="1" si="0"/>
        <v>6</v>
      </c>
      <c r="F33" s="2">
        <f t="shared" ca="1" si="1"/>
        <v>277.58256215277652</v>
      </c>
      <c r="G33" s="19" t="s">
        <v>5</v>
      </c>
      <c r="H33" s="83" t="str">
        <f>IF(ISBLANK(G33), "", VLOOKUP(VLOOKUP(G33, NHLTeams!$B$2:$F$33, 4,FALSE), Conferences!$A$2:$B$3, 2,FALSE))</f>
        <v>Western</v>
      </c>
      <c r="I33" s="84" t="str">
        <f>IF(ISBLANK(G33), "", VLOOKUP(VLOOKUP(G33, NHLTeams!$B$2:$F$33, 5, FALSE), Divisions!$A$2:$B$5, 2, FALSE))</f>
        <v>Pacific</v>
      </c>
      <c r="J33" t="s">
        <v>53</v>
      </c>
      <c r="K33" t="s">
        <v>7</v>
      </c>
      <c r="L33" t="s">
        <v>8</v>
      </c>
      <c r="M33">
        <v>10</v>
      </c>
      <c r="N33">
        <v>0</v>
      </c>
      <c r="O33">
        <v>0</v>
      </c>
      <c r="P33" t="s">
        <v>293</v>
      </c>
      <c r="Q33" t="s">
        <v>743</v>
      </c>
      <c r="U33" s="118">
        <v>56</v>
      </c>
      <c r="V33" t="s">
        <v>302</v>
      </c>
      <c r="W33" t="s">
        <v>303</v>
      </c>
      <c r="X33" t="s">
        <v>372</v>
      </c>
      <c r="Y33" s="109" t="s">
        <v>733</v>
      </c>
      <c r="AA33">
        <v>259.99</v>
      </c>
      <c r="AB33">
        <v>0</v>
      </c>
      <c r="AC33">
        <v>11.99</v>
      </c>
      <c r="AD33">
        <v>168.8</v>
      </c>
      <c r="AF33">
        <f t="shared" si="4"/>
        <v>15.477</v>
      </c>
      <c r="AG33">
        <f t="shared" si="2"/>
        <v>118.65700000000001</v>
      </c>
      <c r="AH33">
        <v>118.66</v>
      </c>
      <c r="AI33">
        <v>0</v>
      </c>
      <c r="AJ33">
        <v>0</v>
      </c>
      <c r="AL33" s="1">
        <v>34124</v>
      </c>
      <c r="AN33" t="s">
        <v>63</v>
      </c>
      <c r="AR33" s="120">
        <f t="shared" ca="1" si="5"/>
        <v>11487.582562152777</v>
      </c>
      <c r="AS33" s="120">
        <f t="shared" si="3"/>
        <v>790</v>
      </c>
      <c r="AT33">
        <v>0</v>
      </c>
      <c r="AV33">
        <v>8476456</v>
      </c>
    </row>
    <row r="34" spans="1:48" x14ac:dyDescent="0.25">
      <c r="A34">
        <v>32</v>
      </c>
      <c r="B34" s="1">
        <v>45329</v>
      </c>
      <c r="C34" s="1">
        <v>45334</v>
      </c>
      <c r="D34" s="1">
        <v>45386</v>
      </c>
      <c r="E34" s="2">
        <f t="shared" ref="E34:E65" ca="1" si="7">IF(ISBLANK(C34), (NOW()-B34), (C34-B34))</f>
        <v>5</v>
      </c>
      <c r="F34" s="2">
        <f t="shared" ref="F34:F65" ca="1" si="8">IF(ISBLANK(C34), 0, NOW()-C34)</f>
        <v>277.58256215277652</v>
      </c>
      <c r="G34" s="16" t="s">
        <v>65</v>
      </c>
      <c r="H34" s="83" t="str">
        <f>IF(ISBLANK(G34), "", VLOOKUP(VLOOKUP(G34, NHLTeams!$B$2:$F$33, 4,FALSE), Conferences!$A$2:$B$3, 2,FALSE))</f>
        <v>Western</v>
      </c>
      <c r="I34" s="93" t="str">
        <f>IF(ISBLANK(G34), "", VLOOKUP(VLOOKUP(G34, NHLTeams!$B$2:$F$33, 5, FALSE), Divisions!$A$2:$B$5, 2, FALSE))</f>
        <v>Central</v>
      </c>
      <c r="J34" t="s">
        <v>53</v>
      </c>
      <c r="K34" t="s">
        <v>383</v>
      </c>
      <c r="L34" s="126" t="s">
        <v>384</v>
      </c>
      <c r="M34">
        <v>55</v>
      </c>
      <c r="N34">
        <v>0</v>
      </c>
      <c r="O34">
        <v>0</v>
      </c>
      <c r="P34" t="s">
        <v>293</v>
      </c>
      <c r="Q34" t="s">
        <v>285</v>
      </c>
      <c r="R34" t="s">
        <v>20</v>
      </c>
      <c r="S34" t="s">
        <v>287</v>
      </c>
      <c r="T34" t="s">
        <v>385</v>
      </c>
      <c r="U34" s="118">
        <v>56</v>
      </c>
      <c r="V34" t="s">
        <v>302</v>
      </c>
      <c r="W34" t="s">
        <v>310</v>
      </c>
      <c r="X34" t="s">
        <v>386</v>
      </c>
      <c r="Y34" s="109" t="s">
        <v>388</v>
      </c>
      <c r="AA34">
        <v>149.97</v>
      </c>
      <c r="AB34">
        <v>0</v>
      </c>
      <c r="AC34">
        <v>0</v>
      </c>
      <c r="AD34">
        <v>25</v>
      </c>
      <c r="AF34">
        <f t="shared" si="4"/>
        <v>18.7455</v>
      </c>
      <c r="AG34">
        <f t="shared" ref="AG34:AG65" si="9">(SUM(AA34:AC34)-AD34)+AF34</f>
        <v>143.71549999999999</v>
      </c>
      <c r="AH34">
        <v>143.72</v>
      </c>
      <c r="AI34">
        <v>0</v>
      </c>
      <c r="AL34" s="1">
        <v>34043</v>
      </c>
      <c r="AN34" t="s">
        <v>387</v>
      </c>
      <c r="AR34" s="120">
        <f t="shared" ca="1" si="5"/>
        <v>11568.582562152777</v>
      </c>
      <c r="AS34" s="120">
        <f t="shared" ref="AS34:AS65" si="10">IF(ISBLANK($AL34), 0, DATE(YEAR("1995-08-3"),MONTH("1995-08-3"), DAY("1995-08-3")) - DATE(YEAR($AL34),MONTH($AL34), DAY($AL34)))</f>
        <v>871</v>
      </c>
      <c r="AT34">
        <v>0</v>
      </c>
      <c r="AV34">
        <v>8476460</v>
      </c>
    </row>
    <row r="35" spans="1:48" x14ac:dyDescent="0.25">
      <c r="A35">
        <v>33</v>
      </c>
      <c r="B35" s="1">
        <v>45351</v>
      </c>
      <c r="C35" s="1">
        <v>45369</v>
      </c>
      <c r="D35" s="1">
        <v>45374</v>
      </c>
      <c r="E35" s="2">
        <f t="shared" ca="1" si="7"/>
        <v>18</v>
      </c>
      <c r="F35" s="2">
        <f t="shared" ca="1" si="8"/>
        <v>242.58256215277652</v>
      </c>
      <c r="G35" s="111" t="s">
        <v>136</v>
      </c>
      <c r="H35" s="83" t="str">
        <f>IF(ISBLANK(G35), "", VLOOKUP(VLOOKUP(G35, NHLTeams!$B$2:$F$33, 4,FALSE), Conferences!$A$2:$B$3, 2,FALSE))</f>
        <v>Western</v>
      </c>
      <c r="I35" s="93" t="str">
        <f>IF(ISBLANK(G35), "", VLOOKUP(VLOOKUP(G35, NHLTeams!$B$2:$F$33, 5, FALSE), Divisions!$A$2:$B$5, 2, FALSE))</f>
        <v>Central</v>
      </c>
      <c r="J35" t="s">
        <v>53</v>
      </c>
      <c r="K35" t="s">
        <v>390</v>
      </c>
      <c r="L35" s="126" t="s">
        <v>391</v>
      </c>
      <c r="M35">
        <v>14</v>
      </c>
      <c r="N35">
        <v>1</v>
      </c>
      <c r="O35">
        <v>0</v>
      </c>
      <c r="P35" t="s">
        <v>293</v>
      </c>
      <c r="Q35" t="s">
        <v>262</v>
      </c>
      <c r="R35" t="s">
        <v>73</v>
      </c>
      <c r="S35" t="s">
        <v>270</v>
      </c>
      <c r="U35" s="118">
        <v>56</v>
      </c>
      <c r="V35" t="s">
        <v>302</v>
      </c>
      <c r="W35" t="s">
        <v>303</v>
      </c>
      <c r="X35" t="s">
        <v>373</v>
      </c>
      <c r="Y35" s="109" t="s">
        <v>734</v>
      </c>
      <c r="Z35">
        <v>230</v>
      </c>
      <c r="AA35">
        <f>230*(676.14/485)/1.15</f>
        <v>278.82061855670105</v>
      </c>
      <c r="AB35">
        <v>25.3</v>
      </c>
      <c r="AC35">
        <v>12.1226</v>
      </c>
      <c r="AD35">
        <v>80.5</v>
      </c>
      <c r="AF35">
        <f t="shared" ref="AF35:AF66" si="11">(SUM(AA35:AC35)-AD35)*0.15</f>
        <v>35.361482783505153</v>
      </c>
      <c r="AG35">
        <f t="shared" si="9"/>
        <v>271.10470134020619</v>
      </c>
      <c r="AI35">
        <v>1</v>
      </c>
      <c r="AK35">
        <v>1.3941030000000001</v>
      </c>
      <c r="AL35" s="1">
        <v>32707</v>
      </c>
      <c r="AN35" t="s">
        <v>323</v>
      </c>
      <c r="AR35" s="120">
        <f t="shared" ca="1" si="5"/>
        <v>12904.582562152777</v>
      </c>
      <c r="AS35" s="120">
        <f t="shared" si="10"/>
        <v>2207</v>
      </c>
      <c r="AT35">
        <v>0</v>
      </c>
      <c r="AV35">
        <v>8473994</v>
      </c>
    </row>
    <row r="36" spans="1:48" x14ac:dyDescent="0.25">
      <c r="A36">
        <v>34</v>
      </c>
      <c r="B36" s="1">
        <v>45351</v>
      </c>
      <c r="C36" s="1">
        <v>45369</v>
      </c>
      <c r="D36" s="1">
        <v>45370</v>
      </c>
      <c r="E36" s="2">
        <f t="shared" ca="1" si="7"/>
        <v>18</v>
      </c>
      <c r="F36" s="2">
        <f t="shared" ca="1" si="8"/>
        <v>242.58256215277652</v>
      </c>
      <c r="G36" s="110" t="s">
        <v>209</v>
      </c>
      <c r="H36" s="81" t="str">
        <f>IF(ISBLANK(G36), "", VLOOKUP(VLOOKUP(G36, NHLTeams!$B$2:$F$33, 4,FALSE), Conferences!$A$2:$B$3, 2,FALSE))</f>
        <v>Eastern</v>
      </c>
      <c r="I36" s="82" t="str">
        <f>IF(ISBLANK(G36), "", VLOOKUP(VLOOKUP(G36, NHLTeams!$B$2:$F$33, 5, FALSE), Divisions!$A$2:$B$5, 2, FALSE))</f>
        <v>Atlantic</v>
      </c>
      <c r="J36" t="s">
        <v>53</v>
      </c>
      <c r="K36" t="s">
        <v>392</v>
      </c>
      <c r="L36" s="126" t="s">
        <v>393</v>
      </c>
      <c r="M36">
        <v>26</v>
      </c>
      <c r="N36">
        <v>0</v>
      </c>
      <c r="O36">
        <v>0</v>
      </c>
      <c r="P36" t="s">
        <v>293</v>
      </c>
      <c r="Q36" t="s">
        <v>4</v>
      </c>
      <c r="R36" t="s">
        <v>73</v>
      </c>
      <c r="S36" t="s">
        <v>10</v>
      </c>
      <c r="T36" t="s">
        <v>20</v>
      </c>
      <c r="U36" s="118" t="s">
        <v>288</v>
      </c>
      <c r="V36" t="s">
        <v>394</v>
      </c>
      <c r="X36" t="s">
        <v>373</v>
      </c>
      <c r="Y36" s="109" t="s">
        <v>785</v>
      </c>
      <c r="Z36">
        <v>200</v>
      </c>
      <c r="AA36">
        <f>200*(676.14/485)/1.15</f>
        <v>242.45271178843572</v>
      </c>
      <c r="AB36">
        <v>25.3</v>
      </c>
      <c r="AC36">
        <v>12.1226</v>
      </c>
      <c r="AD36">
        <v>85.25</v>
      </c>
      <c r="AF36">
        <f t="shared" si="11"/>
        <v>29.193796768265351</v>
      </c>
      <c r="AG36">
        <f t="shared" si="9"/>
        <v>223.81910855670102</v>
      </c>
      <c r="AI36">
        <v>1</v>
      </c>
      <c r="AK36">
        <v>1.3941030000000001</v>
      </c>
      <c r="AL36" s="1">
        <v>27563</v>
      </c>
      <c r="AN36" t="s">
        <v>395</v>
      </c>
      <c r="AR36" s="120">
        <f t="shared" ca="1" si="5"/>
        <v>18048.582562152777</v>
      </c>
      <c r="AS36" s="120">
        <f t="shared" si="10"/>
        <v>7351</v>
      </c>
      <c r="AT36">
        <v>0</v>
      </c>
      <c r="AV36">
        <v>8466378</v>
      </c>
    </row>
    <row r="37" spans="1:48" x14ac:dyDescent="0.25">
      <c r="A37">
        <v>35</v>
      </c>
      <c r="B37" s="1">
        <v>45351</v>
      </c>
      <c r="C37" s="1">
        <v>45369</v>
      </c>
      <c r="D37" s="1">
        <v>45379</v>
      </c>
      <c r="E37" s="2">
        <f t="shared" ca="1" si="7"/>
        <v>18</v>
      </c>
      <c r="F37" s="2">
        <f t="shared" ca="1" si="8"/>
        <v>242.58256215277652</v>
      </c>
      <c r="G37" s="12" t="s">
        <v>0</v>
      </c>
      <c r="H37" s="81" t="str">
        <f>IF(ISBLANK(G37), "", VLOOKUP(VLOOKUP(G37, NHLTeams!$B$2:$F$33, 4,FALSE), Conferences!$A$2:$B$3, 2,FALSE))</f>
        <v>Eastern</v>
      </c>
      <c r="I37" s="82" t="str">
        <f>IF(ISBLANK(G37), "", VLOOKUP(VLOOKUP(G37, NHLTeams!$B$2:$F$33, 5, FALSE), Divisions!$A$2:$B$5, 2, FALSE))</f>
        <v>Atlantic</v>
      </c>
      <c r="J37" t="s">
        <v>53</v>
      </c>
      <c r="K37" t="s">
        <v>396</v>
      </c>
      <c r="L37" s="126" t="s">
        <v>397</v>
      </c>
      <c r="M37">
        <v>16</v>
      </c>
      <c r="N37">
        <v>1</v>
      </c>
      <c r="O37">
        <v>0</v>
      </c>
      <c r="P37" t="s">
        <v>298</v>
      </c>
      <c r="Q37" t="s">
        <v>4</v>
      </c>
      <c r="R37" t="s">
        <v>3</v>
      </c>
      <c r="S37" t="s">
        <v>20</v>
      </c>
      <c r="T37" t="s">
        <v>286</v>
      </c>
      <c r="U37" s="118">
        <v>56</v>
      </c>
      <c r="V37" t="s">
        <v>302</v>
      </c>
      <c r="W37" t="s">
        <v>303</v>
      </c>
      <c r="X37" t="s">
        <v>373</v>
      </c>
      <c r="Y37" s="109" t="s">
        <v>371</v>
      </c>
      <c r="Z37">
        <v>230</v>
      </c>
      <c r="AA37">
        <f>230*(676.14/485)/1.15</f>
        <v>278.82061855670105</v>
      </c>
      <c r="AB37">
        <v>25.3</v>
      </c>
      <c r="AC37">
        <v>12.1226</v>
      </c>
      <c r="AD37">
        <v>80.5</v>
      </c>
      <c r="AF37">
        <f t="shared" si="11"/>
        <v>35.361482783505153</v>
      </c>
      <c r="AG37">
        <f t="shared" si="9"/>
        <v>271.10470134020619</v>
      </c>
      <c r="AI37">
        <v>1</v>
      </c>
      <c r="AK37">
        <v>1.3941030000000001</v>
      </c>
      <c r="AL37" s="1">
        <v>34944</v>
      </c>
      <c r="AN37" t="s">
        <v>60</v>
      </c>
      <c r="AR37" s="120">
        <f t="shared" ca="1" si="5"/>
        <v>10667.582562152777</v>
      </c>
      <c r="AS37" s="120">
        <f t="shared" si="10"/>
        <v>-30</v>
      </c>
      <c r="AT37">
        <v>0</v>
      </c>
      <c r="AU37" t="s">
        <v>715</v>
      </c>
      <c r="AV37">
        <v>8477493</v>
      </c>
    </row>
    <row r="38" spans="1:48" x14ac:dyDescent="0.25">
      <c r="A38">
        <v>36</v>
      </c>
      <c r="B38" s="1">
        <v>45369</v>
      </c>
      <c r="C38" s="1">
        <v>45386</v>
      </c>
      <c r="D38" s="1">
        <v>45389</v>
      </c>
      <c r="E38" s="2">
        <f t="shared" ca="1" si="7"/>
        <v>17</v>
      </c>
      <c r="F38" s="2">
        <f t="shared" ca="1" si="8"/>
        <v>225.58256215277652</v>
      </c>
      <c r="G38" s="112" t="s">
        <v>117</v>
      </c>
      <c r="H38" s="81" t="str">
        <f>IF(ISBLANK(G38), "", VLOOKUP(VLOOKUP(G38, NHLTeams!$B$2:$F$33, 4,FALSE), Conferences!$A$2:$B$3, 2,FALSE))</f>
        <v>Eastern</v>
      </c>
      <c r="I38" s="85" t="str">
        <f>IF(ISBLANK(G38), "", VLOOKUP(VLOOKUP(G38, NHLTeams!$B$2:$F$33, 5, FALSE), Divisions!$A$2:$B$5, 2, FALSE))</f>
        <v>Metropolitan</v>
      </c>
      <c r="J38" t="s">
        <v>53</v>
      </c>
      <c r="K38" t="s">
        <v>404</v>
      </c>
      <c r="L38" s="126" t="s">
        <v>405</v>
      </c>
      <c r="M38">
        <v>8</v>
      </c>
      <c r="N38">
        <v>0</v>
      </c>
      <c r="O38">
        <v>0</v>
      </c>
      <c r="P38" t="s">
        <v>75</v>
      </c>
      <c r="Q38" t="s">
        <v>285</v>
      </c>
      <c r="U38" s="118" t="s">
        <v>288</v>
      </c>
      <c r="V38" t="s">
        <v>311</v>
      </c>
      <c r="Y38" s="109" t="s">
        <v>735</v>
      </c>
      <c r="AF38">
        <f t="shared" si="11"/>
        <v>0</v>
      </c>
      <c r="AG38">
        <f t="shared" si="9"/>
        <v>0</v>
      </c>
      <c r="AI38">
        <v>1</v>
      </c>
      <c r="AL38" s="1">
        <v>35630</v>
      </c>
      <c r="AN38" t="s">
        <v>64</v>
      </c>
      <c r="AR38" s="120">
        <f t="shared" ca="1" si="5"/>
        <v>9981.5825621527765</v>
      </c>
      <c r="AS38" s="120">
        <f t="shared" si="10"/>
        <v>-716</v>
      </c>
      <c r="AT38">
        <v>0</v>
      </c>
      <c r="AV38">
        <v>8478460</v>
      </c>
    </row>
    <row r="39" spans="1:48" x14ac:dyDescent="0.25">
      <c r="A39">
        <v>37</v>
      </c>
      <c r="B39" s="1">
        <v>45369</v>
      </c>
      <c r="C39" s="1">
        <v>45386</v>
      </c>
      <c r="D39" s="1">
        <v>45387</v>
      </c>
      <c r="E39" s="2">
        <f t="shared" ca="1" si="7"/>
        <v>17</v>
      </c>
      <c r="F39" s="2">
        <f t="shared" ca="1" si="8"/>
        <v>225.58256215277652</v>
      </c>
      <c r="G39" s="113" t="s">
        <v>186</v>
      </c>
      <c r="H39" s="81" t="str">
        <f>IF(ISBLANK(G39), "", VLOOKUP(VLOOKUP(G39, NHLTeams!$B$2:$F$33, 4,FALSE), Conferences!$A$2:$B$3, 2,FALSE))</f>
        <v>Eastern</v>
      </c>
      <c r="I39" s="85" t="str">
        <f>IF(ISBLANK(G39), "", VLOOKUP(VLOOKUP(G39, NHLTeams!$B$2:$F$33, 5, FALSE), Divisions!$A$2:$B$5, 2, FALSE))</f>
        <v>Metropolitan</v>
      </c>
      <c r="J39" t="s">
        <v>53</v>
      </c>
      <c r="K39" t="s">
        <v>406</v>
      </c>
      <c r="L39" s="126" t="s">
        <v>407</v>
      </c>
      <c r="M39">
        <v>28</v>
      </c>
      <c r="N39">
        <v>0</v>
      </c>
      <c r="O39">
        <v>0</v>
      </c>
      <c r="P39" t="s">
        <v>293</v>
      </c>
      <c r="Q39" t="s">
        <v>4</v>
      </c>
      <c r="R39" t="s">
        <v>21</v>
      </c>
      <c r="S39" t="s">
        <v>73</v>
      </c>
      <c r="T39" t="s">
        <v>20</v>
      </c>
      <c r="U39" s="118" t="s">
        <v>288</v>
      </c>
      <c r="V39" t="s">
        <v>311</v>
      </c>
      <c r="Y39" s="109" t="s">
        <v>728</v>
      </c>
      <c r="AF39">
        <f t="shared" si="11"/>
        <v>0</v>
      </c>
      <c r="AG39">
        <f t="shared" si="9"/>
        <v>0</v>
      </c>
      <c r="AI39">
        <v>1</v>
      </c>
      <c r="AL39" s="1">
        <v>32154</v>
      </c>
      <c r="AN39" t="s">
        <v>61</v>
      </c>
      <c r="AR39" s="120">
        <f t="shared" ref="AR39:AR70" ca="1" si="12">NOW()-AL39</f>
        <v>13457.582562152777</v>
      </c>
      <c r="AS39" s="120">
        <f t="shared" si="10"/>
        <v>2760</v>
      </c>
      <c r="AT39">
        <v>0</v>
      </c>
      <c r="AV39">
        <v>8473512</v>
      </c>
    </row>
    <row r="40" spans="1:48" x14ac:dyDescent="0.25">
      <c r="A40">
        <v>38</v>
      </c>
      <c r="B40" s="1">
        <v>45369</v>
      </c>
      <c r="C40" s="1">
        <v>45386</v>
      </c>
      <c r="D40" s="1">
        <v>45395</v>
      </c>
      <c r="E40" s="2">
        <f t="shared" ca="1" si="7"/>
        <v>17</v>
      </c>
      <c r="F40" s="2">
        <f t="shared" ca="1" si="8"/>
        <v>225.58256215277652</v>
      </c>
      <c r="G40" s="114" t="s">
        <v>165</v>
      </c>
      <c r="H40" s="81" t="str">
        <f>IF(ISBLANK(G40), "", VLOOKUP(VLOOKUP(G40, NHLTeams!$B$2:$F$33, 4,FALSE), Conferences!$A$2:$B$3, 2,FALSE))</f>
        <v>Eastern</v>
      </c>
      <c r="I40" s="85" t="str">
        <f>IF(ISBLANK(G40), "", VLOOKUP(VLOOKUP(G40, NHLTeams!$B$2:$F$33, 5, FALSE), Divisions!$A$2:$B$5, 2, FALSE))</f>
        <v>Metropolitan</v>
      </c>
      <c r="J40" t="s">
        <v>53</v>
      </c>
      <c r="K40" t="s">
        <v>404</v>
      </c>
      <c r="L40" s="126" t="s">
        <v>408</v>
      </c>
      <c r="M40">
        <v>9</v>
      </c>
      <c r="N40">
        <v>0</v>
      </c>
      <c r="O40">
        <v>0</v>
      </c>
      <c r="P40" t="s">
        <v>75</v>
      </c>
      <c r="Q40" t="s">
        <v>4</v>
      </c>
      <c r="R40" t="s">
        <v>3</v>
      </c>
      <c r="S40" t="s">
        <v>73</v>
      </c>
      <c r="T40" t="s">
        <v>20</v>
      </c>
      <c r="U40" s="118" t="s">
        <v>288</v>
      </c>
      <c r="V40" t="s">
        <v>311</v>
      </c>
      <c r="Y40" s="109" t="s">
        <v>736</v>
      </c>
      <c r="AF40">
        <f t="shared" si="11"/>
        <v>0</v>
      </c>
      <c r="AG40">
        <f t="shared" si="9"/>
        <v>0</v>
      </c>
      <c r="AI40">
        <v>1</v>
      </c>
      <c r="AL40" s="1">
        <v>30891</v>
      </c>
      <c r="AN40" t="s">
        <v>58</v>
      </c>
      <c r="AR40" s="120">
        <f t="shared" ca="1" si="12"/>
        <v>14720.582562152777</v>
      </c>
      <c r="AS40" s="120">
        <f t="shared" si="10"/>
        <v>4023</v>
      </c>
      <c r="AT40">
        <v>0</v>
      </c>
      <c r="AV40">
        <v>8470610</v>
      </c>
    </row>
    <row r="41" spans="1:48" x14ac:dyDescent="0.25">
      <c r="A41">
        <v>39</v>
      </c>
      <c r="B41" s="1">
        <v>45369</v>
      </c>
      <c r="C41" s="1">
        <v>45426</v>
      </c>
      <c r="D41" s="1">
        <v>45426</v>
      </c>
      <c r="E41" s="2">
        <f t="shared" ca="1" si="7"/>
        <v>57</v>
      </c>
      <c r="F41" s="2">
        <f t="shared" ca="1" si="8"/>
        <v>185.58256215277652</v>
      </c>
      <c r="G41" s="115" t="s">
        <v>205</v>
      </c>
      <c r="H41" s="83" t="str">
        <f>IF(ISBLANK(G41), "", VLOOKUP(VLOOKUP(G41, NHLTeams!$B$2:$F$33, 4,FALSE), Conferences!$A$2:$B$3, 2,FALSE))</f>
        <v>Western</v>
      </c>
      <c r="I41" s="93" t="str">
        <f>IF(ISBLANK(G41), "", VLOOKUP(VLOOKUP(G41, NHLTeams!$B$2:$F$33, 5, FALSE), Divisions!$A$2:$B$5, 2, FALSE))</f>
        <v>Central</v>
      </c>
      <c r="J41" t="s">
        <v>53</v>
      </c>
      <c r="K41" t="s">
        <v>398</v>
      </c>
      <c r="L41" t="s">
        <v>399</v>
      </c>
      <c r="M41">
        <v>91</v>
      </c>
      <c r="N41">
        <v>0</v>
      </c>
      <c r="O41">
        <v>0</v>
      </c>
      <c r="P41" t="s">
        <v>297</v>
      </c>
      <c r="Q41" t="s">
        <v>4</v>
      </c>
      <c r="R41" t="s">
        <v>10</v>
      </c>
      <c r="S41" t="s">
        <v>286</v>
      </c>
      <c r="T41" t="s">
        <v>20</v>
      </c>
      <c r="U41" s="118" t="s">
        <v>288</v>
      </c>
      <c r="V41" t="s">
        <v>311</v>
      </c>
      <c r="Y41" s="109" t="s">
        <v>726</v>
      </c>
      <c r="AF41">
        <f t="shared" si="11"/>
        <v>0</v>
      </c>
      <c r="AG41">
        <f t="shared" si="9"/>
        <v>0</v>
      </c>
      <c r="AI41">
        <v>1</v>
      </c>
      <c r="AL41" s="1">
        <v>33585</v>
      </c>
      <c r="AN41" t="s">
        <v>63</v>
      </c>
      <c r="AR41" s="120">
        <f t="shared" ca="1" si="12"/>
        <v>12026.582562152777</v>
      </c>
      <c r="AS41" s="120">
        <f t="shared" si="10"/>
        <v>1329</v>
      </c>
      <c r="AT41">
        <v>0</v>
      </c>
      <c r="AV41">
        <v>8475765</v>
      </c>
    </row>
    <row r="42" spans="1:48" x14ac:dyDescent="0.25">
      <c r="A42">
        <v>40</v>
      </c>
      <c r="B42" s="1">
        <v>45369</v>
      </c>
      <c r="C42" s="1">
        <v>45386</v>
      </c>
      <c r="D42" s="1">
        <v>45396</v>
      </c>
      <c r="E42" s="2">
        <f t="shared" ca="1" si="7"/>
        <v>17</v>
      </c>
      <c r="F42" s="2">
        <f t="shared" ca="1" si="8"/>
        <v>225.58256215277652</v>
      </c>
      <c r="G42" s="116" t="s">
        <v>96</v>
      </c>
      <c r="H42" s="83" t="str">
        <f>IF(ISBLANK(G42), "", VLOOKUP(VLOOKUP(G42, NHLTeams!$B$2:$F$33, 4,FALSE), Conferences!$A$2:$B$3, 2,FALSE))</f>
        <v>Western</v>
      </c>
      <c r="I42" s="93" t="str">
        <f>IF(ISBLANK(G42), "", VLOOKUP(VLOOKUP(G42, NHLTeams!$B$2:$F$33, 5, FALSE), Divisions!$A$2:$B$5, 2, FALSE))</f>
        <v>Central</v>
      </c>
      <c r="J42" t="s">
        <v>53</v>
      </c>
      <c r="K42" t="s">
        <v>400</v>
      </c>
      <c r="L42" t="s">
        <v>401</v>
      </c>
      <c r="M42">
        <v>16</v>
      </c>
      <c r="N42">
        <v>0</v>
      </c>
      <c r="O42">
        <v>0</v>
      </c>
      <c r="P42" t="s">
        <v>293</v>
      </c>
      <c r="Q42" t="s">
        <v>4</v>
      </c>
      <c r="R42" t="s">
        <v>32</v>
      </c>
      <c r="S42" t="s">
        <v>20</v>
      </c>
      <c r="U42" s="118" t="s">
        <v>288</v>
      </c>
      <c r="V42" t="s">
        <v>311</v>
      </c>
      <c r="Y42" s="109" t="s">
        <v>737</v>
      </c>
      <c r="AF42">
        <f t="shared" si="11"/>
        <v>0</v>
      </c>
      <c r="AG42">
        <f t="shared" si="9"/>
        <v>0</v>
      </c>
      <c r="AI42">
        <v>0</v>
      </c>
      <c r="AL42" s="1">
        <v>34760</v>
      </c>
      <c r="AN42" t="s">
        <v>59</v>
      </c>
      <c r="AR42" s="120">
        <f t="shared" ca="1" si="12"/>
        <v>10851.582562152777</v>
      </c>
      <c r="AS42" s="120">
        <f t="shared" si="10"/>
        <v>154</v>
      </c>
      <c r="AT42">
        <v>0</v>
      </c>
      <c r="AV42">
        <v>8477503</v>
      </c>
    </row>
    <row r="43" spans="1:48" x14ac:dyDescent="0.25">
      <c r="A43">
        <v>41</v>
      </c>
      <c r="B43" s="1">
        <v>45369</v>
      </c>
      <c r="C43" s="1">
        <v>45386</v>
      </c>
      <c r="D43" s="1">
        <v>45550</v>
      </c>
      <c r="E43" s="2">
        <f t="shared" ca="1" si="7"/>
        <v>17</v>
      </c>
      <c r="F43" s="2">
        <f t="shared" ca="1" si="8"/>
        <v>225.58256215277652</v>
      </c>
      <c r="G43" s="15" t="s">
        <v>26</v>
      </c>
      <c r="H43" s="83" t="str">
        <f>IF(ISBLANK(G43), "", VLOOKUP(VLOOKUP(G43, NHLTeams!$B$2:$F$33, 4,FALSE), Conferences!$A$2:$B$3, 2,FALSE))</f>
        <v>Western</v>
      </c>
      <c r="I43" s="93" t="str">
        <f>IF(ISBLANK(G43), "", VLOOKUP(VLOOKUP(G43, NHLTeams!$B$2:$F$33, 5, FALSE), Divisions!$A$2:$B$5, 2, FALSE))</f>
        <v>Central</v>
      </c>
      <c r="J43" t="s">
        <v>53</v>
      </c>
      <c r="K43" t="s">
        <v>402</v>
      </c>
      <c r="L43" t="s">
        <v>403</v>
      </c>
      <c r="M43">
        <v>9</v>
      </c>
      <c r="N43">
        <v>0</v>
      </c>
      <c r="O43">
        <v>0</v>
      </c>
      <c r="P43" t="s">
        <v>293</v>
      </c>
      <c r="Q43" t="s">
        <v>285</v>
      </c>
      <c r="R43" t="s">
        <v>20</v>
      </c>
      <c r="S43" t="s">
        <v>32</v>
      </c>
      <c r="T43" t="s">
        <v>10</v>
      </c>
      <c r="U43" s="118" t="s">
        <v>288</v>
      </c>
      <c r="V43" t="s">
        <v>311</v>
      </c>
      <c r="Y43" s="109" t="s">
        <v>786</v>
      </c>
      <c r="AF43">
        <f t="shared" si="11"/>
        <v>0</v>
      </c>
      <c r="AG43">
        <f t="shared" si="9"/>
        <v>0</v>
      </c>
      <c r="AI43">
        <v>0</v>
      </c>
      <c r="AL43" s="1">
        <v>33254</v>
      </c>
      <c r="AN43" t="s">
        <v>323</v>
      </c>
      <c r="AR43" s="120">
        <f t="shared" ca="1" si="12"/>
        <v>12357.582562152777</v>
      </c>
      <c r="AS43" s="120">
        <f t="shared" si="10"/>
        <v>1660</v>
      </c>
      <c r="AT43">
        <v>0</v>
      </c>
      <c r="AV43">
        <v>8475168</v>
      </c>
    </row>
    <row r="44" spans="1:48" x14ac:dyDescent="0.25">
      <c r="A44">
        <v>42</v>
      </c>
      <c r="B44" s="1">
        <v>45386</v>
      </c>
      <c r="C44" s="1">
        <v>45391</v>
      </c>
      <c r="D44" s="1">
        <v>45393</v>
      </c>
      <c r="E44" s="2">
        <f t="shared" ca="1" si="7"/>
        <v>5</v>
      </c>
      <c r="F44" s="2">
        <f t="shared" ca="1" si="8"/>
        <v>220.58256215277652</v>
      </c>
      <c r="G44" s="117" t="s">
        <v>181</v>
      </c>
      <c r="H44" s="81" t="str">
        <f>IF(ISBLANK(G44), "", VLOOKUP(VLOOKUP(G44, NHLTeams!$B$2:$F$33, 4,FALSE), Conferences!$A$2:$B$3, 2,FALSE))</f>
        <v>Eastern</v>
      </c>
      <c r="I44" s="82" t="str">
        <f>IF(ISBLANK(G44), "", VLOOKUP(VLOOKUP(G44, NHLTeams!$B$2:$F$33, 5, FALSE), Divisions!$A$2:$B$5, 2, FALSE))</f>
        <v>Atlantic</v>
      </c>
      <c r="J44" t="s">
        <v>53</v>
      </c>
      <c r="K44" t="s">
        <v>411</v>
      </c>
      <c r="L44" t="s">
        <v>2</v>
      </c>
      <c r="M44">
        <v>7</v>
      </c>
      <c r="N44">
        <v>1</v>
      </c>
      <c r="O44">
        <v>0</v>
      </c>
      <c r="P44" t="s">
        <v>75</v>
      </c>
      <c r="Q44" t="s">
        <v>4</v>
      </c>
      <c r="R44" t="s">
        <v>73</v>
      </c>
      <c r="S44" t="s">
        <v>3</v>
      </c>
      <c r="T44" t="s">
        <v>20</v>
      </c>
      <c r="U44" s="118">
        <v>56</v>
      </c>
      <c r="V44" t="s">
        <v>302</v>
      </c>
      <c r="W44" t="s">
        <v>303</v>
      </c>
      <c r="X44" t="s">
        <v>372</v>
      </c>
      <c r="Y44" s="109" t="s">
        <v>721</v>
      </c>
      <c r="AF44">
        <f t="shared" si="11"/>
        <v>0</v>
      </c>
      <c r="AG44">
        <f t="shared" si="9"/>
        <v>0</v>
      </c>
      <c r="AI44">
        <v>0</v>
      </c>
      <c r="AL44" s="1">
        <v>36419</v>
      </c>
      <c r="AN44" t="s">
        <v>412</v>
      </c>
      <c r="AR44" s="120">
        <f t="shared" ca="1" si="12"/>
        <v>9192.5825621527765</v>
      </c>
      <c r="AS44" s="120">
        <f t="shared" si="10"/>
        <v>-1505</v>
      </c>
      <c r="AT44">
        <v>0</v>
      </c>
      <c r="AV44">
        <v>8480801</v>
      </c>
    </row>
    <row r="45" spans="1:48" x14ac:dyDescent="0.25">
      <c r="A45">
        <v>43</v>
      </c>
      <c r="B45" s="1">
        <v>45395</v>
      </c>
      <c r="C45" s="1">
        <v>45401</v>
      </c>
      <c r="D45" s="1">
        <v>45464</v>
      </c>
      <c r="E45" s="2">
        <f t="shared" ca="1" si="7"/>
        <v>6</v>
      </c>
      <c r="F45" s="2">
        <f t="shared" ca="1" si="8"/>
        <v>210.58256215277652</v>
      </c>
      <c r="G45" s="95" t="s">
        <v>151</v>
      </c>
      <c r="H45" s="83" t="str">
        <f>IF(ISBLANK(G45), "", VLOOKUP(VLOOKUP(G45, NHLTeams!$B$2:$F$33, 4,FALSE), Conferences!$A$2:$B$3, 2,FALSE))</f>
        <v>Western</v>
      </c>
      <c r="I45" s="84" t="str">
        <f>IF(ISBLANK(G45), "", VLOOKUP(VLOOKUP(G45, NHLTeams!$B$2:$F$33, 5, FALSE), Divisions!$A$2:$B$5, 2, FALSE))</f>
        <v>Pacific</v>
      </c>
      <c r="J45" t="s">
        <v>53</v>
      </c>
      <c r="K45" t="s">
        <v>421</v>
      </c>
      <c r="L45" t="s">
        <v>422</v>
      </c>
      <c r="M45">
        <v>99</v>
      </c>
      <c r="N45">
        <v>1</v>
      </c>
      <c r="O45">
        <v>0</v>
      </c>
      <c r="P45" t="s">
        <v>293</v>
      </c>
      <c r="Q45" t="s">
        <v>4</v>
      </c>
      <c r="R45" t="s">
        <v>73</v>
      </c>
      <c r="S45" t="s">
        <v>443</v>
      </c>
      <c r="T45" t="s">
        <v>20</v>
      </c>
      <c r="U45" s="118" t="s">
        <v>288</v>
      </c>
      <c r="V45" t="s">
        <v>394</v>
      </c>
      <c r="X45" t="s">
        <v>372</v>
      </c>
      <c r="Y45" s="109" t="s">
        <v>371</v>
      </c>
      <c r="AF45">
        <f t="shared" si="11"/>
        <v>0</v>
      </c>
      <c r="AG45">
        <f t="shared" si="9"/>
        <v>0</v>
      </c>
      <c r="AI45">
        <v>0</v>
      </c>
      <c r="AL45" s="1">
        <v>22307</v>
      </c>
      <c r="AM45">
        <v>1999</v>
      </c>
      <c r="AN45" t="s">
        <v>445</v>
      </c>
      <c r="AO45" t="s">
        <v>395</v>
      </c>
      <c r="AR45" s="120">
        <f t="shared" ca="1" si="12"/>
        <v>23304.582562152777</v>
      </c>
      <c r="AS45" s="120">
        <f t="shared" si="10"/>
        <v>12607</v>
      </c>
      <c r="AT45">
        <v>0</v>
      </c>
      <c r="AV45">
        <v>8447400</v>
      </c>
    </row>
    <row r="46" spans="1:48" x14ac:dyDescent="0.25">
      <c r="A46">
        <v>44</v>
      </c>
      <c r="B46" s="1">
        <v>45399</v>
      </c>
      <c r="C46" s="1">
        <v>45407</v>
      </c>
      <c r="D46" s="1">
        <v>45567</v>
      </c>
      <c r="E46" s="2">
        <f t="shared" ca="1" si="7"/>
        <v>8</v>
      </c>
      <c r="F46" s="2">
        <f t="shared" ca="1" si="8"/>
        <v>204.58256215277652</v>
      </c>
      <c r="G46" s="104" t="s">
        <v>192</v>
      </c>
      <c r="H46" s="83" t="str">
        <f>IF(ISBLANK(G46), "", VLOOKUP(VLOOKUP(G46, NHLTeams!$B$2:$F$33, 4,FALSE), Conferences!$A$2:$B$3, 2,FALSE))</f>
        <v>Western</v>
      </c>
      <c r="I46" s="84" t="str">
        <f>IF(ISBLANK(G46), "", VLOOKUP(VLOOKUP(G46, NHLTeams!$B$2:$F$33, 5, FALSE), Divisions!$A$2:$B$5, 2, FALSE))</f>
        <v>Pacific</v>
      </c>
      <c r="J46" t="s">
        <v>273</v>
      </c>
      <c r="K46" t="s">
        <v>383</v>
      </c>
      <c r="L46" t="s">
        <v>423</v>
      </c>
      <c r="M46">
        <v>55</v>
      </c>
      <c r="N46">
        <v>1</v>
      </c>
      <c r="O46">
        <v>0</v>
      </c>
      <c r="P46" t="s">
        <v>293</v>
      </c>
      <c r="Q46" t="s">
        <v>4</v>
      </c>
      <c r="R46" t="s">
        <v>287</v>
      </c>
      <c r="S46" t="s">
        <v>331</v>
      </c>
      <c r="T46" t="s">
        <v>3</v>
      </c>
      <c r="U46" s="118">
        <v>56</v>
      </c>
      <c r="V46" t="s">
        <v>302</v>
      </c>
      <c r="W46" t="s">
        <v>303</v>
      </c>
      <c r="X46" t="s">
        <v>444</v>
      </c>
      <c r="Y46" s="109" t="s">
        <v>731</v>
      </c>
      <c r="AA46">
        <v>249.99</v>
      </c>
      <c r="AC46">
        <f>9.62/3</f>
        <v>3.2066666666666666</v>
      </c>
      <c r="AD46">
        <v>150</v>
      </c>
      <c r="AF46">
        <f t="shared" si="11"/>
        <v>15.479500000000002</v>
      </c>
      <c r="AG46">
        <f t="shared" si="9"/>
        <v>118.67616666666669</v>
      </c>
      <c r="AI46">
        <v>0</v>
      </c>
      <c r="AL46" s="1">
        <v>30592</v>
      </c>
      <c r="AN46" t="s">
        <v>58</v>
      </c>
      <c r="AR46" s="120">
        <f t="shared" ca="1" si="12"/>
        <v>15019.582562152777</v>
      </c>
      <c r="AS46" s="120">
        <f t="shared" si="10"/>
        <v>4322</v>
      </c>
      <c r="AT46">
        <v>0</v>
      </c>
      <c r="AV46">
        <v>8470966</v>
      </c>
    </row>
    <row r="47" spans="1:48" x14ac:dyDescent="0.25">
      <c r="A47">
        <v>45</v>
      </c>
      <c r="B47" s="1">
        <v>45399</v>
      </c>
      <c r="E47" s="2">
        <f t="shared" ca="1" si="7"/>
        <v>212.58256215277652</v>
      </c>
      <c r="F47" s="2">
        <f t="shared" ca="1" si="8"/>
        <v>0</v>
      </c>
      <c r="G47" s="16" t="s">
        <v>65</v>
      </c>
      <c r="H47" s="83" t="str">
        <f>IF(ISBLANK(G47), "", VLOOKUP(VLOOKUP(G47, NHLTeams!$B$2:$F$33, 4,FALSE), Conferences!$A$2:$B$3, 2,FALSE))</f>
        <v>Western</v>
      </c>
      <c r="I47" s="93" t="str">
        <f>IF(ISBLANK(G47), "", VLOOKUP(VLOOKUP(G47, NHLTeams!$B$2:$F$33, 5, FALSE), Divisions!$A$2:$B$5, 2, FALSE))</f>
        <v>Central</v>
      </c>
      <c r="Y47" s="109" t="s">
        <v>786</v>
      </c>
      <c r="AA47">
        <v>249.99</v>
      </c>
      <c r="AC47">
        <f>9.62/3</f>
        <v>3.2066666666666666</v>
      </c>
      <c r="AD47">
        <v>100</v>
      </c>
      <c r="AF47">
        <f t="shared" si="11"/>
        <v>22.979500000000002</v>
      </c>
      <c r="AG47">
        <f t="shared" si="9"/>
        <v>176.17616666666669</v>
      </c>
      <c r="AL47" s="1">
        <v>35408</v>
      </c>
      <c r="AR47" s="120">
        <f t="shared" ca="1" si="12"/>
        <v>10203.582562152777</v>
      </c>
      <c r="AS47" s="120">
        <f t="shared" si="10"/>
        <v>-494</v>
      </c>
      <c r="AT47">
        <v>1</v>
      </c>
    </row>
    <row r="48" spans="1:48" x14ac:dyDescent="0.25">
      <c r="A48">
        <v>46</v>
      </c>
      <c r="B48" s="1">
        <v>45399</v>
      </c>
      <c r="C48" s="1">
        <v>45407</v>
      </c>
      <c r="D48" s="1">
        <v>45538</v>
      </c>
      <c r="E48" s="2">
        <f t="shared" ca="1" si="7"/>
        <v>8</v>
      </c>
      <c r="F48" s="2">
        <f t="shared" ca="1" si="8"/>
        <v>204.58256215277652</v>
      </c>
      <c r="G48" s="117" t="s">
        <v>181</v>
      </c>
      <c r="H48" s="81" t="str">
        <f>IF(ISBLANK(G48), "", VLOOKUP(VLOOKUP(G48, NHLTeams!$B$2:$F$33, 4,FALSE), Conferences!$A$2:$B$3, 2,FALSE))</f>
        <v>Eastern</v>
      </c>
      <c r="I48" s="82" t="str">
        <f>IF(ISBLANK(G48), "", VLOOKUP(VLOOKUP(G48, NHLTeams!$B$2:$F$33, 5, FALSE), Divisions!$A$2:$B$5, 2, FALSE))</f>
        <v>Atlantic</v>
      </c>
      <c r="J48" t="s">
        <v>53</v>
      </c>
      <c r="K48" t="s">
        <v>424</v>
      </c>
      <c r="L48" t="s">
        <v>425</v>
      </c>
      <c r="M48">
        <v>19</v>
      </c>
      <c r="N48">
        <v>0</v>
      </c>
      <c r="O48">
        <v>0</v>
      </c>
      <c r="P48" t="s">
        <v>293</v>
      </c>
      <c r="Q48" t="s">
        <v>285</v>
      </c>
      <c r="R48" t="s">
        <v>20</v>
      </c>
      <c r="S48" t="s">
        <v>3</v>
      </c>
      <c r="T48" t="s">
        <v>73</v>
      </c>
      <c r="U48" s="118">
        <v>56</v>
      </c>
      <c r="V48" t="s">
        <v>302</v>
      </c>
      <c r="W48" t="s">
        <v>303</v>
      </c>
      <c r="X48" t="s">
        <v>444</v>
      </c>
      <c r="Y48" s="109" t="s">
        <v>420</v>
      </c>
      <c r="AA48">
        <v>249.99</v>
      </c>
      <c r="AC48">
        <f>9.62/3</f>
        <v>3.2066666666666666</v>
      </c>
      <c r="AD48">
        <v>100</v>
      </c>
      <c r="AF48">
        <f t="shared" si="11"/>
        <v>22.979500000000002</v>
      </c>
      <c r="AG48">
        <f t="shared" si="9"/>
        <v>176.17616666666669</v>
      </c>
      <c r="AI48">
        <v>0</v>
      </c>
      <c r="AL48" s="1">
        <v>35912</v>
      </c>
      <c r="AN48" t="s">
        <v>412</v>
      </c>
      <c r="AR48" s="120">
        <f t="shared" ca="1" si="12"/>
        <v>9699.5825621527765</v>
      </c>
      <c r="AS48" s="120">
        <f t="shared" si="10"/>
        <v>-998</v>
      </c>
      <c r="AT48">
        <v>0</v>
      </c>
      <c r="AV48">
        <v>8480208</v>
      </c>
    </row>
    <row r="49" spans="1:48" x14ac:dyDescent="0.25">
      <c r="A49">
        <v>47</v>
      </c>
      <c r="B49" s="1">
        <v>45445</v>
      </c>
      <c r="C49" s="1">
        <v>45454</v>
      </c>
      <c r="D49" s="1">
        <v>45513</v>
      </c>
      <c r="E49" s="2">
        <f t="shared" ca="1" si="7"/>
        <v>9</v>
      </c>
      <c r="F49" s="2">
        <f t="shared" ca="1" si="8"/>
        <v>157.58256215277652</v>
      </c>
      <c r="G49" s="14" t="s">
        <v>25</v>
      </c>
      <c r="H49" s="81" t="str">
        <f>IF(ISBLANK(G49), "", VLOOKUP(VLOOKUP(G49, NHLTeams!$B$2:$F$33, 4,FALSE), Conferences!$A$2:$B$3, 2,FALSE))</f>
        <v>Eastern</v>
      </c>
      <c r="I49" s="82" t="str">
        <f>IF(ISBLANK(G49), "", VLOOKUP(VLOOKUP(G49, NHLTeams!$B$2:$F$33, 5, FALSE), Divisions!$A$2:$B$5, 2, FALSE))</f>
        <v>Atlantic</v>
      </c>
      <c r="J49" t="s">
        <v>53</v>
      </c>
      <c r="K49" t="s">
        <v>426</v>
      </c>
      <c r="L49" t="s">
        <v>427</v>
      </c>
      <c r="M49">
        <v>14</v>
      </c>
      <c r="N49">
        <v>1</v>
      </c>
      <c r="O49">
        <v>0</v>
      </c>
      <c r="P49" t="s">
        <v>293</v>
      </c>
      <c r="Q49" t="s">
        <v>483</v>
      </c>
      <c r="R49" t="s">
        <v>385</v>
      </c>
      <c r="S49" t="s">
        <v>430</v>
      </c>
      <c r="T49" t="s">
        <v>20</v>
      </c>
      <c r="U49" s="118">
        <v>56</v>
      </c>
      <c r="V49" t="s">
        <v>302</v>
      </c>
      <c r="W49" t="s">
        <v>303</v>
      </c>
      <c r="Y49" s="109" t="s">
        <v>378</v>
      </c>
      <c r="AF49">
        <f t="shared" si="11"/>
        <v>0</v>
      </c>
      <c r="AG49">
        <f t="shared" si="9"/>
        <v>0</v>
      </c>
      <c r="AI49">
        <v>0</v>
      </c>
      <c r="AL49" s="1">
        <v>36382</v>
      </c>
      <c r="AN49" t="s">
        <v>432</v>
      </c>
      <c r="AR49" s="120">
        <f t="shared" ca="1" si="12"/>
        <v>9229.5825621527765</v>
      </c>
      <c r="AS49" s="120">
        <f t="shared" si="10"/>
        <v>-1468</v>
      </c>
      <c r="AT49">
        <v>0</v>
      </c>
      <c r="AV49">
        <v>8480018</v>
      </c>
    </row>
    <row r="50" spans="1:48" x14ac:dyDescent="0.25">
      <c r="A50">
        <v>48</v>
      </c>
      <c r="B50" s="1">
        <v>45449</v>
      </c>
      <c r="C50" s="1">
        <v>45464</v>
      </c>
      <c r="D50" s="1">
        <v>45550</v>
      </c>
      <c r="E50" s="2">
        <f t="shared" ca="1" si="7"/>
        <v>15</v>
      </c>
      <c r="F50" s="2">
        <f t="shared" ca="1" si="8"/>
        <v>147.58256215277652</v>
      </c>
      <c r="G50" s="17" t="s">
        <v>66</v>
      </c>
      <c r="H50" s="81" t="str">
        <f>IF(ISBLANK(G50), "", VLOOKUP(VLOOKUP(G50, NHLTeams!$B$2:$F$33, 4,FALSE), Conferences!$A$2:$B$3, 2,FALSE))</f>
        <v>Eastern</v>
      </c>
      <c r="I50" s="85" t="str">
        <f>IF(ISBLANK(G50), "", VLOOKUP(VLOOKUP(G50, NHLTeams!$B$2:$F$33, 5, FALSE), Divisions!$A$2:$B$5, 2, FALSE))</f>
        <v>Metropolitan</v>
      </c>
      <c r="J50" t="s">
        <v>273</v>
      </c>
      <c r="K50" t="s">
        <v>428</v>
      </c>
      <c r="L50" t="s">
        <v>429</v>
      </c>
      <c r="M50">
        <v>58</v>
      </c>
      <c r="N50">
        <v>0</v>
      </c>
      <c r="O50">
        <v>0</v>
      </c>
      <c r="P50" t="s">
        <v>293</v>
      </c>
      <c r="Q50" t="s">
        <v>330</v>
      </c>
      <c r="R50" t="s">
        <v>73</v>
      </c>
      <c r="S50" t="s">
        <v>286</v>
      </c>
      <c r="T50" t="s">
        <v>20</v>
      </c>
      <c r="U50" s="118">
        <v>56</v>
      </c>
      <c r="V50" t="s">
        <v>302</v>
      </c>
      <c r="W50" t="s">
        <v>303</v>
      </c>
      <c r="X50" t="s">
        <v>431</v>
      </c>
      <c r="Y50" s="109" t="s">
        <v>786</v>
      </c>
      <c r="AF50">
        <f t="shared" si="11"/>
        <v>0</v>
      </c>
      <c r="AG50">
        <f t="shared" si="9"/>
        <v>0</v>
      </c>
      <c r="AI50">
        <v>1</v>
      </c>
      <c r="AL50" s="1">
        <v>31891</v>
      </c>
      <c r="AN50" t="s">
        <v>291</v>
      </c>
      <c r="AR50" s="120">
        <f t="shared" ca="1" si="12"/>
        <v>13720.582562152777</v>
      </c>
      <c r="AS50" s="120">
        <f t="shared" si="10"/>
        <v>3023</v>
      </c>
      <c r="AT50">
        <v>0</v>
      </c>
      <c r="AU50" t="s">
        <v>720</v>
      </c>
      <c r="AV50">
        <v>8471724</v>
      </c>
    </row>
    <row r="51" spans="1:48" x14ac:dyDescent="0.25">
      <c r="A51">
        <v>49</v>
      </c>
      <c r="B51" s="1">
        <v>45450</v>
      </c>
      <c r="C51" s="1">
        <v>45456</v>
      </c>
      <c r="D51" s="1">
        <v>45561</v>
      </c>
      <c r="E51" s="2">
        <f t="shared" ca="1" si="7"/>
        <v>6</v>
      </c>
      <c r="F51" s="2">
        <f t="shared" ca="1" si="8"/>
        <v>155.58256215277652</v>
      </c>
      <c r="G51" s="96" t="s">
        <v>177</v>
      </c>
      <c r="H51" s="81" t="str">
        <f>IF(ISBLANK(G51), "", VLOOKUP(VLOOKUP(G51, NHLTeams!$B$2:$F$33, 4,FALSE), Conferences!$A$2:$B$3, 2,FALSE))</f>
        <v>Eastern</v>
      </c>
      <c r="I51" s="85" t="str">
        <f>IF(ISBLANK(G51), "", VLOOKUP(VLOOKUP(G51, NHLTeams!$B$2:$F$33, 5, FALSE), Divisions!$A$2:$B$5, 2, FALSE))</f>
        <v>Metropolitan</v>
      </c>
      <c r="J51" t="s">
        <v>53</v>
      </c>
      <c r="K51" t="s">
        <v>433</v>
      </c>
      <c r="L51" t="s">
        <v>434</v>
      </c>
      <c r="M51">
        <v>10</v>
      </c>
      <c r="N51">
        <v>0</v>
      </c>
      <c r="O51">
        <v>0</v>
      </c>
      <c r="P51" t="s">
        <v>297</v>
      </c>
      <c r="Q51" t="s">
        <v>330</v>
      </c>
      <c r="R51" t="s">
        <v>430</v>
      </c>
      <c r="S51" t="s">
        <v>3</v>
      </c>
      <c r="T51" t="s">
        <v>385</v>
      </c>
      <c r="U51" s="118">
        <v>56</v>
      </c>
      <c r="V51" t="s">
        <v>302</v>
      </c>
      <c r="W51" t="s">
        <v>303</v>
      </c>
      <c r="X51" t="s">
        <v>372</v>
      </c>
      <c r="Y51" s="109" t="s">
        <v>789</v>
      </c>
      <c r="AB51">
        <f t="shared" ref="AB51:AB57" si="13">214.1/7</f>
        <v>30.585714285714285</v>
      </c>
      <c r="AC51">
        <f t="shared" ref="AC51:AC57" si="14">15.99/7</f>
        <v>2.2842857142857143</v>
      </c>
      <c r="AE51" t="s">
        <v>458</v>
      </c>
      <c r="AF51">
        <f t="shared" si="11"/>
        <v>4.9304999999999994</v>
      </c>
      <c r="AG51">
        <f t="shared" si="9"/>
        <v>37.8005</v>
      </c>
      <c r="AI51">
        <v>0</v>
      </c>
      <c r="AL51" s="1">
        <v>33541</v>
      </c>
      <c r="AN51" t="s">
        <v>59</v>
      </c>
      <c r="AR51" s="120">
        <f t="shared" ca="1" si="12"/>
        <v>12070.582562152777</v>
      </c>
      <c r="AS51" s="120">
        <f t="shared" si="10"/>
        <v>1373</v>
      </c>
      <c r="AT51">
        <v>0</v>
      </c>
      <c r="AU51" t="s">
        <v>718</v>
      </c>
      <c r="AV51">
        <v>8478550</v>
      </c>
    </row>
    <row r="52" spans="1:48" x14ac:dyDescent="0.25">
      <c r="A52">
        <v>50</v>
      </c>
      <c r="B52" s="1">
        <v>45450</v>
      </c>
      <c r="C52" s="1">
        <v>45456</v>
      </c>
      <c r="D52" s="1">
        <v>45564</v>
      </c>
      <c r="E52" s="2">
        <f t="shared" ca="1" si="7"/>
        <v>6</v>
      </c>
      <c r="F52" s="2">
        <f t="shared" ca="1" si="8"/>
        <v>155.58256215277652</v>
      </c>
      <c r="G52" s="103" t="s">
        <v>171</v>
      </c>
      <c r="H52" s="81" t="str">
        <f>IF(ISBLANK(G52), "", VLOOKUP(VLOOKUP(G52, NHLTeams!$B$2:$F$33, 4,FALSE), Conferences!$A$2:$B$3, 2,FALSE))</f>
        <v>Eastern</v>
      </c>
      <c r="I52" s="85" t="str">
        <f>IF(ISBLANK(G52), "", VLOOKUP(VLOOKUP(G52, NHLTeams!$B$2:$F$33, 5, FALSE), Divisions!$A$2:$B$5, 2, FALSE))</f>
        <v>Metropolitan</v>
      </c>
      <c r="J52" t="s">
        <v>53</v>
      </c>
      <c r="K52" t="s">
        <v>1</v>
      </c>
      <c r="L52" t="s">
        <v>435</v>
      </c>
      <c r="M52">
        <v>13</v>
      </c>
      <c r="N52">
        <v>0</v>
      </c>
      <c r="O52">
        <v>0</v>
      </c>
      <c r="P52" t="s">
        <v>293</v>
      </c>
      <c r="Q52" t="s">
        <v>4</v>
      </c>
      <c r="R52" t="s">
        <v>430</v>
      </c>
      <c r="S52" t="s">
        <v>21</v>
      </c>
      <c r="T52" t="s">
        <v>20</v>
      </c>
      <c r="U52" s="118">
        <v>56</v>
      </c>
      <c r="V52" t="s">
        <v>302</v>
      </c>
      <c r="W52" t="s">
        <v>303</v>
      </c>
      <c r="X52" t="s">
        <v>372</v>
      </c>
      <c r="Y52" s="109" t="s">
        <v>371</v>
      </c>
      <c r="AB52">
        <f t="shared" si="13"/>
        <v>30.585714285714285</v>
      </c>
      <c r="AC52">
        <f t="shared" si="14"/>
        <v>2.2842857142857143</v>
      </c>
      <c r="AD52">
        <v>93</v>
      </c>
      <c r="AE52" t="s">
        <v>458</v>
      </c>
      <c r="AF52">
        <f t="shared" si="11"/>
        <v>-9.0195000000000007</v>
      </c>
      <c r="AG52">
        <f t="shared" si="9"/>
        <v>-69.149500000000003</v>
      </c>
      <c r="AI52">
        <v>0</v>
      </c>
      <c r="AL52" s="1">
        <v>35576</v>
      </c>
      <c r="AN52" t="s">
        <v>64</v>
      </c>
      <c r="AR52" s="120">
        <f t="shared" ca="1" si="12"/>
        <v>10035.582562152777</v>
      </c>
      <c r="AS52" s="120">
        <f t="shared" si="10"/>
        <v>-662</v>
      </c>
      <c r="AT52">
        <v>0</v>
      </c>
      <c r="AV52">
        <v>8478445</v>
      </c>
    </row>
    <row r="53" spans="1:48" x14ac:dyDescent="0.25">
      <c r="A53">
        <v>51</v>
      </c>
      <c r="B53" s="1">
        <v>45450</v>
      </c>
      <c r="C53" s="1">
        <v>45456</v>
      </c>
      <c r="D53" s="1">
        <v>45534</v>
      </c>
      <c r="E53" s="2">
        <f t="shared" ca="1" si="7"/>
        <v>6</v>
      </c>
      <c r="F53" s="2">
        <f t="shared" ca="1" si="8"/>
        <v>155.58256215277652</v>
      </c>
      <c r="G53" s="112" t="s">
        <v>117</v>
      </c>
      <c r="H53" s="81" t="str">
        <f>IF(ISBLANK(G53), "", VLOOKUP(VLOOKUP(G53, NHLTeams!$B$2:$F$33, 4,FALSE), Conferences!$A$2:$B$3, 2,FALSE))</f>
        <v>Eastern</v>
      </c>
      <c r="I53" s="85" t="str">
        <f>IF(ISBLANK(G53), "", VLOOKUP(VLOOKUP(G53, NHLTeams!$B$2:$F$33, 5, FALSE), Divisions!$A$2:$B$5, 2, FALSE))</f>
        <v>Metropolitan</v>
      </c>
      <c r="J53" t="s">
        <v>53</v>
      </c>
      <c r="K53" t="s">
        <v>442</v>
      </c>
      <c r="L53" t="s">
        <v>436</v>
      </c>
      <c r="M53">
        <v>13</v>
      </c>
      <c r="N53">
        <v>0</v>
      </c>
      <c r="O53">
        <v>0</v>
      </c>
      <c r="P53" t="s">
        <v>75</v>
      </c>
      <c r="Q53" t="s">
        <v>4</v>
      </c>
      <c r="R53" t="s">
        <v>10</v>
      </c>
      <c r="S53" t="s">
        <v>20</v>
      </c>
      <c r="T53" t="s">
        <v>3</v>
      </c>
      <c r="U53" s="118">
        <v>56</v>
      </c>
      <c r="V53" t="s">
        <v>302</v>
      </c>
      <c r="W53" t="s">
        <v>303</v>
      </c>
      <c r="X53" t="s">
        <v>372</v>
      </c>
      <c r="Y53" s="109" t="s">
        <v>371</v>
      </c>
      <c r="AB53">
        <f t="shared" si="13"/>
        <v>30.585714285714285</v>
      </c>
      <c r="AC53">
        <f t="shared" si="14"/>
        <v>2.2842857142857143</v>
      </c>
      <c r="AD53">
        <v>93</v>
      </c>
      <c r="AE53" t="s">
        <v>458</v>
      </c>
      <c r="AF53">
        <f t="shared" si="11"/>
        <v>-9.0195000000000007</v>
      </c>
      <c r="AG53">
        <f t="shared" si="9"/>
        <v>-69.149500000000003</v>
      </c>
      <c r="AI53">
        <v>0</v>
      </c>
      <c r="AL53" s="1">
        <v>34194</v>
      </c>
      <c r="AN53" t="s">
        <v>60</v>
      </c>
      <c r="AR53" s="120">
        <f t="shared" ca="1" si="12"/>
        <v>11417.582562152777</v>
      </c>
      <c r="AS53" s="120">
        <f t="shared" si="10"/>
        <v>720</v>
      </c>
      <c r="AT53">
        <v>0</v>
      </c>
      <c r="AU53" t="s">
        <v>717</v>
      </c>
      <c r="AV53">
        <v>8476346</v>
      </c>
    </row>
    <row r="54" spans="1:48" x14ac:dyDescent="0.25">
      <c r="A54">
        <v>52</v>
      </c>
      <c r="B54" s="1">
        <v>45450</v>
      </c>
      <c r="C54" s="1">
        <v>45461</v>
      </c>
      <c r="D54" s="1">
        <v>45474</v>
      </c>
      <c r="E54" s="2">
        <f t="shared" ca="1" si="7"/>
        <v>11</v>
      </c>
      <c r="F54" s="2">
        <f t="shared" ca="1" si="8"/>
        <v>150.58256215277652</v>
      </c>
      <c r="G54" s="110" t="s">
        <v>209</v>
      </c>
      <c r="H54" s="81" t="str">
        <f>IF(ISBLANK(G54), "", VLOOKUP(VLOOKUP(G54, NHLTeams!$B$2:$F$33, 4,FALSE), Conferences!$A$2:$B$3, 2,FALSE))</f>
        <v>Eastern</v>
      </c>
      <c r="I54" s="82" t="str">
        <f>IF(ISBLANK(G54), "", VLOOKUP(VLOOKUP(G54, NHLTeams!$B$2:$F$33, 5, FALSE), Divisions!$A$2:$B$5, 2, FALSE))</f>
        <v>Atlantic</v>
      </c>
      <c r="J54" t="s">
        <v>53</v>
      </c>
      <c r="K54" t="s">
        <v>437</v>
      </c>
      <c r="L54" t="s">
        <v>413</v>
      </c>
      <c r="M54">
        <v>91</v>
      </c>
      <c r="N54">
        <v>1</v>
      </c>
      <c r="O54">
        <v>0</v>
      </c>
      <c r="P54" t="s">
        <v>293</v>
      </c>
      <c r="Q54" t="s">
        <v>4</v>
      </c>
      <c r="R54" t="s">
        <v>10</v>
      </c>
      <c r="S54" t="s">
        <v>20</v>
      </c>
      <c r="U54" s="118">
        <v>56</v>
      </c>
      <c r="V54" t="s">
        <v>302</v>
      </c>
      <c r="W54" t="s">
        <v>303</v>
      </c>
      <c r="X54" t="s">
        <v>372</v>
      </c>
      <c r="Y54" s="109" t="s">
        <v>380</v>
      </c>
      <c r="AB54">
        <f t="shared" si="13"/>
        <v>30.585714285714285</v>
      </c>
      <c r="AC54">
        <f t="shared" si="14"/>
        <v>2.2842857142857143</v>
      </c>
      <c r="AD54">
        <v>93</v>
      </c>
      <c r="AE54" t="s">
        <v>458</v>
      </c>
      <c r="AF54">
        <f t="shared" si="11"/>
        <v>-9.0195000000000007</v>
      </c>
      <c r="AG54">
        <f t="shared" si="9"/>
        <v>-69.149500000000003</v>
      </c>
      <c r="AI54">
        <v>0</v>
      </c>
      <c r="AL54" s="1">
        <v>32911</v>
      </c>
      <c r="AN54" t="s">
        <v>260</v>
      </c>
      <c r="AR54" s="120">
        <f t="shared" ca="1" si="12"/>
        <v>12700.582562152777</v>
      </c>
      <c r="AS54" s="120">
        <f t="shared" si="10"/>
        <v>2003</v>
      </c>
      <c r="AT54">
        <v>0</v>
      </c>
      <c r="AV54">
        <v>8474564</v>
      </c>
    </row>
    <row r="55" spans="1:48" x14ac:dyDescent="0.25">
      <c r="A55">
        <v>53</v>
      </c>
      <c r="B55" s="1">
        <v>45450</v>
      </c>
      <c r="C55" s="1">
        <v>45456</v>
      </c>
      <c r="D55" s="1">
        <v>45564</v>
      </c>
      <c r="E55" s="2">
        <f t="shared" ca="1" si="7"/>
        <v>6</v>
      </c>
      <c r="F55" s="2">
        <f t="shared" ca="1" si="8"/>
        <v>155.58256215277652</v>
      </c>
      <c r="G55" s="16" t="s">
        <v>65</v>
      </c>
      <c r="H55" s="83" t="str">
        <f>IF(ISBLANK(G55), "", VLOOKUP(VLOOKUP(G55, NHLTeams!$B$2:$F$33, 4,FALSE), Conferences!$A$2:$B$3, 2,FALSE))</f>
        <v>Western</v>
      </c>
      <c r="I55" s="93" t="str">
        <f>IF(ISBLANK(G55), "", VLOOKUP(VLOOKUP(G55, NHLTeams!$B$2:$F$33, 5, FALSE), Divisions!$A$2:$B$5, 2, FALSE))</f>
        <v>Central</v>
      </c>
      <c r="J55" t="s">
        <v>53</v>
      </c>
      <c r="K55" t="s">
        <v>438</v>
      </c>
      <c r="L55" t="s">
        <v>9</v>
      </c>
      <c r="M55">
        <v>81</v>
      </c>
      <c r="N55">
        <v>0</v>
      </c>
      <c r="O55">
        <v>0</v>
      </c>
      <c r="P55" t="s">
        <v>75</v>
      </c>
      <c r="Q55" t="s">
        <v>262</v>
      </c>
      <c r="R55" t="s">
        <v>385</v>
      </c>
      <c r="S55" t="s">
        <v>3</v>
      </c>
      <c r="T55" t="s">
        <v>10</v>
      </c>
      <c r="U55" s="118">
        <v>56</v>
      </c>
      <c r="V55" t="s">
        <v>302</v>
      </c>
      <c r="W55" t="s">
        <v>303</v>
      </c>
      <c r="X55" t="s">
        <v>372</v>
      </c>
      <c r="Y55" s="109" t="s">
        <v>375</v>
      </c>
      <c r="AB55">
        <f t="shared" si="13"/>
        <v>30.585714285714285</v>
      </c>
      <c r="AC55">
        <f t="shared" si="14"/>
        <v>2.2842857142857143</v>
      </c>
      <c r="AE55" t="s">
        <v>458</v>
      </c>
      <c r="AF55">
        <f t="shared" si="11"/>
        <v>4.9304999999999994</v>
      </c>
      <c r="AG55">
        <f t="shared" si="9"/>
        <v>37.8005</v>
      </c>
      <c r="AI55">
        <v>0</v>
      </c>
      <c r="AL55" s="1">
        <v>35408</v>
      </c>
      <c r="AN55" t="s">
        <v>64</v>
      </c>
      <c r="AR55" s="120">
        <f t="shared" ca="1" si="12"/>
        <v>10203.582562152777</v>
      </c>
      <c r="AS55" s="120">
        <f t="shared" si="10"/>
        <v>-494</v>
      </c>
      <c r="AT55">
        <v>0</v>
      </c>
      <c r="AV55">
        <v>8478398</v>
      </c>
    </row>
    <row r="56" spans="1:48" x14ac:dyDescent="0.25">
      <c r="A56">
        <v>54</v>
      </c>
      <c r="B56" s="1">
        <v>45450</v>
      </c>
      <c r="C56" s="1">
        <v>45456</v>
      </c>
      <c r="D56" s="1">
        <v>45552</v>
      </c>
      <c r="E56" s="2">
        <f t="shared" ca="1" si="7"/>
        <v>6</v>
      </c>
      <c r="F56" s="2">
        <f t="shared" ca="1" si="8"/>
        <v>155.58256215277652</v>
      </c>
      <c r="G56" s="111" t="s">
        <v>136</v>
      </c>
      <c r="H56" s="83" t="str">
        <f>IF(ISBLANK(G56), "", VLOOKUP(VLOOKUP(G56, NHLTeams!$B$2:$F$33, 4,FALSE), Conferences!$A$2:$B$3, 2,FALSE))</f>
        <v>Western</v>
      </c>
      <c r="I56" s="93" t="str">
        <f>IF(ISBLANK(G56), "", VLOOKUP(VLOOKUP(G56, NHLTeams!$B$2:$F$33, 5, FALSE), Divisions!$A$2:$B$5, 2, FALSE))</f>
        <v>Central</v>
      </c>
      <c r="J56" t="s">
        <v>53</v>
      </c>
      <c r="K56" t="s">
        <v>439</v>
      </c>
      <c r="L56" t="s">
        <v>440</v>
      </c>
      <c r="M56">
        <v>91</v>
      </c>
      <c r="N56">
        <v>0</v>
      </c>
      <c r="O56">
        <v>0</v>
      </c>
      <c r="P56" t="s">
        <v>293</v>
      </c>
      <c r="Q56" t="s">
        <v>4</v>
      </c>
      <c r="R56" t="s">
        <v>270</v>
      </c>
      <c r="S56" t="s">
        <v>20</v>
      </c>
      <c r="T56" t="s">
        <v>443</v>
      </c>
      <c r="U56" s="118">
        <v>56</v>
      </c>
      <c r="V56" t="s">
        <v>302</v>
      </c>
      <c r="X56" t="s">
        <v>372</v>
      </c>
      <c r="Y56" s="109" t="s">
        <v>723</v>
      </c>
      <c r="AB56">
        <f t="shared" si="13"/>
        <v>30.585714285714285</v>
      </c>
      <c r="AC56">
        <f t="shared" si="14"/>
        <v>2.2842857142857143</v>
      </c>
      <c r="AE56" t="s">
        <v>458</v>
      </c>
      <c r="AF56">
        <f t="shared" si="11"/>
        <v>4.9304999999999994</v>
      </c>
      <c r="AG56">
        <f t="shared" si="9"/>
        <v>37.8005</v>
      </c>
      <c r="AI56">
        <v>0</v>
      </c>
      <c r="AL56" s="1">
        <v>33634</v>
      </c>
      <c r="AN56" t="s">
        <v>290</v>
      </c>
      <c r="AR56" s="120">
        <f t="shared" ca="1" si="12"/>
        <v>11977.582562152777</v>
      </c>
      <c r="AS56" s="120">
        <f t="shared" si="10"/>
        <v>1280</v>
      </c>
      <c r="AT56">
        <v>0</v>
      </c>
      <c r="AV56">
        <v>8475794</v>
      </c>
    </row>
    <row r="57" spans="1:48" x14ac:dyDescent="0.25">
      <c r="A57">
        <v>55</v>
      </c>
      <c r="B57" s="1">
        <v>45450</v>
      </c>
      <c r="C57" s="1">
        <v>45456</v>
      </c>
      <c r="D57" s="1">
        <v>45552</v>
      </c>
      <c r="E57" s="2">
        <f t="shared" ca="1" si="7"/>
        <v>6</v>
      </c>
      <c r="F57" s="2">
        <f t="shared" ca="1" si="8"/>
        <v>155.58256215277652</v>
      </c>
      <c r="G57" s="94" t="s">
        <v>216</v>
      </c>
      <c r="H57" s="83" t="str">
        <f>IF(ISBLANK(G57), "", VLOOKUP(VLOOKUP(G57, NHLTeams!$B$2:$F$33, 4,FALSE), Conferences!$A$2:$B$3, 2,FALSE))</f>
        <v>Western</v>
      </c>
      <c r="I57" s="84" t="str">
        <f>IF(ISBLANK(G57), "", VLOOKUP(VLOOKUP(G57, NHLTeams!$B$2:$F$33, 5, FALSE), Divisions!$A$2:$B$5, 2, FALSE))</f>
        <v>Pacific</v>
      </c>
      <c r="J57" t="s">
        <v>53</v>
      </c>
      <c r="K57" t="s">
        <v>441</v>
      </c>
      <c r="L57" t="s">
        <v>745</v>
      </c>
      <c r="M57">
        <v>40</v>
      </c>
      <c r="N57">
        <v>0</v>
      </c>
      <c r="O57">
        <v>0</v>
      </c>
      <c r="P57" t="s">
        <v>309</v>
      </c>
      <c r="Q57" t="s">
        <v>285</v>
      </c>
      <c r="R57" t="s">
        <v>20</v>
      </c>
      <c r="S57" t="s">
        <v>10</v>
      </c>
      <c r="T57" t="s">
        <v>270</v>
      </c>
      <c r="U57" s="118">
        <v>56</v>
      </c>
      <c r="V57" t="s">
        <v>302</v>
      </c>
      <c r="W57" t="s">
        <v>303</v>
      </c>
      <c r="X57" t="s">
        <v>372</v>
      </c>
      <c r="Y57" s="109" t="s">
        <v>721</v>
      </c>
      <c r="AB57">
        <f t="shared" si="13"/>
        <v>30.585714285714285</v>
      </c>
      <c r="AC57">
        <f t="shared" si="14"/>
        <v>2.2842857142857143</v>
      </c>
      <c r="AE57" t="s">
        <v>458</v>
      </c>
      <c r="AF57">
        <f t="shared" si="11"/>
        <v>4.9304999999999994</v>
      </c>
      <c r="AG57">
        <f t="shared" si="9"/>
        <v>37.8005</v>
      </c>
      <c r="AI57">
        <v>0</v>
      </c>
      <c r="AL57" s="1">
        <v>36111</v>
      </c>
      <c r="AN57" t="s">
        <v>412</v>
      </c>
      <c r="AR57" s="120">
        <f t="shared" ca="1" si="12"/>
        <v>9500.5825621527765</v>
      </c>
      <c r="AS57" s="120">
        <f t="shared" si="10"/>
        <v>-1197</v>
      </c>
      <c r="AT57">
        <v>0</v>
      </c>
      <c r="AV57">
        <v>8480012</v>
      </c>
    </row>
    <row r="58" spans="1:48" x14ac:dyDescent="0.25">
      <c r="A58">
        <v>56</v>
      </c>
      <c r="B58" s="1">
        <v>45452</v>
      </c>
      <c r="C58" s="1">
        <v>45457</v>
      </c>
      <c r="D58" s="1">
        <v>45513</v>
      </c>
      <c r="E58" s="2">
        <f t="shared" ca="1" si="7"/>
        <v>5</v>
      </c>
      <c r="F58" s="2">
        <f t="shared" ca="1" si="8"/>
        <v>154.58256215277652</v>
      </c>
      <c r="G58" s="19" t="s">
        <v>5</v>
      </c>
      <c r="H58" s="83" t="str">
        <f>IF(ISBLANK(G58), "", VLOOKUP(VLOOKUP(G58, NHLTeams!$B$2:$F$33, 4,FALSE), Conferences!$A$2:$B$3, 2,FALSE))</f>
        <v>Western</v>
      </c>
      <c r="I58" s="84" t="str">
        <f>IF(ISBLANK(G58), "", VLOOKUP(VLOOKUP(G58, NHLTeams!$B$2:$F$33, 5, FALSE), Divisions!$A$2:$B$5, 2, FALSE))</f>
        <v>Pacific</v>
      </c>
      <c r="J58" t="s">
        <v>53</v>
      </c>
      <c r="K58" t="s">
        <v>442</v>
      </c>
      <c r="L58" t="s">
        <v>436</v>
      </c>
      <c r="M58">
        <v>13</v>
      </c>
      <c r="N58">
        <v>0</v>
      </c>
      <c r="O58">
        <v>0</v>
      </c>
      <c r="P58" t="s">
        <v>75</v>
      </c>
      <c r="Q58" t="s">
        <v>483</v>
      </c>
      <c r="R58" t="s">
        <v>73</v>
      </c>
      <c r="S58" t="s">
        <v>3</v>
      </c>
      <c r="T58" t="s">
        <v>286</v>
      </c>
      <c r="U58" s="118">
        <v>56</v>
      </c>
      <c r="V58" t="s">
        <v>302</v>
      </c>
      <c r="W58" t="s">
        <v>303</v>
      </c>
      <c r="X58" t="s">
        <v>444</v>
      </c>
      <c r="Y58" s="109" t="s">
        <v>738</v>
      </c>
      <c r="AA58">
        <v>49.99</v>
      </c>
      <c r="AB58">
        <v>1</v>
      </c>
      <c r="AC58">
        <v>0</v>
      </c>
      <c r="AE58" t="s">
        <v>459</v>
      </c>
      <c r="AF58">
        <f t="shared" si="11"/>
        <v>7.6485000000000003</v>
      </c>
      <c r="AG58">
        <f t="shared" si="9"/>
        <v>58.638500000000001</v>
      </c>
      <c r="AI58">
        <v>0</v>
      </c>
      <c r="AL58" s="1">
        <v>34194</v>
      </c>
      <c r="AN58" t="s">
        <v>60</v>
      </c>
      <c r="AR58" s="120">
        <f t="shared" ca="1" si="12"/>
        <v>11417.582562152777</v>
      </c>
      <c r="AS58" s="120">
        <f t="shared" si="10"/>
        <v>720</v>
      </c>
      <c r="AT58">
        <v>0</v>
      </c>
      <c r="AV58">
        <v>8476346</v>
      </c>
    </row>
    <row r="59" spans="1:48" x14ac:dyDescent="0.25">
      <c r="A59">
        <v>57</v>
      </c>
      <c r="B59" s="1">
        <v>45452</v>
      </c>
      <c r="C59" s="1">
        <v>45457</v>
      </c>
      <c r="D59" s="1">
        <v>45558</v>
      </c>
      <c r="E59" s="2">
        <f t="shared" ca="1" si="7"/>
        <v>5</v>
      </c>
      <c r="F59" s="2">
        <f t="shared" ca="1" si="8"/>
        <v>154.58256215277652</v>
      </c>
      <c r="G59" s="19" t="s">
        <v>5</v>
      </c>
      <c r="H59" s="83" t="str">
        <f>IF(ISBLANK(G59), "", VLOOKUP(VLOOKUP(G59, NHLTeams!$B$2:$F$33, 4,FALSE), Conferences!$A$2:$B$3, 2,FALSE))</f>
        <v>Western</v>
      </c>
      <c r="I59" s="84" t="str">
        <f>IF(ISBLANK(G59), "", VLOOKUP(VLOOKUP(G59, NHLTeams!$B$2:$F$33, 5, FALSE), Divisions!$A$2:$B$5, 2, FALSE))</f>
        <v>Pacific</v>
      </c>
      <c r="J59" t="s">
        <v>53</v>
      </c>
      <c r="K59" t="s">
        <v>1</v>
      </c>
      <c r="L59" t="s">
        <v>2</v>
      </c>
      <c r="M59">
        <v>19</v>
      </c>
      <c r="N59">
        <v>0</v>
      </c>
      <c r="O59">
        <v>0</v>
      </c>
      <c r="P59" t="s">
        <v>75</v>
      </c>
      <c r="Q59" t="s">
        <v>4</v>
      </c>
      <c r="R59" t="s">
        <v>3</v>
      </c>
      <c r="S59" t="s">
        <v>286</v>
      </c>
      <c r="T59" t="s">
        <v>20</v>
      </c>
      <c r="U59" s="118">
        <v>56</v>
      </c>
      <c r="V59" t="s">
        <v>302</v>
      </c>
      <c r="X59" t="s">
        <v>444</v>
      </c>
      <c r="Y59" s="109" t="s">
        <v>788</v>
      </c>
      <c r="AA59">
        <v>49.99</v>
      </c>
      <c r="AB59">
        <v>1</v>
      </c>
      <c r="AC59">
        <v>0</v>
      </c>
      <c r="AE59" t="s">
        <v>459</v>
      </c>
      <c r="AF59">
        <f t="shared" si="11"/>
        <v>7.6485000000000003</v>
      </c>
      <c r="AG59">
        <f t="shared" si="9"/>
        <v>58.638500000000001</v>
      </c>
      <c r="AI59">
        <v>0</v>
      </c>
      <c r="AL59" s="1">
        <v>35775</v>
      </c>
      <c r="AN59" t="s">
        <v>64</v>
      </c>
      <c r="AR59" s="120">
        <f t="shared" ca="1" si="12"/>
        <v>9836.5825621527765</v>
      </c>
      <c r="AS59" s="120">
        <f t="shared" si="10"/>
        <v>-861</v>
      </c>
      <c r="AT59">
        <v>0</v>
      </c>
      <c r="AV59">
        <v>8479314</v>
      </c>
    </row>
    <row r="60" spans="1:48" x14ac:dyDescent="0.25">
      <c r="A60">
        <v>58</v>
      </c>
      <c r="B60" s="1">
        <v>45470</v>
      </c>
      <c r="C60" s="1">
        <v>45485</v>
      </c>
      <c r="D60" s="1">
        <v>45538</v>
      </c>
      <c r="E60" s="2">
        <f t="shared" ca="1" si="7"/>
        <v>15</v>
      </c>
      <c r="F60" s="2">
        <f t="shared" ca="1" si="8"/>
        <v>126.58256215277652</v>
      </c>
      <c r="G60" s="98" t="s">
        <v>88</v>
      </c>
      <c r="H60" s="83" t="str">
        <f>IF(ISBLANK(G60), "", VLOOKUP(VLOOKUP(G60, NHLTeams!$B$2:$F$33, 4,FALSE), Conferences!$A$2:$B$3, 2,FALSE))</f>
        <v>Western</v>
      </c>
      <c r="I60" s="84" t="str">
        <f>IF(ISBLANK(G60), "", VLOOKUP(VLOOKUP(G60, NHLTeams!$B$2:$F$33, 5, FALSE), Divisions!$A$2:$B$5, 2, FALSE))</f>
        <v>Pacific</v>
      </c>
      <c r="J60" t="s">
        <v>53</v>
      </c>
      <c r="K60" t="s">
        <v>448</v>
      </c>
      <c r="L60" t="s">
        <v>449</v>
      </c>
      <c r="M60">
        <v>14</v>
      </c>
      <c r="N60">
        <v>0</v>
      </c>
      <c r="O60">
        <v>0</v>
      </c>
      <c r="P60" t="s">
        <v>293</v>
      </c>
      <c r="Q60" t="s">
        <v>4</v>
      </c>
      <c r="R60" t="s">
        <v>21</v>
      </c>
      <c r="U60" s="118">
        <v>56</v>
      </c>
      <c r="V60" t="s">
        <v>302</v>
      </c>
      <c r="W60" t="s">
        <v>753</v>
      </c>
      <c r="Y60" s="109" t="s">
        <v>787</v>
      </c>
      <c r="AD60">
        <v>0</v>
      </c>
      <c r="AF60">
        <f t="shared" si="11"/>
        <v>0</v>
      </c>
      <c r="AG60">
        <f t="shared" si="9"/>
        <v>0</v>
      </c>
      <c r="AL60" s="1">
        <v>32910</v>
      </c>
      <c r="AN60" t="s">
        <v>290</v>
      </c>
      <c r="AR60" s="120">
        <f t="shared" ca="1" si="12"/>
        <v>12701.582562152777</v>
      </c>
      <c r="AS60" s="120">
        <f t="shared" si="10"/>
        <v>2004</v>
      </c>
      <c r="AT60">
        <v>0</v>
      </c>
      <c r="AV60">
        <v>8474641</v>
      </c>
    </row>
    <row r="61" spans="1:48" x14ac:dyDescent="0.25">
      <c r="A61">
        <v>59</v>
      </c>
      <c r="B61" s="1">
        <v>45470</v>
      </c>
      <c r="C61" s="1">
        <v>45476</v>
      </c>
      <c r="D61" s="1">
        <v>45538</v>
      </c>
      <c r="E61" s="2">
        <f t="shared" ca="1" si="7"/>
        <v>6</v>
      </c>
      <c r="F61" s="2">
        <f t="shared" ca="1" si="8"/>
        <v>135.58256215277652</v>
      </c>
      <c r="G61" s="18" t="s">
        <v>67</v>
      </c>
      <c r="H61" s="81" t="str">
        <f>IF(ISBLANK(G61), "", VLOOKUP(VLOOKUP(G61, NHLTeams!$B$2:$F$33, 4,FALSE), Conferences!$A$2:$B$3, 2,FALSE))</f>
        <v>Eastern</v>
      </c>
      <c r="I61" s="82" t="str">
        <f>IF(ISBLANK(G61), "", VLOOKUP(VLOOKUP(G61, NHLTeams!$B$2:$F$33, 5, FALSE), Divisions!$A$2:$B$5, 2, FALSE))</f>
        <v>Atlantic</v>
      </c>
      <c r="J61" t="s">
        <v>53</v>
      </c>
      <c r="K61" t="s">
        <v>450</v>
      </c>
      <c r="L61" t="s">
        <v>451</v>
      </c>
      <c r="M61">
        <v>16</v>
      </c>
      <c r="N61">
        <v>0</v>
      </c>
      <c r="O61">
        <v>0</v>
      </c>
      <c r="P61" t="s">
        <v>293</v>
      </c>
      <c r="Q61" t="s">
        <v>262</v>
      </c>
      <c r="U61" s="118">
        <v>56</v>
      </c>
      <c r="V61" t="s">
        <v>302</v>
      </c>
      <c r="W61" t="s">
        <v>303</v>
      </c>
      <c r="Y61" s="109" t="s">
        <v>371</v>
      </c>
      <c r="AA61">
        <v>250.65</v>
      </c>
      <c r="AB61">
        <v>28.2</v>
      </c>
      <c r="AC61">
        <v>0</v>
      </c>
      <c r="AD61">
        <v>62.66</v>
      </c>
      <c r="AE61" t="s">
        <v>458</v>
      </c>
      <c r="AF61">
        <f t="shared" si="11"/>
        <v>32.4285</v>
      </c>
      <c r="AG61">
        <f t="shared" si="9"/>
        <v>248.61850000000004</v>
      </c>
      <c r="AH61">
        <v>216.19</v>
      </c>
      <c r="AI61">
        <v>0</v>
      </c>
      <c r="AJ61">
        <v>0</v>
      </c>
      <c r="AL61" s="1">
        <v>35555</v>
      </c>
      <c r="AN61" t="s">
        <v>64</v>
      </c>
      <c r="AR61" s="120">
        <f t="shared" ca="1" si="12"/>
        <v>10056.582562152777</v>
      </c>
      <c r="AS61" s="120">
        <f t="shared" si="10"/>
        <v>-641</v>
      </c>
      <c r="AT61">
        <v>0</v>
      </c>
      <c r="AV61">
        <v>8478483</v>
      </c>
    </row>
    <row r="62" spans="1:48" x14ac:dyDescent="0.25">
      <c r="A62">
        <v>60</v>
      </c>
      <c r="B62" s="1">
        <v>45470</v>
      </c>
      <c r="C62" s="1">
        <v>45485</v>
      </c>
      <c r="D62" s="1">
        <v>45558</v>
      </c>
      <c r="E62" s="2">
        <f t="shared" ca="1" si="7"/>
        <v>15</v>
      </c>
      <c r="F62" s="2">
        <f t="shared" ca="1" si="8"/>
        <v>126.58256215277652</v>
      </c>
      <c r="G62" s="114" t="s">
        <v>165</v>
      </c>
      <c r="H62" s="81" t="str">
        <f>IF(ISBLANK(G62), "", VLOOKUP(VLOOKUP(G62, NHLTeams!$B$2:$F$33, 4,FALSE), Conferences!$A$2:$B$3, 2,FALSE))</f>
        <v>Eastern</v>
      </c>
      <c r="I62" s="85" t="str">
        <f>IF(ISBLANK(G62), "", VLOOKUP(VLOOKUP(G62, NHLTeams!$B$2:$F$33, 5, FALSE), Divisions!$A$2:$B$5, 2, FALSE))</f>
        <v>Metropolitan</v>
      </c>
      <c r="J62" t="s">
        <v>53</v>
      </c>
      <c r="K62" t="s">
        <v>452</v>
      </c>
      <c r="L62" t="s">
        <v>453</v>
      </c>
      <c r="M62">
        <v>13</v>
      </c>
      <c r="N62">
        <v>0</v>
      </c>
      <c r="O62">
        <v>0</v>
      </c>
      <c r="P62" t="s">
        <v>457</v>
      </c>
      <c r="Q62" t="s">
        <v>285</v>
      </c>
      <c r="U62" s="118">
        <v>56</v>
      </c>
      <c r="V62" t="s">
        <v>302</v>
      </c>
      <c r="Y62" s="109" t="s">
        <v>389</v>
      </c>
      <c r="AE62" t="s">
        <v>460</v>
      </c>
      <c r="AF62">
        <f t="shared" si="11"/>
        <v>0</v>
      </c>
      <c r="AG62">
        <f t="shared" si="9"/>
        <v>0</v>
      </c>
      <c r="AL62" s="1">
        <v>36164</v>
      </c>
      <c r="AN62" t="s">
        <v>322</v>
      </c>
      <c r="AR62" s="120">
        <f t="shared" ca="1" si="12"/>
        <v>9447.5825621527765</v>
      </c>
      <c r="AS62" s="120">
        <f t="shared" si="10"/>
        <v>-1250</v>
      </c>
      <c r="AT62">
        <v>0</v>
      </c>
      <c r="AV62">
        <v>8480002</v>
      </c>
    </row>
    <row r="63" spans="1:48" x14ac:dyDescent="0.25">
      <c r="A63">
        <v>61</v>
      </c>
      <c r="B63" s="1">
        <v>45471</v>
      </c>
      <c r="C63" s="1">
        <v>45482</v>
      </c>
      <c r="D63" s="1">
        <v>45558</v>
      </c>
      <c r="E63" s="2">
        <f t="shared" ca="1" si="7"/>
        <v>11</v>
      </c>
      <c r="F63" s="2">
        <f t="shared" ca="1" si="8"/>
        <v>129.58256215277652</v>
      </c>
      <c r="G63" s="20" t="s">
        <v>24</v>
      </c>
      <c r="H63" s="81" t="str">
        <f>IF(ISBLANK(G63), "", VLOOKUP(VLOOKUP(G63, NHLTeams!$B$2:$F$33, 4,FALSE), Conferences!$A$2:$B$3, 2,FALSE))</f>
        <v>Eastern</v>
      </c>
      <c r="I63" s="85" t="str">
        <f>IF(ISBLANK(G63), "", VLOOKUP(VLOOKUP(G63, NHLTeams!$B$2:$F$33, 5, FALSE), Divisions!$A$2:$B$5, 2, FALSE))</f>
        <v>Metropolitan</v>
      </c>
      <c r="J63" t="s">
        <v>53</v>
      </c>
      <c r="K63" t="s">
        <v>455</v>
      </c>
      <c r="L63" t="s">
        <v>456</v>
      </c>
      <c r="M63">
        <v>77</v>
      </c>
      <c r="N63">
        <v>0</v>
      </c>
      <c r="O63">
        <v>0</v>
      </c>
      <c r="P63" t="s">
        <v>75</v>
      </c>
      <c r="Q63" t="s">
        <v>262</v>
      </c>
      <c r="U63" s="118">
        <v>56</v>
      </c>
      <c r="V63" t="s">
        <v>302</v>
      </c>
      <c r="W63" t="s">
        <v>303</v>
      </c>
      <c r="Y63" s="109" t="s">
        <v>380</v>
      </c>
      <c r="AA63">
        <v>330.149</v>
      </c>
      <c r="AB63">
        <v>41.85</v>
      </c>
      <c r="AC63">
        <v>0</v>
      </c>
      <c r="AD63">
        <v>93</v>
      </c>
      <c r="AE63" t="s">
        <v>458</v>
      </c>
      <c r="AF63">
        <f t="shared" si="11"/>
        <v>41.849850000000004</v>
      </c>
      <c r="AG63">
        <f t="shared" si="9"/>
        <v>320.84885000000003</v>
      </c>
      <c r="AH63">
        <v>320.83999999999997</v>
      </c>
      <c r="AI63">
        <v>0</v>
      </c>
      <c r="AJ63">
        <v>0</v>
      </c>
      <c r="AL63" s="1">
        <v>31769</v>
      </c>
      <c r="AN63" t="s">
        <v>260</v>
      </c>
      <c r="AR63" s="120">
        <f t="shared" ca="1" si="12"/>
        <v>13842.582562152777</v>
      </c>
      <c r="AS63" s="120">
        <f t="shared" si="10"/>
        <v>3145</v>
      </c>
      <c r="AT63">
        <v>0</v>
      </c>
      <c r="AV63">
        <v>8471698</v>
      </c>
    </row>
    <row r="64" spans="1:48" x14ac:dyDescent="0.25">
      <c r="A64">
        <v>62</v>
      </c>
      <c r="B64" s="1">
        <v>45482</v>
      </c>
      <c r="C64" s="1">
        <v>45492</v>
      </c>
      <c r="D64" s="1">
        <v>45550</v>
      </c>
      <c r="E64" s="2">
        <f t="shared" ca="1" si="7"/>
        <v>10</v>
      </c>
      <c r="F64" s="2">
        <f t="shared" ca="1" si="8"/>
        <v>119.58256215277652</v>
      </c>
      <c r="G64" s="14" t="s">
        <v>25</v>
      </c>
      <c r="H64" s="81" t="str">
        <f>IF(ISBLANK(G64), "", VLOOKUP(VLOOKUP(G64, NHLTeams!$B$2:$F$33, 4,FALSE), Conferences!$A$2:$B$3, 2,FALSE))</f>
        <v>Eastern</v>
      </c>
      <c r="I64" s="82" t="str">
        <f>IF(ISBLANK(G64), "", VLOOKUP(VLOOKUP(G64, NHLTeams!$B$2:$F$33, 5, FALSE), Divisions!$A$2:$B$5, 2, FALSE))</f>
        <v>Atlantic</v>
      </c>
      <c r="J64" t="s">
        <v>53</v>
      </c>
      <c r="K64" t="s">
        <v>7</v>
      </c>
      <c r="L64" t="s">
        <v>472</v>
      </c>
      <c r="M64">
        <v>92</v>
      </c>
      <c r="N64">
        <v>0</v>
      </c>
      <c r="O64">
        <v>0</v>
      </c>
      <c r="P64" t="s">
        <v>293</v>
      </c>
      <c r="Q64" t="s">
        <v>285</v>
      </c>
      <c r="U64" s="118">
        <v>56</v>
      </c>
      <c r="V64" t="s">
        <v>302</v>
      </c>
      <c r="Y64" s="109" t="s">
        <v>739</v>
      </c>
      <c r="AF64">
        <f t="shared" si="11"/>
        <v>0</v>
      </c>
      <c r="AG64">
        <f t="shared" si="9"/>
        <v>0</v>
      </c>
      <c r="AL64" s="1">
        <v>34786</v>
      </c>
      <c r="AN64" t="s">
        <v>269</v>
      </c>
      <c r="AR64" s="120">
        <f t="shared" ca="1" si="12"/>
        <v>10825.582562152777</v>
      </c>
      <c r="AS64" s="120">
        <f t="shared" si="10"/>
        <v>128</v>
      </c>
      <c r="AT64">
        <v>0</v>
      </c>
      <c r="AV64">
        <v>8477494</v>
      </c>
    </row>
    <row r="65" spans="1:48" x14ac:dyDescent="0.25">
      <c r="A65">
        <v>63</v>
      </c>
      <c r="B65" s="1">
        <v>45483</v>
      </c>
      <c r="C65" s="1">
        <v>45489</v>
      </c>
      <c r="D65" s="1">
        <v>45558</v>
      </c>
      <c r="E65" s="2">
        <f t="shared" ca="1" si="7"/>
        <v>6</v>
      </c>
      <c r="F65" s="2">
        <f t="shared" ca="1" si="8"/>
        <v>122.58256215277652</v>
      </c>
      <c r="G65" s="13" t="s">
        <v>6</v>
      </c>
      <c r="H65" s="83" t="str">
        <f>IF(ISBLANK(G65), "", VLOOKUP(VLOOKUP(G65, NHLTeams!$B$2:$F$33, 4,FALSE), Conferences!$A$2:$B$3, 2,FALSE))</f>
        <v>Western</v>
      </c>
      <c r="I65" s="84" t="str">
        <f>IF(ISBLANK(G65), "", VLOOKUP(VLOOKUP(G65, NHLTeams!$B$2:$F$33, 5, FALSE), Divisions!$A$2:$B$5, 2, FALSE))</f>
        <v>Pacific</v>
      </c>
      <c r="J65" t="s">
        <v>53</v>
      </c>
      <c r="K65" t="s">
        <v>9</v>
      </c>
      <c r="L65" t="s">
        <v>454</v>
      </c>
      <c r="M65">
        <v>97</v>
      </c>
      <c r="N65">
        <v>1</v>
      </c>
      <c r="O65">
        <v>0</v>
      </c>
      <c r="P65" t="s">
        <v>293</v>
      </c>
      <c r="Q65" t="s">
        <v>285</v>
      </c>
      <c r="U65" s="118">
        <v>56</v>
      </c>
      <c r="V65" t="s">
        <v>302</v>
      </c>
      <c r="W65" t="s">
        <v>303</v>
      </c>
      <c r="Y65" s="109" t="s">
        <v>731</v>
      </c>
      <c r="AA65">
        <v>249.99</v>
      </c>
      <c r="AF65">
        <f t="shared" si="11"/>
        <v>37.4985</v>
      </c>
      <c r="AG65">
        <f t="shared" si="9"/>
        <v>287.48849999999999</v>
      </c>
      <c r="AL65" s="1">
        <v>35443</v>
      </c>
      <c r="AN65" t="s">
        <v>59</v>
      </c>
      <c r="AR65" s="120">
        <f t="shared" ca="1" si="12"/>
        <v>10168.582562152777</v>
      </c>
      <c r="AS65" s="120">
        <f t="shared" si="10"/>
        <v>-529</v>
      </c>
      <c r="AT65">
        <v>0</v>
      </c>
      <c r="AV65">
        <v>8478402</v>
      </c>
    </row>
    <row r="66" spans="1:48" x14ac:dyDescent="0.25">
      <c r="A66">
        <v>64</v>
      </c>
      <c r="B66" s="1">
        <v>45495</v>
      </c>
      <c r="C66" s="1">
        <v>45513</v>
      </c>
      <c r="D66" s="1">
        <v>45513</v>
      </c>
      <c r="E66" s="2">
        <f t="shared" ref="E66:E101" ca="1" si="15">IF(ISBLANK(C66), (NOW()-B66), (C66-B66))</f>
        <v>18</v>
      </c>
      <c r="F66" s="2">
        <f t="shared" ref="F66:F101" ca="1" si="16">IF(ISBLANK(C66), 0, NOW()-C66)</f>
        <v>98.582562152776518</v>
      </c>
      <c r="G66" s="17" t="s">
        <v>66</v>
      </c>
      <c r="H66" s="81" t="str">
        <f>IF(ISBLANK(G66), "", VLOOKUP(VLOOKUP(G66, NHLTeams!$B$2:$F$33, 4,FALSE), Conferences!$A$2:$B$3, 2,FALSE))</f>
        <v>Eastern</v>
      </c>
      <c r="I66" s="85" t="str">
        <f>IF(ISBLANK(G66), "", VLOOKUP(VLOOKUP(G66, NHLTeams!$B$2:$F$33, 5, FALSE), Divisions!$A$2:$B$5, 2, FALSE))</f>
        <v>Metropolitan</v>
      </c>
      <c r="J66" t="s">
        <v>53</v>
      </c>
      <c r="K66" t="s">
        <v>473</v>
      </c>
      <c r="L66" t="s">
        <v>416</v>
      </c>
      <c r="M66">
        <v>71</v>
      </c>
      <c r="N66">
        <v>0</v>
      </c>
      <c r="O66">
        <v>0</v>
      </c>
      <c r="P66" t="s">
        <v>297</v>
      </c>
      <c r="Q66" t="s">
        <v>285</v>
      </c>
      <c r="U66" s="118">
        <v>56</v>
      </c>
      <c r="V66" t="s">
        <v>302</v>
      </c>
      <c r="Y66" s="109" t="s">
        <v>739</v>
      </c>
      <c r="AF66">
        <f t="shared" si="11"/>
        <v>0</v>
      </c>
      <c r="AG66">
        <f t="shared" ref="AG66:AG94" si="17">(SUM(AA66:AC66)-AD66)+AF66</f>
        <v>0</v>
      </c>
      <c r="AL66" s="1">
        <v>31624</v>
      </c>
      <c r="AN66" t="s">
        <v>291</v>
      </c>
      <c r="AR66" s="120">
        <f t="shared" ca="1" si="12"/>
        <v>13987.582562152777</v>
      </c>
      <c r="AS66" s="120">
        <f t="shared" ref="AS66:AS92" si="18">IF(ISBLANK($AL66), 0, DATE(YEAR("1995-08-3"),MONTH("1995-08-3"), DAY("1995-08-3")) - DATE(YEAR($AL66),MONTH($AL66), DAY($AL66)))</f>
        <v>3290</v>
      </c>
      <c r="AT66">
        <v>0</v>
      </c>
      <c r="AV66">
        <v>8471215</v>
      </c>
    </row>
    <row r="67" spans="1:48" x14ac:dyDescent="0.25">
      <c r="A67">
        <v>65</v>
      </c>
      <c r="B67" s="1">
        <v>45496</v>
      </c>
      <c r="C67" s="1">
        <v>45513</v>
      </c>
      <c r="D67" s="1">
        <v>45513</v>
      </c>
      <c r="E67" s="2">
        <f t="shared" ca="1" si="15"/>
        <v>17</v>
      </c>
      <c r="F67" s="2">
        <f t="shared" ca="1" si="16"/>
        <v>98.582562152776518</v>
      </c>
      <c r="G67" s="108" t="s">
        <v>200</v>
      </c>
      <c r="H67" s="83" t="str">
        <f>IF(ISBLANK(G67), "", VLOOKUP(VLOOKUP(G67, NHLTeams!$B$2:$F$33, 4,FALSE), Conferences!$A$2:$B$3, 2,FALSE))</f>
        <v>Western</v>
      </c>
      <c r="I67" s="84" t="str">
        <f>IF(ISBLANK(G67), "", VLOOKUP(VLOOKUP(G67, NHLTeams!$B$2:$F$33, 5, FALSE), Divisions!$A$2:$B$5, 2, FALSE))</f>
        <v>Pacific</v>
      </c>
      <c r="J67" t="s">
        <v>53</v>
      </c>
      <c r="K67" t="s">
        <v>474</v>
      </c>
      <c r="L67" t="s">
        <v>475</v>
      </c>
      <c r="M67">
        <v>19</v>
      </c>
      <c r="N67">
        <v>0</v>
      </c>
      <c r="O67">
        <v>1</v>
      </c>
      <c r="P67" t="s">
        <v>293</v>
      </c>
      <c r="Q67" t="s">
        <v>4</v>
      </c>
      <c r="U67" s="118">
        <v>56</v>
      </c>
      <c r="V67" t="s">
        <v>485</v>
      </c>
      <c r="Y67" s="109" t="s">
        <v>786</v>
      </c>
      <c r="AF67">
        <f t="shared" ref="AF67:AF94" si="19">(SUM(AA67:AC67)-AD67)*0.15</f>
        <v>0</v>
      </c>
      <c r="AG67">
        <f t="shared" si="17"/>
        <v>0</v>
      </c>
      <c r="AL67" s="1">
        <v>29038</v>
      </c>
      <c r="AN67" t="s">
        <v>476</v>
      </c>
      <c r="AR67" s="120">
        <f t="shared" ca="1" si="12"/>
        <v>16573.582562152777</v>
      </c>
      <c r="AS67" s="120">
        <f t="shared" si="18"/>
        <v>5876</v>
      </c>
      <c r="AT67">
        <v>0</v>
      </c>
      <c r="AV67">
        <v>8466138</v>
      </c>
    </row>
    <row r="68" spans="1:48" x14ac:dyDescent="0.25">
      <c r="A68">
        <v>66</v>
      </c>
      <c r="B68" s="1">
        <v>45502</v>
      </c>
      <c r="C68" s="1">
        <v>45517</v>
      </c>
      <c r="D68" s="1">
        <v>45550</v>
      </c>
      <c r="E68" s="2">
        <f t="shared" ca="1" si="15"/>
        <v>15</v>
      </c>
      <c r="F68" s="2">
        <f t="shared" ca="1" si="16"/>
        <v>94.582562152776518</v>
      </c>
      <c r="G68" s="17" t="s">
        <v>66</v>
      </c>
      <c r="H68" s="81" t="str">
        <f>IF(ISBLANK(G68), "", VLOOKUP(VLOOKUP(G68, NHLTeams!$B$2:$F$33, 4,FALSE), Conferences!$A$2:$B$3, 2,FALSE))</f>
        <v>Eastern</v>
      </c>
      <c r="I68" s="85" t="str">
        <f>IF(ISBLANK(G68), "", VLOOKUP(VLOOKUP(G68, NHLTeams!$B$2:$F$33, 5, FALSE), Divisions!$A$2:$B$5, 2, FALSE))</f>
        <v>Metropolitan</v>
      </c>
      <c r="J68" t="s">
        <v>273</v>
      </c>
      <c r="K68" t="s">
        <v>428</v>
      </c>
      <c r="L68" t="s">
        <v>429</v>
      </c>
      <c r="M68">
        <v>58</v>
      </c>
      <c r="P68" t="s">
        <v>293</v>
      </c>
      <c r="Q68" t="s">
        <v>484</v>
      </c>
      <c r="U68" s="118">
        <v>54</v>
      </c>
      <c r="V68" t="s">
        <v>485</v>
      </c>
      <c r="Y68" s="109" t="s">
        <v>786</v>
      </c>
      <c r="AF68">
        <f t="shared" si="19"/>
        <v>0</v>
      </c>
      <c r="AG68">
        <f t="shared" si="17"/>
        <v>0</v>
      </c>
      <c r="AL68" s="1">
        <v>31891</v>
      </c>
      <c r="AN68" t="s">
        <v>291</v>
      </c>
      <c r="AR68" s="120">
        <f t="shared" ca="1" si="12"/>
        <v>13720.582562152777</v>
      </c>
      <c r="AS68" s="120">
        <f t="shared" si="18"/>
        <v>3023</v>
      </c>
      <c r="AT68">
        <v>0</v>
      </c>
      <c r="AV68">
        <v>8471724</v>
      </c>
    </row>
    <row r="69" spans="1:48" x14ac:dyDescent="0.25">
      <c r="A69">
        <v>67</v>
      </c>
      <c r="B69" s="1">
        <v>45504</v>
      </c>
      <c r="C69" s="1">
        <v>45511</v>
      </c>
      <c r="D69" s="1">
        <v>45538</v>
      </c>
      <c r="E69" s="2">
        <f t="shared" ca="1" si="15"/>
        <v>7</v>
      </c>
      <c r="F69" s="2">
        <f t="shared" ca="1" si="16"/>
        <v>100.58256215277652</v>
      </c>
      <c r="G69" s="13" t="s">
        <v>6</v>
      </c>
      <c r="H69" s="83" t="str">
        <f>IF(ISBLANK(G69), "", VLOOKUP(VLOOKUP(G69, NHLTeams!$B$2:$F$33, 4,FALSE), Conferences!$A$2:$B$3, 2,FALSE))</f>
        <v>Western</v>
      </c>
      <c r="I69" s="84" t="str">
        <f>IF(ISBLANK(G69), "", VLOOKUP(VLOOKUP(G69, NHLTeams!$B$2:$F$33, 5, FALSE), Divisions!$A$2:$B$5, 2, FALSE))</f>
        <v>Pacific</v>
      </c>
      <c r="J69" t="s">
        <v>53</v>
      </c>
      <c r="K69" t="s">
        <v>477</v>
      </c>
      <c r="L69" t="s">
        <v>478</v>
      </c>
      <c r="M69">
        <v>29</v>
      </c>
      <c r="N69">
        <v>0</v>
      </c>
      <c r="O69">
        <v>0</v>
      </c>
      <c r="P69" t="s">
        <v>479</v>
      </c>
      <c r="Q69" t="s">
        <v>262</v>
      </c>
      <c r="U69" s="118">
        <v>56</v>
      </c>
      <c r="V69" t="s">
        <v>302</v>
      </c>
      <c r="Y69" s="109" t="s">
        <v>721</v>
      </c>
      <c r="AF69">
        <f t="shared" si="19"/>
        <v>0</v>
      </c>
      <c r="AG69">
        <f t="shared" si="17"/>
        <v>0</v>
      </c>
      <c r="AL69" s="1">
        <v>34999</v>
      </c>
      <c r="AN69" t="s">
        <v>269</v>
      </c>
      <c r="AR69" s="120">
        <f t="shared" ca="1" si="12"/>
        <v>10612.582562152777</v>
      </c>
      <c r="AS69" s="120">
        <f t="shared" si="18"/>
        <v>-85</v>
      </c>
      <c r="AT69">
        <v>0</v>
      </c>
      <c r="AV69">
        <v>8477934</v>
      </c>
    </row>
    <row r="70" spans="1:48" x14ac:dyDescent="0.25">
      <c r="A70">
        <v>68</v>
      </c>
      <c r="B70" s="1">
        <v>45504</v>
      </c>
      <c r="C70" s="1">
        <v>45516</v>
      </c>
      <c r="D70" s="1">
        <v>45564</v>
      </c>
      <c r="E70" s="2">
        <f t="shared" ca="1" si="15"/>
        <v>12</v>
      </c>
      <c r="F70" s="2">
        <f t="shared" ca="1" si="16"/>
        <v>95.582562152776518</v>
      </c>
      <c r="G70" s="19" t="s">
        <v>5</v>
      </c>
      <c r="H70" s="83" t="str">
        <f>IF(ISBLANK(G70), "", VLOOKUP(VLOOKUP(G70, NHLTeams!$B$2:$F$33, 4,FALSE), Conferences!$A$2:$B$3, 2,FALSE))</f>
        <v>Western</v>
      </c>
      <c r="I70" s="84" t="str">
        <f>IF(ISBLANK(G70), "", VLOOKUP(VLOOKUP(G70, NHLTeams!$B$2:$F$33, 5, FALSE), Divisions!$A$2:$B$5, 2, FALSE))</f>
        <v>Pacific</v>
      </c>
      <c r="J70" t="s">
        <v>273</v>
      </c>
      <c r="K70" t="s">
        <v>480</v>
      </c>
      <c r="L70" t="s">
        <v>481</v>
      </c>
      <c r="M70">
        <v>52</v>
      </c>
      <c r="N70">
        <v>0</v>
      </c>
      <c r="O70">
        <v>1</v>
      </c>
      <c r="P70" t="s">
        <v>293</v>
      </c>
      <c r="Q70" t="s">
        <v>285</v>
      </c>
      <c r="U70" s="118">
        <v>56</v>
      </c>
      <c r="V70" t="s">
        <v>302</v>
      </c>
      <c r="W70" t="s">
        <v>303</v>
      </c>
      <c r="Y70" s="109" t="s">
        <v>420</v>
      </c>
      <c r="AF70">
        <f t="shared" si="19"/>
        <v>0</v>
      </c>
      <c r="AG70">
        <f t="shared" si="17"/>
        <v>0</v>
      </c>
      <c r="AL70" s="1">
        <v>34341</v>
      </c>
      <c r="AN70" t="s">
        <v>64</v>
      </c>
      <c r="AR70" s="120">
        <f t="shared" ca="1" si="12"/>
        <v>11270.582562152777</v>
      </c>
      <c r="AS70" s="120">
        <f t="shared" si="18"/>
        <v>573</v>
      </c>
      <c r="AT70">
        <v>0</v>
      </c>
      <c r="AU70" t="s">
        <v>716</v>
      </c>
      <c r="AV70">
        <v>8477346</v>
      </c>
    </row>
    <row r="71" spans="1:48" x14ac:dyDescent="0.25">
      <c r="A71">
        <v>69</v>
      </c>
      <c r="B71" s="1">
        <v>45510</v>
      </c>
      <c r="C71" s="1">
        <v>45524</v>
      </c>
      <c r="D71" s="1">
        <v>45538</v>
      </c>
      <c r="E71" s="2">
        <f t="shared" ca="1" si="15"/>
        <v>14</v>
      </c>
      <c r="F71" s="2">
        <f t="shared" ca="1" si="16"/>
        <v>87.582562152776518</v>
      </c>
      <c r="G71" s="96" t="s">
        <v>177</v>
      </c>
      <c r="H71" s="81" t="str">
        <f>IF(ISBLANK(G71), "", VLOOKUP(VLOOKUP(G71, NHLTeams!$B$2:$F$33, 4,FALSE), Conferences!$A$2:$B$3, 2,FALSE))</f>
        <v>Eastern</v>
      </c>
      <c r="I71" s="85" t="str">
        <f>IF(ISBLANK(G71), "", VLOOKUP(VLOOKUP(G71, NHLTeams!$B$2:$F$33, 5, FALSE), Divisions!$A$2:$B$5, 2, FALSE))</f>
        <v>Metropolitan</v>
      </c>
      <c r="J71" t="s">
        <v>53</v>
      </c>
      <c r="K71" t="s">
        <v>433</v>
      </c>
      <c r="L71" t="s">
        <v>434</v>
      </c>
      <c r="M71">
        <v>10</v>
      </c>
      <c r="N71">
        <v>0</v>
      </c>
      <c r="O71">
        <v>0</v>
      </c>
      <c r="P71" t="s">
        <v>297</v>
      </c>
      <c r="Q71" t="s">
        <v>483</v>
      </c>
      <c r="U71" s="118">
        <v>56</v>
      </c>
      <c r="V71" t="s">
        <v>302</v>
      </c>
      <c r="W71" t="s">
        <v>303</v>
      </c>
      <c r="Y71" s="109" t="s">
        <v>738</v>
      </c>
      <c r="AF71">
        <f t="shared" si="19"/>
        <v>0</v>
      </c>
      <c r="AG71">
        <f t="shared" si="17"/>
        <v>0</v>
      </c>
      <c r="AH71">
        <v>336.94</v>
      </c>
      <c r="AL71" s="1">
        <v>33541</v>
      </c>
      <c r="AN71" t="s">
        <v>59</v>
      </c>
      <c r="AR71" s="120">
        <f t="shared" ref="AR71:AR92" ca="1" si="20">NOW()-AL71</f>
        <v>12070.582562152777</v>
      </c>
      <c r="AS71" s="120">
        <f t="shared" si="18"/>
        <v>1373</v>
      </c>
      <c r="AT71">
        <v>0</v>
      </c>
      <c r="AU71" t="s">
        <v>719</v>
      </c>
      <c r="AV71">
        <v>8478550</v>
      </c>
    </row>
    <row r="72" spans="1:48" x14ac:dyDescent="0.25">
      <c r="A72">
        <v>70</v>
      </c>
      <c r="B72" s="1">
        <v>45532</v>
      </c>
      <c r="C72" s="1">
        <v>45538</v>
      </c>
      <c r="D72" s="1">
        <v>45567</v>
      </c>
      <c r="E72" s="2">
        <f t="shared" ca="1" si="15"/>
        <v>6</v>
      </c>
      <c r="F72" s="2">
        <f t="shared" ca="1" si="16"/>
        <v>73.582562152776518</v>
      </c>
      <c r="G72" s="94" t="s">
        <v>216</v>
      </c>
      <c r="H72" s="83" t="str">
        <f>IF(ISBLANK(G72), "", VLOOKUP(VLOOKUP(G72, NHLTeams!$B$2:$F$33, 4,FALSE), Conferences!$A$2:$B$3, 2,FALSE))</f>
        <v>Western</v>
      </c>
      <c r="I72" s="84" t="str">
        <f>IF(ISBLANK(G72), "", VLOOKUP(VLOOKUP(G72, NHLTeams!$B$2:$F$33, 5, FALSE), Divisions!$A$2:$B$5, 2, FALSE))</f>
        <v>Pacific</v>
      </c>
      <c r="J72" t="s">
        <v>273</v>
      </c>
      <c r="K72" t="s">
        <v>740</v>
      </c>
      <c r="L72" t="s">
        <v>741</v>
      </c>
      <c r="M72">
        <v>3</v>
      </c>
      <c r="N72">
        <v>0</v>
      </c>
      <c r="O72">
        <v>0</v>
      </c>
      <c r="P72" t="s">
        <v>293</v>
      </c>
      <c r="Q72" t="s">
        <v>742</v>
      </c>
      <c r="U72" s="118" t="s">
        <v>288</v>
      </c>
      <c r="V72" t="s">
        <v>311</v>
      </c>
      <c r="Y72" s="109" t="s">
        <v>786</v>
      </c>
      <c r="AF72">
        <f t="shared" si="19"/>
        <v>0</v>
      </c>
      <c r="AG72">
        <f t="shared" si="17"/>
        <v>0</v>
      </c>
      <c r="AL72" s="1">
        <v>29753</v>
      </c>
      <c r="AN72" t="s">
        <v>58</v>
      </c>
      <c r="AO72" t="s">
        <v>322</v>
      </c>
      <c r="AR72" s="120">
        <f t="shared" ca="1" si="20"/>
        <v>15858.582562152777</v>
      </c>
      <c r="AS72" s="120">
        <f t="shared" si="18"/>
        <v>5161</v>
      </c>
      <c r="AT72">
        <v>0</v>
      </c>
      <c r="AV72">
        <v>8469598</v>
      </c>
    </row>
    <row r="73" spans="1:48" x14ac:dyDescent="0.25">
      <c r="A73">
        <v>71</v>
      </c>
      <c r="B73" s="1">
        <v>45532</v>
      </c>
      <c r="C73" s="1">
        <v>45538</v>
      </c>
      <c r="D73" s="1">
        <v>45567</v>
      </c>
      <c r="E73" s="2">
        <f t="shared" ca="1" si="15"/>
        <v>6</v>
      </c>
      <c r="F73" s="2">
        <f t="shared" ca="1" si="16"/>
        <v>73.582562152776518</v>
      </c>
      <c r="G73" s="13" t="s">
        <v>6</v>
      </c>
      <c r="H73" s="83" t="str">
        <f>IF(ISBLANK(G73), "", VLOOKUP(VLOOKUP(G73, NHLTeams!$B$2:$F$33, 4,FALSE), Conferences!$A$2:$B$3, 2,FALSE))</f>
        <v>Western</v>
      </c>
      <c r="I73" s="84" t="str">
        <f>IF(ISBLANK(G73), "", VLOOKUP(VLOOKUP(G73, NHLTeams!$B$2:$F$33, 5, FALSE), Divisions!$A$2:$B$5, 2, FALSE))</f>
        <v>Pacific</v>
      </c>
      <c r="J73" t="s">
        <v>53</v>
      </c>
      <c r="K73" t="s">
        <v>421</v>
      </c>
      <c r="L73" t="s">
        <v>422</v>
      </c>
      <c r="M73">
        <v>99</v>
      </c>
      <c r="N73">
        <v>1</v>
      </c>
      <c r="O73">
        <v>0</v>
      </c>
      <c r="P73" t="s">
        <v>293</v>
      </c>
      <c r="U73" s="118" t="s">
        <v>288</v>
      </c>
      <c r="V73" t="s">
        <v>311</v>
      </c>
      <c r="Y73" s="109" t="s">
        <v>786</v>
      </c>
      <c r="AF73">
        <f t="shared" si="19"/>
        <v>0</v>
      </c>
      <c r="AG73">
        <f t="shared" si="17"/>
        <v>0</v>
      </c>
      <c r="AL73" s="1">
        <v>22307</v>
      </c>
      <c r="AM73">
        <v>1999</v>
      </c>
      <c r="AN73" t="s">
        <v>445</v>
      </c>
      <c r="AO73" t="s">
        <v>395</v>
      </c>
      <c r="AR73" s="120">
        <f t="shared" ca="1" si="20"/>
        <v>23304.582562152777</v>
      </c>
      <c r="AS73" s="120">
        <f t="shared" si="18"/>
        <v>12607</v>
      </c>
      <c r="AT73">
        <v>0</v>
      </c>
      <c r="AV73">
        <v>8447400</v>
      </c>
    </row>
    <row r="74" spans="1:48" x14ac:dyDescent="0.25">
      <c r="A74">
        <v>72</v>
      </c>
      <c r="B74" s="1">
        <v>45533</v>
      </c>
      <c r="C74" s="1">
        <v>45540</v>
      </c>
      <c r="D74" s="1">
        <v>45567</v>
      </c>
      <c r="E74" s="2">
        <f t="shared" ca="1" si="15"/>
        <v>7</v>
      </c>
      <c r="F74" s="2">
        <f t="shared" ca="1" si="16"/>
        <v>71.582562152776518</v>
      </c>
      <c r="G74" s="95" t="s">
        <v>151</v>
      </c>
      <c r="H74" s="83" t="str">
        <f>IF(ISBLANK(G74), "", VLOOKUP(VLOOKUP(G74, NHLTeams!$B$2:$F$33, 4,FALSE), Conferences!$A$2:$B$3, 2,FALSE))</f>
        <v>Western</v>
      </c>
      <c r="I74" s="84" t="str">
        <f>IF(ISBLANK(G74), "", VLOOKUP(VLOOKUP(G74, NHLTeams!$B$2:$F$33, 5, FALSE), Divisions!$A$2:$B$5, 2, FALSE))</f>
        <v>Pacific</v>
      </c>
      <c r="J74" t="s">
        <v>53</v>
      </c>
      <c r="K74" t="s">
        <v>274</v>
      </c>
      <c r="L74" t="s">
        <v>275</v>
      </c>
      <c r="M74">
        <v>11</v>
      </c>
      <c r="N74">
        <v>1</v>
      </c>
      <c r="O74">
        <v>0</v>
      </c>
      <c r="P74" t="s">
        <v>292</v>
      </c>
      <c r="Q74" t="s">
        <v>483</v>
      </c>
      <c r="U74" s="118">
        <v>56</v>
      </c>
      <c r="V74" t="s">
        <v>302</v>
      </c>
      <c r="W74" t="s">
        <v>303</v>
      </c>
      <c r="Y74" s="109" t="s">
        <v>378</v>
      </c>
      <c r="AF74">
        <f t="shared" si="19"/>
        <v>0</v>
      </c>
      <c r="AG74">
        <f t="shared" si="17"/>
        <v>0</v>
      </c>
      <c r="AL74" s="1">
        <v>32013</v>
      </c>
      <c r="AN74" t="s">
        <v>291</v>
      </c>
      <c r="AR74" s="120">
        <f t="shared" ca="1" si="20"/>
        <v>13598.582562152777</v>
      </c>
      <c r="AS74" s="120">
        <f t="shared" si="18"/>
        <v>2901</v>
      </c>
      <c r="AT74">
        <v>0</v>
      </c>
      <c r="AV74">
        <v>8471685</v>
      </c>
    </row>
    <row r="75" spans="1:48" x14ac:dyDescent="0.25">
      <c r="A75">
        <v>73</v>
      </c>
      <c r="B75" s="1">
        <v>45533</v>
      </c>
      <c r="C75" s="1">
        <v>45539</v>
      </c>
      <c r="D75" s="1">
        <v>45561</v>
      </c>
      <c r="E75" s="2">
        <f t="shared" ca="1" si="15"/>
        <v>6</v>
      </c>
      <c r="F75" s="2">
        <f t="shared" ca="1" si="16"/>
        <v>72.582562152776518</v>
      </c>
      <c r="G75" s="18" t="s">
        <v>67</v>
      </c>
      <c r="H75" s="81" t="str">
        <f>IF(ISBLANK(G75), "", VLOOKUP(VLOOKUP(G75, NHLTeams!$B$2:$F$33, 4,FALSE), Conferences!$A$2:$B$3, 2,FALSE))</f>
        <v>Eastern</v>
      </c>
      <c r="I75" s="82" t="str">
        <f>IF(ISBLANK(G75), "", VLOOKUP(VLOOKUP(G75, NHLTeams!$B$2:$F$33, 5, FALSE), Divisions!$A$2:$B$5, 2, FALSE))</f>
        <v>Atlantic</v>
      </c>
      <c r="J75" t="s">
        <v>53</v>
      </c>
      <c r="K75" t="s">
        <v>277</v>
      </c>
      <c r="L75" t="s">
        <v>746</v>
      </c>
      <c r="M75">
        <v>90</v>
      </c>
      <c r="N75">
        <v>0</v>
      </c>
      <c r="O75">
        <v>0</v>
      </c>
      <c r="P75" t="s">
        <v>293</v>
      </c>
      <c r="Q75" t="s">
        <v>285</v>
      </c>
      <c r="U75" s="118">
        <v>56</v>
      </c>
      <c r="V75" t="s">
        <v>302</v>
      </c>
      <c r="Y75" s="109" t="s">
        <v>730</v>
      </c>
      <c r="AF75">
        <f t="shared" si="19"/>
        <v>0</v>
      </c>
      <c r="AG75">
        <f t="shared" si="17"/>
        <v>0</v>
      </c>
      <c r="AL75" s="1">
        <v>33276</v>
      </c>
      <c r="AN75" t="s">
        <v>323</v>
      </c>
      <c r="AR75" s="120">
        <f t="shared" ca="1" si="20"/>
        <v>12335.582562152777</v>
      </c>
      <c r="AS75" s="120">
        <f t="shared" si="18"/>
        <v>1638</v>
      </c>
      <c r="AT75">
        <v>0</v>
      </c>
      <c r="AV75">
        <v>8475158</v>
      </c>
    </row>
    <row r="76" spans="1:48" x14ac:dyDescent="0.25">
      <c r="A76">
        <v>74</v>
      </c>
      <c r="B76" s="1">
        <v>45535</v>
      </c>
      <c r="C76" s="1">
        <v>45554</v>
      </c>
      <c r="D76" s="1">
        <v>45567</v>
      </c>
      <c r="E76" s="2">
        <f t="shared" ca="1" si="15"/>
        <v>19</v>
      </c>
      <c r="F76" s="2">
        <f t="shared" ca="1" si="16"/>
        <v>57.582562152776518</v>
      </c>
      <c r="G76" s="20" t="s">
        <v>24</v>
      </c>
      <c r="H76" s="81" t="str">
        <f>IF(ISBLANK(G76), "", VLOOKUP(VLOOKUP(G76, NHLTeams!$B$2:$F$33, 4,FALSE), Conferences!$A$2:$B$3, 2,FALSE))</f>
        <v>Eastern</v>
      </c>
      <c r="I76" s="85" t="str">
        <f>IF(ISBLANK(G76), "", VLOOKUP(VLOOKUP(G76, NHLTeams!$B$2:$F$33, 5, FALSE), Divisions!$A$2:$B$5, 2, FALSE))</f>
        <v>Metropolitan</v>
      </c>
      <c r="J76" t="s">
        <v>53</v>
      </c>
      <c r="K76" t="s">
        <v>27</v>
      </c>
      <c r="L76" t="s">
        <v>31</v>
      </c>
      <c r="M76">
        <v>8</v>
      </c>
      <c r="N76">
        <v>1</v>
      </c>
      <c r="O76">
        <v>0</v>
      </c>
      <c r="P76" t="s">
        <v>297</v>
      </c>
      <c r="Q76" t="s">
        <v>483</v>
      </c>
      <c r="U76" s="118">
        <v>56</v>
      </c>
      <c r="V76" t="s">
        <v>302</v>
      </c>
      <c r="W76" t="s">
        <v>303</v>
      </c>
      <c r="Y76" s="109" t="s">
        <v>731</v>
      </c>
      <c r="AF76">
        <f t="shared" si="19"/>
        <v>0</v>
      </c>
      <c r="AG76">
        <f t="shared" si="17"/>
        <v>0</v>
      </c>
      <c r="AL76" s="1">
        <v>31307</v>
      </c>
      <c r="AN76" t="s">
        <v>58</v>
      </c>
      <c r="AR76" s="120">
        <f t="shared" ca="1" si="20"/>
        <v>14304.582562152777</v>
      </c>
      <c r="AS76" s="120">
        <f t="shared" si="18"/>
        <v>3607</v>
      </c>
      <c r="AT76">
        <v>0</v>
      </c>
      <c r="AV76">
        <v>8471214</v>
      </c>
    </row>
    <row r="77" spans="1:48" x14ac:dyDescent="0.25">
      <c r="A77">
        <v>75</v>
      </c>
      <c r="B77" s="1">
        <v>45535</v>
      </c>
      <c r="C77" s="1">
        <v>45551</v>
      </c>
      <c r="D77" s="1">
        <v>45561</v>
      </c>
      <c r="E77" s="2">
        <f t="shared" ca="1" si="15"/>
        <v>16</v>
      </c>
      <c r="F77" s="2">
        <f t="shared" ca="1" si="16"/>
        <v>60.582562152776518</v>
      </c>
      <c r="G77" s="17" t="s">
        <v>101</v>
      </c>
      <c r="H77" s="81" t="str">
        <f>IF(ISBLANK(G77), "", VLOOKUP(VLOOKUP(G77, NHLTeams!$B$2:$F$33, 4,FALSE), Conferences!$A$2:$B$3, 2,FALSE))</f>
        <v>Eastern</v>
      </c>
      <c r="I77" s="82" t="str">
        <f>IF(ISBLANK(G77), "", VLOOKUP(VLOOKUP(G77, NHLTeams!$B$2:$F$33, 5, FALSE), Divisions!$A$2:$B$5, 2, FALSE))</f>
        <v>Atlantic</v>
      </c>
      <c r="J77" t="s">
        <v>53</v>
      </c>
      <c r="K77" t="s">
        <v>748</v>
      </c>
      <c r="L77" t="s">
        <v>749</v>
      </c>
      <c r="M77">
        <v>88</v>
      </c>
      <c r="N77">
        <v>0</v>
      </c>
      <c r="O77">
        <v>0</v>
      </c>
      <c r="P77" t="s">
        <v>752</v>
      </c>
      <c r="Q77" t="s">
        <v>262</v>
      </c>
      <c r="U77" s="118">
        <v>56</v>
      </c>
      <c r="V77" t="s">
        <v>302</v>
      </c>
      <c r="W77" t="s">
        <v>303</v>
      </c>
      <c r="Y77" s="109" t="s">
        <v>724</v>
      </c>
      <c r="AF77">
        <f t="shared" si="19"/>
        <v>0</v>
      </c>
      <c r="AG77">
        <f t="shared" si="17"/>
        <v>0</v>
      </c>
      <c r="AL77" s="1">
        <v>35210</v>
      </c>
      <c r="AN77" t="s">
        <v>269</v>
      </c>
      <c r="AR77" s="120">
        <f t="shared" ca="1" si="20"/>
        <v>10401.582562152777</v>
      </c>
      <c r="AS77" s="120">
        <f t="shared" si="18"/>
        <v>-296</v>
      </c>
      <c r="AT77">
        <v>0</v>
      </c>
      <c r="AV77">
        <v>8477956</v>
      </c>
    </row>
    <row r="78" spans="1:48" x14ac:dyDescent="0.25">
      <c r="A78">
        <v>76</v>
      </c>
      <c r="B78" s="1">
        <v>45535</v>
      </c>
      <c r="C78" s="1">
        <v>45552</v>
      </c>
      <c r="D78" s="1">
        <v>45564</v>
      </c>
      <c r="E78" s="2">
        <f t="shared" ca="1" si="15"/>
        <v>17</v>
      </c>
      <c r="F78" s="2">
        <f t="shared" ca="1" si="16"/>
        <v>59.582562152776518</v>
      </c>
      <c r="G78" s="97" t="s">
        <v>106</v>
      </c>
      <c r="H78" s="81" t="str">
        <f>IF(ISBLANK(G78), "", VLOOKUP(VLOOKUP(G78, NHLTeams!$B$2:$F$33, 4,FALSE), Conferences!$A$2:$B$3, 2,FALSE))</f>
        <v>Eastern</v>
      </c>
      <c r="I78" s="82" t="str">
        <f>IF(ISBLANK(G78), "", VLOOKUP(VLOOKUP(G78, NHLTeams!$B$2:$F$33, 5, FALSE), Divisions!$A$2:$B$5, 2, FALSE))</f>
        <v>Atlantic</v>
      </c>
      <c r="J78" t="s">
        <v>273</v>
      </c>
      <c r="K78" t="s">
        <v>750</v>
      </c>
      <c r="L78" t="s">
        <v>751</v>
      </c>
      <c r="M78">
        <v>26</v>
      </c>
      <c r="N78">
        <v>0</v>
      </c>
      <c r="O78">
        <v>0</v>
      </c>
      <c r="P78" t="s">
        <v>309</v>
      </c>
      <c r="Q78" t="s">
        <v>262</v>
      </c>
      <c r="U78" s="118">
        <v>56</v>
      </c>
      <c r="V78" t="s">
        <v>302</v>
      </c>
      <c r="W78" t="s">
        <v>303</v>
      </c>
      <c r="Y78" s="109" t="s">
        <v>792</v>
      </c>
      <c r="AF78">
        <f t="shared" si="19"/>
        <v>0</v>
      </c>
      <c r="AG78">
        <f t="shared" si="17"/>
        <v>0</v>
      </c>
      <c r="AL78" s="1">
        <v>36629</v>
      </c>
      <c r="AN78" t="s">
        <v>412</v>
      </c>
      <c r="AR78" s="120">
        <f t="shared" ca="1" si="20"/>
        <v>8982.5825621527765</v>
      </c>
      <c r="AS78" s="120">
        <f t="shared" si="18"/>
        <v>-1715</v>
      </c>
      <c r="AT78">
        <v>0</v>
      </c>
      <c r="AV78">
        <v>8480839</v>
      </c>
    </row>
    <row r="79" spans="1:48" x14ac:dyDescent="0.25">
      <c r="A79">
        <v>77</v>
      </c>
      <c r="B79" s="1">
        <v>45535</v>
      </c>
      <c r="C79" s="1">
        <v>45541</v>
      </c>
      <c r="D79" s="1">
        <v>45550</v>
      </c>
      <c r="E79" s="2">
        <f t="shared" ca="1" si="15"/>
        <v>6</v>
      </c>
      <c r="F79" s="2">
        <f t="shared" ca="1" si="16"/>
        <v>70.582562152776518</v>
      </c>
      <c r="G79" s="16" t="s">
        <v>65</v>
      </c>
      <c r="H79" s="83" t="str">
        <f>IF(ISBLANK(G79), "", VLOOKUP(VLOOKUP(G79, NHLTeams!$B$2:$F$33, 4,FALSE), Conferences!$A$2:$B$3, 2,FALSE))</f>
        <v>Western</v>
      </c>
      <c r="I79" s="93" t="str">
        <f>IF(ISBLANK(G79), "", VLOOKUP(VLOOKUP(G79, NHLTeams!$B$2:$F$33, 5, FALSE), Divisions!$A$2:$B$5, 2, FALSE))</f>
        <v>Central</v>
      </c>
      <c r="J79" t="s">
        <v>53</v>
      </c>
      <c r="K79" t="s">
        <v>383</v>
      </c>
      <c r="L79" s="126" t="s">
        <v>384</v>
      </c>
      <c r="M79">
        <v>55</v>
      </c>
      <c r="N79">
        <v>0</v>
      </c>
      <c r="O79">
        <v>0</v>
      </c>
      <c r="P79" t="s">
        <v>293</v>
      </c>
      <c r="Q79" t="s">
        <v>262</v>
      </c>
      <c r="U79" s="118">
        <v>56</v>
      </c>
      <c r="V79" t="s">
        <v>302</v>
      </c>
      <c r="W79" t="s">
        <v>303</v>
      </c>
      <c r="Y79" s="109" t="s">
        <v>722</v>
      </c>
      <c r="AF79">
        <f t="shared" si="19"/>
        <v>0</v>
      </c>
      <c r="AG79">
        <f t="shared" si="17"/>
        <v>0</v>
      </c>
      <c r="AL79" s="1">
        <v>34043</v>
      </c>
      <c r="AN79" t="s">
        <v>387</v>
      </c>
      <c r="AR79" s="120">
        <f t="shared" ca="1" si="20"/>
        <v>11568.582562152777</v>
      </c>
      <c r="AS79" s="120">
        <f t="shared" si="18"/>
        <v>871</v>
      </c>
      <c r="AT79">
        <v>0</v>
      </c>
      <c r="AV79">
        <v>8476460</v>
      </c>
    </row>
    <row r="80" spans="1:48" x14ac:dyDescent="0.25">
      <c r="A80">
        <v>78</v>
      </c>
      <c r="B80" s="1">
        <v>45535</v>
      </c>
      <c r="C80" s="1">
        <v>45552</v>
      </c>
      <c r="D80" s="1">
        <v>45561</v>
      </c>
      <c r="E80" s="2">
        <f t="shared" ca="1" si="15"/>
        <v>17</v>
      </c>
      <c r="F80" s="2">
        <f t="shared" ca="1" si="16"/>
        <v>59.582562152776518</v>
      </c>
      <c r="G80" s="101" t="s">
        <v>168</v>
      </c>
      <c r="H80" s="83" t="str">
        <f>IF(ISBLANK(G80), "", VLOOKUP(VLOOKUP(G80, NHLTeams!$B$2:$F$33, 4,FALSE), Conferences!$A$2:$B$3, 2,FALSE))</f>
        <v>Western</v>
      </c>
      <c r="I80" s="93" t="str">
        <f>IF(ISBLANK(G80), "", VLOOKUP(VLOOKUP(G80, NHLTeams!$B$2:$F$33, 5, FALSE), Divisions!$A$2:$B$5, 2, FALSE))</f>
        <v>Central</v>
      </c>
      <c r="J80" t="s">
        <v>53</v>
      </c>
      <c r="K80" t="s">
        <v>307</v>
      </c>
      <c r="L80" s="126" t="s">
        <v>308</v>
      </c>
      <c r="M80">
        <v>9</v>
      </c>
      <c r="N80">
        <v>0</v>
      </c>
      <c r="O80">
        <v>0</v>
      </c>
      <c r="P80" t="s">
        <v>309</v>
      </c>
      <c r="Q80" t="s">
        <v>483</v>
      </c>
      <c r="U80" s="118">
        <v>54</v>
      </c>
      <c r="V80" t="s">
        <v>302</v>
      </c>
      <c r="W80" t="s">
        <v>303</v>
      </c>
      <c r="Y80" s="109" t="s">
        <v>420</v>
      </c>
      <c r="AF80">
        <f t="shared" si="19"/>
        <v>0</v>
      </c>
      <c r="AG80">
        <f t="shared" si="17"/>
        <v>0</v>
      </c>
      <c r="AL80" s="1">
        <v>34559</v>
      </c>
      <c r="AN80" t="s">
        <v>63</v>
      </c>
      <c r="AR80" s="120">
        <f t="shared" ca="1" si="20"/>
        <v>11052.582562152777</v>
      </c>
      <c r="AS80" s="120">
        <f t="shared" si="18"/>
        <v>355</v>
      </c>
      <c r="AT80">
        <v>0</v>
      </c>
      <c r="AV80">
        <v>8476887</v>
      </c>
    </row>
    <row r="81" spans="1:48" x14ac:dyDescent="0.25">
      <c r="A81">
        <v>79</v>
      </c>
      <c r="B81" s="1">
        <v>45552</v>
      </c>
      <c r="C81" s="1">
        <v>45561</v>
      </c>
      <c r="D81" s="1">
        <v>45564</v>
      </c>
      <c r="E81" s="2">
        <f t="shared" ca="1" si="15"/>
        <v>9</v>
      </c>
      <c r="F81" s="2">
        <f t="shared" ca="1" si="16"/>
        <v>50.582562152776518</v>
      </c>
      <c r="G81" s="114" t="s">
        <v>165</v>
      </c>
      <c r="H81" s="81" t="str">
        <f>IF(ISBLANK(G81), "", VLOOKUP(VLOOKUP(G81, NHLTeams!$B$2:$F$33, 4,FALSE), Conferences!$A$2:$B$3, 2,FALSE))</f>
        <v>Eastern</v>
      </c>
      <c r="I81" s="85" t="str">
        <f>IF(ISBLANK(G81), "", VLOOKUP(VLOOKUP(G81, NHLTeams!$B$2:$F$33, 5, FALSE), Divisions!$A$2:$B$5, 2, FALSE))</f>
        <v>Metropolitan</v>
      </c>
      <c r="J81" t="s">
        <v>273</v>
      </c>
      <c r="K81" t="s">
        <v>759</v>
      </c>
      <c r="L81" t="s">
        <v>760</v>
      </c>
      <c r="M81">
        <v>7</v>
      </c>
      <c r="N81">
        <v>0</v>
      </c>
      <c r="O81">
        <v>0</v>
      </c>
      <c r="P81" t="s">
        <v>293</v>
      </c>
      <c r="Q81" t="s">
        <v>483</v>
      </c>
      <c r="U81" s="118">
        <v>56</v>
      </c>
      <c r="V81" t="s">
        <v>302</v>
      </c>
      <c r="W81" t="s">
        <v>303</v>
      </c>
      <c r="Y81" s="109" t="s">
        <v>420</v>
      </c>
      <c r="AF81">
        <f t="shared" si="19"/>
        <v>0</v>
      </c>
      <c r="AG81">
        <f t="shared" si="17"/>
        <v>0</v>
      </c>
      <c r="AL81" s="1">
        <v>34137</v>
      </c>
      <c r="AN81" t="s">
        <v>63</v>
      </c>
      <c r="AR81" s="120">
        <f t="shared" ca="1" si="20"/>
        <v>11474.582562152777</v>
      </c>
      <c r="AS81" s="120">
        <f t="shared" si="18"/>
        <v>777</v>
      </c>
      <c r="AV81">
        <v>8476462</v>
      </c>
    </row>
    <row r="82" spans="1:48" x14ac:dyDescent="0.25">
      <c r="A82">
        <v>80</v>
      </c>
      <c r="B82" s="1">
        <v>45556</v>
      </c>
      <c r="C82" s="1">
        <v>45575</v>
      </c>
      <c r="E82" s="2">
        <f t="shared" ca="1" si="15"/>
        <v>19</v>
      </c>
      <c r="F82" s="2">
        <f t="shared" ca="1" si="16"/>
        <v>36.582562152776518</v>
      </c>
      <c r="G82" s="116" t="s">
        <v>96</v>
      </c>
      <c r="H82" s="83" t="str">
        <f>IF(ISBLANK(G82), "", VLOOKUP(VLOOKUP(G82, NHLTeams!$B$2:$F$33, 4,FALSE), Conferences!$A$2:$B$3, 2,FALSE))</f>
        <v>Western</v>
      </c>
      <c r="I82" s="93" t="str">
        <f>IF(ISBLANK(G82), "", VLOOKUP(VLOOKUP(G82, NHLTeams!$B$2:$F$33, 5, FALSE), Divisions!$A$2:$B$5, 2, FALSE))</f>
        <v>Central</v>
      </c>
      <c r="J82" t="s">
        <v>53</v>
      </c>
      <c r="K82" t="s">
        <v>781</v>
      </c>
      <c r="L82" t="s">
        <v>419</v>
      </c>
      <c r="M82">
        <v>11</v>
      </c>
      <c r="N82">
        <v>0</v>
      </c>
      <c r="O82">
        <v>1</v>
      </c>
      <c r="P82" t="s">
        <v>293</v>
      </c>
      <c r="U82" s="118">
        <v>56</v>
      </c>
      <c r="V82" t="s">
        <v>302</v>
      </c>
      <c r="Y82" s="109" t="s">
        <v>721</v>
      </c>
      <c r="AA82">
        <v>279.99</v>
      </c>
      <c r="AC82">
        <v>0</v>
      </c>
      <c r="AE82" t="s">
        <v>791</v>
      </c>
      <c r="AF82">
        <f t="shared" si="19"/>
        <v>41.9985</v>
      </c>
      <c r="AG82">
        <f t="shared" si="17"/>
        <v>321.98849999999999</v>
      </c>
      <c r="AL82" s="1">
        <v>37721</v>
      </c>
      <c r="AN82" t="s">
        <v>295</v>
      </c>
      <c r="AR82" s="120">
        <f t="shared" ca="1" si="20"/>
        <v>7890.5825621527765</v>
      </c>
      <c r="AS82" s="120">
        <f t="shared" si="18"/>
        <v>-2807</v>
      </c>
      <c r="AV82">
        <v>8482699</v>
      </c>
    </row>
    <row r="83" spans="1:48" x14ac:dyDescent="0.25">
      <c r="A83">
        <v>81</v>
      </c>
      <c r="B83" s="1">
        <v>45556</v>
      </c>
      <c r="C83" s="1">
        <v>45575</v>
      </c>
      <c r="E83" s="2">
        <f t="shared" ca="1" si="15"/>
        <v>19</v>
      </c>
      <c r="F83" s="2">
        <f t="shared" ca="1" si="16"/>
        <v>36.582562152776518</v>
      </c>
      <c r="G83" s="94" t="s">
        <v>216</v>
      </c>
      <c r="H83" s="83" t="str">
        <f>IF(ISBLANK(G83), "", VLOOKUP(VLOOKUP(G83, NHLTeams!$B$2:$F$33, 4,FALSE), Conferences!$A$2:$B$3, 2,FALSE))</f>
        <v>Western</v>
      </c>
      <c r="I83" s="84" t="str">
        <f>IF(ISBLANK(G83), "", VLOOKUP(VLOOKUP(G83, NHLTeams!$B$2:$F$33, 5, FALSE), Divisions!$A$2:$B$5, 2, FALSE))</f>
        <v>Pacific</v>
      </c>
      <c r="J83" t="s">
        <v>53</v>
      </c>
      <c r="K83" t="s">
        <v>782</v>
      </c>
      <c r="L83" t="s">
        <v>783</v>
      </c>
      <c r="M83">
        <v>6</v>
      </c>
      <c r="N83">
        <v>0</v>
      </c>
      <c r="O83">
        <v>1</v>
      </c>
      <c r="P83" t="s">
        <v>75</v>
      </c>
      <c r="U83" s="118">
        <v>56</v>
      </c>
      <c r="V83" t="s">
        <v>302</v>
      </c>
      <c r="Y83" s="109" t="s">
        <v>788</v>
      </c>
      <c r="AA83">
        <v>279.99</v>
      </c>
      <c r="AC83">
        <v>0</v>
      </c>
      <c r="AE83" t="s">
        <v>791</v>
      </c>
      <c r="AF83">
        <f t="shared" si="19"/>
        <v>41.9985</v>
      </c>
      <c r="AG83">
        <f t="shared" si="17"/>
        <v>321.98849999999999</v>
      </c>
      <c r="AL83" s="1">
        <v>35486</v>
      </c>
      <c r="AN83" t="s">
        <v>64</v>
      </c>
      <c r="AR83" s="120">
        <f t="shared" ca="1" si="20"/>
        <v>10125.582562152777</v>
      </c>
      <c r="AS83" s="120">
        <f t="shared" si="18"/>
        <v>-572</v>
      </c>
      <c r="AV83">
        <v>8478444</v>
      </c>
    </row>
    <row r="84" spans="1:48" x14ac:dyDescent="0.25">
      <c r="A84">
        <v>82</v>
      </c>
      <c r="B84" s="1">
        <v>45556</v>
      </c>
      <c r="C84" s="1">
        <v>45575</v>
      </c>
      <c r="E84" s="2">
        <f t="shared" ca="1" si="15"/>
        <v>19</v>
      </c>
      <c r="F84" s="2">
        <f t="shared" ca="1" si="16"/>
        <v>36.582562152776518</v>
      </c>
      <c r="G84" s="19" t="s">
        <v>5</v>
      </c>
      <c r="H84" s="83" t="str">
        <f>IF(ISBLANK(G84), "", VLOOKUP(VLOOKUP(G84, NHLTeams!$B$2:$F$33, 4,FALSE), Conferences!$A$2:$B$3, 2,FALSE))</f>
        <v>Western</v>
      </c>
      <c r="I84" s="84" t="str">
        <f>IF(ISBLANK(G84), "", VLOOKUP(VLOOKUP(G84, NHLTeams!$B$2:$F$33, 5, FALSE), Divisions!$A$2:$B$5, 2, FALSE))</f>
        <v>Pacific</v>
      </c>
      <c r="J84" t="s">
        <v>53</v>
      </c>
      <c r="K84" t="s">
        <v>68</v>
      </c>
      <c r="L84" t="s">
        <v>784</v>
      </c>
      <c r="M84">
        <v>20</v>
      </c>
      <c r="N84">
        <v>0</v>
      </c>
      <c r="O84">
        <v>1</v>
      </c>
      <c r="P84" t="s">
        <v>75</v>
      </c>
      <c r="U84" s="118">
        <v>56</v>
      </c>
      <c r="V84" t="s">
        <v>302</v>
      </c>
      <c r="Y84" s="109" t="s">
        <v>730</v>
      </c>
      <c r="AA84">
        <v>279.99</v>
      </c>
      <c r="AC84">
        <v>0</v>
      </c>
      <c r="AE84" t="s">
        <v>791</v>
      </c>
      <c r="AF84">
        <f t="shared" si="19"/>
        <v>41.9985</v>
      </c>
      <c r="AG84">
        <f t="shared" si="17"/>
        <v>321.98849999999999</v>
      </c>
      <c r="AL84" s="1">
        <v>33570</v>
      </c>
      <c r="AN84" t="s">
        <v>64</v>
      </c>
      <c r="AR84" s="120">
        <f t="shared" ca="1" si="20"/>
        <v>12041.582562152777</v>
      </c>
      <c r="AS84" s="120">
        <f t="shared" si="18"/>
        <v>1344</v>
      </c>
      <c r="AV84">
        <v>8476399</v>
      </c>
    </row>
    <row r="85" spans="1:48" x14ac:dyDescent="0.25">
      <c r="E85" s="2">
        <f t="shared" ca="1" si="15"/>
        <v>45611.582562152777</v>
      </c>
      <c r="F85" s="2">
        <f t="shared" ca="1" si="16"/>
        <v>0</v>
      </c>
      <c r="G85" s="80"/>
      <c r="H85" s="80" t="str">
        <f>IF(ISBLANK(G85), "", VLOOKUP(VLOOKUP(G85, NHLTeams!$B$2:$F$33, 4,FALSE), Conferences!$A$2:$B$3, 2,FALSE))</f>
        <v/>
      </c>
      <c r="I85" s="80" t="str">
        <f>IF(ISBLANK(G85), "", VLOOKUP(VLOOKUP(G85, NHLTeams!$B$2:$F$33, 5, FALSE), Divisions!$A$2:$B$5, 2, FALSE))</f>
        <v/>
      </c>
      <c r="AF85">
        <f t="shared" si="19"/>
        <v>0</v>
      </c>
      <c r="AG85">
        <f t="shared" si="17"/>
        <v>0</v>
      </c>
      <c r="AR85" s="120">
        <f t="shared" ca="1" si="20"/>
        <v>45611.582562152777</v>
      </c>
      <c r="AS85" s="120">
        <f t="shared" si="18"/>
        <v>0</v>
      </c>
    </row>
    <row r="86" spans="1:48" x14ac:dyDescent="0.25">
      <c r="E86" s="2">
        <f t="shared" ca="1" si="15"/>
        <v>45611.582562152777</v>
      </c>
      <c r="F86" s="2">
        <f t="shared" ca="1" si="16"/>
        <v>0</v>
      </c>
      <c r="G86" s="80"/>
      <c r="H86" s="80" t="str">
        <f>IF(ISBLANK(G86), "", VLOOKUP(VLOOKUP(G86, NHLTeams!$B$2:$F$33, 4,FALSE), Conferences!$A$2:$B$3, 2,FALSE))</f>
        <v/>
      </c>
      <c r="I86" s="80" t="str">
        <f>IF(ISBLANK(G86), "", VLOOKUP(VLOOKUP(G86, NHLTeams!$B$2:$F$33, 5, FALSE), Divisions!$A$2:$B$5, 2, FALSE))</f>
        <v/>
      </c>
      <c r="AF86">
        <f t="shared" si="19"/>
        <v>0</v>
      </c>
      <c r="AG86">
        <f t="shared" si="17"/>
        <v>0</v>
      </c>
      <c r="AR86" s="120">
        <f t="shared" ca="1" si="20"/>
        <v>45611.582562152777</v>
      </c>
      <c r="AS86" s="120">
        <f t="shared" si="18"/>
        <v>0</v>
      </c>
    </row>
    <row r="87" spans="1:48" x14ac:dyDescent="0.25">
      <c r="E87" s="2">
        <f t="shared" ca="1" si="15"/>
        <v>45611.582562152777</v>
      </c>
      <c r="F87" s="2">
        <f t="shared" ca="1" si="16"/>
        <v>0</v>
      </c>
      <c r="G87" s="80"/>
      <c r="H87" s="80" t="str">
        <f>IF(ISBLANK(G87), "", VLOOKUP(VLOOKUP(G87, NHLTeams!$B$2:$F$33, 4,FALSE), Conferences!$A$2:$B$3, 2,FALSE))</f>
        <v/>
      </c>
      <c r="I87" s="80" t="str">
        <f>IF(ISBLANK(G87), "", VLOOKUP(VLOOKUP(G87, NHLTeams!$B$2:$F$33, 5, FALSE), Divisions!$A$2:$B$5, 2, FALSE))</f>
        <v/>
      </c>
      <c r="AF87">
        <f t="shared" si="19"/>
        <v>0</v>
      </c>
      <c r="AG87">
        <f t="shared" si="17"/>
        <v>0</v>
      </c>
      <c r="AR87" s="120">
        <f t="shared" ca="1" si="20"/>
        <v>45611.582562152777</v>
      </c>
      <c r="AS87" s="120">
        <f t="shared" si="18"/>
        <v>0</v>
      </c>
    </row>
    <row r="88" spans="1:48" x14ac:dyDescent="0.25">
      <c r="E88" s="2">
        <f t="shared" ca="1" si="15"/>
        <v>45611.582562152777</v>
      </c>
      <c r="F88" s="2">
        <f t="shared" ca="1" si="16"/>
        <v>0</v>
      </c>
      <c r="G88" s="80"/>
      <c r="H88" s="80" t="str">
        <f>IF(ISBLANK(G88), "", VLOOKUP(VLOOKUP(G88, NHLTeams!$B$2:$F$33, 4,FALSE), Conferences!$A$2:$B$3, 2,FALSE))</f>
        <v/>
      </c>
      <c r="I88" s="80" t="str">
        <f>IF(ISBLANK(G88), "", VLOOKUP(VLOOKUP(G88, NHLTeams!$B$2:$F$33, 5, FALSE), Divisions!$A$2:$B$5, 2, FALSE))</f>
        <v/>
      </c>
      <c r="AF88">
        <f t="shared" si="19"/>
        <v>0</v>
      </c>
      <c r="AG88">
        <f t="shared" si="17"/>
        <v>0</v>
      </c>
      <c r="AR88" s="120">
        <f t="shared" ca="1" si="20"/>
        <v>45611.582562152777</v>
      </c>
      <c r="AS88" s="120">
        <f t="shared" si="18"/>
        <v>0</v>
      </c>
    </row>
    <row r="89" spans="1:48" x14ac:dyDescent="0.25">
      <c r="E89" s="2">
        <f t="shared" ca="1" si="15"/>
        <v>45611.582562152777</v>
      </c>
      <c r="F89" s="2">
        <f t="shared" ca="1" si="16"/>
        <v>0</v>
      </c>
      <c r="G89" s="80"/>
      <c r="H89" s="80" t="str">
        <f>IF(ISBLANK(G89), "", VLOOKUP(VLOOKUP(G89, NHLTeams!$B$2:$F$33, 4,FALSE), Conferences!$A$2:$B$3, 2,FALSE))</f>
        <v/>
      </c>
      <c r="I89" s="80" t="str">
        <f>IF(ISBLANK(G89), "", VLOOKUP(VLOOKUP(G89, NHLTeams!$B$2:$F$33, 5, FALSE), Divisions!$A$2:$B$5, 2, FALSE))</f>
        <v/>
      </c>
      <c r="AF89">
        <f t="shared" si="19"/>
        <v>0</v>
      </c>
      <c r="AG89">
        <f t="shared" si="17"/>
        <v>0</v>
      </c>
      <c r="AR89" s="120">
        <f t="shared" ca="1" si="20"/>
        <v>45611.582562152777</v>
      </c>
      <c r="AS89" s="120">
        <f t="shared" si="18"/>
        <v>0</v>
      </c>
    </row>
    <row r="90" spans="1:48" x14ac:dyDescent="0.25">
      <c r="E90" s="2">
        <f t="shared" ca="1" si="15"/>
        <v>45611.582562152777</v>
      </c>
      <c r="F90" s="2">
        <f t="shared" ca="1" si="16"/>
        <v>0</v>
      </c>
      <c r="G90" s="80"/>
      <c r="H90" s="80" t="str">
        <f>IF(ISBLANK(G90), "", VLOOKUP(VLOOKUP(G90, NHLTeams!$B$2:$F$33, 4,FALSE), Conferences!$A$2:$B$3, 2,FALSE))</f>
        <v/>
      </c>
      <c r="I90" s="80" t="str">
        <f>IF(ISBLANK(G90), "", VLOOKUP(VLOOKUP(G90, NHLTeams!$B$2:$F$33, 5, FALSE), Divisions!$A$2:$B$5, 2, FALSE))</f>
        <v/>
      </c>
      <c r="AF90">
        <f t="shared" si="19"/>
        <v>0</v>
      </c>
      <c r="AG90">
        <f t="shared" si="17"/>
        <v>0</v>
      </c>
      <c r="AR90" s="120">
        <f t="shared" ca="1" si="20"/>
        <v>45611.582562152777</v>
      </c>
      <c r="AS90" s="120">
        <f t="shared" si="18"/>
        <v>0</v>
      </c>
    </row>
    <row r="91" spans="1:48" x14ac:dyDescent="0.25">
      <c r="E91" s="2">
        <f t="shared" ca="1" si="15"/>
        <v>45611.582562152777</v>
      </c>
      <c r="F91" s="2">
        <f t="shared" ca="1" si="16"/>
        <v>0</v>
      </c>
      <c r="G91" s="80"/>
      <c r="H91" s="80" t="str">
        <f>IF(ISBLANK(G91), "", VLOOKUP(VLOOKUP(G91, NHLTeams!$B$2:$F$33, 4,FALSE), Conferences!$A$2:$B$3, 2,FALSE))</f>
        <v/>
      </c>
      <c r="I91" s="80" t="str">
        <f>IF(ISBLANK(G91), "", VLOOKUP(VLOOKUP(G91, NHLTeams!$B$2:$F$33, 5, FALSE), Divisions!$A$2:$B$5, 2, FALSE))</f>
        <v/>
      </c>
      <c r="AF91">
        <f t="shared" si="19"/>
        <v>0</v>
      </c>
      <c r="AG91">
        <f t="shared" si="17"/>
        <v>0</v>
      </c>
      <c r="AR91" s="120">
        <f t="shared" ca="1" si="20"/>
        <v>45611.582562152777</v>
      </c>
      <c r="AS91" s="120">
        <f t="shared" si="18"/>
        <v>0</v>
      </c>
    </row>
    <row r="92" spans="1:48" x14ac:dyDescent="0.25">
      <c r="E92" s="2">
        <f t="shared" ca="1" si="15"/>
        <v>45611.582562152777</v>
      </c>
      <c r="F92" s="2">
        <f t="shared" ca="1" si="16"/>
        <v>0</v>
      </c>
      <c r="G92" s="80"/>
      <c r="H92" s="80" t="str">
        <f>IF(ISBLANK(G92), "", VLOOKUP(VLOOKUP(G92, NHLTeams!$B$2:$F$33, 4,FALSE), Conferences!$A$2:$B$3, 2,FALSE))</f>
        <v/>
      </c>
      <c r="I92" s="80" t="str">
        <f>IF(ISBLANK(G92), "", VLOOKUP(VLOOKUP(G92, NHLTeams!$B$2:$F$33, 5, FALSE), Divisions!$A$2:$B$5, 2, FALSE))</f>
        <v/>
      </c>
      <c r="AF92">
        <f t="shared" si="19"/>
        <v>0</v>
      </c>
      <c r="AG92">
        <f t="shared" si="17"/>
        <v>0</v>
      </c>
      <c r="AR92" s="120">
        <f t="shared" ca="1" si="20"/>
        <v>45611.582562152777</v>
      </c>
      <c r="AS92" s="120">
        <f t="shared" si="18"/>
        <v>0</v>
      </c>
    </row>
    <row r="93" spans="1:48" x14ac:dyDescent="0.25">
      <c r="E93" s="2">
        <f t="shared" ca="1" si="15"/>
        <v>45611.582562152777</v>
      </c>
      <c r="F93" s="2">
        <f t="shared" ca="1" si="16"/>
        <v>0</v>
      </c>
      <c r="G93" s="80"/>
      <c r="H93" s="80" t="str">
        <f>IF(ISBLANK(G93), "", VLOOKUP(VLOOKUP(G93, NHLTeams!$B$2:$F$33, 4,FALSE), Conferences!$A$2:$B$3, 2,FALSE))</f>
        <v/>
      </c>
      <c r="I93" s="80" t="str">
        <f>IF(ISBLANK(G93), "", VLOOKUP(VLOOKUP(G93, NHLTeams!$B$2:$F$33, 5, FALSE), Divisions!$A$2:$B$5, 2, FALSE))</f>
        <v/>
      </c>
      <c r="AF93">
        <f t="shared" si="19"/>
        <v>0</v>
      </c>
      <c r="AG93">
        <f t="shared" si="17"/>
        <v>0</v>
      </c>
    </row>
    <row r="94" spans="1:48" x14ac:dyDescent="0.25">
      <c r="E94" s="2">
        <f t="shared" ca="1" si="15"/>
        <v>45611.582562152777</v>
      </c>
      <c r="F94" s="2">
        <f t="shared" ca="1" si="16"/>
        <v>0</v>
      </c>
      <c r="G94" s="80"/>
      <c r="H94" s="80" t="str">
        <f>IF(ISBLANK(G94), "", VLOOKUP(VLOOKUP(G94, NHLTeams!$B$2:$F$33, 4,FALSE), Conferences!$A$2:$B$3, 2,FALSE))</f>
        <v/>
      </c>
      <c r="I94" s="80" t="str">
        <f>IF(ISBLANK(G94), "", VLOOKUP(VLOOKUP(G94, NHLTeams!$B$2:$F$33, 5, FALSE), Divisions!$A$2:$B$5, 2, FALSE))</f>
        <v/>
      </c>
      <c r="AF94">
        <f t="shared" si="19"/>
        <v>0</v>
      </c>
      <c r="AG94">
        <f t="shared" si="17"/>
        <v>0</v>
      </c>
    </row>
    <row r="95" spans="1:48" x14ac:dyDescent="0.25">
      <c r="E95" s="2">
        <f t="shared" ca="1" si="15"/>
        <v>45611.582562152777</v>
      </c>
      <c r="F95" s="2">
        <f t="shared" ca="1" si="16"/>
        <v>0</v>
      </c>
      <c r="G95" s="80"/>
      <c r="H95" s="80" t="str">
        <f>IF(ISBLANK(G95), "", VLOOKUP(VLOOKUP(G95, NHLTeams!$B$2:$F$33, 4,FALSE), Conferences!$A$2:$B$3, 2,FALSE))</f>
        <v/>
      </c>
      <c r="I95" s="80" t="str">
        <f>IF(ISBLANK(G95), "", VLOOKUP(VLOOKUP(G95, NHLTeams!$B$2:$F$33, 5, FALSE), Divisions!$A$2:$B$5, 2, FALSE))</f>
        <v/>
      </c>
    </row>
    <row r="96" spans="1:48" x14ac:dyDescent="0.25">
      <c r="E96" s="2">
        <f t="shared" ca="1" si="15"/>
        <v>45611.582562152777</v>
      </c>
      <c r="F96" s="2">
        <f t="shared" ca="1" si="16"/>
        <v>0</v>
      </c>
      <c r="G96" s="80"/>
      <c r="H96" s="80" t="str">
        <f>IF(ISBLANK(G96), "", VLOOKUP(VLOOKUP(G96, NHLTeams!$B$2:$F$33, 4,FALSE), Conferences!$A$2:$B$3, 2,FALSE))</f>
        <v/>
      </c>
      <c r="I96" s="80" t="str">
        <f>IF(ISBLANK(G96), "", VLOOKUP(VLOOKUP(G96, NHLTeams!$B$2:$F$33, 5, FALSE), Divisions!$A$2:$B$5, 2, FALSE))</f>
        <v/>
      </c>
    </row>
    <row r="97" spans="5:9" x14ac:dyDescent="0.25">
      <c r="E97" s="2">
        <f t="shared" ca="1" si="15"/>
        <v>45611.582562152777</v>
      </c>
      <c r="F97" s="2">
        <f t="shared" ca="1" si="16"/>
        <v>0</v>
      </c>
      <c r="G97" s="80"/>
      <c r="H97" s="80" t="str">
        <f>IF(ISBLANK(G97), "", VLOOKUP(VLOOKUP(G97, NHLTeams!$B$2:$F$33, 4,FALSE), Conferences!$A$2:$B$3, 2,FALSE))</f>
        <v/>
      </c>
      <c r="I97" s="80" t="str">
        <f>IF(ISBLANK(G97), "", VLOOKUP(VLOOKUP(G97, NHLTeams!$B$2:$F$33, 5, FALSE), Divisions!$A$2:$B$5, 2, FALSE))</f>
        <v/>
      </c>
    </row>
    <row r="98" spans="5:9" x14ac:dyDescent="0.25">
      <c r="E98" s="2">
        <f t="shared" ca="1" si="15"/>
        <v>45611.582562152777</v>
      </c>
      <c r="F98" s="2">
        <f t="shared" ca="1" si="16"/>
        <v>0</v>
      </c>
      <c r="G98" s="80"/>
      <c r="H98" s="80" t="str">
        <f>IF(ISBLANK(G98), "", VLOOKUP(VLOOKUP(G98, NHLTeams!$B$2:$F$33, 4,FALSE), Conferences!$A$2:$B$3, 2,FALSE))</f>
        <v/>
      </c>
      <c r="I98" s="80" t="str">
        <f>IF(ISBLANK(G98), "", VLOOKUP(VLOOKUP(G98, NHLTeams!$B$2:$F$33, 5, FALSE), Divisions!$A$2:$B$5, 2, FALSE))</f>
        <v/>
      </c>
    </row>
    <row r="99" spans="5:9" x14ac:dyDescent="0.25">
      <c r="E99" s="2">
        <f t="shared" ca="1" si="15"/>
        <v>45611.582562152777</v>
      </c>
      <c r="F99" s="2">
        <f t="shared" ca="1" si="16"/>
        <v>0</v>
      </c>
      <c r="G99" s="80"/>
      <c r="H99" s="80" t="str">
        <f>IF(ISBLANK(G99), "", VLOOKUP(VLOOKUP(G99, NHLTeams!$B$2:$F$33, 4,FALSE), Conferences!$A$2:$B$3, 2,FALSE))</f>
        <v/>
      </c>
      <c r="I99" s="80" t="str">
        <f>IF(ISBLANK(G99), "", VLOOKUP(VLOOKUP(G99, NHLTeams!$B$2:$F$33, 5, FALSE), Divisions!$A$2:$B$5, 2, FALSE))</f>
        <v/>
      </c>
    </row>
    <row r="100" spans="5:9" x14ac:dyDescent="0.25">
      <c r="E100" s="2">
        <f t="shared" ca="1" si="15"/>
        <v>45611.582562152777</v>
      </c>
      <c r="F100" s="2">
        <f t="shared" ca="1" si="16"/>
        <v>0</v>
      </c>
      <c r="G100" s="80"/>
      <c r="H100" s="80" t="str">
        <f>IF(ISBLANK(G100), "", VLOOKUP(VLOOKUP(G100, NHLTeams!$B$2:$F$33, 4,FALSE), Conferences!$A$2:$B$3, 2,FALSE))</f>
        <v/>
      </c>
      <c r="I100" s="80" t="str">
        <f>IF(ISBLANK(G100), "", VLOOKUP(VLOOKUP(G100, NHLTeams!$B$2:$F$33, 5, FALSE), Divisions!$A$2:$B$5, 2, FALSE))</f>
        <v/>
      </c>
    </row>
    <row r="101" spans="5:9" x14ac:dyDescent="0.25">
      <c r="E101" s="2">
        <f t="shared" ca="1" si="15"/>
        <v>45611.582562152777</v>
      </c>
      <c r="F101" s="2">
        <f t="shared" ca="1" si="16"/>
        <v>0</v>
      </c>
      <c r="G101" s="80"/>
      <c r="H101" s="80" t="str">
        <f>IF(ISBLANK(G101), "", VLOOKUP(VLOOKUP(G101, NHLTeams!$B$2:$F$33, 4,FALSE), Conferences!$A$2:$B$3, 2,FALSE))</f>
        <v/>
      </c>
      <c r="I101" s="80" t="str">
        <f>IF(ISBLANK(G101), "", VLOOKUP(VLOOKUP(G101, NHLTeams!$B$2:$F$33, 5, FALSE), Divisions!$A$2:$B$5, 2, FALSE))</f>
        <v/>
      </c>
    </row>
    <row r="102" spans="5:9" x14ac:dyDescent="0.25">
      <c r="G102" s="80"/>
      <c r="H102" s="80" t="str">
        <f>IF(ISBLANK(G102), "", VLOOKUP(VLOOKUP(G102, NHLTeams!$B$2:$F$33, 4,FALSE), Conferences!$A$2:$B$3, 2,FALSE))</f>
        <v/>
      </c>
      <c r="I102" s="80" t="str">
        <f>IF(ISBLANK(G102), "", VLOOKUP(VLOOKUP(G102, NHLTeams!$B$2:$F$33, 5, FALSE), Divisions!$A$2:$B$5, 2, FALSE))</f>
        <v/>
      </c>
    </row>
    <row r="103" spans="5:9" x14ac:dyDescent="0.25">
      <c r="G103" s="80"/>
      <c r="H103" s="80"/>
      <c r="I103" s="80"/>
    </row>
    <row r="104" spans="5:9" x14ac:dyDescent="0.25">
      <c r="G104" s="80"/>
      <c r="H104" s="80"/>
      <c r="I104" s="80"/>
    </row>
  </sheetData>
  <conditionalFormatting sqref="AL2:AL101">
    <cfRule type="cellIs" dxfId="16" priority="2" operator="greaterThan">
      <formula>35280</formula>
    </cfRule>
    <cfRule type="cellIs" dxfId="15" priority="3" operator="lessThan">
      <formula>34549</formula>
    </cfRule>
    <cfRule type="cellIs" dxfId="14" priority="4" operator="between">
      <formula>34549</formula>
      <formula>35280</formula>
    </cfRule>
  </conditionalFormatting>
  <conditionalFormatting sqref="AS1:AS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B35CC-8FF6-48F7-92D9-7F0DE2910AA1}">
  <dimension ref="A1:E110"/>
  <sheetViews>
    <sheetView workbookViewId="0">
      <selection activeCell="D103" sqref="D103"/>
    </sheetView>
  </sheetViews>
  <sheetFormatPr defaultRowHeight="15" x14ac:dyDescent="0.25"/>
  <cols>
    <col min="1" max="1" width="13.85546875" customWidth="1"/>
    <col min="3" max="3" width="11.7109375" customWidth="1"/>
    <col min="4" max="4" width="52.28515625" customWidth="1"/>
    <col min="5" max="5" width="91.28515625" bestFit="1" customWidth="1"/>
  </cols>
  <sheetData>
    <row r="1" spans="1:5" x14ac:dyDescent="0.25">
      <c r="A1" t="s">
        <v>489</v>
      </c>
      <c r="B1" t="s">
        <v>488</v>
      </c>
      <c r="C1" t="s">
        <v>495</v>
      </c>
      <c r="D1" t="s">
        <v>490</v>
      </c>
      <c r="E1" t="s">
        <v>491</v>
      </c>
    </row>
    <row r="2" spans="1:5" x14ac:dyDescent="0.25">
      <c r="A2">
        <v>0</v>
      </c>
      <c r="B2">
        <v>9</v>
      </c>
      <c r="C2" t="s">
        <v>496</v>
      </c>
      <c r="D2" t="s">
        <v>494</v>
      </c>
      <c r="E2" t="s">
        <v>695</v>
      </c>
    </row>
    <row r="3" spans="1:5" x14ac:dyDescent="0.25">
      <c r="A3">
        <v>1</v>
      </c>
      <c r="B3">
        <v>9</v>
      </c>
      <c r="C3" t="s">
        <v>522</v>
      </c>
      <c r="D3" t="s">
        <v>493</v>
      </c>
      <c r="E3" t="s">
        <v>696</v>
      </c>
    </row>
    <row r="4" spans="1:5" x14ac:dyDescent="0.25">
      <c r="A4">
        <v>2</v>
      </c>
      <c r="B4">
        <v>9</v>
      </c>
      <c r="C4" t="s">
        <v>497</v>
      </c>
      <c r="D4" t="s">
        <v>492</v>
      </c>
      <c r="E4" t="s">
        <v>695</v>
      </c>
    </row>
    <row r="5" spans="1:5" x14ac:dyDescent="0.25">
      <c r="A5">
        <v>3</v>
      </c>
      <c r="B5">
        <v>16</v>
      </c>
      <c r="C5" t="s">
        <v>496</v>
      </c>
      <c r="D5" t="s">
        <v>498</v>
      </c>
      <c r="E5" t="s">
        <v>562</v>
      </c>
    </row>
    <row r="6" spans="1:5" x14ac:dyDescent="0.25">
      <c r="A6">
        <v>4</v>
      </c>
      <c r="B6">
        <v>16</v>
      </c>
      <c r="C6" t="s">
        <v>521</v>
      </c>
      <c r="D6" t="s">
        <v>502</v>
      </c>
      <c r="E6" t="s">
        <v>561</v>
      </c>
    </row>
    <row r="7" spans="1:5" x14ac:dyDescent="0.25">
      <c r="A7">
        <v>5</v>
      </c>
      <c r="B7">
        <v>16</v>
      </c>
      <c r="C7" t="s">
        <v>497</v>
      </c>
      <c r="D7" t="s">
        <v>503</v>
      </c>
      <c r="E7" t="s">
        <v>560</v>
      </c>
    </row>
    <row r="8" spans="1:5" x14ac:dyDescent="0.25">
      <c r="A8">
        <v>6</v>
      </c>
      <c r="B8">
        <v>13</v>
      </c>
      <c r="C8" t="s">
        <v>496</v>
      </c>
      <c r="D8" t="s">
        <v>504</v>
      </c>
      <c r="E8" t="s">
        <v>559</v>
      </c>
    </row>
    <row r="9" spans="1:5" x14ac:dyDescent="0.25">
      <c r="A9">
        <v>7</v>
      </c>
      <c r="B9">
        <v>13</v>
      </c>
      <c r="C9" t="s">
        <v>522</v>
      </c>
      <c r="D9" t="s">
        <v>505</v>
      </c>
      <c r="E9" t="s">
        <v>558</v>
      </c>
    </row>
    <row r="10" spans="1:5" x14ac:dyDescent="0.25">
      <c r="A10">
        <v>8</v>
      </c>
      <c r="B10">
        <v>13</v>
      </c>
      <c r="C10" t="s">
        <v>521</v>
      </c>
      <c r="D10" t="s">
        <v>506</v>
      </c>
      <c r="E10" t="s">
        <v>557</v>
      </c>
    </row>
    <row r="11" spans="1:5" x14ac:dyDescent="0.25">
      <c r="A11">
        <v>9</v>
      </c>
      <c r="B11">
        <v>13</v>
      </c>
      <c r="C11" t="s">
        <v>497</v>
      </c>
      <c r="D11" t="s">
        <v>507</v>
      </c>
      <c r="E11" t="s">
        <v>556</v>
      </c>
    </row>
    <row r="12" spans="1:5" x14ac:dyDescent="0.25">
      <c r="A12">
        <v>10</v>
      </c>
      <c r="B12">
        <v>30</v>
      </c>
      <c r="C12" t="s">
        <v>496</v>
      </c>
      <c r="D12" t="s">
        <v>508</v>
      </c>
      <c r="E12" t="s">
        <v>555</v>
      </c>
    </row>
    <row r="13" spans="1:5" x14ac:dyDescent="0.25">
      <c r="A13">
        <v>11</v>
      </c>
      <c r="B13">
        <v>30</v>
      </c>
      <c r="C13" t="s">
        <v>521</v>
      </c>
      <c r="D13" t="s">
        <v>509</v>
      </c>
      <c r="E13" t="s">
        <v>554</v>
      </c>
    </row>
    <row r="14" spans="1:5" x14ac:dyDescent="0.25">
      <c r="A14">
        <v>12</v>
      </c>
      <c r="B14">
        <v>30</v>
      </c>
      <c r="C14" t="s">
        <v>497</v>
      </c>
      <c r="D14" t="s">
        <v>510</v>
      </c>
      <c r="E14" t="s">
        <v>553</v>
      </c>
    </row>
    <row r="15" spans="1:5" x14ac:dyDescent="0.25">
      <c r="A15">
        <v>13</v>
      </c>
      <c r="B15">
        <v>20</v>
      </c>
      <c r="C15" t="s">
        <v>496</v>
      </c>
      <c r="D15" t="s">
        <v>511</v>
      </c>
      <c r="E15" t="s">
        <v>552</v>
      </c>
    </row>
    <row r="16" spans="1:5" x14ac:dyDescent="0.25">
      <c r="A16">
        <v>14</v>
      </c>
      <c r="B16">
        <v>20</v>
      </c>
      <c r="C16" t="s">
        <v>521</v>
      </c>
      <c r="D16" t="s">
        <v>512</v>
      </c>
      <c r="E16" t="s">
        <v>551</v>
      </c>
    </row>
    <row r="17" spans="1:5" x14ac:dyDescent="0.25">
      <c r="A17">
        <v>15</v>
      </c>
      <c r="B17">
        <v>20</v>
      </c>
      <c r="C17" t="s">
        <v>522</v>
      </c>
      <c r="D17" t="s">
        <v>513</v>
      </c>
      <c r="E17" t="s">
        <v>550</v>
      </c>
    </row>
    <row r="18" spans="1:5" x14ac:dyDescent="0.25">
      <c r="A18">
        <v>16</v>
      </c>
      <c r="B18">
        <v>20</v>
      </c>
      <c r="C18" t="s">
        <v>497</v>
      </c>
      <c r="D18" t="s">
        <v>514</v>
      </c>
      <c r="E18" t="s">
        <v>549</v>
      </c>
    </row>
    <row r="19" spans="1:5" x14ac:dyDescent="0.25">
      <c r="A19">
        <v>17</v>
      </c>
      <c r="B19">
        <v>28</v>
      </c>
      <c r="C19" t="s">
        <v>496</v>
      </c>
      <c r="D19" t="s">
        <v>515</v>
      </c>
      <c r="E19" t="s">
        <v>548</v>
      </c>
    </row>
    <row r="20" spans="1:5" x14ac:dyDescent="0.25">
      <c r="A20">
        <v>18</v>
      </c>
      <c r="B20">
        <v>28</v>
      </c>
      <c r="C20" t="s">
        <v>522</v>
      </c>
      <c r="D20" t="s">
        <v>516</v>
      </c>
      <c r="E20" t="s">
        <v>547</v>
      </c>
    </row>
    <row r="21" spans="1:5" x14ac:dyDescent="0.25">
      <c r="A21">
        <v>19</v>
      </c>
      <c r="B21">
        <v>28</v>
      </c>
      <c r="C21" t="s">
        <v>497</v>
      </c>
      <c r="D21" t="s">
        <v>517</v>
      </c>
      <c r="E21" t="s">
        <v>546</v>
      </c>
    </row>
    <row r="22" spans="1:5" x14ac:dyDescent="0.25">
      <c r="A22">
        <v>20</v>
      </c>
      <c r="B22">
        <v>26</v>
      </c>
      <c r="C22" t="s">
        <v>496</v>
      </c>
      <c r="D22" t="s">
        <v>518</v>
      </c>
      <c r="E22" t="s">
        <v>545</v>
      </c>
    </row>
    <row r="23" spans="1:5" x14ac:dyDescent="0.25">
      <c r="A23">
        <v>21</v>
      </c>
      <c r="B23">
        <v>26</v>
      </c>
      <c r="C23" t="s">
        <v>522</v>
      </c>
      <c r="D23" t="s">
        <v>519</v>
      </c>
      <c r="E23" t="s">
        <v>544</v>
      </c>
    </row>
    <row r="24" spans="1:5" x14ac:dyDescent="0.25">
      <c r="A24">
        <v>22</v>
      </c>
      <c r="B24">
        <v>26</v>
      </c>
      <c r="C24" t="s">
        <v>497</v>
      </c>
      <c r="D24" t="s">
        <v>520</v>
      </c>
      <c r="E24" t="s">
        <v>543</v>
      </c>
    </row>
    <row r="25" spans="1:5" x14ac:dyDescent="0.25">
      <c r="A25">
        <v>23</v>
      </c>
      <c r="B25">
        <v>14</v>
      </c>
      <c r="C25" t="s">
        <v>496</v>
      </c>
      <c r="D25" t="s">
        <v>523</v>
      </c>
      <c r="E25" t="s">
        <v>542</v>
      </c>
    </row>
    <row r="26" spans="1:5" x14ac:dyDescent="0.25">
      <c r="A26">
        <v>24</v>
      </c>
      <c r="B26">
        <v>14</v>
      </c>
      <c r="C26" t="s">
        <v>522</v>
      </c>
      <c r="D26" t="s">
        <v>524</v>
      </c>
      <c r="E26" t="s">
        <v>541</v>
      </c>
    </row>
    <row r="27" spans="1:5" x14ac:dyDescent="0.25">
      <c r="A27">
        <v>25</v>
      </c>
      <c r="B27">
        <v>14</v>
      </c>
      <c r="C27" t="s">
        <v>521</v>
      </c>
      <c r="D27" t="s">
        <v>525</v>
      </c>
      <c r="E27" t="s">
        <v>540</v>
      </c>
    </row>
    <row r="28" spans="1:5" x14ac:dyDescent="0.25">
      <c r="A28">
        <v>26</v>
      </c>
      <c r="B28">
        <v>14</v>
      </c>
      <c r="C28" t="s">
        <v>497</v>
      </c>
      <c r="D28" t="s">
        <v>526</v>
      </c>
      <c r="E28" t="s">
        <v>539</v>
      </c>
    </row>
    <row r="29" spans="1:5" x14ac:dyDescent="0.25">
      <c r="A29">
        <v>27</v>
      </c>
      <c r="B29">
        <v>22</v>
      </c>
      <c r="C29" t="s">
        <v>496</v>
      </c>
      <c r="D29" t="s">
        <v>527</v>
      </c>
      <c r="E29" t="s">
        <v>537</v>
      </c>
    </row>
    <row r="30" spans="1:5" x14ac:dyDescent="0.25">
      <c r="A30">
        <v>28</v>
      </c>
      <c r="B30">
        <v>22</v>
      </c>
      <c r="C30" t="s">
        <v>521</v>
      </c>
      <c r="D30" t="s">
        <v>528</v>
      </c>
      <c r="E30" t="s">
        <v>538</v>
      </c>
    </row>
    <row r="31" spans="1:5" x14ac:dyDescent="0.25">
      <c r="A31">
        <v>29</v>
      </c>
      <c r="B31">
        <v>22</v>
      </c>
      <c r="C31" t="s">
        <v>497</v>
      </c>
      <c r="D31" t="s">
        <v>529</v>
      </c>
      <c r="E31" t="s">
        <v>537</v>
      </c>
    </row>
    <row r="32" spans="1:5" x14ac:dyDescent="0.25">
      <c r="A32">
        <v>30</v>
      </c>
      <c r="B32">
        <v>32</v>
      </c>
      <c r="C32" t="s">
        <v>496</v>
      </c>
      <c r="D32" t="s">
        <v>530</v>
      </c>
      <c r="E32" t="s">
        <v>536</v>
      </c>
    </row>
    <row r="33" spans="1:5" x14ac:dyDescent="0.25">
      <c r="A33">
        <v>31</v>
      </c>
      <c r="B33">
        <v>32</v>
      </c>
      <c r="C33" t="s">
        <v>521</v>
      </c>
      <c r="D33" t="s">
        <v>531</v>
      </c>
      <c r="E33" t="s">
        <v>535</v>
      </c>
    </row>
    <row r="34" spans="1:5" x14ac:dyDescent="0.25">
      <c r="A34">
        <v>32</v>
      </c>
      <c r="B34">
        <v>32</v>
      </c>
      <c r="C34" t="s">
        <v>497</v>
      </c>
      <c r="D34" t="s">
        <v>532</v>
      </c>
      <c r="E34" t="s">
        <v>534</v>
      </c>
    </row>
    <row r="35" spans="1:5" x14ac:dyDescent="0.25">
      <c r="A35">
        <v>33</v>
      </c>
      <c r="B35">
        <v>27</v>
      </c>
      <c r="C35" t="s">
        <v>496</v>
      </c>
      <c r="D35" t="s">
        <v>566</v>
      </c>
      <c r="E35" t="s">
        <v>533</v>
      </c>
    </row>
    <row r="36" spans="1:5" x14ac:dyDescent="0.25">
      <c r="A36">
        <v>34</v>
      </c>
      <c r="B36">
        <v>27</v>
      </c>
      <c r="C36" t="s">
        <v>522</v>
      </c>
      <c r="D36" t="s">
        <v>567</v>
      </c>
      <c r="E36" t="s">
        <v>563</v>
      </c>
    </row>
    <row r="37" spans="1:5" x14ac:dyDescent="0.25">
      <c r="A37">
        <v>35</v>
      </c>
      <c r="B37">
        <v>27</v>
      </c>
      <c r="C37" t="s">
        <v>521</v>
      </c>
      <c r="D37" t="s">
        <v>568</v>
      </c>
      <c r="E37" t="s">
        <v>564</v>
      </c>
    </row>
    <row r="38" spans="1:5" x14ac:dyDescent="0.25">
      <c r="A38">
        <v>36</v>
      </c>
      <c r="B38">
        <v>27</v>
      </c>
      <c r="C38" t="s">
        <v>497</v>
      </c>
      <c r="D38" t="s">
        <v>569</v>
      </c>
      <c r="E38" t="s">
        <v>565</v>
      </c>
    </row>
    <row r="39" spans="1:5" x14ac:dyDescent="0.25">
      <c r="A39">
        <v>37</v>
      </c>
      <c r="B39">
        <v>29</v>
      </c>
      <c r="C39" t="s">
        <v>496</v>
      </c>
      <c r="D39" t="s">
        <v>570</v>
      </c>
      <c r="E39" t="s">
        <v>575</v>
      </c>
    </row>
    <row r="40" spans="1:5" x14ac:dyDescent="0.25">
      <c r="A40">
        <v>38</v>
      </c>
      <c r="B40">
        <v>29</v>
      </c>
      <c r="C40" t="s">
        <v>521</v>
      </c>
      <c r="D40" t="s">
        <v>571</v>
      </c>
      <c r="E40" t="s">
        <v>576</v>
      </c>
    </row>
    <row r="41" spans="1:5" x14ac:dyDescent="0.25">
      <c r="A41">
        <v>39</v>
      </c>
      <c r="B41">
        <v>29</v>
      </c>
      <c r="C41" t="s">
        <v>497</v>
      </c>
      <c r="D41" t="s">
        <v>572</v>
      </c>
      <c r="E41" t="s">
        <v>577</v>
      </c>
    </row>
    <row r="42" spans="1:5" x14ac:dyDescent="0.25">
      <c r="A42">
        <v>40</v>
      </c>
      <c r="B42">
        <v>25</v>
      </c>
      <c r="C42" t="s">
        <v>496</v>
      </c>
      <c r="D42" t="s">
        <v>579</v>
      </c>
      <c r="E42" t="s">
        <v>573</v>
      </c>
    </row>
    <row r="43" spans="1:5" x14ac:dyDescent="0.25">
      <c r="A43">
        <v>41</v>
      </c>
      <c r="B43">
        <v>25</v>
      </c>
      <c r="C43" t="s">
        <v>521</v>
      </c>
      <c r="D43" t="s">
        <v>580</v>
      </c>
      <c r="E43" t="s">
        <v>578</v>
      </c>
    </row>
    <row r="44" spans="1:5" x14ac:dyDescent="0.25">
      <c r="A44">
        <v>42</v>
      </c>
      <c r="B44">
        <v>25</v>
      </c>
      <c r="C44" t="s">
        <v>497</v>
      </c>
      <c r="D44" t="s">
        <v>581</v>
      </c>
      <c r="E44" t="s">
        <v>574</v>
      </c>
    </row>
    <row r="45" spans="1:5" x14ac:dyDescent="0.25">
      <c r="A45">
        <v>43</v>
      </c>
      <c r="B45">
        <v>23</v>
      </c>
      <c r="C45" t="s">
        <v>496</v>
      </c>
      <c r="D45" t="s">
        <v>586</v>
      </c>
      <c r="E45" t="s">
        <v>582</v>
      </c>
    </row>
    <row r="46" spans="1:5" x14ac:dyDescent="0.25">
      <c r="A46">
        <v>44</v>
      </c>
      <c r="B46">
        <v>23</v>
      </c>
      <c r="C46" t="s">
        <v>521</v>
      </c>
      <c r="D46" t="s">
        <v>587</v>
      </c>
      <c r="E46" t="s">
        <v>584</v>
      </c>
    </row>
    <row r="47" spans="1:5" x14ac:dyDescent="0.25">
      <c r="A47">
        <v>45</v>
      </c>
      <c r="B47">
        <v>23</v>
      </c>
      <c r="C47" t="s">
        <v>522</v>
      </c>
      <c r="D47" t="s">
        <v>588</v>
      </c>
      <c r="E47" t="s">
        <v>585</v>
      </c>
    </row>
    <row r="48" spans="1:5" x14ac:dyDescent="0.25">
      <c r="A48">
        <v>46</v>
      </c>
      <c r="B48">
        <v>23</v>
      </c>
      <c r="C48" t="s">
        <v>497</v>
      </c>
      <c r="D48" t="s">
        <v>589</v>
      </c>
      <c r="E48" t="s">
        <v>583</v>
      </c>
    </row>
    <row r="49" spans="1:5" x14ac:dyDescent="0.25">
      <c r="A49">
        <v>47</v>
      </c>
      <c r="B49">
        <v>18</v>
      </c>
      <c r="C49" t="s">
        <v>496</v>
      </c>
      <c r="D49" t="s">
        <v>594</v>
      </c>
      <c r="E49" t="s">
        <v>590</v>
      </c>
    </row>
    <row r="50" spans="1:5" x14ac:dyDescent="0.25">
      <c r="A50">
        <v>48</v>
      </c>
      <c r="B50">
        <v>18</v>
      </c>
      <c r="C50" t="s">
        <v>522</v>
      </c>
      <c r="D50" t="s">
        <v>595</v>
      </c>
      <c r="E50" t="s">
        <v>591</v>
      </c>
    </row>
    <row r="51" spans="1:5" x14ac:dyDescent="0.25">
      <c r="A51">
        <v>49</v>
      </c>
      <c r="B51">
        <v>18</v>
      </c>
      <c r="C51" t="s">
        <v>521</v>
      </c>
      <c r="D51" t="s">
        <v>596</v>
      </c>
      <c r="E51" t="s">
        <v>592</v>
      </c>
    </row>
    <row r="52" spans="1:5" x14ac:dyDescent="0.25">
      <c r="A52">
        <v>50</v>
      </c>
      <c r="B52">
        <v>18</v>
      </c>
      <c r="C52" t="s">
        <v>497</v>
      </c>
      <c r="D52" t="s">
        <v>597</v>
      </c>
      <c r="E52" t="s">
        <v>593</v>
      </c>
    </row>
    <row r="53" spans="1:5" x14ac:dyDescent="0.25">
      <c r="A53">
        <v>51</v>
      </c>
      <c r="B53">
        <v>19</v>
      </c>
      <c r="C53" t="s">
        <v>496</v>
      </c>
      <c r="D53" t="s">
        <v>601</v>
      </c>
      <c r="E53" t="s">
        <v>598</v>
      </c>
    </row>
    <row r="54" spans="1:5" x14ac:dyDescent="0.25">
      <c r="A54">
        <v>52</v>
      </c>
      <c r="B54">
        <v>19</v>
      </c>
      <c r="C54" t="s">
        <v>521</v>
      </c>
      <c r="D54" t="s">
        <v>602</v>
      </c>
      <c r="E54" t="s">
        <v>600</v>
      </c>
    </row>
    <row r="55" spans="1:5" x14ac:dyDescent="0.25">
      <c r="A55">
        <v>53</v>
      </c>
      <c r="B55">
        <v>19</v>
      </c>
      <c r="C55" t="s">
        <v>497</v>
      </c>
      <c r="D55" t="s">
        <v>603</v>
      </c>
      <c r="E55" t="s">
        <v>599</v>
      </c>
    </row>
    <row r="56" spans="1:5" x14ac:dyDescent="0.25">
      <c r="A56">
        <v>54</v>
      </c>
      <c r="B56">
        <v>17</v>
      </c>
      <c r="C56" t="s">
        <v>496</v>
      </c>
      <c r="D56" t="s">
        <v>608</v>
      </c>
      <c r="E56" t="s">
        <v>604</v>
      </c>
    </row>
    <row r="57" spans="1:5" x14ac:dyDescent="0.25">
      <c r="A57">
        <v>55</v>
      </c>
      <c r="B57">
        <v>17</v>
      </c>
      <c r="C57" t="s">
        <v>522</v>
      </c>
      <c r="D57" t="s">
        <v>609</v>
      </c>
      <c r="E57" t="s">
        <v>605</v>
      </c>
    </row>
    <row r="58" spans="1:5" x14ac:dyDescent="0.25">
      <c r="A58">
        <v>56</v>
      </c>
      <c r="B58">
        <v>17</v>
      </c>
      <c r="C58" t="s">
        <v>521</v>
      </c>
      <c r="D58" t="s">
        <v>610</v>
      </c>
      <c r="E58" t="s">
        <v>606</v>
      </c>
    </row>
    <row r="59" spans="1:5" x14ac:dyDescent="0.25">
      <c r="A59">
        <v>57</v>
      </c>
      <c r="B59">
        <v>17</v>
      </c>
      <c r="C59" t="s">
        <v>497</v>
      </c>
      <c r="D59" t="s">
        <v>611</v>
      </c>
      <c r="E59" t="s">
        <v>607</v>
      </c>
    </row>
    <row r="60" spans="1:5" x14ac:dyDescent="0.25">
      <c r="A60">
        <v>58</v>
      </c>
      <c r="B60">
        <v>31</v>
      </c>
      <c r="C60" t="s">
        <v>496</v>
      </c>
      <c r="D60" t="s">
        <v>614</v>
      </c>
      <c r="E60" t="s">
        <v>612</v>
      </c>
    </row>
    <row r="61" spans="1:5" x14ac:dyDescent="0.25">
      <c r="A61">
        <v>59</v>
      </c>
      <c r="B61">
        <v>31</v>
      </c>
      <c r="C61" t="s">
        <v>521</v>
      </c>
      <c r="D61" t="s">
        <v>615</v>
      </c>
      <c r="E61" t="s">
        <v>613</v>
      </c>
    </row>
    <row r="62" spans="1:5" x14ac:dyDescent="0.25">
      <c r="A62">
        <v>60</v>
      </c>
      <c r="B62">
        <v>31</v>
      </c>
      <c r="C62" t="s">
        <v>497</v>
      </c>
      <c r="D62" t="s">
        <v>616</v>
      </c>
      <c r="E62" t="s">
        <v>612</v>
      </c>
    </row>
    <row r="63" spans="1:5" x14ac:dyDescent="0.25">
      <c r="A63">
        <v>61</v>
      </c>
      <c r="B63">
        <v>15</v>
      </c>
      <c r="C63" t="s">
        <v>496</v>
      </c>
      <c r="D63" t="s">
        <v>617</v>
      </c>
      <c r="E63" t="s">
        <v>620</v>
      </c>
    </row>
    <row r="64" spans="1:5" x14ac:dyDescent="0.25">
      <c r="A64">
        <v>62</v>
      </c>
      <c r="B64">
        <v>15</v>
      </c>
      <c r="C64" t="s">
        <v>521</v>
      </c>
      <c r="D64" t="s">
        <v>618</v>
      </c>
      <c r="E64" t="s">
        <v>621</v>
      </c>
    </row>
    <row r="65" spans="1:5" x14ac:dyDescent="0.25">
      <c r="A65">
        <v>63</v>
      </c>
      <c r="B65">
        <v>15</v>
      </c>
      <c r="C65" t="s">
        <v>497</v>
      </c>
      <c r="D65" t="s">
        <v>619</v>
      </c>
      <c r="E65" t="s">
        <v>622</v>
      </c>
    </row>
    <row r="66" spans="1:5" x14ac:dyDescent="0.25">
      <c r="A66">
        <v>64</v>
      </c>
      <c r="B66">
        <v>24</v>
      </c>
      <c r="C66" t="s">
        <v>496</v>
      </c>
      <c r="D66" t="s">
        <v>627</v>
      </c>
      <c r="E66" t="s">
        <v>623</v>
      </c>
    </row>
    <row r="67" spans="1:5" x14ac:dyDescent="0.25">
      <c r="A67">
        <v>65</v>
      </c>
      <c r="B67">
        <v>24</v>
      </c>
      <c r="C67" t="s">
        <v>521</v>
      </c>
      <c r="D67" t="s">
        <v>628</v>
      </c>
      <c r="E67" t="s">
        <v>625</v>
      </c>
    </row>
    <row r="68" spans="1:5" x14ac:dyDescent="0.25">
      <c r="A68">
        <v>66</v>
      </c>
      <c r="B68">
        <v>24</v>
      </c>
      <c r="C68" t="s">
        <v>522</v>
      </c>
      <c r="D68" t="s">
        <v>629</v>
      </c>
      <c r="E68" t="s">
        <v>626</v>
      </c>
    </row>
    <row r="69" spans="1:5" x14ac:dyDescent="0.25">
      <c r="A69">
        <v>67</v>
      </c>
      <c r="B69">
        <v>24</v>
      </c>
      <c r="C69" t="s">
        <v>497</v>
      </c>
      <c r="D69" t="s">
        <v>630</v>
      </c>
      <c r="E69" t="s">
        <v>624</v>
      </c>
    </row>
    <row r="70" spans="1:5" x14ac:dyDescent="0.25">
      <c r="A70">
        <v>68</v>
      </c>
      <c r="B70">
        <v>0</v>
      </c>
      <c r="C70" t="s">
        <v>496</v>
      </c>
      <c r="D70" t="s">
        <v>634</v>
      </c>
      <c r="E70" t="s">
        <v>631</v>
      </c>
    </row>
    <row r="71" spans="1:5" x14ac:dyDescent="0.25">
      <c r="A71">
        <v>69</v>
      </c>
      <c r="B71">
        <v>0</v>
      </c>
      <c r="C71" t="s">
        <v>521</v>
      </c>
      <c r="D71" t="s">
        <v>635</v>
      </c>
      <c r="E71" t="s">
        <v>632</v>
      </c>
    </row>
    <row r="72" spans="1:5" x14ac:dyDescent="0.25">
      <c r="A72">
        <v>70</v>
      </c>
      <c r="B72">
        <v>0</v>
      </c>
      <c r="C72" t="s">
        <v>497</v>
      </c>
      <c r="D72" t="s">
        <v>636</v>
      </c>
      <c r="E72" t="s">
        <v>633</v>
      </c>
    </row>
    <row r="73" spans="1:5" x14ac:dyDescent="0.25">
      <c r="A73">
        <v>71</v>
      </c>
      <c r="B73">
        <v>1</v>
      </c>
      <c r="C73" t="s">
        <v>496</v>
      </c>
      <c r="D73" t="s">
        <v>637</v>
      </c>
      <c r="E73" t="s">
        <v>643</v>
      </c>
    </row>
    <row r="74" spans="1:5" x14ac:dyDescent="0.25">
      <c r="A74">
        <v>72</v>
      </c>
      <c r="B74">
        <v>1</v>
      </c>
      <c r="C74" t="s">
        <v>521</v>
      </c>
      <c r="D74" t="s">
        <v>638</v>
      </c>
      <c r="E74" t="s">
        <v>645</v>
      </c>
    </row>
    <row r="75" spans="1:5" x14ac:dyDescent="0.25">
      <c r="A75">
        <v>73</v>
      </c>
      <c r="B75">
        <v>1</v>
      </c>
      <c r="C75" t="s">
        <v>497</v>
      </c>
      <c r="D75" t="s">
        <v>639</v>
      </c>
      <c r="E75" t="s">
        <v>644</v>
      </c>
    </row>
    <row r="76" spans="1:5" x14ac:dyDescent="0.25">
      <c r="A76">
        <v>74</v>
      </c>
      <c r="B76">
        <v>12</v>
      </c>
      <c r="C76" t="s">
        <v>496</v>
      </c>
      <c r="D76" t="s">
        <v>640</v>
      </c>
      <c r="E76" t="s">
        <v>646</v>
      </c>
    </row>
    <row r="77" spans="1:5" x14ac:dyDescent="0.25">
      <c r="A77">
        <v>75</v>
      </c>
      <c r="B77">
        <v>12</v>
      </c>
      <c r="C77" t="s">
        <v>521</v>
      </c>
      <c r="D77" t="s">
        <v>641</v>
      </c>
      <c r="E77" t="s">
        <v>647</v>
      </c>
    </row>
    <row r="78" spans="1:5" x14ac:dyDescent="0.25">
      <c r="A78">
        <v>76</v>
      </c>
      <c r="B78">
        <v>12</v>
      </c>
      <c r="C78" t="s">
        <v>497</v>
      </c>
      <c r="D78" t="s">
        <v>642</v>
      </c>
      <c r="E78" t="s">
        <v>648</v>
      </c>
    </row>
    <row r="79" spans="1:5" x14ac:dyDescent="0.25">
      <c r="A79">
        <v>77</v>
      </c>
      <c r="B79">
        <v>5</v>
      </c>
      <c r="C79" t="s">
        <v>496</v>
      </c>
      <c r="D79" t="s">
        <v>652</v>
      </c>
      <c r="E79" t="s">
        <v>649</v>
      </c>
    </row>
    <row r="80" spans="1:5" x14ac:dyDescent="0.25">
      <c r="A80">
        <v>78</v>
      </c>
      <c r="B80">
        <v>5</v>
      </c>
      <c r="C80" t="s">
        <v>521</v>
      </c>
      <c r="D80" t="s">
        <v>653</v>
      </c>
      <c r="E80" t="s">
        <v>651</v>
      </c>
    </row>
    <row r="81" spans="1:5" x14ac:dyDescent="0.25">
      <c r="A81">
        <v>79</v>
      </c>
      <c r="B81">
        <v>5</v>
      </c>
      <c r="C81" t="s">
        <v>497</v>
      </c>
      <c r="D81" t="s">
        <v>654</v>
      </c>
      <c r="E81" t="s">
        <v>650</v>
      </c>
    </row>
    <row r="82" spans="1:5" x14ac:dyDescent="0.25">
      <c r="A82">
        <v>80</v>
      </c>
      <c r="B82">
        <v>8</v>
      </c>
      <c r="C82" t="s">
        <v>496</v>
      </c>
      <c r="D82" t="s">
        <v>658</v>
      </c>
      <c r="E82" t="s">
        <v>655</v>
      </c>
    </row>
    <row r="83" spans="1:5" x14ac:dyDescent="0.25">
      <c r="A83">
        <v>81</v>
      </c>
      <c r="B83">
        <v>8</v>
      </c>
      <c r="C83" t="s">
        <v>521</v>
      </c>
      <c r="D83" t="s">
        <v>659</v>
      </c>
      <c r="E83" t="s">
        <v>656</v>
      </c>
    </row>
    <row r="84" spans="1:5" x14ac:dyDescent="0.25">
      <c r="A84">
        <v>82</v>
      </c>
      <c r="B84">
        <v>8</v>
      </c>
      <c r="C84" t="s">
        <v>497</v>
      </c>
      <c r="D84" t="s">
        <v>660</v>
      </c>
      <c r="E84" t="s">
        <v>657</v>
      </c>
    </row>
    <row r="85" spans="1:5" x14ac:dyDescent="0.25">
      <c r="A85">
        <v>83</v>
      </c>
      <c r="B85">
        <v>2</v>
      </c>
      <c r="C85" t="s">
        <v>496</v>
      </c>
      <c r="D85" t="s">
        <v>661</v>
      </c>
      <c r="E85" t="s">
        <v>667</v>
      </c>
    </row>
    <row r="86" spans="1:5" x14ac:dyDescent="0.25">
      <c r="A86">
        <v>84</v>
      </c>
      <c r="B86">
        <v>2</v>
      </c>
      <c r="C86" t="s">
        <v>521</v>
      </c>
      <c r="D86" t="s">
        <v>662</v>
      </c>
      <c r="E86" t="s">
        <v>668</v>
      </c>
    </row>
    <row r="87" spans="1:5" x14ac:dyDescent="0.25">
      <c r="A87">
        <v>85</v>
      </c>
      <c r="B87">
        <v>2</v>
      </c>
      <c r="C87" t="s">
        <v>497</v>
      </c>
      <c r="D87" t="s">
        <v>663</v>
      </c>
      <c r="E87" t="s">
        <v>669</v>
      </c>
    </row>
    <row r="88" spans="1:5" x14ac:dyDescent="0.25">
      <c r="A88">
        <v>86</v>
      </c>
      <c r="B88">
        <v>4</v>
      </c>
      <c r="C88" t="s">
        <v>496</v>
      </c>
      <c r="D88" t="s">
        <v>664</v>
      </c>
      <c r="E88" t="s">
        <v>670</v>
      </c>
    </row>
    <row r="89" spans="1:5" x14ac:dyDescent="0.25">
      <c r="A89">
        <v>87</v>
      </c>
      <c r="B89">
        <v>4</v>
      </c>
      <c r="C89" t="s">
        <v>521</v>
      </c>
      <c r="D89" t="s">
        <v>665</v>
      </c>
      <c r="E89" t="s">
        <v>672</v>
      </c>
    </row>
    <row r="90" spans="1:5" x14ac:dyDescent="0.25">
      <c r="A90">
        <v>88</v>
      </c>
      <c r="B90">
        <v>4</v>
      </c>
      <c r="C90" t="s">
        <v>497</v>
      </c>
      <c r="D90" t="s">
        <v>666</v>
      </c>
      <c r="E90" t="s">
        <v>671</v>
      </c>
    </row>
    <row r="91" spans="1:5" x14ac:dyDescent="0.25">
      <c r="A91">
        <v>89</v>
      </c>
      <c r="B91">
        <v>3</v>
      </c>
      <c r="C91" t="s">
        <v>496</v>
      </c>
      <c r="D91" t="s">
        <v>673</v>
      </c>
      <c r="E91" t="s">
        <v>679</v>
      </c>
    </row>
    <row r="92" spans="1:5" x14ac:dyDescent="0.25">
      <c r="A92">
        <v>90</v>
      </c>
      <c r="B92">
        <v>3</v>
      </c>
      <c r="C92" t="s">
        <v>521</v>
      </c>
      <c r="D92" t="s">
        <v>674</v>
      </c>
      <c r="E92" t="s">
        <v>681</v>
      </c>
    </row>
    <row r="93" spans="1:5" x14ac:dyDescent="0.25">
      <c r="A93">
        <v>91</v>
      </c>
      <c r="B93">
        <v>3</v>
      </c>
      <c r="C93" t="s">
        <v>497</v>
      </c>
      <c r="D93" t="s">
        <v>675</v>
      </c>
      <c r="E93" t="s">
        <v>680</v>
      </c>
    </row>
    <row r="94" spans="1:5" x14ac:dyDescent="0.25">
      <c r="A94">
        <v>92</v>
      </c>
      <c r="B94">
        <v>6</v>
      </c>
      <c r="C94" t="s">
        <v>496</v>
      </c>
      <c r="D94" t="s">
        <v>676</v>
      </c>
      <c r="E94" t="s">
        <v>682</v>
      </c>
    </row>
    <row r="95" spans="1:5" x14ac:dyDescent="0.25">
      <c r="A95">
        <v>93</v>
      </c>
      <c r="B95">
        <v>6</v>
      </c>
      <c r="C95" t="s">
        <v>521</v>
      </c>
      <c r="D95" t="s">
        <v>677</v>
      </c>
      <c r="E95" t="s">
        <v>683</v>
      </c>
    </row>
    <row r="96" spans="1:5" x14ac:dyDescent="0.25">
      <c r="A96">
        <v>94</v>
      </c>
      <c r="B96">
        <v>6</v>
      </c>
      <c r="C96" t="s">
        <v>497</v>
      </c>
      <c r="D96" t="s">
        <v>678</v>
      </c>
      <c r="E96" t="s">
        <v>684</v>
      </c>
    </row>
    <row r="97" spans="1:5" x14ac:dyDescent="0.25">
      <c r="A97">
        <v>95</v>
      </c>
      <c r="B97">
        <v>11</v>
      </c>
      <c r="C97" t="s">
        <v>496</v>
      </c>
      <c r="D97" t="s">
        <v>685</v>
      </c>
      <c r="E97" t="s">
        <v>697</v>
      </c>
    </row>
    <row r="98" spans="1:5" x14ac:dyDescent="0.25">
      <c r="A98">
        <v>96</v>
      </c>
      <c r="B98">
        <v>11</v>
      </c>
      <c r="C98" t="s">
        <v>522</v>
      </c>
      <c r="D98" t="s">
        <v>686</v>
      </c>
      <c r="E98" t="s">
        <v>699</v>
      </c>
    </row>
    <row r="99" spans="1:5" x14ac:dyDescent="0.25">
      <c r="A99">
        <v>97</v>
      </c>
      <c r="B99">
        <v>11</v>
      </c>
      <c r="C99" t="s">
        <v>521</v>
      </c>
      <c r="D99" t="s">
        <v>687</v>
      </c>
      <c r="E99" t="s">
        <v>698</v>
      </c>
    </row>
    <row r="100" spans="1:5" x14ac:dyDescent="0.25">
      <c r="A100">
        <v>98</v>
      </c>
      <c r="B100">
        <v>11</v>
      </c>
      <c r="C100" t="s">
        <v>497</v>
      </c>
      <c r="D100" t="s">
        <v>688</v>
      </c>
      <c r="E100" t="s">
        <v>700</v>
      </c>
    </row>
    <row r="101" spans="1:5" x14ac:dyDescent="0.25">
      <c r="A101">
        <v>99</v>
      </c>
      <c r="B101">
        <v>21</v>
      </c>
      <c r="C101" t="s">
        <v>496</v>
      </c>
      <c r="D101" t="s">
        <v>689</v>
      </c>
      <c r="E101" t="s">
        <v>701</v>
      </c>
    </row>
    <row r="102" spans="1:5" x14ac:dyDescent="0.25">
      <c r="A102">
        <v>100</v>
      </c>
      <c r="B102">
        <v>21</v>
      </c>
      <c r="C102" t="s">
        <v>521</v>
      </c>
      <c r="D102" t="s">
        <v>690</v>
      </c>
      <c r="E102" t="s">
        <v>703</v>
      </c>
    </row>
    <row r="103" spans="1:5" x14ac:dyDescent="0.25">
      <c r="A103">
        <v>101</v>
      </c>
      <c r="B103">
        <v>21</v>
      </c>
      <c r="C103" t="s">
        <v>497</v>
      </c>
      <c r="D103" t="s">
        <v>691</v>
      </c>
      <c r="E103" t="s">
        <v>702</v>
      </c>
    </row>
    <row r="104" spans="1:5" x14ac:dyDescent="0.25">
      <c r="A104">
        <v>102</v>
      </c>
      <c r="B104">
        <v>7</v>
      </c>
      <c r="C104" t="s">
        <v>496</v>
      </c>
      <c r="D104" t="s">
        <v>692</v>
      </c>
      <c r="E104" t="s">
        <v>499</v>
      </c>
    </row>
    <row r="105" spans="1:5" x14ac:dyDescent="0.25">
      <c r="A105">
        <v>103</v>
      </c>
      <c r="B105">
        <v>7</v>
      </c>
      <c r="C105" t="s">
        <v>521</v>
      </c>
      <c r="D105" t="s">
        <v>693</v>
      </c>
      <c r="E105" t="s">
        <v>500</v>
      </c>
    </row>
    <row r="106" spans="1:5" x14ac:dyDescent="0.25">
      <c r="A106">
        <v>104</v>
      </c>
      <c r="B106">
        <v>7</v>
      </c>
      <c r="C106" t="s">
        <v>497</v>
      </c>
      <c r="D106" t="s">
        <v>694</v>
      </c>
      <c r="E106" t="s">
        <v>501</v>
      </c>
    </row>
    <row r="107" spans="1:5" x14ac:dyDescent="0.25">
      <c r="A107">
        <v>105</v>
      </c>
      <c r="B107">
        <v>10</v>
      </c>
      <c r="C107" t="s">
        <v>522</v>
      </c>
      <c r="D107" t="s">
        <v>709</v>
      </c>
      <c r="E107" t="s">
        <v>708</v>
      </c>
    </row>
    <row r="108" spans="1:5" x14ac:dyDescent="0.25">
      <c r="A108">
        <v>106</v>
      </c>
      <c r="B108">
        <v>10</v>
      </c>
      <c r="C108" t="s">
        <v>496</v>
      </c>
      <c r="D108" t="s">
        <v>710</v>
      </c>
      <c r="E108" t="s">
        <v>704</v>
      </c>
    </row>
    <row r="109" spans="1:5" x14ac:dyDescent="0.25">
      <c r="A109">
        <v>107</v>
      </c>
      <c r="B109">
        <v>10</v>
      </c>
      <c r="C109" t="s">
        <v>705</v>
      </c>
      <c r="D109" t="s">
        <v>711</v>
      </c>
      <c r="E109" t="s">
        <v>707</v>
      </c>
    </row>
    <row r="110" spans="1:5" x14ac:dyDescent="0.25">
      <c r="A110">
        <v>108</v>
      </c>
      <c r="B110">
        <v>10</v>
      </c>
      <c r="C110" t="s">
        <v>497</v>
      </c>
      <c r="D110" t="s">
        <v>712</v>
      </c>
      <c r="E110" t="s">
        <v>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4"/>
  <sheetViews>
    <sheetView workbookViewId="0">
      <selection activeCell="C4" sqref="C4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461</v>
      </c>
      <c r="G1" t="s">
        <v>463</v>
      </c>
      <c r="H1" t="s">
        <v>467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683.58256215277652</v>
      </c>
      <c r="F2" s="2" t="s">
        <v>462</v>
      </c>
      <c r="G2" s="2" t="s">
        <v>464</v>
      </c>
      <c r="H2" s="2" t="s">
        <v>468</v>
      </c>
      <c r="I2" s="12" t="s">
        <v>465</v>
      </c>
      <c r="M2">
        <v>19</v>
      </c>
      <c r="N2">
        <v>0</v>
      </c>
      <c r="O2">
        <v>0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9836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B3" s="1">
        <v>45492</v>
      </c>
      <c r="C3" s="1">
        <v>45532</v>
      </c>
      <c r="D3" s="2">
        <f t="shared" ca="1" si="0"/>
        <v>10</v>
      </c>
      <c r="F3" s="2" t="s">
        <v>462</v>
      </c>
      <c r="G3" t="s">
        <v>466</v>
      </c>
      <c r="H3" t="s">
        <v>469</v>
      </c>
      <c r="I3" s="12" t="s">
        <v>465</v>
      </c>
      <c r="J3" t="s">
        <v>53</v>
      </c>
      <c r="K3" t="s">
        <v>470</v>
      </c>
      <c r="L3" t="s">
        <v>471</v>
      </c>
      <c r="Q3" t="s">
        <v>285</v>
      </c>
    </row>
    <row r="4" spans="1:45" x14ac:dyDescent="0.25">
      <c r="A4" s="1">
        <v>45532</v>
      </c>
      <c r="B4" s="1">
        <v>45538</v>
      </c>
      <c r="C4" s="1">
        <v>45552</v>
      </c>
      <c r="F4" s="2" t="s">
        <v>462</v>
      </c>
      <c r="G4" s="2"/>
      <c r="H4" t="s">
        <v>468</v>
      </c>
      <c r="I4" t="s">
        <v>747</v>
      </c>
      <c r="J4" t="s">
        <v>53</v>
      </c>
      <c r="K4" t="s">
        <v>446</v>
      </c>
      <c r="L4" t="s">
        <v>72</v>
      </c>
      <c r="M4">
        <v>34</v>
      </c>
      <c r="N4">
        <v>0</v>
      </c>
      <c r="O4">
        <v>0</v>
      </c>
      <c r="P4" t="s">
        <v>75</v>
      </c>
      <c r="Q4" t="s">
        <v>285</v>
      </c>
    </row>
  </sheetData>
  <conditionalFormatting sqref="AL2">
    <cfRule type="cellIs" dxfId="4" priority="2" operator="greaterThan">
      <formula>35280</formula>
    </cfRule>
    <cfRule type="cellIs" dxfId="3" priority="3" operator="lessThan">
      <formula>34549</formula>
    </cfRule>
    <cfRule type="cellIs" dxfId="2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A4" sqref="A4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A3" t="s">
        <v>790</v>
      </c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4:T27"/>
  <sheetViews>
    <sheetView workbookViewId="0">
      <selection activeCell="K5" sqref="K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  <col min="6" max="6" width="15.85546875" customWidth="1"/>
    <col min="9" max="9" width="9.42578125" bestFit="1" customWidth="1"/>
    <col min="10" max="10" width="13.5703125" bestFit="1" customWidth="1"/>
    <col min="11" max="11" width="16.5703125" bestFit="1" customWidth="1"/>
    <col min="12" max="12" width="14.28515625" bestFit="1" customWidth="1"/>
    <col min="13" max="13" width="15" bestFit="1" customWidth="1"/>
    <col min="14" max="14" width="10.7109375" bestFit="1" customWidth="1"/>
    <col min="15" max="15" width="29" bestFit="1" customWidth="1"/>
    <col min="20" max="20" width="15" bestFit="1" customWidth="1"/>
  </cols>
  <sheetData>
    <row r="4" spans="2:20" x14ac:dyDescent="0.25">
      <c r="G4" t="s">
        <v>4</v>
      </c>
      <c r="H4" t="s">
        <v>285</v>
      </c>
      <c r="I4" t="s">
        <v>262</v>
      </c>
      <c r="J4" t="s">
        <v>330</v>
      </c>
      <c r="K4" t="s">
        <v>483</v>
      </c>
      <c r="L4" t="s">
        <v>484</v>
      </c>
      <c r="M4" t="s">
        <v>486</v>
      </c>
      <c r="N4" t="s">
        <v>487</v>
      </c>
      <c r="O4" t="s">
        <v>318</v>
      </c>
    </row>
    <row r="5" spans="2:20" x14ac:dyDescent="0.25">
      <c r="B5" t="s">
        <v>271</v>
      </c>
      <c r="C5" s="80" t="e">
        <f ca="1">CountDistinct(JerseyData!$G$2:$G$102,FALSE)</f>
        <v>#NAME?</v>
      </c>
      <c r="F5" t="s">
        <v>302</v>
      </c>
      <c r="G5">
        <f>COUNTIFS(JerseyData!$V$2:$V$200, $F5,JerseyData!$Q$2:$Q$200, G$4)</f>
        <v>29</v>
      </c>
      <c r="H5">
        <f>COUNTIFS(JerseyData!$V$2:$V$200, $F5,JerseyData!$Q$2:$Q$200, H$4)</f>
        <v>10</v>
      </c>
      <c r="I5">
        <f>COUNTIFS(JerseyData!$V$2:$V$200, $F5,JerseyData!$Q$2:$Q$200, I$4)</f>
        <v>10</v>
      </c>
      <c r="J5">
        <f>COUNTIFS(JerseyData!$V$2:$V$200, $F5,JerseyData!$Q$2:$Q$200, J$4)</f>
        <v>2</v>
      </c>
      <c r="K5">
        <f>COUNTIFS(JerseyData!$V$2:$V$200, $F5,JerseyData!$Q$2:$Q$200, K$4)</f>
        <v>8</v>
      </c>
      <c r="L5">
        <f>COUNTIFS(JerseyData!$V$2:$V$200, $F5,JerseyData!$Q$2:$Q$200, L$4)</f>
        <v>0</v>
      </c>
      <c r="M5">
        <f>COUNTIFS(JerseyData!$V$2:$V$200, $F5,JerseyData!$Q$2:$Q$200, M$4)</f>
        <v>0</v>
      </c>
      <c r="N5">
        <f>COUNTIFS(JerseyData!$V$2:$V$200, $F5,JerseyData!$Q$2:$Q$200, N$4)</f>
        <v>1</v>
      </c>
      <c r="O5">
        <f>COUNTIFS(JerseyData!$V$2:$V$200, $F5,JerseyData!$Q$2:$Q$200, O$4)</f>
        <v>1</v>
      </c>
      <c r="S5">
        <f>SUM(G5:R5)</f>
        <v>61</v>
      </c>
      <c r="T5" t="str">
        <f>F5</f>
        <v>Adidas</v>
      </c>
    </row>
    <row r="6" spans="2:20" x14ac:dyDescent="0.25">
      <c r="B6" t="s">
        <v>272</v>
      </c>
      <c r="C6" s="80">
        <f>COUNTA(JerseyData!$G$2:$G$102)</f>
        <v>83</v>
      </c>
      <c r="F6" t="s">
        <v>311</v>
      </c>
      <c r="G6">
        <f>COUNTIFS(JerseyData!$V$2:$V$200, $F6,JerseyData!$Q$2:$Q$200, G$4)</f>
        <v>8</v>
      </c>
      <c r="H6">
        <f>COUNTIFS(JerseyData!$V$2:$V$200, $F6,JerseyData!$Q$2:$Q$200, H$4)</f>
        <v>3</v>
      </c>
      <c r="I6">
        <f>COUNTIFS(JerseyData!$V$2:$V$200, $F6,JerseyData!$Q$2:$Q$200, I$4)</f>
        <v>0</v>
      </c>
      <c r="J6">
        <f>COUNTIFS(JerseyData!$V$2:$V$200, $F6,JerseyData!$Q$2:$Q$200, J$4)</f>
        <v>0</v>
      </c>
      <c r="K6">
        <f>COUNTIFS(JerseyData!$V$2:$V$200, $F6,JerseyData!$Q$2:$Q$200, K$4)</f>
        <v>0</v>
      </c>
      <c r="L6">
        <f>COUNTIFS(JerseyData!$V$2:$V$200, $F6,JerseyData!$Q$2:$Q$200, L$4)</f>
        <v>0</v>
      </c>
      <c r="M6">
        <f>COUNTIFS(JerseyData!$V$2:$V$200, $F6,JerseyData!$Q$2:$Q$200, M$4)</f>
        <v>0</v>
      </c>
      <c r="N6">
        <f>COUNTIFS(JerseyData!$V$2:$V$200, $F6,JerseyData!$Q$2:$Q$200, N$4)</f>
        <v>0</v>
      </c>
      <c r="O6">
        <f>COUNTIFS(JerseyData!$V$2:$V$200, $F6,JerseyData!$Q$2:$Q$200, O$4)</f>
        <v>0</v>
      </c>
      <c r="S6">
        <f t="shared" ref="S6:S13" si="0">SUM(G6:R6)</f>
        <v>11</v>
      </c>
      <c r="T6" t="str">
        <f t="shared" ref="T6:T13" si="1">F6</f>
        <v>Reebok</v>
      </c>
    </row>
    <row r="7" spans="2:20" x14ac:dyDescent="0.25">
      <c r="B7" t="s">
        <v>304</v>
      </c>
      <c r="C7">
        <f>SUM(JerseyData!$AG$2:$AG$101)</f>
        <v>9242.5683707371136</v>
      </c>
      <c r="F7" t="s">
        <v>394</v>
      </c>
      <c r="G7">
        <f>COUNTIFS(JerseyData!$V$2:$V$200, $F7,JerseyData!$Q$2:$Q$200, G$4)</f>
        <v>2</v>
      </c>
      <c r="H7">
        <f>COUNTIFS(JerseyData!$V$2:$V$200, $F7,JerseyData!$Q$2:$Q$200, H$4)</f>
        <v>0</v>
      </c>
      <c r="I7">
        <f>COUNTIFS(JerseyData!$V$2:$V$200, $F7,JerseyData!$Q$2:$Q$200, I$4)</f>
        <v>0</v>
      </c>
      <c r="J7">
        <f>COUNTIFS(JerseyData!$V$2:$V$200, $F7,JerseyData!$Q$2:$Q$200, J$4)</f>
        <v>0</v>
      </c>
      <c r="K7">
        <f>COUNTIFS(JerseyData!$V$2:$V$200, $F7,JerseyData!$Q$2:$Q$200, K$4)</f>
        <v>0</v>
      </c>
      <c r="L7">
        <f>COUNTIFS(JerseyData!$V$2:$V$200, $F7,JerseyData!$Q$2:$Q$200, L$4)</f>
        <v>0</v>
      </c>
      <c r="M7">
        <f>COUNTIFS(JerseyData!$V$2:$V$200, $F7,JerseyData!$Q$2:$Q$200, M$4)</f>
        <v>0</v>
      </c>
      <c r="N7">
        <f>COUNTIFS(JerseyData!$V$2:$V$200, $F7,JerseyData!$Q$2:$Q$200, N$4)</f>
        <v>0</v>
      </c>
      <c r="O7">
        <f>COUNTIFS(JerseyData!$V$2:$V$200, $F7,JerseyData!$Q$2:$Q$200, O$4)</f>
        <v>0</v>
      </c>
      <c r="S7">
        <f t="shared" si="0"/>
        <v>2</v>
      </c>
      <c r="T7" t="str">
        <f t="shared" si="1"/>
        <v>Mitchell &amp; Ness</v>
      </c>
    </row>
    <row r="8" spans="2:20" x14ac:dyDescent="0.25">
      <c r="F8" t="s">
        <v>713</v>
      </c>
      <c r="G8">
        <f>COUNTIFS(JerseyData!$V$2:$V$200, $F8,JerseyData!$Q$2:$Q$200, G$4)</f>
        <v>0</v>
      </c>
      <c r="H8">
        <f>COUNTIFS(JerseyData!$V$2:$V$200, $F8,JerseyData!$Q$2:$Q$200, H$4)</f>
        <v>0</v>
      </c>
      <c r="I8">
        <f>COUNTIFS(JerseyData!$V$2:$V$200, $F8,JerseyData!$Q$2:$Q$200, I$4)</f>
        <v>0</v>
      </c>
      <c r="J8">
        <f>COUNTIFS(JerseyData!$V$2:$V$200, $F8,JerseyData!$Q$2:$Q$200, J$4)</f>
        <v>0</v>
      </c>
      <c r="K8">
        <f>COUNTIFS(JerseyData!$V$2:$V$200, $F8,JerseyData!$Q$2:$Q$200, K$4)</f>
        <v>0</v>
      </c>
      <c r="L8">
        <f>COUNTIFS(JerseyData!$V$2:$V$200, $F8,JerseyData!$Q$2:$Q$200, L$4)</f>
        <v>0</v>
      </c>
      <c r="M8">
        <f>COUNTIFS(JerseyData!$V$2:$V$200, $F8,JerseyData!$Q$2:$Q$200, M$4)</f>
        <v>0</v>
      </c>
      <c r="N8">
        <f>COUNTIFS(JerseyData!$V$2:$V$200, $F8,JerseyData!$Q$2:$Q$200, N$4)</f>
        <v>0</v>
      </c>
      <c r="O8">
        <f>COUNTIFS(JerseyData!$V$2:$V$200, $F8,JerseyData!$Q$2:$Q$200, O$4)</f>
        <v>0</v>
      </c>
      <c r="S8">
        <f t="shared" si="0"/>
        <v>0</v>
      </c>
      <c r="T8" t="str">
        <f t="shared" si="1"/>
        <v>Nike</v>
      </c>
    </row>
    <row r="9" spans="2:20" ht="15.75" thickBot="1" x14ac:dyDescent="0.3">
      <c r="B9" s="100" t="s">
        <v>305</v>
      </c>
      <c r="F9" t="s">
        <v>485</v>
      </c>
      <c r="G9">
        <f>COUNTIFS(JerseyData!$V$2:$V$200, $F9,JerseyData!$Q$2:$Q$200, G$4)</f>
        <v>1</v>
      </c>
      <c r="H9">
        <f>COUNTIFS(JerseyData!$V$2:$V$200, $F9,JerseyData!$Q$2:$Q$200, H$4)</f>
        <v>0</v>
      </c>
      <c r="I9">
        <f>COUNTIFS(JerseyData!$V$2:$V$200, $F9,JerseyData!$Q$2:$Q$200, I$4)</f>
        <v>0</v>
      </c>
      <c r="J9">
        <f>COUNTIFS(JerseyData!$V$2:$V$200, $F9,JerseyData!$Q$2:$Q$200, J$4)</f>
        <v>0</v>
      </c>
      <c r="K9">
        <f>COUNTIFS(JerseyData!$V$2:$V$200, $F9,JerseyData!$Q$2:$Q$200, K$4)</f>
        <v>0</v>
      </c>
      <c r="L9">
        <f>COUNTIFS(JerseyData!$V$2:$V$200, $F9,JerseyData!$Q$2:$Q$200, L$4)</f>
        <v>1</v>
      </c>
      <c r="M9">
        <f>COUNTIFS(JerseyData!$V$2:$V$200, $F9,JerseyData!$Q$2:$Q$200, M$4)</f>
        <v>0</v>
      </c>
      <c r="N9">
        <f>COUNTIFS(JerseyData!$V$2:$V$200, $F9,JerseyData!$Q$2:$Q$200, N$4)</f>
        <v>0</v>
      </c>
      <c r="O9">
        <f>COUNTIFS(JerseyData!$V$2:$V$200, $F9,JerseyData!$Q$2:$Q$200, O$4)</f>
        <v>0</v>
      </c>
      <c r="S9">
        <f t="shared" si="0"/>
        <v>2</v>
      </c>
      <c r="T9" t="str">
        <f t="shared" si="1"/>
        <v>FAKE</v>
      </c>
    </row>
    <row r="10" spans="2:20" x14ac:dyDescent="0.25">
      <c r="B10" t="s">
        <v>256</v>
      </c>
      <c r="C10">
        <f>COUNTIF(JerseyData!$H$2:$H$102, B10)</f>
        <v>45</v>
      </c>
      <c r="S10">
        <f t="shared" si="0"/>
        <v>0</v>
      </c>
      <c r="T10">
        <f t="shared" si="1"/>
        <v>0</v>
      </c>
    </row>
    <row r="11" spans="2:20" x14ac:dyDescent="0.25">
      <c r="B11" t="s">
        <v>250</v>
      </c>
      <c r="C11">
        <f>COUNTIF(JerseyData!$H$2:$H$102, B11)</f>
        <v>38</v>
      </c>
      <c r="S11">
        <f t="shared" si="0"/>
        <v>0</v>
      </c>
      <c r="T11">
        <f t="shared" si="1"/>
        <v>0</v>
      </c>
    </row>
    <row r="12" spans="2:20" x14ac:dyDescent="0.25">
      <c r="S12">
        <f t="shared" si="0"/>
        <v>0</v>
      </c>
      <c r="T12">
        <f t="shared" si="1"/>
        <v>0</v>
      </c>
    </row>
    <row r="13" spans="2:20" ht="15.75" thickBot="1" x14ac:dyDescent="0.3">
      <c r="B13" s="100" t="s">
        <v>306</v>
      </c>
      <c r="S13">
        <f t="shared" si="0"/>
        <v>0</v>
      </c>
      <c r="T13">
        <f t="shared" si="1"/>
        <v>0</v>
      </c>
    </row>
    <row r="14" spans="2:20" x14ac:dyDescent="0.25">
      <c r="B14" t="s">
        <v>35</v>
      </c>
      <c r="C14">
        <f>COUNTIF(JerseyData!$I$2:$I$102, B14)</f>
        <v>18</v>
      </c>
      <c r="G14">
        <f>SUM(G5:G13)</f>
        <v>40</v>
      </c>
      <c r="H14">
        <f t="shared" ref="H14:O14" si="2">SUM(H5:H13)</f>
        <v>13</v>
      </c>
      <c r="I14">
        <f t="shared" si="2"/>
        <v>10</v>
      </c>
      <c r="J14">
        <f t="shared" si="2"/>
        <v>2</v>
      </c>
      <c r="K14">
        <f t="shared" si="2"/>
        <v>8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ref="P14" si="3">SUM(P5:P13)</f>
        <v>0</v>
      </c>
      <c r="Q14">
        <f t="shared" ref="Q14" si="4">SUM(Q5:Q13)</f>
        <v>0</v>
      </c>
      <c r="R14">
        <f t="shared" ref="R14" si="5">SUM(R5:R13)</f>
        <v>0</v>
      </c>
      <c r="S14">
        <f>SUM(S5:S13)</f>
        <v>76</v>
      </c>
    </row>
    <row r="15" spans="2:20" x14ac:dyDescent="0.25">
      <c r="B15" t="s">
        <v>37</v>
      </c>
      <c r="C15">
        <f>COUNTIF(JerseyData!$I$2:$I$102, B15)</f>
        <v>20</v>
      </c>
      <c r="G15" t="str">
        <f>G4</f>
        <v>Home</v>
      </c>
      <c r="H15" t="str">
        <f t="shared" ref="H15:O15" si="6">H4</f>
        <v>Away</v>
      </c>
      <c r="I15" t="str">
        <f t="shared" si="6"/>
        <v>Alternate</v>
      </c>
      <c r="J15" t="str">
        <f t="shared" si="6"/>
        <v>Reverse Retro</v>
      </c>
      <c r="K15" t="str">
        <f t="shared" si="6"/>
        <v>Reverse Retro 2.0</v>
      </c>
      <c r="L15" t="str">
        <f t="shared" si="6"/>
        <v>Stadium Series</v>
      </c>
      <c r="M15" t="str">
        <f t="shared" si="6"/>
        <v>Heritage Classic</v>
      </c>
      <c r="N15" t="str">
        <f t="shared" si="6"/>
        <v>Centennial</v>
      </c>
      <c r="O15" t="str">
        <f t="shared" si="6"/>
        <v>Alternate Hockey Fights Cancer</v>
      </c>
      <c r="P15">
        <f t="shared" ref="P15:R15" si="7">P4</f>
        <v>0</v>
      </c>
      <c r="Q15">
        <f t="shared" si="7"/>
        <v>0</v>
      </c>
      <c r="R15">
        <f t="shared" si="7"/>
        <v>0</v>
      </c>
      <c r="T15" t="b">
        <f>SUM(G14:O14)=S14</f>
        <v>1</v>
      </c>
    </row>
    <row r="16" spans="2:20" x14ac:dyDescent="0.25">
      <c r="B16" t="s">
        <v>38</v>
      </c>
      <c r="C16">
        <f>COUNTIF(JerseyData!$I$2:$I$102, B16)</f>
        <v>17</v>
      </c>
    </row>
    <row r="17" spans="2:5" x14ac:dyDescent="0.25">
      <c r="B17" t="s">
        <v>36</v>
      </c>
      <c r="C17">
        <f>COUNTIF(JerseyData!$I$2:$I$102, B17)</f>
        <v>28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MIN(JerseyData!$AL$2:$AL$100)</f>
        <v>22307</v>
      </c>
    </row>
    <row r="21" spans="2:5" x14ac:dyDescent="0.25">
      <c r="B21" t="s">
        <v>366</v>
      </c>
      <c r="D21" s="1">
        <f>MAX(JerseyData!$AL$2:$AL$100)</f>
        <v>37721</v>
      </c>
    </row>
    <row r="22" spans="2:5" x14ac:dyDescent="0.25">
      <c r="B22" t="s">
        <v>368</v>
      </c>
      <c r="D22" s="1">
        <f>AVERAGE(JerseyData!$AL$2:$AL$100)</f>
        <v>33227.373493975902</v>
      </c>
    </row>
    <row r="23" spans="2:5" x14ac:dyDescent="0.25">
      <c r="B23" t="s">
        <v>370</v>
      </c>
      <c r="D23" s="1">
        <f>MIN(ABS(JerseyData!$AL$2:$AL$100 - "1995-08-03"))</f>
        <v>5411</v>
      </c>
    </row>
    <row r="24" spans="2:5" x14ac:dyDescent="0.25">
      <c r="D24" s="1">
        <f>ABS(JerseyData!$AL$2:$AL$100 - DATE(1995,8,3))</f>
        <v>1778</v>
      </c>
    </row>
    <row r="25" spans="2:5" x14ac:dyDescent="0.25">
      <c r="D25" t="e">
        <f>INDEX(JerseyData!$AL$2:$AL$100, MATCH(MIN(ABS(JerseyData!$AL$2:$AL$100 - DATE(1995,8,3))), ABS(JerseyData!$AL$2:$AL$100 - DATE(1995,8,3)), 0))</f>
        <v>#N/A</v>
      </c>
      <c r="E25" s="1">
        <f>MIN(ABS(JerseyData!$AL$2:$AL$100-DATE(1995,8,3)))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N34"/>
  <sheetViews>
    <sheetView tabSelected="1" topLeftCell="A4" workbookViewId="0">
      <pane xSplit="3" topLeftCell="F1" activePane="topRight" state="frozen"/>
      <selection pane="topRight" activeCell="C34" sqref="C34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  <col min="13" max="13" width="7.42578125" style="120" bestFit="1" customWidth="1"/>
    <col min="14" max="14" width="11.28515625" style="120" bestFit="1" customWidth="1"/>
  </cols>
  <sheetData>
    <row r="1" spans="1:14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  <c r="M1" s="127" t="s">
        <v>809</v>
      </c>
      <c r="N1" s="127" t="s">
        <v>810</v>
      </c>
    </row>
    <row r="2" spans="1:14" x14ac:dyDescent="0.25">
      <c r="A2" s="4">
        <v>15</v>
      </c>
      <c r="B2" s="5" t="s">
        <v>25</v>
      </c>
      <c r="C2" s="5" t="s">
        <v>161</v>
      </c>
      <c r="D2" s="5" t="s">
        <v>162</v>
      </c>
      <c r="E2" s="4">
        <v>1</v>
      </c>
      <c r="F2" s="4">
        <v>1</v>
      </c>
      <c r="G2" s="71" t="s">
        <v>163</v>
      </c>
      <c r="H2" s="72" t="s">
        <v>164</v>
      </c>
      <c r="I2" s="5" t="s">
        <v>94</v>
      </c>
      <c r="J2" s="5" t="s">
        <v>95</v>
      </c>
      <c r="K2" s="5" t="s">
        <v>95</v>
      </c>
      <c r="L2" s="5" t="s">
        <v>95</v>
      </c>
      <c r="M2" s="120">
        <v>8</v>
      </c>
      <c r="N2" s="120">
        <v>1</v>
      </c>
    </row>
    <row r="3" spans="1:14" x14ac:dyDescent="0.25">
      <c r="A3" s="4">
        <v>27</v>
      </c>
      <c r="B3" s="5" t="s">
        <v>67</v>
      </c>
      <c r="C3" s="5" t="s">
        <v>213</v>
      </c>
      <c r="D3" s="5" t="s">
        <v>214</v>
      </c>
      <c r="E3" s="4">
        <v>1</v>
      </c>
      <c r="F3" s="4">
        <v>1</v>
      </c>
      <c r="G3" s="64" t="s">
        <v>154</v>
      </c>
      <c r="H3" s="5" t="s">
        <v>94</v>
      </c>
      <c r="I3" s="66" t="s">
        <v>215</v>
      </c>
      <c r="J3" s="5" t="s">
        <v>95</v>
      </c>
      <c r="K3" s="5" t="s">
        <v>95</v>
      </c>
      <c r="L3" s="5" t="s">
        <v>95</v>
      </c>
      <c r="M3" s="120">
        <v>10</v>
      </c>
      <c r="N3" s="120">
        <v>5</v>
      </c>
    </row>
    <row r="4" spans="1:14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  <c r="M4" s="120">
        <v>6</v>
      </c>
      <c r="N4" s="120">
        <v>6</v>
      </c>
    </row>
    <row r="5" spans="1:14" x14ac:dyDescent="0.25">
      <c r="A5" s="4">
        <v>19</v>
      </c>
      <c r="B5" s="5" t="s">
        <v>177</v>
      </c>
      <c r="C5" s="5" t="s">
        <v>178</v>
      </c>
      <c r="D5" s="5" t="s">
        <v>179</v>
      </c>
      <c r="E5" s="4">
        <v>1</v>
      </c>
      <c r="F5" s="4">
        <v>2</v>
      </c>
      <c r="G5" s="68" t="s">
        <v>180</v>
      </c>
      <c r="H5" s="37" t="s">
        <v>121</v>
      </c>
      <c r="I5" s="5" t="s">
        <v>94</v>
      </c>
      <c r="J5" s="5" t="s">
        <v>95</v>
      </c>
      <c r="K5" s="5" t="s">
        <v>95</v>
      </c>
      <c r="L5" s="5" t="s">
        <v>95</v>
      </c>
      <c r="M5" s="120">
        <v>3</v>
      </c>
      <c r="N5" s="120">
        <v>10</v>
      </c>
    </row>
    <row r="6" spans="1:14" x14ac:dyDescent="0.25">
      <c r="A6" s="4">
        <v>6</v>
      </c>
      <c r="B6" s="5" t="s">
        <v>128</v>
      </c>
      <c r="C6" s="5" t="s">
        <v>129</v>
      </c>
      <c r="D6" s="5" t="s">
        <v>130</v>
      </c>
      <c r="E6" s="4">
        <v>2</v>
      </c>
      <c r="F6" s="4">
        <v>3</v>
      </c>
      <c r="G6" s="36" t="s">
        <v>131</v>
      </c>
      <c r="H6" s="25" t="s">
        <v>105</v>
      </c>
      <c r="I6" s="5" t="s">
        <v>94</v>
      </c>
      <c r="J6" s="5" t="s">
        <v>95</v>
      </c>
      <c r="K6" s="5" t="s">
        <v>95</v>
      </c>
      <c r="L6" s="5" t="s">
        <v>95</v>
      </c>
      <c r="M6" s="120">
        <v>16</v>
      </c>
      <c r="N6" s="120">
        <v>11</v>
      </c>
    </row>
    <row r="7" spans="1:14" x14ac:dyDescent="0.25">
      <c r="A7" s="4">
        <v>10</v>
      </c>
      <c r="B7" s="5" t="s">
        <v>141</v>
      </c>
      <c r="C7" s="5" t="s">
        <v>142</v>
      </c>
      <c r="D7" s="5" t="s">
        <v>143</v>
      </c>
      <c r="E7" s="4">
        <v>1</v>
      </c>
      <c r="F7" s="4">
        <v>1</v>
      </c>
      <c r="G7" s="70" t="s">
        <v>121</v>
      </c>
      <c r="H7" s="5" t="s">
        <v>94</v>
      </c>
      <c r="I7" s="5" t="s">
        <v>95</v>
      </c>
      <c r="J7" s="5" t="s">
        <v>95</v>
      </c>
      <c r="K7" s="5" t="s">
        <v>95</v>
      </c>
      <c r="L7" s="5" t="s">
        <v>95</v>
      </c>
      <c r="M7" s="120">
        <v>17</v>
      </c>
      <c r="N7" s="120">
        <v>12</v>
      </c>
    </row>
    <row r="8" spans="1:14" x14ac:dyDescent="0.25">
      <c r="A8" s="4">
        <v>13</v>
      </c>
      <c r="B8" s="5" t="s">
        <v>151</v>
      </c>
      <c r="C8" s="5" t="s">
        <v>152</v>
      </c>
      <c r="D8" s="5" t="s">
        <v>153</v>
      </c>
      <c r="E8" s="4">
        <v>2</v>
      </c>
      <c r="F8" s="4">
        <v>4</v>
      </c>
      <c r="G8" s="64" t="s">
        <v>154</v>
      </c>
      <c r="H8" s="44" t="s">
        <v>155</v>
      </c>
      <c r="I8" s="5" t="s">
        <v>94</v>
      </c>
      <c r="J8" s="23" t="s">
        <v>93</v>
      </c>
      <c r="K8" s="5" t="s">
        <v>95</v>
      </c>
      <c r="L8" s="5" t="s">
        <v>95</v>
      </c>
      <c r="M8" s="120">
        <v>26</v>
      </c>
      <c r="N8" s="120">
        <v>14</v>
      </c>
    </row>
    <row r="9" spans="1:14" x14ac:dyDescent="0.25">
      <c r="A9" s="4">
        <v>9</v>
      </c>
      <c r="B9" s="5" t="s">
        <v>136</v>
      </c>
      <c r="C9" s="5" t="s">
        <v>137</v>
      </c>
      <c r="D9" s="5" t="s">
        <v>138</v>
      </c>
      <c r="E9" s="4">
        <v>2</v>
      </c>
      <c r="F9" s="4">
        <v>3</v>
      </c>
      <c r="G9" s="39" t="s">
        <v>139</v>
      </c>
      <c r="H9" s="23" t="s">
        <v>93</v>
      </c>
      <c r="I9" s="5" t="s">
        <v>94</v>
      </c>
      <c r="J9" s="40" t="s">
        <v>140</v>
      </c>
      <c r="K9" s="5" t="s">
        <v>95</v>
      </c>
      <c r="L9" s="5" t="s">
        <v>95</v>
      </c>
      <c r="M9" s="120">
        <v>25</v>
      </c>
      <c r="N9" s="120">
        <v>15</v>
      </c>
    </row>
    <row r="10" spans="1:14" x14ac:dyDescent="0.25">
      <c r="A10" s="4">
        <v>21</v>
      </c>
      <c r="B10" s="5" t="s">
        <v>186</v>
      </c>
      <c r="C10" s="5" t="s">
        <v>187</v>
      </c>
      <c r="D10" s="5" t="s">
        <v>188</v>
      </c>
      <c r="E10" s="4">
        <v>1</v>
      </c>
      <c r="F10" s="4">
        <v>2</v>
      </c>
      <c r="G10" s="49" t="s">
        <v>189</v>
      </c>
      <c r="H10" s="25" t="s">
        <v>105</v>
      </c>
      <c r="I10" s="5" t="s">
        <v>94</v>
      </c>
      <c r="J10" s="5" t="s">
        <v>95</v>
      </c>
      <c r="K10" s="5" t="s">
        <v>95</v>
      </c>
      <c r="L10" s="5" t="s">
        <v>95</v>
      </c>
      <c r="M10" s="120">
        <v>4</v>
      </c>
      <c r="N10" s="120">
        <v>16</v>
      </c>
    </row>
    <row r="11" spans="1:14" x14ac:dyDescent="0.25">
      <c r="A11" s="4">
        <v>22</v>
      </c>
      <c r="B11" s="5" t="s">
        <v>66</v>
      </c>
      <c r="C11" s="5" t="s">
        <v>190</v>
      </c>
      <c r="D11" s="5" t="s">
        <v>191</v>
      </c>
      <c r="E11" s="4">
        <v>1</v>
      </c>
      <c r="F11" s="4">
        <v>2</v>
      </c>
      <c r="G11" s="27" t="s">
        <v>104</v>
      </c>
      <c r="H11" s="25" t="s">
        <v>105</v>
      </c>
      <c r="I11" s="5" t="s">
        <v>94</v>
      </c>
      <c r="J11" s="5" t="s">
        <v>95</v>
      </c>
      <c r="K11" s="5" t="s">
        <v>95</v>
      </c>
      <c r="L11" s="5" t="s">
        <v>95</v>
      </c>
      <c r="M11" s="120">
        <v>5</v>
      </c>
      <c r="N11" s="120">
        <v>17</v>
      </c>
    </row>
    <row r="12" spans="1:14" x14ac:dyDescent="0.25">
      <c r="A12" s="4">
        <v>25</v>
      </c>
      <c r="B12" s="5" t="s">
        <v>205</v>
      </c>
      <c r="C12" s="5" t="s">
        <v>206</v>
      </c>
      <c r="D12" s="5" t="s">
        <v>207</v>
      </c>
      <c r="E12" s="4">
        <v>2</v>
      </c>
      <c r="F12" s="4">
        <v>3</v>
      </c>
      <c r="G12" s="62" t="s">
        <v>208</v>
      </c>
      <c r="H12" s="29" t="s">
        <v>110</v>
      </c>
      <c r="I12" s="28" t="s">
        <v>109</v>
      </c>
      <c r="J12" s="5" t="s">
        <v>94</v>
      </c>
      <c r="K12" s="5" t="s">
        <v>95</v>
      </c>
      <c r="L12" s="5" t="s">
        <v>95</v>
      </c>
      <c r="M12" s="120">
        <v>19</v>
      </c>
      <c r="N12" s="120">
        <v>18</v>
      </c>
    </row>
    <row r="13" spans="1:14" x14ac:dyDescent="0.25">
      <c r="A13" s="4">
        <v>3</v>
      </c>
      <c r="B13" s="5" t="s">
        <v>106</v>
      </c>
      <c r="C13" s="5" t="s">
        <v>107</v>
      </c>
      <c r="D13" s="5" t="s">
        <v>108</v>
      </c>
      <c r="E13" s="4">
        <v>1</v>
      </c>
      <c r="F13" s="4">
        <v>1</v>
      </c>
      <c r="G13" s="28" t="s">
        <v>109</v>
      </c>
      <c r="H13" s="29" t="s">
        <v>110</v>
      </c>
      <c r="I13" s="30" t="s">
        <v>111</v>
      </c>
      <c r="J13" s="5" t="s">
        <v>94</v>
      </c>
      <c r="K13" s="5" t="s">
        <v>95</v>
      </c>
      <c r="L13" s="5" t="s">
        <v>95</v>
      </c>
      <c r="M13" s="120">
        <v>7</v>
      </c>
      <c r="N13" s="120">
        <v>19</v>
      </c>
    </row>
    <row r="14" spans="1:14" x14ac:dyDescent="0.25">
      <c r="A14" s="4">
        <v>28</v>
      </c>
      <c r="B14" s="5" t="s">
        <v>216</v>
      </c>
      <c r="C14" s="5" t="s">
        <v>217</v>
      </c>
      <c r="D14" s="5" t="s">
        <v>218</v>
      </c>
      <c r="E14" s="4">
        <v>2</v>
      </c>
      <c r="F14" s="4">
        <v>4</v>
      </c>
      <c r="G14" s="65" t="s">
        <v>219</v>
      </c>
      <c r="H14" s="55" t="s">
        <v>220</v>
      </c>
      <c r="I14" s="56" t="s">
        <v>221</v>
      </c>
      <c r="J14" s="5" t="s">
        <v>94</v>
      </c>
      <c r="K14" s="5" t="s">
        <v>95</v>
      </c>
      <c r="L14" s="5" t="s">
        <v>95</v>
      </c>
      <c r="M14" s="120">
        <v>23</v>
      </c>
      <c r="N14" s="120">
        <v>20</v>
      </c>
    </row>
    <row r="15" spans="1:14" x14ac:dyDescent="0.25">
      <c r="A15" s="4">
        <v>4</v>
      </c>
      <c r="B15" s="5" t="s">
        <v>5</v>
      </c>
      <c r="C15" s="5" t="s">
        <v>123</v>
      </c>
      <c r="D15" s="5" t="s">
        <v>124</v>
      </c>
      <c r="E15" s="4">
        <v>2</v>
      </c>
      <c r="F15" s="4">
        <v>4</v>
      </c>
      <c r="G15" s="31" t="s">
        <v>125</v>
      </c>
      <c r="H15" s="32" t="s">
        <v>126</v>
      </c>
      <c r="I15" s="23" t="s">
        <v>93</v>
      </c>
      <c r="J15" s="5" t="s">
        <v>94</v>
      </c>
      <c r="K15" s="33" t="s">
        <v>127</v>
      </c>
      <c r="L15" s="5" t="s">
        <v>95</v>
      </c>
      <c r="M15" s="120">
        <v>20</v>
      </c>
      <c r="N15" s="120">
        <v>21</v>
      </c>
    </row>
    <row r="16" spans="1:14" x14ac:dyDescent="0.25">
      <c r="A16" s="4">
        <v>18</v>
      </c>
      <c r="B16" s="5" t="s">
        <v>171</v>
      </c>
      <c r="C16" s="5" t="s">
        <v>172</v>
      </c>
      <c r="D16" s="5" t="s">
        <v>173</v>
      </c>
      <c r="E16" s="4">
        <v>1</v>
      </c>
      <c r="F16" s="4">
        <v>2</v>
      </c>
      <c r="G16" s="69" t="s">
        <v>174</v>
      </c>
      <c r="H16" s="46" t="s">
        <v>175</v>
      </c>
      <c r="I16" s="5" t="s">
        <v>94</v>
      </c>
      <c r="J16" s="47" t="s">
        <v>176</v>
      </c>
      <c r="K16" s="5" t="s">
        <v>95</v>
      </c>
      <c r="L16" s="5" t="s">
        <v>95</v>
      </c>
      <c r="M16" s="120">
        <v>2</v>
      </c>
      <c r="N16" s="120">
        <v>22</v>
      </c>
    </row>
    <row r="17" spans="1:14" x14ac:dyDescent="0.25">
      <c r="A17" s="4">
        <v>17</v>
      </c>
      <c r="B17" s="5" t="s">
        <v>165</v>
      </c>
      <c r="C17" s="5" t="s">
        <v>166</v>
      </c>
      <c r="D17" s="5" t="s">
        <v>167</v>
      </c>
      <c r="E17" s="4">
        <v>1</v>
      </c>
      <c r="F17" s="4">
        <v>2</v>
      </c>
      <c r="G17" s="70" t="s">
        <v>121</v>
      </c>
      <c r="H17" s="25" t="s">
        <v>105</v>
      </c>
      <c r="I17" s="5" t="s">
        <v>94</v>
      </c>
      <c r="J17" s="5" t="s">
        <v>95</v>
      </c>
      <c r="K17" s="5" t="s">
        <v>95</v>
      </c>
      <c r="L17" s="5" t="s">
        <v>95</v>
      </c>
      <c r="M17" s="120">
        <v>1</v>
      </c>
      <c r="N17" s="120">
        <v>23</v>
      </c>
    </row>
    <row r="18" spans="1:14" x14ac:dyDescent="0.25">
      <c r="A18" s="4">
        <v>30</v>
      </c>
      <c r="B18" s="5" t="s">
        <v>24</v>
      </c>
      <c r="C18" s="5" t="s">
        <v>231</v>
      </c>
      <c r="D18" s="5" t="s">
        <v>232</v>
      </c>
      <c r="E18" s="4">
        <v>1</v>
      </c>
      <c r="F18" s="4">
        <v>2</v>
      </c>
      <c r="G18" s="31" t="s">
        <v>125</v>
      </c>
      <c r="H18" s="28" t="s">
        <v>109</v>
      </c>
      <c r="I18" s="5" t="s">
        <v>94</v>
      </c>
      <c r="J18" s="40" t="s">
        <v>140</v>
      </c>
      <c r="K18" s="5" t="s">
        <v>95</v>
      </c>
      <c r="L18" s="5" t="s">
        <v>95</v>
      </c>
      <c r="M18" s="120">
        <v>15</v>
      </c>
      <c r="N18" s="120">
        <v>24</v>
      </c>
    </row>
    <row r="19" spans="1:14" x14ac:dyDescent="0.25">
      <c r="A19" s="4">
        <v>11</v>
      </c>
      <c r="B19" s="5" t="s">
        <v>6</v>
      </c>
      <c r="C19" s="5" t="s">
        <v>144</v>
      </c>
      <c r="D19" s="5" t="s">
        <v>145</v>
      </c>
      <c r="E19" s="4">
        <v>2</v>
      </c>
      <c r="F19" s="4">
        <v>4</v>
      </c>
      <c r="G19" s="41" t="s">
        <v>146</v>
      </c>
      <c r="H19" s="28" t="s">
        <v>109</v>
      </c>
      <c r="I19" s="5" t="s">
        <v>94</v>
      </c>
      <c r="J19" s="5" t="s">
        <v>95</v>
      </c>
      <c r="K19" s="5" t="s">
        <v>95</v>
      </c>
      <c r="L19" s="5" t="s">
        <v>95</v>
      </c>
      <c r="M19" s="120">
        <v>22</v>
      </c>
      <c r="N19" s="120">
        <v>25</v>
      </c>
    </row>
    <row r="20" spans="1:14" x14ac:dyDescent="0.25">
      <c r="A20" s="4">
        <v>5</v>
      </c>
      <c r="B20" s="5" t="s">
        <v>112</v>
      </c>
      <c r="C20" s="5" t="s">
        <v>113</v>
      </c>
      <c r="D20" s="5" t="s">
        <v>114</v>
      </c>
      <c r="E20" s="4">
        <v>1</v>
      </c>
      <c r="F20" s="4">
        <v>2</v>
      </c>
      <c r="G20" s="34" t="s">
        <v>115</v>
      </c>
      <c r="H20" s="25" t="s">
        <v>105</v>
      </c>
      <c r="I20" s="5" t="s">
        <v>94</v>
      </c>
      <c r="J20" s="35" t="s">
        <v>116</v>
      </c>
      <c r="K20" s="5" t="s">
        <v>95</v>
      </c>
      <c r="L20" s="5" t="s">
        <v>95</v>
      </c>
      <c r="M20" s="120">
        <v>12</v>
      </c>
      <c r="N20" s="120">
        <v>26</v>
      </c>
    </row>
    <row r="21" spans="1:14" x14ac:dyDescent="0.25">
      <c r="A21" s="4">
        <v>7</v>
      </c>
      <c r="B21" s="5" t="s">
        <v>26</v>
      </c>
      <c r="C21" s="5" t="s">
        <v>132</v>
      </c>
      <c r="D21" s="5" t="s">
        <v>133</v>
      </c>
      <c r="E21" s="4">
        <v>2</v>
      </c>
      <c r="F21" s="4">
        <v>3</v>
      </c>
      <c r="G21" s="76" t="s">
        <v>134</v>
      </c>
      <c r="H21" s="77" t="s">
        <v>135</v>
      </c>
      <c r="I21" s="25" t="s">
        <v>105</v>
      </c>
      <c r="J21" s="5" t="s">
        <v>94</v>
      </c>
      <c r="K21" s="5" t="s">
        <v>95</v>
      </c>
      <c r="L21" s="5" t="s">
        <v>95</v>
      </c>
      <c r="M21" s="120">
        <v>21</v>
      </c>
      <c r="N21" s="120">
        <v>27</v>
      </c>
    </row>
    <row r="22" spans="1:14" x14ac:dyDescent="0.25">
      <c r="A22" s="4">
        <v>1</v>
      </c>
      <c r="B22" s="5" t="s">
        <v>96</v>
      </c>
      <c r="C22" s="5" t="s">
        <v>97</v>
      </c>
      <c r="D22" s="5" t="s">
        <v>98</v>
      </c>
      <c r="E22" s="4">
        <v>2</v>
      </c>
      <c r="F22" s="4">
        <v>3</v>
      </c>
      <c r="G22" s="78" t="s">
        <v>99</v>
      </c>
      <c r="H22" s="26" t="s">
        <v>100</v>
      </c>
      <c r="I22" s="23" t="s">
        <v>93</v>
      </c>
      <c r="J22" s="5" t="s">
        <v>94</v>
      </c>
      <c r="K22" s="5" t="s">
        <v>95</v>
      </c>
      <c r="L22" s="5" t="s">
        <v>95</v>
      </c>
      <c r="M22" s="120">
        <v>53</v>
      </c>
      <c r="N22" s="120">
        <v>28</v>
      </c>
    </row>
    <row r="23" spans="1:14" x14ac:dyDescent="0.25">
      <c r="A23" s="4">
        <v>23</v>
      </c>
      <c r="B23" s="5" t="s">
        <v>200</v>
      </c>
      <c r="C23" s="5" t="s">
        <v>201</v>
      </c>
      <c r="D23" s="5" t="s">
        <v>202</v>
      </c>
      <c r="E23" s="4">
        <v>2</v>
      </c>
      <c r="F23" s="4">
        <v>4</v>
      </c>
      <c r="G23" s="60" t="s">
        <v>203</v>
      </c>
      <c r="H23" s="50" t="s">
        <v>204</v>
      </c>
      <c r="I23" s="25" t="s">
        <v>105</v>
      </c>
      <c r="J23" s="5" t="s">
        <v>94</v>
      </c>
      <c r="K23" s="5" t="s">
        <v>95</v>
      </c>
      <c r="L23" s="5" t="s">
        <v>95</v>
      </c>
      <c r="M23" s="120">
        <v>28</v>
      </c>
      <c r="N23" s="120">
        <v>29</v>
      </c>
    </row>
    <row r="24" spans="1:14" x14ac:dyDescent="0.25">
      <c r="A24" s="4">
        <v>20</v>
      </c>
      <c r="B24" s="5" t="s">
        <v>181</v>
      </c>
      <c r="C24" s="5" t="s">
        <v>182</v>
      </c>
      <c r="D24" s="5" t="s">
        <v>183</v>
      </c>
      <c r="E24" s="4">
        <v>1</v>
      </c>
      <c r="F24" s="4">
        <v>1</v>
      </c>
      <c r="G24" s="67" t="s">
        <v>184</v>
      </c>
      <c r="H24" s="25" t="s">
        <v>105</v>
      </c>
      <c r="I24" s="5" t="s">
        <v>94</v>
      </c>
      <c r="J24" s="48" t="s">
        <v>185</v>
      </c>
      <c r="K24" s="5" t="s">
        <v>95</v>
      </c>
      <c r="L24" s="5" t="s">
        <v>95</v>
      </c>
      <c r="M24" s="120">
        <v>9</v>
      </c>
      <c r="N24" s="120">
        <v>30</v>
      </c>
    </row>
    <row r="25" spans="1:14" x14ac:dyDescent="0.25">
      <c r="A25" s="4">
        <v>26</v>
      </c>
      <c r="B25" s="5" t="s">
        <v>209</v>
      </c>
      <c r="C25" s="5" t="s">
        <v>210</v>
      </c>
      <c r="D25" s="5" t="s">
        <v>211</v>
      </c>
      <c r="E25" s="4">
        <v>1</v>
      </c>
      <c r="F25" s="4">
        <v>1</v>
      </c>
      <c r="G25" s="63" t="s">
        <v>212</v>
      </c>
      <c r="H25" s="23" t="s">
        <v>93</v>
      </c>
      <c r="I25" s="5" t="s">
        <v>94</v>
      </c>
      <c r="J25" s="35" t="s">
        <v>116</v>
      </c>
      <c r="K25" s="5" t="s">
        <v>95</v>
      </c>
      <c r="L25" s="5" t="s">
        <v>95</v>
      </c>
      <c r="M25" s="120">
        <v>14</v>
      </c>
      <c r="N25" s="120">
        <v>31</v>
      </c>
    </row>
    <row r="26" spans="1:14" x14ac:dyDescent="0.25">
      <c r="A26" s="4">
        <v>0</v>
      </c>
      <c r="B26" s="5" t="s">
        <v>88</v>
      </c>
      <c r="C26" s="5" t="s">
        <v>89</v>
      </c>
      <c r="D26" s="5" t="s">
        <v>90</v>
      </c>
      <c r="E26" s="4">
        <v>2</v>
      </c>
      <c r="F26" s="4">
        <v>4</v>
      </c>
      <c r="G26" s="21" t="s">
        <v>91</v>
      </c>
      <c r="H26" s="22" t="s">
        <v>92</v>
      </c>
      <c r="I26" s="23" t="s">
        <v>93</v>
      </c>
      <c r="J26" s="24" t="s">
        <v>94</v>
      </c>
      <c r="K26" s="5" t="s">
        <v>95</v>
      </c>
      <c r="L26" s="5" t="s">
        <v>95</v>
      </c>
      <c r="M26" s="120">
        <v>24</v>
      </c>
      <c r="N26" s="120">
        <v>32</v>
      </c>
    </row>
    <row r="27" spans="1:14" x14ac:dyDescent="0.25">
      <c r="A27" s="4">
        <v>12</v>
      </c>
      <c r="B27" s="5" t="s">
        <v>0</v>
      </c>
      <c r="C27" s="5" t="s">
        <v>147</v>
      </c>
      <c r="D27" s="5" t="s">
        <v>148</v>
      </c>
      <c r="E27" s="4">
        <v>1</v>
      </c>
      <c r="F27" s="4">
        <v>1</v>
      </c>
      <c r="G27" s="74" t="s">
        <v>125</v>
      </c>
      <c r="H27" s="42" t="s">
        <v>149</v>
      </c>
      <c r="I27" s="25" t="s">
        <v>105</v>
      </c>
      <c r="J27" s="5" t="s">
        <v>94</v>
      </c>
      <c r="K27" s="43" t="s">
        <v>150</v>
      </c>
      <c r="L27" s="5" t="s">
        <v>95</v>
      </c>
      <c r="M27" s="120">
        <v>13</v>
      </c>
      <c r="N27" s="120">
        <v>33</v>
      </c>
    </row>
    <row r="28" spans="1:14" x14ac:dyDescent="0.25">
      <c r="A28" s="4">
        <v>16</v>
      </c>
      <c r="B28" s="5" t="s">
        <v>168</v>
      </c>
      <c r="C28" s="5" t="s">
        <v>169</v>
      </c>
      <c r="D28" s="5" t="s">
        <v>170</v>
      </c>
      <c r="E28" s="4">
        <v>2</v>
      </c>
      <c r="F28" s="4">
        <v>3</v>
      </c>
      <c r="G28" s="27" t="s">
        <v>104</v>
      </c>
      <c r="H28" s="28" t="s">
        <v>109</v>
      </c>
      <c r="I28" s="5" t="s">
        <v>94</v>
      </c>
      <c r="J28" s="5" t="s">
        <v>95</v>
      </c>
      <c r="K28" s="5" t="s">
        <v>95</v>
      </c>
      <c r="L28" s="5" t="s">
        <v>95</v>
      </c>
      <c r="M28" s="120">
        <v>18</v>
      </c>
      <c r="N28" s="120">
        <v>34</v>
      </c>
    </row>
    <row r="29" spans="1:14" x14ac:dyDescent="0.25">
      <c r="A29" s="4">
        <v>31</v>
      </c>
      <c r="B29" s="5" t="s">
        <v>65</v>
      </c>
      <c r="C29" s="5" t="s">
        <v>227</v>
      </c>
      <c r="D29" s="5" t="s">
        <v>228</v>
      </c>
      <c r="E29" s="4">
        <v>2</v>
      </c>
      <c r="F29" s="4">
        <v>3</v>
      </c>
      <c r="G29" s="28" t="s">
        <v>109</v>
      </c>
      <c r="H29" s="79" t="s">
        <v>229</v>
      </c>
      <c r="I29" s="59" t="s">
        <v>230</v>
      </c>
      <c r="J29" s="5" t="s">
        <v>94</v>
      </c>
      <c r="K29" s="5" t="s">
        <v>95</v>
      </c>
      <c r="L29" s="5" t="s">
        <v>95</v>
      </c>
      <c r="M29" s="120">
        <v>52</v>
      </c>
      <c r="N29" s="120">
        <v>35</v>
      </c>
    </row>
    <row r="30" spans="1:14" x14ac:dyDescent="0.25">
      <c r="A30" s="4">
        <v>8</v>
      </c>
      <c r="B30" s="5" t="s">
        <v>117</v>
      </c>
      <c r="C30" s="5" t="s">
        <v>118</v>
      </c>
      <c r="D30" s="5" t="s">
        <v>119</v>
      </c>
      <c r="E30" s="4">
        <v>1</v>
      </c>
      <c r="F30" s="4">
        <v>2</v>
      </c>
      <c r="G30" s="75" t="s">
        <v>120</v>
      </c>
      <c r="H30" s="37" t="s">
        <v>121</v>
      </c>
      <c r="I30" s="38" t="s">
        <v>122</v>
      </c>
      <c r="J30" s="5" t="s">
        <v>94</v>
      </c>
      <c r="K30" s="5" t="s">
        <v>95</v>
      </c>
      <c r="L30" s="5" t="s">
        <v>95</v>
      </c>
      <c r="M30" s="120">
        <v>29</v>
      </c>
      <c r="N30" s="120">
        <v>36</v>
      </c>
    </row>
    <row r="31" spans="1:14" x14ac:dyDescent="0.25">
      <c r="A31" s="4">
        <v>14</v>
      </c>
      <c r="B31" s="5" t="s">
        <v>156</v>
      </c>
      <c r="C31" s="5" t="s">
        <v>157</v>
      </c>
      <c r="D31" s="5" t="s">
        <v>158</v>
      </c>
      <c r="E31" s="4">
        <v>2</v>
      </c>
      <c r="F31" s="4">
        <v>3</v>
      </c>
      <c r="G31" s="73" t="s">
        <v>159</v>
      </c>
      <c r="H31" s="45" t="s">
        <v>160</v>
      </c>
      <c r="I31" s="27" t="s">
        <v>104</v>
      </c>
      <c r="J31" s="5" t="s">
        <v>94</v>
      </c>
      <c r="K31" s="5" t="s">
        <v>95</v>
      </c>
      <c r="L31" s="5" t="s">
        <v>95</v>
      </c>
      <c r="M31" s="120">
        <v>30</v>
      </c>
      <c r="N31" s="120">
        <v>37</v>
      </c>
    </row>
    <row r="32" spans="1:14" x14ac:dyDescent="0.25">
      <c r="A32" s="4">
        <v>29</v>
      </c>
      <c r="B32" s="5" t="s">
        <v>222</v>
      </c>
      <c r="C32" s="5" t="s">
        <v>223</v>
      </c>
      <c r="D32" s="5" t="s">
        <v>224</v>
      </c>
      <c r="E32" s="4">
        <v>2</v>
      </c>
      <c r="F32" s="4">
        <v>4</v>
      </c>
      <c r="G32" s="57" t="s">
        <v>225</v>
      </c>
      <c r="H32" s="58" t="s">
        <v>226</v>
      </c>
      <c r="I32" s="31" t="s">
        <v>125</v>
      </c>
      <c r="J32" s="25" t="s">
        <v>105</v>
      </c>
      <c r="K32" s="5" t="s">
        <v>94</v>
      </c>
      <c r="L32" s="5" t="s">
        <v>95</v>
      </c>
      <c r="M32" s="120">
        <v>54</v>
      </c>
      <c r="N32" s="120">
        <v>38</v>
      </c>
    </row>
    <row r="33" spans="1:14" x14ac:dyDescent="0.25">
      <c r="A33" s="4">
        <v>24</v>
      </c>
      <c r="B33" s="5" t="s">
        <v>192</v>
      </c>
      <c r="C33" s="5" t="s">
        <v>193</v>
      </c>
      <c r="D33" s="5" t="s">
        <v>194</v>
      </c>
      <c r="E33" s="4">
        <v>2</v>
      </c>
      <c r="F33" s="4">
        <v>4</v>
      </c>
      <c r="G33" s="61" t="s">
        <v>195</v>
      </c>
      <c r="H33" s="51" t="s">
        <v>196</v>
      </c>
      <c r="I33" s="52" t="s">
        <v>197</v>
      </c>
      <c r="J33" s="53" t="s">
        <v>198</v>
      </c>
      <c r="K33" s="5" t="s">
        <v>94</v>
      </c>
      <c r="L33" s="54" t="s">
        <v>199</v>
      </c>
      <c r="M33" s="120">
        <v>55</v>
      </c>
      <c r="N33" s="120">
        <v>39</v>
      </c>
    </row>
    <row r="34" spans="1:14" x14ac:dyDescent="0.25">
      <c r="A34" s="121">
        <v>32</v>
      </c>
      <c r="B34" s="122" t="s">
        <v>754</v>
      </c>
      <c r="C34" s="122" t="s">
        <v>811</v>
      </c>
      <c r="D34" t="s">
        <v>755</v>
      </c>
      <c r="E34" s="121">
        <v>2</v>
      </c>
      <c r="F34" s="121">
        <v>3</v>
      </c>
      <c r="G34" s="123" t="s">
        <v>756</v>
      </c>
      <c r="H34" s="124" t="s">
        <v>757</v>
      </c>
      <c r="I34" s="125" t="s">
        <v>758</v>
      </c>
      <c r="M34" s="120">
        <v>59</v>
      </c>
      <c r="N34" s="120">
        <v>40</v>
      </c>
    </row>
  </sheetData>
  <sortState xmlns:xlrd2="http://schemas.microsoft.com/office/spreadsheetml/2017/richdata2" ref="A2:M34">
    <sortCondition ref="M2:M3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/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G2" sqref="G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585E6-A3E1-4016-A7BF-870D0B22D910}">
  <dimension ref="A1:T13"/>
  <sheetViews>
    <sheetView workbookViewId="0">
      <selection activeCell="O7" sqref="O7"/>
    </sheetView>
  </sheetViews>
  <sheetFormatPr defaultRowHeight="15" x14ac:dyDescent="0.25"/>
  <cols>
    <col min="1" max="1" width="5" customWidth="1"/>
    <col min="2" max="2" width="11" style="120" bestFit="1" customWidth="1"/>
    <col min="3" max="3" width="12.5703125" customWidth="1"/>
    <col min="4" max="4" width="14.5703125" bestFit="1" customWidth="1"/>
    <col min="5" max="5" width="20.42578125" bestFit="1" customWidth="1"/>
    <col min="6" max="6" width="14.7109375" customWidth="1"/>
    <col min="7" max="7" width="18.140625" customWidth="1"/>
    <col min="8" max="8" width="17.7109375" customWidth="1"/>
    <col min="9" max="9" width="15.140625" customWidth="1"/>
    <col min="10" max="10" width="19" bestFit="1" customWidth="1"/>
    <col min="11" max="11" width="18.140625" customWidth="1"/>
    <col min="12" max="12" width="14" customWidth="1"/>
    <col min="13" max="13" width="10.5703125" customWidth="1"/>
    <col min="14" max="14" width="19.5703125" customWidth="1"/>
    <col min="15" max="15" width="15.7109375" customWidth="1"/>
    <col min="16" max="16" width="16" customWidth="1"/>
    <col min="17" max="17" width="16.5703125" bestFit="1" customWidth="1"/>
    <col min="18" max="18" width="14.28515625" customWidth="1"/>
    <col min="19" max="19" width="14.85546875" customWidth="1"/>
    <col min="20" max="20" width="95.5703125" bestFit="1" customWidth="1"/>
  </cols>
  <sheetData>
    <row r="1" spans="1:20" x14ac:dyDescent="0.25">
      <c r="A1" t="s">
        <v>78</v>
      </c>
      <c r="B1" s="120" t="s">
        <v>761</v>
      </c>
      <c r="C1" t="s">
        <v>762</v>
      </c>
      <c r="D1" t="s">
        <v>774</v>
      </c>
      <c r="E1" t="s">
        <v>763</v>
      </c>
      <c r="F1" t="s">
        <v>770</v>
      </c>
      <c r="G1" t="s">
        <v>764</v>
      </c>
      <c r="H1" t="s">
        <v>765</v>
      </c>
      <c r="I1" t="s">
        <v>771</v>
      </c>
      <c r="J1" t="s">
        <v>766</v>
      </c>
      <c r="K1" t="s">
        <v>767</v>
      </c>
      <c r="L1" t="s">
        <v>772</v>
      </c>
      <c r="M1" t="s">
        <v>488</v>
      </c>
      <c r="N1" t="s">
        <v>778</v>
      </c>
      <c r="O1" t="s">
        <v>779</v>
      </c>
      <c r="P1" t="s">
        <v>780</v>
      </c>
      <c r="Q1" t="s">
        <v>768</v>
      </c>
      <c r="R1" t="s">
        <v>806</v>
      </c>
      <c r="S1" t="s">
        <v>807</v>
      </c>
      <c r="T1" t="s">
        <v>808</v>
      </c>
    </row>
    <row r="2" spans="1:20" x14ac:dyDescent="0.25">
      <c r="A2">
        <v>0</v>
      </c>
      <c r="B2" s="120">
        <v>2023020121</v>
      </c>
      <c r="C2" s="1">
        <v>45227</v>
      </c>
      <c r="D2" s="1" t="s">
        <v>775</v>
      </c>
      <c r="E2" t="s">
        <v>769</v>
      </c>
      <c r="F2">
        <v>31</v>
      </c>
      <c r="G2" t="s">
        <v>65</v>
      </c>
      <c r="H2">
        <v>3</v>
      </c>
      <c r="I2">
        <v>15</v>
      </c>
      <c r="J2" t="s">
        <v>25</v>
      </c>
      <c r="K2">
        <v>4</v>
      </c>
      <c r="L2" t="s">
        <v>773</v>
      </c>
      <c r="M2">
        <v>6</v>
      </c>
      <c r="N2" t="s">
        <v>69</v>
      </c>
      <c r="O2">
        <v>0</v>
      </c>
      <c r="P2">
        <v>0</v>
      </c>
      <c r="Q2" t="s">
        <v>776</v>
      </c>
      <c r="R2" t="s">
        <v>801</v>
      </c>
      <c r="S2">
        <v>3</v>
      </c>
      <c r="T2" t="s">
        <v>803</v>
      </c>
    </row>
    <row r="3" spans="1:20" x14ac:dyDescent="0.25">
      <c r="A3">
        <v>1</v>
      </c>
      <c r="B3" s="120">
        <v>2023020121</v>
      </c>
      <c r="C3" s="1">
        <v>45227</v>
      </c>
      <c r="D3" s="1" t="s">
        <v>775</v>
      </c>
      <c r="E3" t="s">
        <v>769</v>
      </c>
      <c r="F3">
        <v>31</v>
      </c>
      <c r="G3" t="s">
        <v>65</v>
      </c>
      <c r="H3">
        <v>3</v>
      </c>
      <c r="I3">
        <v>15</v>
      </c>
      <c r="J3" t="s">
        <v>25</v>
      </c>
      <c r="K3">
        <v>4</v>
      </c>
      <c r="L3" t="s">
        <v>773</v>
      </c>
      <c r="M3">
        <v>4</v>
      </c>
      <c r="N3" t="s">
        <v>17</v>
      </c>
      <c r="O3">
        <v>0</v>
      </c>
      <c r="P3">
        <v>0</v>
      </c>
      <c r="Q3" t="s">
        <v>777</v>
      </c>
      <c r="R3" t="s">
        <v>801</v>
      </c>
      <c r="S3">
        <v>3</v>
      </c>
      <c r="T3" t="s">
        <v>803</v>
      </c>
    </row>
    <row r="4" spans="1:20" x14ac:dyDescent="0.25">
      <c r="A4">
        <v>2</v>
      </c>
      <c r="B4" s="120">
        <v>2024010087</v>
      </c>
      <c r="C4" s="1">
        <v>45568</v>
      </c>
      <c r="D4" t="s">
        <v>793</v>
      </c>
      <c r="E4" t="s">
        <v>794</v>
      </c>
      <c r="F4">
        <v>2</v>
      </c>
      <c r="G4" t="s">
        <v>101</v>
      </c>
      <c r="H4">
        <v>1</v>
      </c>
      <c r="I4">
        <v>13</v>
      </c>
      <c r="J4" t="s">
        <v>151</v>
      </c>
      <c r="K4">
        <v>4</v>
      </c>
      <c r="L4" t="s">
        <v>795</v>
      </c>
      <c r="M4">
        <v>72</v>
      </c>
      <c r="N4" t="s">
        <v>275</v>
      </c>
      <c r="O4">
        <v>1</v>
      </c>
      <c r="P4">
        <v>1</v>
      </c>
      <c r="Q4" t="s">
        <v>776</v>
      </c>
      <c r="R4" t="s">
        <v>802</v>
      </c>
      <c r="S4">
        <v>2</v>
      </c>
      <c r="T4" t="s">
        <v>804</v>
      </c>
    </row>
    <row r="5" spans="1:20" x14ac:dyDescent="0.25">
      <c r="A5">
        <v>3</v>
      </c>
      <c r="B5" s="120">
        <v>2024010087</v>
      </c>
      <c r="C5" s="1">
        <v>45568</v>
      </c>
      <c r="D5" t="s">
        <v>793</v>
      </c>
      <c r="E5" t="s">
        <v>794</v>
      </c>
      <c r="F5">
        <v>2</v>
      </c>
      <c r="G5" t="s">
        <v>101</v>
      </c>
      <c r="H5">
        <v>1</v>
      </c>
      <c r="I5">
        <v>13</v>
      </c>
      <c r="J5" t="s">
        <v>151</v>
      </c>
      <c r="K5">
        <v>4</v>
      </c>
      <c r="L5" t="s">
        <v>795</v>
      </c>
      <c r="M5">
        <v>14</v>
      </c>
      <c r="N5" t="s">
        <v>276</v>
      </c>
      <c r="O5">
        <v>0</v>
      </c>
      <c r="P5">
        <v>0</v>
      </c>
      <c r="Q5" t="s">
        <v>796</v>
      </c>
      <c r="R5" t="s">
        <v>802</v>
      </c>
      <c r="S5">
        <v>3</v>
      </c>
      <c r="T5" t="s">
        <v>804</v>
      </c>
    </row>
    <row r="6" spans="1:20" x14ac:dyDescent="0.25">
      <c r="A6">
        <v>4</v>
      </c>
      <c r="B6" s="120">
        <v>2024010087</v>
      </c>
      <c r="C6" s="1">
        <v>45568</v>
      </c>
      <c r="D6" t="s">
        <v>793</v>
      </c>
      <c r="E6" t="s">
        <v>794</v>
      </c>
      <c r="F6">
        <v>2</v>
      </c>
      <c r="G6" t="s">
        <v>101</v>
      </c>
      <c r="H6">
        <v>1</v>
      </c>
      <c r="I6">
        <v>13</v>
      </c>
      <c r="J6" t="s">
        <v>151</v>
      </c>
      <c r="K6">
        <v>4</v>
      </c>
      <c r="L6" t="s">
        <v>795</v>
      </c>
      <c r="M6">
        <v>13</v>
      </c>
      <c r="N6" t="s">
        <v>275</v>
      </c>
      <c r="O6">
        <v>1</v>
      </c>
      <c r="P6">
        <v>1</v>
      </c>
      <c r="Q6" t="s">
        <v>797</v>
      </c>
      <c r="R6" t="s">
        <v>802</v>
      </c>
      <c r="S6">
        <v>2</v>
      </c>
      <c r="T6" t="s">
        <v>804</v>
      </c>
    </row>
    <row r="7" spans="1:20" x14ac:dyDescent="0.25">
      <c r="A7">
        <v>5</v>
      </c>
      <c r="B7" s="120">
        <v>2024010087</v>
      </c>
      <c r="C7" s="1">
        <v>45568</v>
      </c>
      <c r="D7" t="s">
        <v>793</v>
      </c>
      <c r="E7" t="s">
        <v>794</v>
      </c>
      <c r="F7">
        <v>2</v>
      </c>
      <c r="G7" t="s">
        <v>101</v>
      </c>
      <c r="H7">
        <v>1</v>
      </c>
      <c r="I7">
        <v>13</v>
      </c>
      <c r="J7" t="s">
        <v>151</v>
      </c>
      <c r="K7">
        <v>4</v>
      </c>
      <c r="L7" t="s">
        <v>795</v>
      </c>
      <c r="M7">
        <v>5</v>
      </c>
      <c r="N7" t="s">
        <v>800</v>
      </c>
      <c r="O7">
        <v>0</v>
      </c>
      <c r="P7">
        <v>0</v>
      </c>
      <c r="Q7" t="s">
        <v>798</v>
      </c>
      <c r="R7" t="s">
        <v>802</v>
      </c>
      <c r="S7">
        <v>3</v>
      </c>
      <c r="T7" t="s">
        <v>804</v>
      </c>
    </row>
    <row r="8" spans="1:20" x14ac:dyDescent="0.25">
      <c r="A8">
        <v>6</v>
      </c>
      <c r="B8" s="120">
        <v>2024010087</v>
      </c>
      <c r="C8" s="1">
        <v>45568</v>
      </c>
      <c r="D8" t="s">
        <v>793</v>
      </c>
      <c r="E8" t="s">
        <v>794</v>
      </c>
      <c r="F8">
        <v>2</v>
      </c>
      <c r="G8" t="s">
        <v>101</v>
      </c>
      <c r="H8">
        <v>1</v>
      </c>
      <c r="I8">
        <v>13</v>
      </c>
      <c r="J8" t="s">
        <v>151</v>
      </c>
      <c r="K8">
        <v>4</v>
      </c>
      <c r="L8" t="s">
        <v>795</v>
      </c>
      <c r="M8">
        <v>43</v>
      </c>
      <c r="N8" t="s">
        <v>422</v>
      </c>
      <c r="O8">
        <v>0</v>
      </c>
      <c r="P8">
        <v>0</v>
      </c>
      <c r="Q8" t="s">
        <v>799</v>
      </c>
      <c r="R8" t="s">
        <v>802</v>
      </c>
      <c r="S8">
        <v>3</v>
      </c>
      <c r="T8" t="s">
        <v>804</v>
      </c>
    </row>
    <row r="9" spans="1:20" x14ac:dyDescent="0.25">
      <c r="A9">
        <v>7</v>
      </c>
      <c r="B9" s="120">
        <v>2024010103</v>
      </c>
      <c r="C9" s="1">
        <v>45570</v>
      </c>
      <c r="D9" t="s">
        <v>793</v>
      </c>
      <c r="E9" t="s">
        <v>794</v>
      </c>
      <c r="F9">
        <v>12</v>
      </c>
      <c r="G9" t="s">
        <v>0</v>
      </c>
      <c r="H9">
        <v>4</v>
      </c>
      <c r="I9">
        <v>13</v>
      </c>
      <c r="J9" t="s">
        <v>151</v>
      </c>
      <c r="K9">
        <v>2</v>
      </c>
      <c r="L9" t="s">
        <v>795</v>
      </c>
      <c r="M9">
        <v>0</v>
      </c>
      <c r="N9" t="s">
        <v>2</v>
      </c>
      <c r="O9">
        <v>1</v>
      </c>
      <c r="P9">
        <v>1</v>
      </c>
      <c r="Q9" t="s">
        <v>776</v>
      </c>
      <c r="R9" t="s">
        <v>802</v>
      </c>
      <c r="S9">
        <v>2</v>
      </c>
      <c r="T9" t="s">
        <v>805</v>
      </c>
    </row>
    <row r="10" spans="1:20" x14ac:dyDescent="0.25">
      <c r="A10">
        <v>8</v>
      </c>
      <c r="B10" s="120">
        <v>2024010103</v>
      </c>
      <c r="C10" s="1">
        <v>45570</v>
      </c>
      <c r="D10" t="s">
        <v>793</v>
      </c>
      <c r="E10" t="s">
        <v>794</v>
      </c>
      <c r="F10">
        <v>12</v>
      </c>
      <c r="G10" t="s">
        <v>0</v>
      </c>
      <c r="H10">
        <v>4</v>
      </c>
      <c r="I10">
        <v>13</v>
      </c>
      <c r="J10" t="s">
        <v>151</v>
      </c>
      <c r="K10">
        <v>2</v>
      </c>
      <c r="L10" t="s">
        <v>795</v>
      </c>
      <c r="M10">
        <v>14</v>
      </c>
      <c r="N10" t="s">
        <v>276</v>
      </c>
      <c r="O10">
        <v>0</v>
      </c>
      <c r="P10">
        <v>0</v>
      </c>
      <c r="Q10" t="s">
        <v>796</v>
      </c>
      <c r="R10" t="s">
        <v>802</v>
      </c>
      <c r="S10">
        <v>3</v>
      </c>
      <c r="T10" t="s">
        <v>805</v>
      </c>
    </row>
    <row r="11" spans="1:20" x14ac:dyDescent="0.25">
      <c r="A11">
        <v>9</v>
      </c>
      <c r="B11" s="120">
        <v>2024010103</v>
      </c>
      <c r="C11" s="1">
        <v>45570</v>
      </c>
      <c r="D11" t="s">
        <v>793</v>
      </c>
      <c r="E11" t="s">
        <v>794</v>
      </c>
      <c r="F11">
        <v>12</v>
      </c>
      <c r="G11" t="s">
        <v>0</v>
      </c>
      <c r="H11">
        <v>4</v>
      </c>
      <c r="I11">
        <v>13</v>
      </c>
      <c r="J11" t="s">
        <v>151</v>
      </c>
      <c r="K11">
        <v>2</v>
      </c>
      <c r="L11" t="s">
        <v>795</v>
      </c>
      <c r="M11">
        <v>35</v>
      </c>
      <c r="N11" t="s">
        <v>397</v>
      </c>
      <c r="O11">
        <v>1</v>
      </c>
      <c r="P11">
        <v>1</v>
      </c>
      <c r="Q11" t="s">
        <v>797</v>
      </c>
      <c r="R11" t="s">
        <v>802</v>
      </c>
      <c r="S11">
        <v>2</v>
      </c>
      <c r="T11" t="s">
        <v>805</v>
      </c>
    </row>
    <row r="12" spans="1:20" x14ac:dyDescent="0.25">
      <c r="A12">
        <v>10</v>
      </c>
      <c r="B12" s="120">
        <v>2024010103</v>
      </c>
      <c r="C12" s="1">
        <v>45570</v>
      </c>
      <c r="D12" t="s">
        <v>793</v>
      </c>
      <c r="E12" t="s">
        <v>794</v>
      </c>
      <c r="F12">
        <v>12</v>
      </c>
      <c r="G12" t="s">
        <v>0</v>
      </c>
      <c r="H12">
        <v>4</v>
      </c>
      <c r="I12">
        <v>13</v>
      </c>
      <c r="J12" t="s">
        <v>151</v>
      </c>
      <c r="K12">
        <v>2</v>
      </c>
      <c r="L12" t="s">
        <v>795</v>
      </c>
      <c r="M12">
        <v>13</v>
      </c>
      <c r="N12" t="s">
        <v>275</v>
      </c>
      <c r="O12">
        <v>1</v>
      </c>
      <c r="P12">
        <v>1</v>
      </c>
      <c r="Q12" t="s">
        <v>798</v>
      </c>
      <c r="R12" t="s">
        <v>802</v>
      </c>
      <c r="S12">
        <v>3</v>
      </c>
      <c r="T12" t="s">
        <v>805</v>
      </c>
    </row>
    <row r="13" spans="1:20" x14ac:dyDescent="0.25">
      <c r="A13">
        <v>11</v>
      </c>
      <c r="B13" s="120">
        <v>2024010103</v>
      </c>
      <c r="C13" s="1">
        <v>45570</v>
      </c>
      <c r="D13" t="s">
        <v>793</v>
      </c>
      <c r="E13" t="s">
        <v>794</v>
      </c>
      <c r="F13">
        <v>12</v>
      </c>
      <c r="G13" t="s">
        <v>0</v>
      </c>
      <c r="H13">
        <v>4</v>
      </c>
      <c r="I13">
        <v>13</v>
      </c>
      <c r="J13" t="s">
        <v>151</v>
      </c>
      <c r="K13">
        <v>2</v>
      </c>
      <c r="L13" t="s">
        <v>795</v>
      </c>
      <c r="M13">
        <v>43</v>
      </c>
      <c r="N13" t="s">
        <v>422</v>
      </c>
      <c r="O13">
        <v>0</v>
      </c>
      <c r="P13">
        <v>0</v>
      </c>
      <c r="Q13" t="s">
        <v>799</v>
      </c>
      <c r="R13" t="s">
        <v>802</v>
      </c>
      <c r="S13">
        <v>3</v>
      </c>
      <c r="T13" t="s">
        <v>805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JerseyData</vt:lpstr>
      <vt:lpstr>JerseyImageData</vt:lpstr>
      <vt:lpstr>NikeJerseys</vt:lpstr>
      <vt:lpstr>Wishlist</vt:lpstr>
      <vt:lpstr>Reporting</vt:lpstr>
      <vt:lpstr>NHLTeams</vt:lpstr>
      <vt:lpstr>Divisions</vt:lpstr>
      <vt:lpstr>Conferences</vt:lpstr>
      <vt:lpstr>JerseysWornAtGames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2024-11-15T17:58:53Z</dcterms:modified>
</cp:coreProperties>
</file>