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rig\Documents\Coding_Practice\Python\Jerseys\"/>
    </mc:Choice>
  </mc:AlternateContent>
  <xr:revisionPtr revIDLastSave="0" documentId="13_ncr:1_{40F54D8F-6AA7-4D9B-8240-29CEF9E387FA}" xr6:coauthVersionLast="47" xr6:coauthVersionMax="47" xr10:uidLastSave="{00000000-0000-0000-0000-000000000000}"/>
  <bookViews>
    <workbookView xWindow="-120" yWindow="-120" windowWidth="29040" windowHeight="15840" xr2:uid="{B95EB0FB-A72B-41B3-831E-05BEEED709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0" i="1" l="1"/>
  <c r="N11" i="1"/>
  <c r="N12" i="1"/>
  <c r="N13" i="1"/>
  <c r="N14" i="1"/>
  <c r="N15" i="1"/>
  <c r="N16" i="1"/>
  <c r="N17" i="1"/>
  <c r="N18" i="1"/>
  <c r="N19" i="1"/>
  <c r="M10" i="1"/>
  <c r="M11" i="1"/>
  <c r="M12" i="1"/>
  <c r="M13" i="1"/>
  <c r="M14" i="1"/>
  <c r="M15" i="1"/>
  <c r="M16" i="1"/>
  <c r="M17" i="1"/>
  <c r="M18" i="1"/>
  <c r="M19" i="1"/>
  <c r="I10" i="1"/>
  <c r="I11" i="1"/>
  <c r="I12" i="1"/>
  <c r="I13" i="1"/>
  <c r="I14" i="1"/>
  <c r="I15" i="1"/>
  <c r="I16" i="1"/>
  <c r="I17" i="1"/>
  <c r="I18" i="1"/>
  <c r="I19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O2" i="1"/>
  <c r="Q2" i="1" s="1"/>
  <c r="O3" i="1"/>
  <c r="Q3" i="1" s="1"/>
  <c r="O4" i="1"/>
  <c r="Q4" i="1" s="1"/>
  <c r="O5" i="1"/>
  <c r="Q5" i="1" s="1"/>
  <c r="O6" i="1"/>
  <c r="Q6" i="1" s="1"/>
  <c r="O7" i="1"/>
  <c r="Q7" i="1" s="1"/>
  <c r="O8" i="1"/>
  <c r="Q8" i="1" s="1"/>
  <c r="O9" i="1"/>
  <c r="O10" i="1"/>
  <c r="Q10" i="1" s="1"/>
  <c r="O11" i="1"/>
  <c r="Q11" i="1" s="1"/>
  <c r="O12" i="1"/>
  <c r="Q12" i="1" s="1"/>
  <c r="O13" i="1"/>
  <c r="Q13" i="1" s="1"/>
  <c r="O14" i="1"/>
  <c r="Q14" i="1" s="1"/>
  <c r="O15" i="1"/>
  <c r="Q15" i="1" s="1"/>
  <c r="O16" i="1"/>
  <c r="Q16" i="1" s="1"/>
  <c r="O17" i="1"/>
  <c r="Q17" i="1" s="1"/>
  <c r="O18" i="1"/>
  <c r="Q18" i="1" s="1"/>
  <c r="O19" i="1"/>
  <c r="U16" i="1" s="1"/>
  <c r="T16" i="1"/>
  <c r="T17" i="1"/>
  <c r="T18" i="1"/>
  <c r="T15" i="1"/>
  <c r="T12" i="1"/>
  <c r="T11" i="1"/>
  <c r="T10" i="1"/>
  <c r="T9" i="1"/>
  <c r="T6" i="1"/>
  <c r="T5" i="1"/>
  <c r="T4" i="1"/>
  <c r="T3" i="1"/>
  <c r="Z9" i="1" l="1"/>
  <c r="AA9" i="1"/>
  <c r="Z5" i="1"/>
  <c r="Z16" i="1"/>
  <c r="AA18" i="1"/>
  <c r="Z12" i="1"/>
  <c r="AA10" i="1"/>
  <c r="AA5" i="1"/>
  <c r="AA16" i="1"/>
  <c r="AA15" i="1"/>
  <c r="Z11" i="1"/>
  <c r="Z3" i="1"/>
  <c r="Z6" i="1"/>
  <c r="Z17" i="1"/>
  <c r="AA12" i="1"/>
  <c r="Z10" i="1"/>
  <c r="AA3" i="1"/>
  <c r="AA6" i="1"/>
  <c r="AA17" i="1"/>
  <c r="AA4" i="1"/>
  <c r="AA11" i="1"/>
  <c r="Z4" i="1"/>
  <c r="Z15" i="1"/>
  <c r="Z18" i="1"/>
  <c r="Y3" i="1"/>
  <c r="Y17" i="1"/>
  <c r="X3" i="1"/>
  <c r="X11" i="1"/>
  <c r="Y11" i="1"/>
  <c r="X6" i="1"/>
  <c r="X12" i="1"/>
  <c r="Y6" i="1"/>
  <c r="Y12" i="1"/>
  <c r="X5" i="1"/>
  <c r="X15" i="1"/>
  <c r="Y5" i="1"/>
  <c r="Y15" i="1"/>
  <c r="X4" i="1"/>
  <c r="X16" i="1"/>
  <c r="Y4" i="1"/>
  <c r="Y16" i="1"/>
  <c r="X9" i="1"/>
  <c r="W9" i="1" s="1"/>
  <c r="X17" i="1"/>
  <c r="Y9" i="1"/>
  <c r="Q9" i="1"/>
  <c r="X10" i="1"/>
  <c r="X18" i="1"/>
  <c r="Y10" i="1"/>
  <c r="Y18" i="1"/>
  <c r="Q19" i="1"/>
  <c r="U5" i="1"/>
  <c r="V5" i="1" s="1"/>
  <c r="U11" i="1"/>
  <c r="V11" i="1" s="1"/>
  <c r="U18" i="1"/>
  <c r="V18" i="1" s="1"/>
  <c r="U15" i="1"/>
  <c r="V15" i="1" s="1"/>
  <c r="U17" i="1"/>
  <c r="V17" i="1" s="1"/>
  <c r="V16" i="1"/>
  <c r="U12" i="1"/>
  <c r="V12" i="1" s="1"/>
  <c r="U9" i="1"/>
  <c r="V9" i="1" s="1"/>
  <c r="U10" i="1"/>
  <c r="V10" i="1" s="1"/>
  <c r="U3" i="1"/>
  <c r="V3" i="1" s="1"/>
  <c r="U4" i="1"/>
  <c r="V4" i="1" s="1"/>
  <c r="U6" i="1"/>
  <c r="V6" i="1" s="1"/>
  <c r="W6" i="1" l="1"/>
  <c r="W11" i="1"/>
  <c r="W16" i="1"/>
  <c r="W3" i="1"/>
  <c r="W18" i="1"/>
  <c r="W15" i="1"/>
  <c r="W10" i="1"/>
  <c r="W5" i="1"/>
  <c r="W4" i="1"/>
  <c r="W17" i="1"/>
  <c r="W12" i="1"/>
</calcChain>
</file>

<file path=xl/sharedStrings.xml><?xml version="1.0" encoding="utf-8"?>
<sst xmlns="http://schemas.openxmlformats.org/spreadsheetml/2006/main" count="122" uniqueCount="46">
  <si>
    <t>FIN</t>
  </si>
  <si>
    <t>SVK</t>
  </si>
  <si>
    <t>ITA</t>
  </si>
  <si>
    <t>SWE</t>
  </si>
  <si>
    <t>FRA</t>
  </si>
  <si>
    <t>SUI</t>
  </si>
  <si>
    <t>CAN</t>
  </si>
  <si>
    <t>CZE</t>
  </si>
  <si>
    <t>USA</t>
  </si>
  <si>
    <t>LAT</t>
  </si>
  <si>
    <t>DEN</t>
  </si>
  <si>
    <t>GER</t>
  </si>
  <si>
    <t>A</t>
  </si>
  <si>
    <t>B</t>
  </si>
  <si>
    <t>C</t>
  </si>
  <si>
    <t>GTP</t>
  </si>
  <si>
    <t>GP</t>
  </si>
  <si>
    <t>GR</t>
  </si>
  <si>
    <t>P</t>
  </si>
  <si>
    <t>W</t>
  </si>
  <si>
    <t>L</t>
  </si>
  <si>
    <t>OTL</t>
  </si>
  <si>
    <t>Date</t>
  </si>
  <si>
    <t>Time</t>
  </si>
  <si>
    <t>AwayTeam</t>
  </si>
  <si>
    <t>HomeTeam</t>
  </si>
  <si>
    <t>PredAwayScore</t>
  </si>
  <si>
    <t>PredHomeScore</t>
  </si>
  <si>
    <t>PredResult</t>
  </si>
  <si>
    <t>ActAwayScore</t>
  </si>
  <si>
    <t>ActHomeScore</t>
  </si>
  <si>
    <t>ActResult</t>
  </si>
  <si>
    <t>GameOver</t>
  </si>
  <si>
    <t>Correct</t>
  </si>
  <si>
    <t>PredWinner</t>
  </si>
  <si>
    <t>ActWinner</t>
  </si>
  <si>
    <t>GameHasOT</t>
  </si>
  <si>
    <t>OTW</t>
  </si>
  <si>
    <t>ActLoser</t>
  </si>
  <si>
    <t>Round</t>
  </si>
  <si>
    <t>Qualifying</t>
  </si>
  <si>
    <t>RoundRobin</t>
  </si>
  <si>
    <t>QuarterFinal</t>
  </si>
  <si>
    <t>SemiFinal</t>
  </si>
  <si>
    <t>Bronze</t>
  </si>
  <si>
    <t>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</si>
</sst>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33">
    <dxf>
      <numFmt numFmtId="25" formatCode="h:mm"/>
    </dxf>
    <dxf>
      <font>
        <b/>
        <i val="0"/>
        <color theme="0"/>
      </font>
      <fill>
        <patternFill>
          <bgColor rgb="FFFA0000"/>
        </patternFill>
      </fill>
    </dxf>
    <dxf>
      <font>
        <b/>
        <i val="0"/>
        <color rgb="FFFF7D7D"/>
      </font>
      <fill>
        <patternFill>
          <bgColor theme="4" tint="-0.24994659260841701"/>
        </patternFill>
      </fill>
    </dxf>
    <dxf>
      <font>
        <b/>
        <i val="0"/>
        <color rgb="FFFFFF00"/>
      </font>
      <fill>
        <patternFill>
          <bgColor theme="1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rgb="FF543FF3"/>
        </patternFill>
      </fill>
    </dxf>
    <dxf>
      <font>
        <b/>
        <i val="0"/>
        <color rgb="FFFF000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rgb="FF543FF3"/>
      </font>
      <fill>
        <patternFill>
          <bgColor rgb="FFFFFF0D"/>
        </patternFill>
      </fill>
    </dxf>
    <dxf>
      <font>
        <b/>
        <i val="0"/>
        <color rgb="FFFF0000"/>
      </font>
      <fill>
        <patternFill>
          <bgColor theme="3"/>
        </patternFill>
      </fill>
    </dxf>
    <dxf>
      <font>
        <b/>
        <i val="0"/>
        <color theme="4" tint="-0.499984740745262"/>
      </font>
      <fill>
        <patternFill>
          <bgColor rgb="FFF20000"/>
        </patternFill>
      </fill>
    </dxf>
    <dxf>
      <font>
        <b/>
        <i val="0"/>
        <color theme="0"/>
      </font>
      <fill>
        <patternFill>
          <bgColor rgb="FF6D1107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6D1107"/>
        </patternFill>
      </fill>
    </dxf>
    <dxf>
      <font>
        <b/>
        <i val="0"/>
        <color theme="4" tint="-0.499984740745262"/>
      </font>
      <fill>
        <patternFill>
          <bgColor rgb="FFF20000"/>
        </patternFill>
      </fill>
    </dxf>
    <dxf>
      <font>
        <b/>
        <i val="0"/>
        <color rgb="FFFF0000"/>
      </font>
      <fill>
        <patternFill>
          <bgColor theme="3"/>
        </patternFill>
      </fill>
    </dxf>
    <dxf>
      <font>
        <b/>
        <i val="0"/>
        <color rgb="FF543FF3"/>
      </font>
      <fill>
        <patternFill>
          <bgColor rgb="FFFFFF0D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rgb="FFFF000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bgColor rgb="FF543FF3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FF00"/>
      </font>
      <fill>
        <patternFill>
          <bgColor theme="1"/>
        </patternFill>
      </fill>
    </dxf>
    <dxf>
      <font>
        <b/>
        <i val="0"/>
        <color rgb="FFFF7D7D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A0000"/>
        </patternFill>
      </fill>
    </dxf>
    <dxf>
      <font>
        <b/>
        <i val="0"/>
        <color theme="0"/>
      </font>
      <fill>
        <patternFill>
          <bgColor rgb="FFFA0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5" formatCode="h:mm"/>
    </dxf>
    <dxf>
      <numFmt numFmtId="19" formatCode="yyyy/mm/dd"/>
    </dxf>
  </dxfs>
  <tableStyles count="0" defaultTableStyle="TableStyleMedium2" defaultPivotStyle="PivotStyleLight16"/>
  <colors>
    <mruColors>
      <color rgb="FF6D1107"/>
      <color rgb="FF960000"/>
      <color rgb="FFF20000"/>
      <color rgb="FF543FF3"/>
      <color rgb="FFFFFF0D"/>
      <color rgb="FFFF7D7D"/>
      <color rgb="FFFA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8531FE-5A65-4271-81C9-42EEE0C45774}" name="Table1" displayName="Table1" ref="A1:Q19" totalsRowShown="0">
  <autoFilter ref="A1:Q19" xr:uid="{268531FE-5A65-4271-81C9-42EEE0C45774}"/>
  <tableColumns count="17">
    <tableColumn id="1" xr3:uid="{521F08EC-9D2C-4023-90D1-AC3D87D098C0}" name="Date" dataDxfId="32"/>
    <tableColumn id="2" xr3:uid="{91A31119-248D-4997-AD54-76C496EEE5CA}" name="Time" dataDxfId="31"/>
    <tableColumn id="17" xr3:uid="{A8577C65-BA68-46B9-AFEF-B6455E5DAD5C}" name="Round" dataDxfId="0"/>
    <tableColumn id="3" xr3:uid="{69B5B75C-76E9-4156-89D2-E208A57D7735}" name="AwayTeam"/>
    <tableColumn id="4" xr3:uid="{14943087-74D9-47E8-A98E-1ADB25859C18}" name="HomeTeam"/>
    <tableColumn id="5" xr3:uid="{94CC5A1F-CE24-49C6-9B29-6B4E15C4D86C}" name="PredAwayScore"/>
    <tableColumn id="6" xr3:uid="{8E749290-957D-4CD4-8194-9EC66831F4E9}" name="PredHomeScore"/>
    <tableColumn id="7" xr3:uid="{C09FB894-579D-4631-9433-FF1CC4D07E4A}" name="PredResult"/>
    <tableColumn id="13" xr3:uid="{A5397FF7-BB61-4D41-BF78-8E89DA1DB7FA}" name="PredWinner" dataDxfId="27">
      <calculatedColumnFormula>IF(ISBLANK(Table1[[#This Row],[PredResult]]), "", IF(Table1[[#This Row],[PredAwayScore]]&gt;Table1[[#This Row],[PredHomeScore]],Table1[[#This Row],[AwayTeam]],))</calculatedColumnFormula>
    </tableColumn>
    <tableColumn id="8" xr3:uid="{6DE202A2-1FFB-48EE-B6A2-D6392F6491DB}" name="ActAwayScore"/>
    <tableColumn id="9" xr3:uid="{AFCA606D-872B-4708-86FF-0A8454B6B193}" name="ActHomeScore"/>
    <tableColumn id="10" xr3:uid="{F5B8B56A-00B2-4FD4-94A2-41220C5B7461}" name="ActResult"/>
    <tableColumn id="14" xr3:uid="{47F02CBE-5E11-4671-8818-4AB4BB9F2728}" name="ActWinner" dataDxfId="26">
      <calculatedColumnFormula>IF(ISBLANK(Table1[[#This Row],[ActResult]]), "", IF(Table1[[#This Row],[ActAwayScore]]&gt;Table1[[#This Row],[ActHomeScore]],Table1[[#This Row],[AwayTeam]],Table1[[#This Row],[HomeTeam]]))</calculatedColumnFormula>
    </tableColumn>
    <tableColumn id="16" xr3:uid="{154AA113-91A5-4044-82BC-E871D00F8D83}" name="ActLoser" dataDxfId="25">
      <calculatedColumnFormula>IF(ISBLANK(Table1[[#This Row],[ActResult]]), "", IF(Table1[[#This Row],[ActAwayScore]]&gt;Table1[[#This Row],[ActHomeScore]],Table1[[#This Row],[HomeTeam]],Table1[[#This Row],[AwayTeam]]))</calculatedColumnFormula>
    </tableColumn>
    <tableColumn id="11" xr3:uid="{735D1347-B9D5-4EF8-8105-6162B5707540}" name="GameOver" dataDxfId="30">
      <calculatedColumnFormula>IF(ISBLANK(Table1[[#This Row],[ActResult]]), 0, 1)</calculatedColumnFormula>
    </tableColumn>
    <tableColumn id="15" xr3:uid="{30EE76B3-A849-4E28-B1D2-9839FBB46384}" name="GameHasOT" dataDxfId="28">
      <calculatedColumnFormula>IF(OR(Table1[[#This Row],[ActResult]]="OT",Table1[[#This Row],[ActResult]]="SO"), 1, 0)</calculatedColumnFormula>
    </tableColumn>
    <tableColumn id="12" xr3:uid="{BC790E32-C87E-4B9F-A09F-AF192A2D1B1D}" name="Correct" dataDxfId="29">
      <calculatedColumnFormula>IF(Table1[[#This Row],[GameOver]]=0, "", IF(Table1[[#This Row],[PredWinner]]=Table1[[#This Row],[ActWinner]],1,0))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F7C6E1-18B7-4711-B125-327F3EA5ABD1}" name="Table2" displayName="Table2" ref="S2:AA6" totalsRowShown="0">
  <autoFilter ref="S2:AA6" xr:uid="{01F7C6E1-18B7-4711-B125-327F3EA5ABD1}"/>
  <tableColumns count="9">
    <tableColumn id="1" xr3:uid="{97267FE7-2A10-4D38-B65B-ABD6A6C22550}" name="A"/>
    <tableColumn id="2" xr3:uid="{A8B934AE-E28E-47CE-843A-33F514543BD9}" name="GTP">
      <calculatedColumnFormula>COUNTIF(Table1[[AwayTeam]:[HomeTeam]],S3)</calculatedColumnFormula>
    </tableColumn>
    <tableColumn id="3" xr3:uid="{F2839D33-1BC3-4B0E-BE33-F08E51DFDC08}" name="GP">
      <calculatedColumnFormula>COUNTIFS(Table1[AwayTeam],S3,Table1[GameOver],1) + COUNTIFS(Table1[HomeTeam],S3,Table1[GameOver],1)</calculatedColumnFormula>
    </tableColumn>
    <tableColumn id="4" xr3:uid="{7FFDDB0D-4FD0-47F7-BCE1-E8181DF08AF5}" name="GR">
      <calculatedColumnFormula>T3-U3</calculatedColumnFormula>
    </tableColumn>
    <tableColumn id="5" xr3:uid="{D162E356-A2CC-497F-846E-16F8D83F24A8}" name="P">
      <calculatedColumnFormula>(3*X3)+(2*Y3)+AA3</calculatedColumnFormula>
    </tableColumn>
    <tableColumn id="6" xr3:uid="{D84AE836-1F60-4818-B8EE-35071464D80D}" name="W">
      <calculatedColumnFormula>COUNTIFS(Table1[GameOver],1,Table1[ActWinner],S3,Table1[ActResult],"REG")</calculatedColumnFormula>
    </tableColumn>
    <tableColumn id="7" xr3:uid="{EF406F61-1019-47AB-8CE7-37FBCA011D34}" name="OTW">
      <calculatedColumnFormula>COUNTIFS(Table1[GameOver],1,Table1[ActWinner],S3,Table1[ActResult],"OT") + COUNTIFS(Table1[GameOver],1,Table1[ActWinner],S3,Table1[ActResult],"SO")</calculatedColumnFormula>
    </tableColumn>
    <tableColumn id="8" xr3:uid="{E2018952-00F7-4DB6-A556-E0A13CCD5B45}" name="L">
      <calculatedColumnFormula>COUNTIFS(Table1[GameOver],1,Table1[ActLoser],S3, Table1[ActResult],"REG")</calculatedColumnFormula>
    </tableColumn>
    <tableColumn id="9" xr3:uid="{F628C3ED-0341-4090-BA35-0B783C974140}" name="OTL">
      <calculatedColumnFormula>COUNTIFS(Table1[GameOver],1,Table1[ActLoser],S3, Table1[ActResult],"OT")+COUNTIFS(Table1[GameOver],1,Table1[ActLoser],S3, Table1[ActResult],"SO")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8938D75-E04E-412C-AE6F-26FEAF91150A}" name="Table3" displayName="Table3" ref="S8:AA12" totalsRowShown="0">
  <autoFilter ref="S8:AA12" xr:uid="{58938D75-E04E-412C-AE6F-26FEAF91150A}"/>
  <tableColumns count="9">
    <tableColumn id="1" xr3:uid="{F75F55DC-223F-409E-91B6-23C03FC66186}" name="B"/>
    <tableColumn id="2" xr3:uid="{EAF42EF4-3FE3-4A79-B768-B7CA4FB53180}" name="GTP">
      <calculatedColumnFormula>COUNTIF(Table1[[AwayTeam]:[HomeTeam]],S9)</calculatedColumnFormula>
    </tableColumn>
    <tableColumn id="3" xr3:uid="{334F7346-F1E5-425B-B160-9E345C616305}" name="GP">
      <calculatedColumnFormula>COUNTIFS(Table1[AwayTeam],S9,Table1[GameOver],1) + COUNTIFS(Table1[HomeTeam],S9,Table1[GameOver],1)</calculatedColumnFormula>
    </tableColumn>
    <tableColumn id="4" xr3:uid="{8D78E7AE-0CD9-4B84-BA97-47442A3A8357}" name="GR">
      <calculatedColumnFormula>T9-U9</calculatedColumnFormula>
    </tableColumn>
    <tableColumn id="5" xr3:uid="{222FE288-2784-416D-A90A-07891F84029D}" name="P">
      <calculatedColumnFormula>(3*X9)+(2*Y9)+AA9</calculatedColumnFormula>
    </tableColumn>
    <tableColumn id="6" xr3:uid="{7B2EEEC3-C2A8-4D37-9F34-06E8BAF83516}" name="W">
      <calculatedColumnFormula>COUNTIFS(Table1[GameOver],1,Table1[ActWinner],S9,Table1[ActResult],"REG")</calculatedColumnFormula>
    </tableColumn>
    <tableColumn id="7" xr3:uid="{D86A3A7A-D479-49BC-BC7E-4EADDC88689E}" name="OTW">
      <calculatedColumnFormula>COUNTIFS(Table1[GameOver],1,Table1[ActWinner],S9,Table1[ActResult],"OT") + COUNTIFS(Table1[GameOver],1,Table1[ActWinner],S9,Table1[ActResult],"SO")</calculatedColumnFormula>
    </tableColumn>
    <tableColumn id="8" xr3:uid="{5B5C0702-81BD-4651-98C9-305ED099FF7B}" name="L">
      <calculatedColumnFormula>COUNTIFS(Table1[GameOver],1,Table1[ActLoser],S9, Table1[ActResult],"REG")</calculatedColumnFormula>
    </tableColumn>
    <tableColumn id="9" xr3:uid="{63ADA648-7BF2-4485-A560-4352A2EB2DC7}" name="OTL">
      <calculatedColumnFormula>COUNTIFS(Table1[GameOver],1,Table1[ActLoser],S9, Table1[ActResult],"OT")+COUNTIFS(Table1[GameOver],1,Table1[ActLoser],S9, Table1[ActResult],"SO")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E656DBA-B77A-45A1-B58F-9E9AB91939AD}" name="Table4" displayName="Table4" ref="S14:AA18" totalsRowShown="0">
  <autoFilter ref="S14:AA18" xr:uid="{DE656DBA-B77A-45A1-B58F-9E9AB91939AD}"/>
  <tableColumns count="9">
    <tableColumn id="1" xr3:uid="{B0111858-D751-4A30-BE76-61DBB6C9B1C8}" name="C"/>
    <tableColumn id="2" xr3:uid="{4C8C9E23-EF52-441D-815E-DE4FFDCDE92F}" name="GTP">
      <calculatedColumnFormula>COUNTIF(Table1[[AwayTeam]:[HomeTeam]],S15)</calculatedColumnFormula>
    </tableColumn>
    <tableColumn id="3" xr3:uid="{D350AA55-C0CF-4AAC-996A-38317661CCAA}" name="GP">
      <calculatedColumnFormula>COUNTIFS(Table1[AwayTeam],S15,Table1[GameOver],1) + COUNTIFS(Table1[HomeTeam],S15,Table1[GameOver],1)</calculatedColumnFormula>
    </tableColumn>
    <tableColumn id="4" xr3:uid="{152DFFE8-820B-4235-92E3-95DB0401FE39}" name="GR">
      <calculatedColumnFormula>T15-U15</calculatedColumnFormula>
    </tableColumn>
    <tableColumn id="5" xr3:uid="{B33D09FB-BA27-4A05-A489-8C5DEB38F343}" name="P">
      <calculatedColumnFormula>(3*X15)+(2*Y15)+AA15</calculatedColumnFormula>
    </tableColumn>
    <tableColumn id="6" xr3:uid="{54308A7B-8CEC-42E3-A714-708096ADC292}" name="W">
      <calculatedColumnFormula>COUNTIFS(Table1[GameOver],1,Table1[ActWinner],S15,Table1[ActResult],"REG")</calculatedColumnFormula>
    </tableColumn>
    <tableColumn id="7" xr3:uid="{A8717A41-3092-401D-ABD7-3B60C7BD5F85}" name="OTW">
      <calculatedColumnFormula>COUNTIFS(Table1[GameOver],1,Table1[ActWinner],S15,Table1[ActResult],"OT") + COUNTIFS(Table1[GameOver],1,Table1[ActWinner],S15,Table1[ActResult],"SO")</calculatedColumnFormula>
    </tableColumn>
    <tableColumn id="8" xr3:uid="{34156597-7ABD-4CA2-A6F3-D0E5B847919C}" name="L">
      <calculatedColumnFormula>COUNTIFS(Table1[GameOver],1,Table1[ActLoser],S15, Table1[ActResult],"REG")</calculatedColumnFormula>
    </tableColumn>
    <tableColumn id="9" xr3:uid="{2F8A8E55-50C8-4318-AAB1-CC11405B8D70}" name="OTL">
      <calculatedColumnFormula>COUNTIFS(Table1[GameOver],1,Table1[ActLoser],S15, Table1[ActResult],"OT")+COUNTIFS(Table1[GameOver],1,Table1[ActLoser],S15, Table1[ActResult],"SO")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2AA88-468E-4362-9592-14B6DC95F061}">
  <dimension ref="A1:AA32"/>
  <sheetViews>
    <sheetView tabSelected="1" topLeftCell="A4" workbookViewId="0">
      <selection activeCell="K24" sqref="K24"/>
    </sheetView>
  </sheetViews>
  <sheetFormatPr defaultRowHeight="15" x14ac:dyDescent="0.25"/>
  <cols>
    <col min="1" max="1" width="10.42578125" bestFit="1" customWidth="1"/>
    <col min="2" max="2" width="6.28515625" customWidth="1"/>
    <col min="3" max="3" width="13.5703125" customWidth="1"/>
    <col min="4" max="5" width="6.140625" customWidth="1"/>
    <col min="6" max="6" width="17" customWidth="1"/>
    <col min="7" max="7" width="17.42578125" customWidth="1"/>
    <col min="8" max="9" width="12.85546875" customWidth="1"/>
    <col min="10" max="10" width="15.7109375" customWidth="1"/>
    <col min="11" max="11" width="16.140625" customWidth="1"/>
    <col min="12" max="17" width="11.5703125" customWidth="1"/>
    <col min="20" max="20" width="6.7109375" customWidth="1"/>
    <col min="21" max="21" width="9.42578125" customWidth="1"/>
  </cols>
  <sheetData>
    <row r="1" spans="1:27" x14ac:dyDescent="0.25">
      <c r="A1" t="s">
        <v>22</v>
      </c>
      <c r="B1" t="s">
        <v>23</v>
      </c>
      <c r="C1" t="s">
        <v>39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34</v>
      </c>
      <c r="J1" t="s">
        <v>29</v>
      </c>
      <c r="K1" t="s">
        <v>30</v>
      </c>
      <c r="L1" t="s">
        <v>31</v>
      </c>
      <c r="M1" t="s">
        <v>35</v>
      </c>
      <c r="N1" t="s">
        <v>38</v>
      </c>
      <c r="O1" t="s">
        <v>32</v>
      </c>
      <c r="P1" t="s">
        <v>36</v>
      </c>
      <c r="Q1" t="s">
        <v>33</v>
      </c>
    </row>
    <row r="2" spans="1:27" x14ac:dyDescent="0.25">
      <c r="A2" s="1">
        <v>46064</v>
      </c>
      <c r="B2" s="2">
        <v>0.4861111111111111</v>
      </c>
      <c r="C2" s="2" t="s">
        <v>41</v>
      </c>
      <c r="D2" t="s">
        <v>0</v>
      </c>
      <c r="E2" t="s">
        <v>1</v>
      </c>
      <c r="O2">
        <f>IF(ISBLANK(Table1[[#This Row],[ActResult]]), 0, 1)</f>
        <v>0</v>
      </c>
      <c r="P2">
        <f>IF(OR(Table1[[#This Row],[ActResult]]="OT",Table1[[#This Row],[ActResult]]="SO"), 1, 0)</f>
        <v>0</v>
      </c>
      <c r="Q2" t="str">
        <f>IF(Table1[[#This Row],[GameOver]]=0, "", IF(Table1[[#This Row],[PredWinner]]=Table1[[#This Row],[ActWinner]],1,0))</f>
        <v/>
      </c>
      <c r="S2" t="s">
        <v>12</v>
      </c>
      <c r="T2" t="s">
        <v>15</v>
      </c>
      <c r="U2" t="s">
        <v>16</v>
      </c>
      <c r="V2" t="s">
        <v>17</v>
      </c>
      <c r="W2" t="s">
        <v>18</v>
      </c>
      <c r="X2" t="s">
        <v>19</v>
      </c>
      <c r="Y2" t="s">
        <v>37</v>
      </c>
      <c r="Z2" t="s">
        <v>20</v>
      </c>
      <c r="AA2" t="s">
        <v>21</v>
      </c>
    </row>
    <row r="3" spans="1:27" x14ac:dyDescent="0.25">
      <c r="A3" s="1">
        <v>46064</v>
      </c>
      <c r="B3" s="2">
        <v>0.67361111111111116</v>
      </c>
      <c r="C3" s="2" t="s">
        <v>41</v>
      </c>
      <c r="D3" t="s">
        <v>2</v>
      </c>
      <c r="E3" t="s">
        <v>3</v>
      </c>
      <c r="O3">
        <f>IF(ISBLANK(Table1[[#This Row],[ActResult]]), 0, 1)</f>
        <v>0</v>
      </c>
      <c r="P3">
        <f>IF(OR(Table1[[#This Row],[ActResult]]="OT",Table1[[#This Row],[ActResult]]="SO"), 1, 0)</f>
        <v>0</v>
      </c>
      <c r="Q3" t="str">
        <f>IF(Table1[[#This Row],[GameOver]]=0, "", IF(Table1[[#This Row],[PredWinner]]=Table1[[#This Row],[ActWinner]],1,0))</f>
        <v/>
      </c>
      <c r="S3" t="s">
        <v>6</v>
      </c>
      <c r="T3">
        <f>COUNTIF(Table1[[AwayTeam]:[HomeTeam]],S3)</f>
        <v>3</v>
      </c>
      <c r="U3">
        <f>COUNTIFS(Table1[AwayTeam],S3,Table1[GameOver],1) + COUNTIFS(Table1[HomeTeam],S3,Table1[GameOver],1)</f>
        <v>0</v>
      </c>
      <c r="V3">
        <f>T3-U3</f>
        <v>3</v>
      </c>
      <c r="W3">
        <f>(3*X3)+(2*Y3)+AA3</f>
        <v>0</v>
      </c>
      <c r="X3">
        <f>COUNTIFS(Table1[GameOver],1,Table1[ActWinner],S3,Table1[ActResult],"REG")</f>
        <v>0</v>
      </c>
      <c r="Y3">
        <f>COUNTIFS(Table1[GameOver],1,Table1[ActWinner],S3,Table1[ActResult],"OT") + COUNTIFS(Table1[GameOver],1,Table1[ActWinner],S3,Table1[ActResult],"SO")</f>
        <v>0</v>
      </c>
      <c r="Z3">
        <f>COUNTIFS(Table1[GameOver],1,Table1[ActLoser],S3, Table1[ActResult],"REG")</f>
        <v>0</v>
      </c>
      <c r="AA3">
        <f>COUNTIFS(Table1[GameOver],1,Table1[ActLoser],S3, Table1[ActResult],"OT")+COUNTIFS(Table1[GameOver],1,Table1[ActLoser],S3, Table1[ActResult],"SO")</f>
        <v>0</v>
      </c>
    </row>
    <row r="4" spans="1:27" x14ac:dyDescent="0.25">
      <c r="A4" s="1">
        <v>46065</v>
      </c>
      <c r="B4" s="2">
        <v>0.2986111111111111</v>
      </c>
      <c r="C4" s="2" t="s">
        <v>41</v>
      </c>
      <c r="D4" t="s">
        <v>4</v>
      </c>
      <c r="E4" t="s">
        <v>5</v>
      </c>
      <c r="O4">
        <f>IF(ISBLANK(Table1[[#This Row],[ActResult]]), 0, 1)</f>
        <v>0</v>
      </c>
      <c r="P4">
        <f>IF(OR(Table1[[#This Row],[ActResult]]="OT",Table1[[#This Row],[ActResult]]="SO"), 1, 0)</f>
        <v>0</v>
      </c>
      <c r="Q4" t="str">
        <f>IF(Table1[[#This Row],[GameOver]]=0, "", IF(Table1[[#This Row],[PredWinner]]=Table1[[#This Row],[ActWinner]],1,0))</f>
        <v/>
      </c>
      <c r="S4" t="s">
        <v>7</v>
      </c>
      <c r="T4">
        <f>COUNTIF(Table1[[AwayTeam]:[HomeTeam]],S4)</f>
        <v>3</v>
      </c>
      <c r="U4">
        <f>COUNTIFS(Table1[AwayTeam],S4,Table1[GameOver],1) + COUNTIFS(Table1[HomeTeam],S4,Table1[GameOver],1)</f>
        <v>0</v>
      </c>
      <c r="V4">
        <f t="shared" ref="V4:V6" si="0">T4-U4</f>
        <v>3</v>
      </c>
      <c r="W4">
        <f t="shared" ref="W4:W6" si="1">(3*X4)+(2*Y4)+AA4</f>
        <v>0</v>
      </c>
      <c r="X4">
        <f>COUNTIFS(Table1[GameOver],1,Table1[ActWinner],S4,Table1[ActResult],"REG")</f>
        <v>0</v>
      </c>
      <c r="Y4">
        <f>COUNTIFS(Table1[GameOver],1,Table1[ActWinner],S4,Table1[ActResult],"OT") + COUNTIFS(Table1[GameOver],1,Table1[ActWinner],S4,Table1[ActResult],"SO")</f>
        <v>0</v>
      </c>
      <c r="Z4">
        <f>COUNTIFS(Table1[GameOver],1,Table1[ActLoser],S4, Table1[ActResult],"REG")</f>
        <v>0</v>
      </c>
      <c r="AA4">
        <f>COUNTIFS(Table1[GameOver],1,Table1[ActLoser],S4, Table1[ActResult],"OT")+COUNTIFS(Table1[GameOver],1,Table1[ActLoser],S4, Table1[ActResult],"SO")</f>
        <v>0</v>
      </c>
    </row>
    <row r="5" spans="1:27" x14ac:dyDescent="0.25">
      <c r="A5" s="1">
        <v>46065</v>
      </c>
      <c r="B5" s="2">
        <v>0.4861111111111111</v>
      </c>
      <c r="C5" s="2" t="s">
        <v>41</v>
      </c>
      <c r="D5" t="s">
        <v>6</v>
      </c>
      <c r="E5" t="s">
        <v>7</v>
      </c>
      <c r="O5">
        <f>IF(ISBLANK(Table1[[#This Row],[ActResult]]), 0, 1)</f>
        <v>0</v>
      </c>
      <c r="P5">
        <f>IF(OR(Table1[[#This Row],[ActResult]]="OT",Table1[[#This Row],[ActResult]]="SO"), 1, 0)</f>
        <v>0</v>
      </c>
      <c r="Q5" t="str">
        <f>IF(Table1[[#This Row],[GameOver]]=0, "", IF(Table1[[#This Row],[PredWinner]]=Table1[[#This Row],[ActWinner]],1,0))</f>
        <v/>
      </c>
      <c r="S5" t="s">
        <v>5</v>
      </c>
      <c r="T5">
        <f>COUNTIF(Table1[[AwayTeam]:[HomeTeam]],S5)</f>
        <v>3</v>
      </c>
      <c r="U5">
        <f>COUNTIFS(Table1[AwayTeam],S5,Table1[GameOver],1) + COUNTIFS(Table1[HomeTeam],S5,Table1[GameOver],1)</f>
        <v>0</v>
      </c>
      <c r="V5">
        <f t="shared" si="0"/>
        <v>3</v>
      </c>
      <c r="W5">
        <f t="shared" si="1"/>
        <v>0</v>
      </c>
      <c r="X5">
        <f>COUNTIFS(Table1[GameOver],1,Table1[ActWinner],S5,Table1[ActResult],"REG")</f>
        <v>0</v>
      </c>
      <c r="Y5">
        <f>COUNTIFS(Table1[GameOver],1,Table1[ActWinner],S5,Table1[ActResult],"OT") + COUNTIFS(Table1[GameOver],1,Table1[ActWinner],S5,Table1[ActResult],"SO")</f>
        <v>0</v>
      </c>
      <c r="Z5">
        <f>COUNTIFS(Table1[GameOver],1,Table1[ActLoser],S5, Table1[ActResult],"REG")</f>
        <v>0</v>
      </c>
      <c r="AA5">
        <f>COUNTIFS(Table1[GameOver],1,Table1[ActLoser],S5, Table1[ActResult],"OT")+COUNTIFS(Table1[GameOver],1,Table1[ActLoser],S5, Table1[ActResult],"SO")</f>
        <v>0</v>
      </c>
    </row>
    <row r="6" spans="1:27" x14ac:dyDescent="0.25">
      <c r="A6" s="1">
        <v>46065</v>
      </c>
      <c r="B6" s="2">
        <v>0.67361111111111116</v>
      </c>
      <c r="C6" s="2" t="s">
        <v>41</v>
      </c>
      <c r="D6" t="s">
        <v>8</v>
      </c>
      <c r="E6" t="s">
        <v>9</v>
      </c>
      <c r="O6">
        <f>IF(ISBLANK(Table1[[#This Row],[ActResult]]), 0, 1)</f>
        <v>0</v>
      </c>
      <c r="P6">
        <f>IF(OR(Table1[[#This Row],[ActResult]]="OT",Table1[[#This Row],[ActResult]]="SO"), 1, 0)</f>
        <v>0</v>
      </c>
      <c r="Q6" t="str">
        <f>IF(Table1[[#This Row],[GameOver]]=0, "", IF(Table1[[#This Row],[PredWinner]]=Table1[[#This Row],[ActWinner]],1,0))</f>
        <v/>
      </c>
      <c r="S6" t="s">
        <v>4</v>
      </c>
      <c r="T6">
        <f>COUNTIF(Table1[[AwayTeam]:[HomeTeam]],S6)</f>
        <v>3</v>
      </c>
      <c r="U6">
        <f>COUNTIFS(Table1[AwayTeam],S6,Table1[GameOver],1) + COUNTIFS(Table1[HomeTeam],S6,Table1[GameOver],1)</f>
        <v>0</v>
      </c>
      <c r="V6">
        <f t="shared" si="0"/>
        <v>3</v>
      </c>
      <c r="W6">
        <f t="shared" si="1"/>
        <v>0</v>
      </c>
      <c r="X6">
        <f>COUNTIFS(Table1[GameOver],1,Table1[ActWinner],S6,Table1[ActResult],"REG")</f>
        <v>0</v>
      </c>
      <c r="Y6">
        <f>COUNTIFS(Table1[GameOver],1,Table1[ActWinner],S6,Table1[ActResult],"OT") + COUNTIFS(Table1[GameOver],1,Table1[ActWinner],S6,Table1[ActResult],"SO")</f>
        <v>0</v>
      </c>
      <c r="Z6">
        <f>COUNTIFS(Table1[GameOver],1,Table1[ActLoser],S6, Table1[ActResult],"REG")</f>
        <v>0</v>
      </c>
      <c r="AA6">
        <f>COUNTIFS(Table1[GameOver],1,Table1[ActLoser],S6, Table1[ActResult],"OT")+COUNTIFS(Table1[GameOver],1,Table1[ActLoser],S6, Table1[ActResult],"SO")</f>
        <v>0</v>
      </c>
    </row>
    <row r="7" spans="1:27" x14ac:dyDescent="0.25">
      <c r="A7" s="1">
        <v>46065</v>
      </c>
      <c r="B7" s="2">
        <v>0.67361111111111116</v>
      </c>
      <c r="C7" s="2" t="s">
        <v>41</v>
      </c>
      <c r="D7" t="s">
        <v>10</v>
      </c>
      <c r="E7" t="s">
        <v>11</v>
      </c>
      <c r="O7">
        <f>IF(ISBLANK(Table1[[#This Row],[ActResult]]), 0, 1)</f>
        <v>0</v>
      </c>
      <c r="P7">
        <f>IF(OR(Table1[[#This Row],[ActResult]]="OT",Table1[[#This Row],[ActResult]]="SO"), 1, 0)</f>
        <v>0</v>
      </c>
      <c r="Q7" t="str">
        <f>IF(Table1[[#This Row],[GameOver]]=0, "", IF(Table1[[#This Row],[PredWinner]]=Table1[[#This Row],[ActWinner]],1,0))</f>
        <v/>
      </c>
    </row>
    <row r="8" spans="1:27" x14ac:dyDescent="0.25">
      <c r="A8" s="1">
        <v>46066</v>
      </c>
      <c r="B8" s="2">
        <v>0.2986111111111111</v>
      </c>
      <c r="C8" s="2" t="s">
        <v>41</v>
      </c>
      <c r="D8" t="s">
        <v>3</v>
      </c>
      <c r="E8" t="s">
        <v>0</v>
      </c>
      <c r="O8">
        <f>IF(ISBLANK(Table1[[#This Row],[ActResult]]), 0, 1)</f>
        <v>0</v>
      </c>
      <c r="P8">
        <f>IF(OR(Table1[[#This Row],[ActResult]]="OT",Table1[[#This Row],[ActResult]]="SO"), 1, 0)</f>
        <v>0</v>
      </c>
      <c r="Q8" t="str">
        <f>IF(Table1[[#This Row],[GameOver]]=0, "", IF(Table1[[#This Row],[PredWinner]]=Table1[[#This Row],[ActWinner]],1,0))</f>
        <v/>
      </c>
      <c r="S8" t="s">
        <v>13</v>
      </c>
      <c r="T8" t="s">
        <v>15</v>
      </c>
      <c r="U8" t="s">
        <v>16</v>
      </c>
      <c r="V8" t="s">
        <v>17</v>
      </c>
      <c r="W8" t="s">
        <v>18</v>
      </c>
      <c r="X8" t="s">
        <v>19</v>
      </c>
      <c r="Y8" t="s">
        <v>37</v>
      </c>
      <c r="Z8" t="s">
        <v>20</v>
      </c>
      <c r="AA8" t="s">
        <v>21</v>
      </c>
    </row>
    <row r="9" spans="1:27" x14ac:dyDescent="0.25">
      <c r="A9" s="1">
        <v>46066</v>
      </c>
      <c r="B9" s="2">
        <v>0.2986111111111111</v>
      </c>
      <c r="C9" s="2" t="s">
        <v>41</v>
      </c>
      <c r="D9" t="s">
        <v>1</v>
      </c>
      <c r="E9" t="s">
        <v>2</v>
      </c>
      <c r="O9">
        <f>IF(ISBLANK(Table1[[#This Row],[ActResult]]), 0, 1)</f>
        <v>0</v>
      </c>
      <c r="P9">
        <f>IF(OR(Table1[[#This Row],[ActResult]]="OT",Table1[[#This Row],[ActResult]]="SO"), 1, 0)</f>
        <v>0</v>
      </c>
      <c r="Q9" t="str">
        <f>IF(Table1[[#This Row],[GameOver]]=0, "", IF(Table1[[#This Row],[PredWinner]]=Table1[[#This Row],[ActWinner]],1,0))</f>
        <v/>
      </c>
      <c r="S9" t="s">
        <v>3</v>
      </c>
      <c r="T9">
        <f>COUNTIF(Table1[[AwayTeam]:[HomeTeam]],S9)</f>
        <v>3</v>
      </c>
      <c r="U9">
        <f>COUNTIFS(Table1[AwayTeam],S9,Table1[GameOver],1) + COUNTIFS(Table1[HomeTeam],S9,Table1[GameOver],1)</f>
        <v>0</v>
      </c>
      <c r="V9">
        <f>T9-U9</f>
        <v>3</v>
      </c>
      <c r="W9">
        <f>(3*X9)+(2*Y9)+AA9</f>
        <v>0</v>
      </c>
      <c r="X9">
        <f>COUNTIFS(Table1[GameOver],1,Table1[ActWinner],S9,Table1[ActResult],"REG")</f>
        <v>0</v>
      </c>
      <c r="Y9">
        <f>COUNTIFS(Table1[GameOver],1,Table1[ActWinner],S9,Table1[ActResult],"OT") + COUNTIFS(Table1[GameOver],1,Table1[ActWinner],S9,Table1[ActResult],"SO")</f>
        <v>0</v>
      </c>
      <c r="Z9">
        <f>COUNTIFS(Table1[GameOver],1,Table1[ActLoser],S9, Table1[ActResult],"REG")</f>
        <v>0</v>
      </c>
      <c r="AA9">
        <f>COUNTIFS(Table1[GameOver],1,Table1[ActLoser],S9, Table1[ActResult],"OT")+COUNTIFS(Table1[GameOver],1,Table1[ActLoser],S9, Table1[ActResult],"SO")</f>
        <v>0</v>
      </c>
    </row>
    <row r="10" spans="1:27" x14ac:dyDescent="0.25">
      <c r="A10" s="1">
        <v>46066</v>
      </c>
      <c r="B10" s="2">
        <v>0.4861111111111111</v>
      </c>
      <c r="C10" s="2" t="s">
        <v>41</v>
      </c>
      <c r="D10" t="s">
        <v>7</v>
      </c>
      <c r="E10" t="s">
        <v>4</v>
      </c>
      <c r="I10" t="str">
        <f>IF(ISBLANK(Table1[[#This Row],[PredResult]]), "", IF(Table1[[#This Row],[PredAwayScore]]&gt;Table1[[#This Row],[PredHomeScore]],Table1[[#This Row],[AwayTeam]],))</f>
        <v/>
      </c>
      <c r="M10" t="str">
        <f>IF(ISBLANK(Table1[[#This Row],[ActResult]]), "", IF(Table1[[#This Row],[ActAwayScore]]&gt;Table1[[#This Row],[ActHomeScore]],Table1[[#This Row],[AwayTeam]],Table1[[#This Row],[HomeTeam]]))</f>
        <v/>
      </c>
      <c r="N10" t="str">
        <f>IF(ISBLANK(Table1[[#This Row],[ActResult]]), "", IF(Table1[[#This Row],[ActAwayScore]]&gt;Table1[[#This Row],[ActHomeScore]],Table1[[#This Row],[HomeTeam]],Table1[[#This Row],[AwayTeam]]))</f>
        <v/>
      </c>
      <c r="O10">
        <f>IF(ISBLANK(Table1[[#This Row],[ActResult]]), 0, 1)</f>
        <v>0</v>
      </c>
      <c r="P10">
        <f>IF(OR(Table1[[#This Row],[ActResult]]="OT",Table1[[#This Row],[ActResult]]="SO"), 1, 0)</f>
        <v>0</v>
      </c>
      <c r="Q10" t="str">
        <f>IF(Table1[[#This Row],[GameOver]]=0, "", IF(Table1[[#This Row],[PredWinner]]=Table1[[#This Row],[ActWinner]],1,0))</f>
        <v/>
      </c>
      <c r="S10" t="s">
        <v>0</v>
      </c>
      <c r="T10">
        <f>COUNTIF(Table1[[AwayTeam]:[HomeTeam]],S10)</f>
        <v>3</v>
      </c>
      <c r="U10">
        <f>COUNTIFS(Table1[AwayTeam],S10,Table1[GameOver],1) + COUNTIFS(Table1[HomeTeam],S10,Table1[GameOver],1)</f>
        <v>0</v>
      </c>
      <c r="V10">
        <f t="shared" ref="V10:V12" si="2">T10-U10</f>
        <v>3</v>
      </c>
      <c r="W10">
        <f t="shared" ref="W10:W12" si="3">(3*X10)+(2*Y10)+AA10</f>
        <v>0</v>
      </c>
      <c r="X10">
        <f>COUNTIFS(Table1[GameOver],1,Table1[ActWinner],S10,Table1[ActResult],"REG")</f>
        <v>0</v>
      </c>
      <c r="Y10">
        <f>COUNTIFS(Table1[GameOver],1,Table1[ActWinner],S10,Table1[ActResult],"OT") + COUNTIFS(Table1[GameOver],1,Table1[ActWinner],S10,Table1[ActResult],"SO")</f>
        <v>0</v>
      </c>
      <c r="Z10">
        <f>COUNTIFS(Table1[GameOver],1,Table1[ActLoser],S10, Table1[ActResult],"REG")</f>
        <v>0</v>
      </c>
      <c r="AA10">
        <f>COUNTIFS(Table1[GameOver],1,Table1[ActLoser],S10, Table1[ActResult],"OT")+COUNTIFS(Table1[GameOver],1,Table1[ActLoser],S10, Table1[ActResult],"SO")</f>
        <v>0</v>
      </c>
    </row>
    <row r="11" spans="1:27" x14ac:dyDescent="0.25">
      <c r="A11" s="1">
        <v>46066</v>
      </c>
      <c r="B11" s="2">
        <v>0.67361111111111116</v>
      </c>
      <c r="C11" s="2" t="s">
        <v>41</v>
      </c>
      <c r="D11" t="s">
        <v>5</v>
      </c>
      <c r="E11" t="s">
        <v>6</v>
      </c>
      <c r="I11" t="str">
        <f>IF(ISBLANK(Table1[[#This Row],[PredResult]]), "", IF(Table1[[#This Row],[PredAwayScore]]&gt;Table1[[#This Row],[PredHomeScore]],Table1[[#This Row],[AwayTeam]],))</f>
        <v/>
      </c>
      <c r="M11" t="str">
        <f>IF(ISBLANK(Table1[[#This Row],[ActResult]]), "", IF(Table1[[#This Row],[ActAwayScore]]&gt;Table1[[#This Row],[ActHomeScore]],Table1[[#This Row],[AwayTeam]],Table1[[#This Row],[HomeTeam]]))</f>
        <v/>
      </c>
      <c r="N11" t="str">
        <f>IF(ISBLANK(Table1[[#This Row],[ActResult]]), "", IF(Table1[[#This Row],[ActAwayScore]]&gt;Table1[[#This Row],[ActHomeScore]],Table1[[#This Row],[HomeTeam]],Table1[[#This Row],[AwayTeam]]))</f>
        <v/>
      </c>
      <c r="O11">
        <f>IF(ISBLANK(Table1[[#This Row],[ActResult]]), 0, 1)</f>
        <v>0</v>
      </c>
      <c r="P11">
        <f>IF(OR(Table1[[#This Row],[ActResult]]="OT",Table1[[#This Row],[ActResult]]="SO"), 1, 0)</f>
        <v>0</v>
      </c>
      <c r="Q11" t="str">
        <f>IF(Table1[[#This Row],[GameOver]]=0, "", IF(Table1[[#This Row],[PredWinner]]=Table1[[#This Row],[ActWinner]],1,0))</f>
        <v/>
      </c>
      <c r="S11" t="s">
        <v>1</v>
      </c>
      <c r="T11">
        <f>COUNTIF(Table1[[AwayTeam]:[HomeTeam]],S11)</f>
        <v>3</v>
      </c>
      <c r="U11">
        <f>COUNTIFS(Table1[AwayTeam],S11,Table1[GameOver],1) + COUNTIFS(Table1[HomeTeam],S11,Table1[GameOver],1)</f>
        <v>0</v>
      </c>
      <c r="V11">
        <f t="shared" si="2"/>
        <v>3</v>
      </c>
      <c r="W11">
        <f t="shared" si="3"/>
        <v>0</v>
      </c>
      <c r="X11">
        <f>COUNTIFS(Table1[GameOver],1,Table1[ActWinner],S11,Table1[ActResult],"REG")</f>
        <v>0</v>
      </c>
      <c r="Y11">
        <f>COUNTIFS(Table1[GameOver],1,Table1[ActWinner],S11,Table1[ActResult],"OT") + COUNTIFS(Table1[GameOver],1,Table1[ActWinner],S11,Table1[ActResult],"SO")</f>
        <v>0</v>
      </c>
      <c r="Z11">
        <f>COUNTIFS(Table1[GameOver],1,Table1[ActLoser],S11, Table1[ActResult],"REG")</f>
        <v>0</v>
      </c>
      <c r="AA11">
        <f>COUNTIFS(Table1[GameOver],1,Table1[ActLoser],S11, Table1[ActResult],"OT")+COUNTIFS(Table1[GameOver],1,Table1[ActLoser],S11, Table1[ActResult],"SO")</f>
        <v>0</v>
      </c>
    </row>
    <row r="12" spans="1:27" x14ac:dyDescent="0.25">
      <c r="A12" s="1">
        <v>46067</v>
      </c>
      <c r="B12" s="2">
        <v>0.2986111111111111</v>
      </c>
      <c r="C12" s="2" t="s">
        <v>41</v>
      </c>
      <c r="D12" t="s">
        <v>1</v>
      </c>
      <c r="E12" t="s">
        <v>3</v>
      </c>
      <c r="I12" t="str">
        <f>IF(ISBLANK(Table1[[#This Row],[PredResult]]), "", IF(Table1[[#This Row],[PredAwayScore]]&gt;Table1[[#This Row],[PredHomeScore]],Table1[[#This Row],[AwayTeam]],))</f>
        <v/>
      </c>
      <c r="M12" t="str">
        <f>IF(ISBLANK(Table1[[#This Row],[ActResult]]), "", IF(Table1[[#This Row],[ActAwayScore]]&gt;Table1[[#This Row],[ActHomeScore]],Table1[[#This Row],[AwayTeam]],Table1[[#This Row],[HomeTeam]]))</f>
        <v/>
      </c>
      <c r="N12" t="str">
        <f>IF(ISBLANK(Table1[[#This Row],[ActResult]]), "", IF(Table1[[#This Row],[ActAwayScore]]&gt;Table1[[#This Row],[ActHomeScore]],Table1[[#This Row],[HomeTeam]],Table1[[#This Row],[AwayTeam]]))</f>
        <v/>
      </c>
      <c r="O12">
        <f>IF(ISBLANK(Table1[[#This Row],[ActResult]]), 0, 1)</f>
        <v>0</v>
      </c>
      <c r="P12">
        <f>IF(OR(Table1[[#This Row],[ActResult]]="OT",Table1[[#This Row],[ActResult]]="SO"), 1, 0)</f>
        <v>0</v>
      </c>
      <c r="Q12" t="str">
        <f>IF(Table1[[#This Row],[GameOver]]=0, "", IF(Table1[[#This Row],[PredWinner]]=Table1[[#This Row],[ActWinner]],1,0))</f>
        <v/>
      </c>
      <c r="S12" t="s">
        <v>2</v>
      </c>
      <c r="T12">
        <f>COUNTIF(Table1[[AwayTeam]:[HomeTeam]],S12)</f>
        <v>3</v>
      </c>
      <c r="U12">
        <f>COUNTIFS(Table1[AwayTeam],S12,Table1[GameOver],1) + COUNTIFS(Table1[HomeTeam],S12,Table1[GameOver],1)</f>
        <v>0</v>
      </c>
      <c r="V12">
        <f t="shared" si="2"/>
        <v>3</v>
      </c>
      <c r="W12">
        <f t="shared" si="3"/>
        <v>0</v>
      </c>
      <c r="X12">
        <f>COUNTIFS(Table1[GameOver],1,Table1[ActWinner],S12,Table1[ActResult],"REG")</f>
        <v>0</v>
      </c>
      <c r="Y12">
        <f>COUNTIFS(Table1[GameOver],1,Table1[ActWinner],S12,Table1[ActResult],"OT") + COUNTIFS(Table1[GameOver],1,Table1[ActWinner],S12,Table1[ActResult],"SO")</f>
        <v>0</v>
      </c>
      <c r="Z12">
        <f>COUNTIFS(Table1[GameOver],1,Table1[ActLoser],S12, Table1[ActResult],"REG")</f>
        <v>0</v>
      </c>
      <c r="AA12">
        <f>COUNTIFS(Table1[GameOver],1,Table1[ActLoser],S12, Table1[ActResult],"OT")+COUNTIFS(Table1[GameOver],1,Table1[ActLoser],S12, Table1[ActResult],"SO")</f>
        <v>0</v>
      </c>
    </row>
    <row r="13" spans="1:27" x14ac:dyDescent="0.25">
      <c r="A13" s="1">
        <v>46067</v>
      </c>
      <c r="B13" s="2">
        <v>0.2986111111111111</v>
      </c>
      <c r="C13" s="2" t="s">
        <v>41</v>
      </c>
      <c r="D13" t="s">
        <v>9</v>
      </c>
      <c r="E13" t="s">
        <v>11</v>
      </c>
      <c r="I13" t="str">
        <f>IF(ISBLANK(Table1[[#This Row],[PredResult]]), "", IF(Table1[[#This Row],[PredAwayScore]]&gt;Table1[[#This Row],[PredHomeScore]],Table1[[#This Row],[AwayTeam]],))</f>
        <v/>
      </c>
      <c r="M13" t="str">
        <f>IF(ISBLANK(Table1[[#This Row],[ActResult]]), "", IF(Table1[[#This Row],[ActAwayScore]]&gt;Table1[[#This Row],[ActHomeScore]],Table1[[#This Row],[AwayTeam]],Table1[[#This Row],[HomeTeam]]))</f>
        <v/>
      </c>
      <c r="N13" t="str">
        <f>IF(ISBLANK(Table1[[#This Row],[ActResult]]), "", IF(Table1[[#This Row],[ActAwayScore]]&gt;Table1[[#This Row],[ActHomeScore]],Table1[[#This Row],[HomeTeam]],Table1[[#This Row],[AwayTeam]]))</f>
        <v/>
      </c>
      <c r="O13">
        <f>IF(ISBLANK(Table1[[#This Row],[ActResult]]), 0, 1)</f>
        <v>0</v>
      </c>
      <c r="P13">
        <f>IF(OR(Table1[[#This Row],[ActResult]]="OT",Table1[[#This Row],[ActResult]]="SO"), 1, 0)</f>
        <v>0</v>
      </c>
      <c r="Q13" t="str">
        <f>IF(Table1[[#This Row],[GameOver]]=0, "", IF(Table1[[#This Row],[PredWinner]]=Table1[[#This Row],[ActWinner]],1,0))</f>
        <v/>
      </c>
    </row>
    <row r="14" spans="1:27" x14ac:dyDescent="0.25">
      <c r="A14" s="1">
        <v>46067</v>
      </c>
      <c r="B14" s="2">
        <v>0.4861111111111111</v>
      </c>
      <c r="C14" s="2" t="s">
        <v>41</v>
      </c>
      <c r="D14" t="s">
        <v>2</v>
      </c>
      <c r="E14" t="s">
        <v>0</v>
      </c>
      <c r="I14" t="str">
        <f>IF(ISBLANK(Table1[[#This Row],[PredResult]]), "", IF(Table1[[#This Row],[PredAwayScore]]&gt;Table1[[#This Row],[PredHomeScore]],Table1[[#This Row],[AwayTeam]],))</f>
        <v/>
      </c>
      <c r="M14" t="str">
        <f>IF(ISBLANK(Table1[[#This Row],[ActResult]]), "", IF(Table1[[#This Row],[ActAwayScore]]&gt;Table1[[#This Row],[ActHomeScore]],Table1[[#This Row],[AwayTeam]],Table1[[#This Row],[HomeTeam]]))</f>
        <v/>
      </c>
      <c r="N14" t="str">
        <f>IF(ISBLANK(Table1[[#This Row],[ActResult]]), "", IF(Table1[[#This Row],[ActAwayScore]]&gt;Table1[[#This Row],[ActHomeScore]],Table1[[#This Row],[HomeTeam]],Table1[[#This Row],[AwayTeam]]))</f>
        <v/>
      </c>
      <c r="O14">
        <f>IF(ISBLANK(Table1[[#This Row],[ActResult]]), 0, 1)</f>
        <v>0</v>
      </c>
      <c r="P14">
        <f>IF(OR(Table1[[#This Row],[ActResult]]="OT",Table1[[#This Row],[ActResult]]="SO"), 1, 0)</f>
        <v>0</v>
      </c>
      <c r="Q14" t="str">
        <f>IF(Table1[[#This Row],[GameOver]]=0, "", IF(Table1[[#This Row],[PredWinner]]=Table1[[#This Row],[ActWinner]],1,0))</f>
        <v/>
      </c>
      <c r="S14" t="s">
        <v>14</v>
      </c>
      <c r="T14" t="s">
        <v>15</v>
      </c>
      <c r="U14" t="s">
        <v>16</v>
      </c>
      <c r="V14" t="s">
        <v>17</v>
      </c>
      <c r="W14" t="s">
        <v>18</v>
      </c>
      <c r="X14" t="s">
        <v>19</v>
      </c>
      <c r="Y14" t="s">
        <v>37</v>
      </c>
      <c r="Z14" t="s">
        <v>20</v>
      </c>
      <c r="AA14" t="s">
        <v>21</v>
      </c>
    </row>
    <row r="15" spans="1:27" x14ac:dyDescent="0.25">
      <c r="A15" s="1">
        <v>46067</v>
      </c>
      <c r="B15" s="2">
        <v>0.67361111111111116</v>
      </c>
      <c r="C15" s="2" t="s">
        <v>41</v>
      </c>
      <c r="D15" t="s">
        <v>10</v>
      </c>
      <c r="E15" t="s">
        <v>8</v>
      </c>
      <c r="I15" t="str">
        <f>IF(ISBLANK(Table1[[#This Row],[PredResult]]), "", IF(Table1[[#This Row],[PredAwayScore]]&gt;Table1[[#This Row],[PredHomeScore]],Table1[[#This Row],[AwayTeam]],))</f>
        <v/>
      </c>
      <c r="M15" t="str">
        <f>IF(ISBLANK(Table1[[#This Row],[ActResult]]), "", IF(Table1[[#This Row],[ActAwayScore]]&gt;Table1[[#This Row],[ActHomeScore]],Table1[[#This Row],[AwayTeam]],Table1[[#This Row],[HomeTeam]]))</f>
        <v/>
      </c>
      <c r="N15" t="str">
        <f>IF(ISBLANK(Table1[[#This Row],[ActResult]]), "", IF(Table1[[#This Row],[ActAwayScore]]&gt;Table1[[#This Row],[ActHomeScore]],Table1[[#This Row],[HomeTeam]],Table1[[#This Row],[AwayTeam]]))</f>
        <v/>
      </c>
      <c r="O15">
        <f>IF(ISBLANK(Table1[[#This Row],[ActResult]]), 0, 1)</f>
        <v>0</v>
      </c>
      <c r="P15">
        <f>IF(OR(Table1[[#This Row],[ActResult]]="OT",Table1[[#This Row],[ActResult]]="SO"), 1, 0)</f>
        <v>0</v>
      </c>
      <c r="Q15" t="str">
        <f>IF(Table1[[#This Row],[GameOver]]=0, "", IF(Table1[[#This Row],[PredWinner]]=Table1[[#This Row],[ActWinner]],1,0))</f>
        <v/>
      </c>
      <c r="S15" t="s">
        <v>8</v>
      </c>
      <c r="T15">
        <f>COUNTIF(Table1[[AwayTeam]:[HomeTeam]],S15)</f>
        <v>3</v>
      </c>
      <c r="U15">
        <f>COUNTIFS(Table1[AwayTeam],S15,Table1[GameOver],1) + COUNTIFS(Table1[HomeTeam],S15,Table1[GameOver],1)</f>
        <v>0</v>
      </c>
      <c r="V15">
        <f>T15-U15</f>
        <v>3</v>
      </c>
      <c r="W15">
        <f>(3*X15)+(2*Y15)+AA15</f>
        <v>0</v>
      </c>
      <c r="X15">
        <f>COUNTIFS(Table1[GameOver],1,Table1[ActWinner],S15,Table1[ActResult],"REG")</f>
        <v>0</v>
      </c>
      <c r="Y15">
        <f>COUNTIFS(Table1[GameOver],1,Table1[ActWinner],S15,Table1[ActResult],"OT") + COUNTIFS(Table1[GameOver],1,Table1[ActWinner],S15,Table1[ActResult],"SO")</f>
        <v>0</v>
      </c>
      <c r="Z15">
        <f>COUNTIFS(Table1[GameOver],1,Table1[ActLoser],S15, Table1[ActResult],"REG")</f>
        <v>0</v>
      </c>
      <c r="AA15">
        <f>COUNTIFS(Table1[GameOver],1,Table1[ActLoser],S15, Table1[ActResult],"OT")+COUNTIFS(Table1[GameOver],1,Table1[ActLoser],S15, Table1[ActResult],"SO")</f>
        <v>0</v>
      </c>
    </row>
    <row r="16" spans="1:27" x14ac:dyDescent="0.25">
      <c r="A16" s="1">
        <v>46068</v>
      </c>
      <c r="B16" s="2">
        <v>0.2986111111111111</v>
      </c>
      <c r="C16" s="2" t="s">
        <v>41</v>
      </c>
      <c r="D16" t="s">
        <v>7</v>
      </c>
      <c r="E16" t="s">
        <v>5</v>
      </c>
      <c r="I16" t="str">
        <f>IF(ISBLANK(Table1[[#This Row],[PredResult]]), "", IF(Table1[[#This Row],[PredAwayScore]]&gt;Table1[[#This Row],[PredHomeScore]],Table1[[#This Row],[AwayTeam]],))</f>
        <v/>
      </c>
      <c r="M16" t="str">
        <f>IF(ISBLANK(Table1[[#This Row],[ActResult]]), "", IF(Table1[[#This Row],[ActAwayScore]]&gt;Table1[[#This Row],[ActHomeScore]],Table1[[#This Row],[AwayTeam]],Table1[[#This Row],[HomeTeam]]))</f>
        <v/>
      </c>
      <c r="N16" t="str">
        <f>IF(ISBLANK(Table1[[#This Row],[ActResult]]), "", IF(Table1[[#This Row],[ActAwayScore]]&gt;Table1[[#This Row],[ActHomeScore]],Table1[[#This Row],[HomeTeam]],Table1[[#This Row],[AwayTeam]]))</f>
        <v/>
      </c>
      <c r="O16">
        <f>IF(ISBLANK(Table1[[#This Row],[ActResult]]), 0, 1)</f>
        <v>0</v>
      </c>
      <c r="P16">
        <f>IF(OR(Table1[[#This Row],[ActResult]]="OT",Table1[[#This Row],[ActResult]]="SO"), 1, 0)</f>
        <v>0</v>
      </c>
      <c r="Q16" t="str">
        <f>IF(Table1[[#This Row],[GameOver]]=0, "", IF(Table1[[#This Row],[PredWinner]]=Table1[[#This Row],[ActWinner]],1,0))</f>
        <v/>
      </c>
      <c r="S16" t="s">
        <v>11</v>
      </c>
      <c r="T16">
        <f>COUNTIF(Table1[[AwayTeam]:[HomeTeam]],S16)</f>
        <v>3</v>
      </c>
      <c r="U16">
        <f>COUNTIFS(Table1[AwayTeam],S16,Table1[GameOver],1) + COUNTIFS(Table1[HomeTeam],S16,Table1[GameOver],1)</f>
        <v>0</v>
      </c>
      <c r="V16">
        <f t="shared" ref="V16:V18" si="4">T16-U16</f>
        <v>3</v>
      </c>
      <c r="W16">
        <f t="shared" ref="W16:W18" si="5">(3*X16)+(2*Y16)+AA16</f>
        <v>0</v>
      </c>
      <c r="X16">
        <f>COUNTIFS(Table1[GameOver],1,Table1[ActWinner],S16,Table1[ActResult],"REG")</f>
        <v>0</v>
      </c>
      <c r="Y16">
        <f>COUNTIFS(Table1[GameOver],1,Table1[ActWinner],S16,Table1[ActResult],"OT") + COUNTIFS(Table1[GameOver],1,Table1[ActWinner],S16,Table1[ActResult],"SO")</f>
        <v>0</v>
      </c>
      <c r="Z16">
        <f>COUNTIFS(Table1[GameOver],1,Table1[ActLoser],S16, Table1[ActResult],"REG")</f>
        <v>0</v>
      </c>
      <c r="AA16">
        <f>COUNTIFS(Table1[GameOver],1,Table1[ActLoser],S16, Table1[ActResult],"OT")+COUNTIFS(Table1[GameOver],1,Table1[ActLoser],S16, Table1[ActResult],"SO")</f>
        <v>0</v>
      </c>
    </row>
    <row r="17" spans="1:27" x14ac:dyDescent="0.25">
      <c r="A17" s="1">
        <v>46068</v>
      </c>
      <c r="B17" s="2">
        <v>0.4861111111111111</v>
      </c>
      <c r="C17" s="2" t="s">
        <v>41</v>
      </c>
      <c r="D17" t="s">
        <v>4</v>
      </c>
      <c r="E17" t="s">
        <v>6</v>
      </c>
      <c r="I17" t="str">
        <f>IF(ISBLANK(Table1[[#This Row],[PredResult]]), "", IF(Table1[[#This Row],[PredAwayScore]]&gt;Table1[[#This Row],[PredHomeScore]],Table1[[#This Row],[AwayTeam]],))</f>
        <v/>
      </c>
      <c r="M17" t="str">
        <f>IF(ISBLANK(Table1[[#This Row],[ActResult]]), "", IF(Table1[[#This Row],[ActAwayScore]]&gt;Table1[[#This Row],[ActHomeScore]],Table1[[#This Row],[AwayTeam]],Table1[[#This Row],[HomeTeam]]))</f>
        <v/>
      </c>
      <c r="N17" t="str">
        <f>IF(ISBLANK(Table1[[#This Row],[ActResult]]), "", IF(Table1[[#This Row],[ActAwayScore]]&gt;Table1[[#This Row],[ActHomeScore]],Table1[[#This Row],[HomeTeam]],Table1[[#This Row],[AwayTeam]]))</f>
        <v/>
      </c>
      <c r="O17">
        <f>IF(ISBLANK(Table1[[#This Row],[ActResult]]), 0, 1)</f>
        <v>0</v>
      </c>
      <c r="P17">
        <f>IF(OR(Table1[[#This Row],[ActResult]]="OT",Table1[[#This Row],[ActResult]]="SO"), 1, 0)</f>
        <v>0</v>
      </c>
      <c r="Q17" t="str">
        <f>IF(Table1[[#This Row],[GameOver]]=0, "", IF(Table1[[#This Row],[PredWinner]]=Table1[[#This Row],[ActWinner]],1,0))</f>
        <v/>
      </c>
      <c r="S17" t="s">
        <v>10</v>
      </c>
      <c r="T17">
        <f>COUNTIF(Table1[[AwayTeam]:[HomeTeam]],S17)</f>
        <v>3</v>
      </c>
      <c r="U17">
        <f>COUNTIFS(Table1[AwayTeam],S17,Table1[GameOver],1) + COUNTIFS(Table1[HomeTeam],S17,Table1[GameOver],1)</f>
        <v>0</v>
      </c>
      <c r="V17">
        <f t="shared" si="4"/>
        <v>3</v>
      </c>
      <c r="W17">
        <f t="shared" si="5"/>
        <v>0</v>
      </c>
      <c r="X17">
        <f>COUNTIFS(Table1[GameOver],1,Table1[ActWinner],S17,Table1[ActResult],"REG")</f>
        <v>0</v>
      </c>
      <c r="Y17">
        <f>COUNTIFS(Table1[GameOver],1,Table1[ActWinner],S17,Table1[ActResult],"OT") + COUNTIFS(Table1[GameOver],1,Table1[ActWinner],S17,Table1[ActResult],"SO")</f>
        <v>0</v>
      </c>
      <c r="Z17">
        <f>COUNTIFS(Table1[GameOver],1,Table1[ActLoser],S17, Table1[ActResult],"REG")</f>
        <v>0</v>
      </c>
      <c r="AA17">
        <f>COUNTIFS(Table1[GameOver],1,Table1[ActLoser],S17, Table1[ActResult],"OT")+COUNTIFS(Table1[GameOver],1,Table1[ActLoser],S17, Table1[ActResult],"SO")</f>
        <v>0</v>
      </c>
    </row>
    <row r="18" spans="1:27" x14ac:dyDescent="0.25">
      <c r="A18" s="1">
        <v>46068</v>
      </c>
      <c r="B18" s="2">
        <v>0.59027777777777779</v>
      </c>
      <c r="C18" s="2" t="s">
        <v>41</v>
      </c>
      <c r="D18" t="s">
        <v>9</v>
      </c>
      <c r="E18" t="s">
        <v>10</v>
      </c>
      <c r="I18" t="str">
        <f>IF(ISBLANK(Table1[[#This Row],[PredResult]]), "", IF(Table1[[#This Row],[PredAwayScore]]&gt;Table1[[#This Row],[PredHomeScore]],Table1[[#This Row],[AwayTeam]],))</f>
        <v/>
      </c>
      <c r="M18" t="str">
        <f>IF(ISBLANK(Table1[[#This Row],[ActResult]]), "", IF(Table1[[#This Row],[ActAwayScore]]&gt;Table1[[#This Row],[ActHomeScore]],Table1[[#This Row],[AwayTeam]],Table1[[#This Row],[HomeTeam]]))</f>
        <v/>
      </c>
      <c r="N18" t="str">
        <f>IF(ISBLANK(Table1[[#This Row],[ActResult]]), "", IF(Table1[[#This Row],[ActAwayScore]]&gt;Table1[[#This Row],[ActHomeScore]],Table1[[#This Row],[HomeTeam]],Table1[[#This Row],[AwayTeam]]))</f>
        <v/>
      </c>
      <c r="O18">
        <f>IF(ISBLANK(Table1[[#This Row],[ActResult]]), 0, 1)</f>
        <v>0</v>
      </c>
      <c r="P18">
        <f>IF(OR(Table1[[#This Row],[ActResult]]="OT",Table1[[#This Row],[ActResult]]="SO"), 1, 0)</f>
        <v>0</v>
      </c>
      <c r="Q18" t="str">
        <f>IF(Table1[[#This Row],[GameOver]]=0, "", IF(Table1[[#This Row],[PredWinner]]=Table1[[#This Row],[ActWinner]],1,0))</f>
        <v/>
      </c>
      <c r="S18" t="s">
        <v>9</v>
      </c>
      <c r="T18">
        <f>COUNTIF(Table1[[AwayTeam]:[HomeTeam]],S18)</f>
        <v>3</v>
      </c>
      <c r="U18">
        <f>COUNTIFS(Table1[AwayTeam],S18,Table1[GameOver],1) + COUNTIFS(Table1[HomeTeam],S18,Table1[GameOver],1)</f>
        <v>0</v>
      </c>
      <c r="V18">
        <f t="shared" si="4"/>
        <v>3</v>
      </c>
      <c r="W18">
        <f t="shared" si="5"/>
        <v>0</v>
      </c>
      <c r="X18">
        <f>COUNTIFS(Table1[GameOver],1,Table1[ActWinner],S18,Table1[ActResult],"REG")</f>
        <v>0</v>
      </c>
      <c r="Y18">
        <f>COUNTIFS(Table1[GameOver],1,Table1[ActWinner],S18,Table1[ActResult],"OT") + COUNTIFS(Table1[GameOver],1,Table1[ActWinner],S18,Table1[ActResult],"SO")</f>
        <v>0</v>
      </c>
      <c r="Z18">
        <f>COUNTIFS(Table1[GameOver],1,Table1[ActLoser],S18, Table1[ActResult],"REG")</f>
        <v>0</v>
      </c>
      <c r="AA18">
        <f>COUNTIFS(Table1[GameOver],1,Table1[ActLoser],S18, Table1[ActResult],"OT")+COUNTIFS(Table1[GameOver],1,Table1[ActLoser],S18, Table1[ActResult],"SO")</f>
        <v>0</v>
      </c>
    </row>
    <row r="19" spans="1:27" x14ac:dyDescent="0.25">
      <c r="A19" s="1">
        <v>46068</v>
      </c>
      <c r="B19" s="2">
        <v>0.67361111111111116</v>
      </c>
      <c r="C19" s="2" t="s">
        <v>41</v>
      </c>
      <c r="D19" t="s">
        <v>11</v>
      </c>
      <c r="E19" t="s">
        <v>8</v>
      </c>
      <c r="I19" t="str">
        <f>IF(ISBLANK(Table1[[#This Row],[PredResult]]), "", IF(Table1[[#This Row],[PredAwayScore]]&gt;Table1[[#This Row],[PredHomeScore]],Table1[[#This Row],[AwayTeam]],))</f>
        <v/>
      </c>
      <c r="M19" t="str">
        <f>IF(ISBLANK(Table1[[#This Row],[ActResult]]), "", IF(Table1[[#This Row],[ActAwayScore]]&gt;Table1[[#This Row],[ActHomeScore]],Table1[[#This Row],[AwayTeam]],Table1[[#This Row],[HomeTeam]]))</f>
        <v/>
      </c>
      <c r="N19" t="str">
        <f>IF(ISBLANK(Table1[[#This Row],[ActResult]]), "", IF(Table1[[#This Row],[ActAwayScore]]&gt;Table1[[#This Row],[ActHomeScore]],Table1[[#This Row],[HomeTeam]],Table1[[#This Row],[AwayTeam]]))</f>
        <v/>
      </c>
      <c r="O19">
        <f>IF(ISBLANK(Table1[[#This Row],[ActResult]]), 0, 1)</f>
        <v>0</v>
      </c>
      <c r="P19">
        <f>IF(OR(Table1[[#This Row],[ActResult]]="OT",Table1[[#This Row],[ActResult]]="SO"), 1, 0)</f>
        <v>0</v>
      </c>
      <c r="Q19" t="str">
        <f>IF(Table1[[#This Row],[GameOver]]=0, "", IF(Table1[[#This Row],[PredWinner]]=Table1[[#This Row],[ActWinner]],1,0))</f>
        <v/>
      </c>
    </row>
    <row r="21" spans="1:27" x14ac:dyDescent="0.25">
      <c r="A21" s="1">
        <v>46070</v>
      </c>
      <c r="B21" s="2">
        <v>0.2986111111111111</v>
      </c>
      <c r="C21" s="2" t="s">
        <v>40</v>
      </c>
    </row>
    <row r="22" spans="1:27" x14ac:dyDescent="0.25">
      <c r="A22" s="1">
        <v>46070</v>
      </c>
      <c r="B22" s="2">
        <v>0.2986111111111111</v>
      </c>
      <c r="C22" s="2" t="s">
        <v>40</v>
      </c>
    </row>
    <row r="23" spans="1:27" x14ac:dyDescent="0.25">
      <c r="A23" s="1">
        <v>46070</v>
      </c>
      <c r="B23" s="2">
        <v>0.4861111111111111</v>
      </c>
      <c r="C23" s="2" t="s">
        <v>40</v>
      </c>
    </row>
    <row r="24" spans="1:27" x14ac:dyDescent="0.25">
      <c r="A24" s="1">
        <v>46070</v>
      </c>
      <c r="B24" s="2">
        <v>0.67361111111111116</v>
      </c>
      <c r="C24" s="2" t="s">
        <v>40</v>
      </c>
    </row>
    <row r="25" spans="1:27" x14ac:dyDescent="0.25">
      <c r="A25" s="1">
        <v>46071</v>
      </c>
      <c r="B25" s="2">
        <v>0.2986111111111111</v>
      </c>
      <c r="C25" s="2" t="s">
        <v>42</v>
      </c>
    </row>
    <row r="26" spans="1:27" x14ac:dyDescent="0.25">
      <c r="A26" s="1">
        <v>46071</v>
      </c>
      <c r="B26" s="2">
        <v>0.38194444444444442</v>
      </c>
      <c r="C26" s="2" t="s">
        <v>42</v>
      </c>
    </row>
    <row r="27" spans="1:27" x14ac:dyDescent="0.25">
      <c r="A27" s="1">
        <v>46071</v>
      </c>
      <c r="B27" s="2">
        <v>0.4861111111111111</v>
      </c>
      <c r="C27" s="2" t="s">
        <v>42</v>
      </c>
    </row>
    <row r="28" spans="1:27" x14ac:dyDescent="0.25">
      <c r="A28" s="1">
        <v>46071</v>
      </c>
      <c r="B28" s="2">
        <v>0.67361111111111116</v>
      </c>
      <c r="C28" s="2" t="s">
        <v>42</v>
      </c>
    </row>
    <row r="29" spans="1:27" x14ac:dyDescent="0.25">
      <c r="A29" s="1">
        <v>46073</v>
      </c>
      <c r="B29" s="2">
        <v>0.4861111111111111</v>
      </c>
      <c r="C29" s="2" t="s">
        <v>43</v>
      </c>
    </row>
    <row r="30" spans="1:27" x14ac:dyDescent="0.25">
      <c r="A30" s="1">
        <v>46073</v>
      </c>
      <c r="B30" s="2">
        <v>0.67361111111111116</v>
      </c>
      <c r="C30" s="2" t="s">
        <v>43</v>
      </c>
    </row>
    <row r="31" spans="1:27" x14ac:dyDescent="0.25">
      <c r="A31" s="1">
        <v>46074</v>
      </c>
      <c r="B31" s="2">
        <v>0.56944444444444442</v>
      </c>
      <c r="C31" s="2" t="s">
        <v>44</v>
      </c>
    </row>
    <row r="32" spans="1:27" x14ac:dyDescent="0.25">
      <c r="A32" s="1">
        <v>46075</v>
      </c>
      <c r="B32" s="2">
        <v>0.38194444444444442</v>
      </c>
      <c r="C32" s="2" t="s">
        <v>45</v>
      </c>
    </row>
  </sheetData>
  <conditionalFormatting sqref="A1:XFD50000">
    <cfRule type="cellIs" dxfId="12" priority="1" operator="equal">
      <formula>"DEN"</formula>
    </cfRule>
    <cfRule type="cellIs" dxfId="11" priority="2" operator="equal">
      <formula>"LAT"</formula>
    </cfRule>
    <cfRule type="cellIs" dxfId="10" priority="3" operator="equal">
      <formula>"CZE"</formula>
    </cfRule>
    <cfRule type="cellIs" dxfId="9" priority="4" operator="equal">
      <formula>"FRA"</formula>
    </cfRule>
    <cfRule type="cellIs" dxfId="8" priority="5" operator="equal">
      <formula>"SWE"</formula>
    </cfRule>
    <cfRule type="cellIs" dxfId="7" priority="6" operator="equal">
      <formula>"FIN"</formula>
    </cfRule>
    <cfRule type="cellIs" dxfId="6" priority="7" operator="equal">
      <formula>"ITA"</formula>
    </cfRule>
    <cfRule type="cellIs" dxfId="5" priority="8" operator="equal">
      <formula>"SVK"</formula>
    </cfRule>
    <cfRule type="cellIs" dxfId="4" priority="9" operator="equal">
      <formula>"SUI"</formula>
    </cfRule>
    <cfRule type="cellIs" dxfId="3" priority="10" operator="equal">
      <formula>"GER"</formula>
    </cfRule>
    <cfRule type="cellIs" dxfId="2" priority="11" operator="equal">
      <formula>"USA"</formula>
    </cfRule>
    <cfRule type="cellIs" dxfId="1" priority="12" operator="equal">
      <formula>"CAN"</formula>
    </cfRule>
  </conditionalFormatting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Jordan Briggs</dc:creator>
  <cp:lastModifiedBy>Avery Jordan Briggs</cp:lastModifiedBy>
  <dcterms:created xsi:type="dcterms:W3CDTF">2026-01-12T02:52:22Z</dcterms:created>
  <dcterms:modified xsi:type="dcterms:W3CDTF">2026-01-12T06:03:40Z</dcterms:modified>
</cp:coreProperties>
</file>