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Jerseys\"/>
    </mc:Choice>
  </mc:AlternateContent>
  <xr:revisionPtr revIDLastSave="0" documentId="13_ncr:1_{8C9D17B7-C5C4-4579-A0AF-4F3CC385B621}" xr6:coauthVersionLast="47" xr6:coauthVersionMax="47" xr10:uidLastSave="{00000000-0000-0000-0000-000000000000}"/>
  <bookViews>
    <workbookView xWindow="-120" yWindow="-120" windowWidth="29040" windowHeight="15840" xr2:uid="{9B9903AD-7061-4527-9747-A7A04A6642FE}"/>
  </bookViews>
  <sheets>
    <sheet name="Scores" sheetId="1" r:id="rId1"/>
    <sheet name="Graph" sheetId="2" r:id="rId2"/>
    <sheet name="CTG" sheetId="3" r:id="rId3"/>
    <sheet name="Watched" sheetId="4" r:id="rId4"/>
    <sheet name="Standings" sheetId="5" r:id="rId5"/>
    <sheet name="Record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6" l="1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B37" i="6"/>
  <c r="C20" i="1"/>
  <c r="L20" i="1"/>
  <c r="P20" i="1"/>
  <c r="T20" i="1" s="1"/>
  <c r="U20" i="1"/>
  <c r="Z20" i="1" s="1"/>
  <c r="V20" i="1"/>
  <c r="AA20" i="1" s="1"/>
  <c r="AB20" i="1"/>
  <c r="AF20" i="1" s="1"/>
  <c r="AC20" i="1"/>
  <c r="AD20" i="1"/>
  <c r="AE20" i="1"/>
  <c r="AJ20" i="1"/>
  <c r="AL20" i="1" s="1"/>
  <c r="AK20" i="1"/>
  <c r="AM20" i="1"/>
  <c r="AZ2" i="5"/>
  <c r="AZ3" i="5"/>
  <c r="AZ4" i="5"/>
  <c r="AZ5" i="5"/>
  <c r="AZ6" i="5"/>
  <c r="AZ7" i="5"/>
  <c r="AZ8" i="5"/>
  <c r="AZ9" i="5"/>
  <c r="AZ10" i="5"/>
  <c r="AZ11" i="5"/>
  <c r="AZ12" i="5"/>
  <c r="AZ13" i="5"/>
  <c r="AZ14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Y2" i="5"/>
  <c r="AY3" i="5"/>
  <c r="AY4" i="5"/>
  <c r="AY5" i="5"/>
  <c r="AY6" i="5"/>
  <c r="AY7" i="5"/>
  <c r="AY8" i="5"/>
  <c r="AY9" i="5"/>
  <c r="AY10" i="5"/>
  <c r="AY11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W2" i="5"/>
  <c r="AW3" i="5"/>
  <c r="AW4" i="5"/>
  <c r="AW5" i="5"/>
  <c r="BF5" i="5" s="1"/>
  <c r="AW6" i="5"/>
  <c r="AW7" i="5"/>
  <c r="AW8" i="5"/>
  <c r="AW9" i="5"/>
  <c r="AW10" i="5"/>
  <c r="AW11" i="5"/>
  <c r="BF11" i="5" s="1"/>
  <c r="AW12" i="5"/>
  <c r="AW13" i="5"/>
  <c r="AW14" i="5"/>
  <c r="AW15" i="5"/>
  <c r="AW16" i="5"/>
  <c r="AW17" i="5"/>
  <c r="BF17" i="5" s="1"/>
  <c r="AW18" i="5"/>
  <c r="BF18" i="5" s="1"/>
  <c r="AW19" i="5"/>
  <c r="AW20" i="5"/>
  <c r="AW21" i="5"/>
  <c r="AW22" i="5"/>
  <c r="AW23" i="5"/>
  <c r="BF23" i="5" s="1"/>
  <c r="AW24" i="5"/>
  <c r="BF24" i="5" s="1"/>
  <c r="AW25" i="5"/>
  <c r="AW26" i="5"/>
  <c r="AW27" i="5"/>
  <c r="AW28" i="5"/>
  <c r="AW29" i="5"/>
  <c r="BF29" i="5" s="1"/>
  <c r="AW30" i="5"/>
  <c r="BF30" i="5" s="1"/>
  <c r="AW31" i="5"/>
  <c r="AW32" i="5"/>
  <c r="AW33" i="5"/>
  <c r="AV2" i="5"/>
  <c r="AV3" i="5"/>
  <c r="AV4" i="5"/>
  <c r="BE4" i="5" s="1"/>
  <c r="AV5" i="5"/>
  <c r="AV6" i="5"/>
  <c r="AV7" i="5"/>
  <c r="AV8" i="5"/>
  <c r="AV9" i="5"/>
  <c r="AV10" i="5"/>
  <c r="BE10" i="5" s="1"/>
  <c r="AV11" i="5"/>
  <c r="AV12" i="5"/>
  <c r="AV13" i="5"/>
  <c r="AV14" i="5"/>
  <c r="AV15" i="5"/>
  <c r="AV16" i="5"/>
  <c r="BE16" i="5" s="1"/>
  <c r="AV17" i="5"/>
  <c r="AV18" i="5"/>
  <c r="AV19" i="5"/>
  <c r="AV20" i="5"/>
  <c r="AV21" i="5"/>
  <c r="AV22" i="5"/>
  <c r="BE22" i="5" s="1"/>
  <c r="AV23" i="5"/>
  <c r="AV24" i="5"/>
  <c r="AV25" i="5"/>
  <c r="AV26" i="5"/>
  <c r="AV27" i="5"/>
  <c r="AV28" i="5"/>
  <c r="BE28" i="5" s="1"/>
  <c r="AV29" i="5"/>
  <c r="AV30" i="5"/>
  <c r="AV31" i="5"/>
  <c r="AV32" i="5"/>
  <c r="AV33" i="5"/>
  <c r="C19" i="1"/>
  <c r="L19" i="1"/>
  <c r="P19" i="1"/>
  <c r="T19" i="1" s="1"/>
  <c r="U19" i="1"/>
  <c r="Z19" i="1" s="1"/>
  <c r="V19" i="1"/>
  <c r="AA19" i="1" s="1"/>
  <c r="AB19" i="1"/>
  <c r="AG19" i="1" s="1"/>
  <c r="AC19" i="1"/>
  <c r="AD19" i="1"/>
  <c r="AE19" i="1"/>
  <c r="AH19" i="1"/>
  <c r="AI19" i="1"/>
  <c r="AJ19" i="1"/>
  <c r="AL19" i="1" s="1"/>
  <c r="AK19" i="1"/>
  <c r="AM19" i="1"/>
  <c r="C18" i="1"/>
  <c r="L18" i="1"/>
  <c r="P18" i="1"/>
  <c r="T18" i="1" s="1"/>
  <c r="U18" i="1"/>
  <c r="Z18" i="1" s="1"/>
  <c r="V18" i="1"/>
  <c r="AA18" i="1" s="1"/>
  <c r="AB18" i="1"/>
  <c r="AI18" i="1" s="1"/>
  <c r="AC18" i="1"/>
  <c r="AD18" i="1"/>
  <c r="AE18" i="1"/>
  <c r="AJ18" i="1"/>
  <c r="AK18" i="1"/>
  <c r="AM18" i="1"/>
  <c r="C17" i="1"/>
  <c r="L17" i="1"/>
  <c r="AC17" i="1" s="1"/>
  <c r="P17" i="1"/>
  <c r="T17" i="1" s="1"/>
  <c r="U17" i="1"/>
  <c r="Z17" i="1" s="1"/>
  <c r="V17" i="1"/>
  <c r="AA17" i="1" s="1"/>
  <c r="AB17" i="1"/>
  <c r="AF17" i="1" s="1"/>
  <c r="AD17" i="1"/>
  <c r="AE17" i="1"/>
  <c r="AJ17" i="1"/>
  <c r="AL17" i="1" s="1"/>
  <c r="AK17" i="1"/>
  <c r="AM17" i="1"/>
  <c r="C16" i="1"/>
  <c r="L16" i="1"/>
  <c r="P16" i="1"/>
  <c r="T16" i="1" s="1"/>
  <c r="U16" i="1"/>
  <c r="V16" i="1"/>
  <c r="AB16" i="1"/>
  <c r="AF16" i="1" s="1"/>
  <c r="AD16" i="1"/>
  <c r="AE16" i="1"/>
  <c r="AJ16" i="1"/>
  <c r="AL16" i="1" s="1"/>
  <c r="AK16" i="1"/>
  <c r="AM16" i="1"/>
  <c r="C15" i="1"/>
  <c r="L15" i="1"/>
  <c r="P15" i="1"/>
  <c r="T15" i="1" s="1"/>
  <c r="U15" i="1"/>
  <c r="Z15" i="1" s="1"/>
  <c r="V15" i="1"/>
  <c r="AB15" i="1"/>
  <c r="AD15" i="1"/>
  <c r="AE15" i="1"/>
  <c r="AJ15" i="1"/>
  <c r="AK15" i="1"/>
  <c r="AM15" i="1"/>
  <c r="C14" i="1"/>
  <c r="L14" i="1"/>
  <c r="P14" i="1"/>
  <c r="T14" i="1" s="1"/>
  <c r="U14" i="1"/>
  <c r="V14" i="1"/>
  <c r="AB14" i="1"/>
  <c r="AF14" i="1" s="1"/>
  <c r="AC14" i="1"/>
  <c r="AD14" i="1"/>
  <c r="AE14" i="1"/>
  <c r="AJ14" i="1"/>
  <c r="AL14" i="1" s="1"/>
  <c r="AK14" i="1"/>
  <c r="AM14" i="1"/>
  <c r="C13" i="1"/>
  <c r="L13" i="1"/>
  <c r="P13" i="1"/>
  <c r="T13" i="1" s="1"/>
  <c r="U13" i="1"/>
  <c r="V13" i="1"/>
  <c r="AB13" i="1"/>
  <c r="AF13" i="1" s="1"/>
  <c r="AC13" i="1"/>
  <c r="AD13" i="1"/>
  <c r="AE13" i="1"/>
  <c r="AJ13" i="1"/>
  <c r="AL13" i="1" s="1"/>
  <c r="AK13" i="1"/>
  <c r="AM13" i="1"/>
  <c r="C12" i="1"/>
  <c r="L12" i="1"/>
  <c r="P12" i="1"/>
  <c r="T12" i="1" s="1"/>
  <c r="U12" i="1"/>
  <c r="V12" i="1"/>
  <c r="AB12" i="1"/>
  <c r="AF12" i="1" s="1"/>
  <c r="AD12" i="1"/>
  <c r="AE12" i="1"/>
  <c r="AJ12" i="1"/>
  <c r="AK12" i="1"/>
  <c r="AM12" i="1"/>
  <c r="C11" i="1"/>
  <c r="L11" i="1"/>
  <c r="P11" i="1"/>
  <c r="T11" i="1" s="1"/>
  <c r="U11" i="1"/>
  <c r="V11" i="1"/>
  <c r="AB11" i="1"/>
  <c r="AF11" i="1" s="1"/>
  <c r="AD11" i="1"/>
  <c r="AE11" i="1"/>
  <c r="AJ11" i="1"/>
  <c r="AK11" i="1"/>
  <c r="AM11" i="1"/>
  <c r="C10" i="1"/>
  <c r="L10" i="1"/>
  <c r="P10" i="1"/>
  <c r="T10" i="1" s="1"/>
  <c r="U10" i="1"/>
  <c r="V10" i="1"/>
  <c r="AB10" i="1"/>
  <c r="G27" i="5" s="1"/>
  <c r="AD10" i="1"/>
  <c r="AE10" i="1"/>
  <c r="AJ10" i="1"/>
  <c r="AK10" i="1"/>
  <c r="AM10" i="1"/>
  <c r="Y3" i="5"/>
  <c r="Y5" i="5"/>
  <c r="Y7" i="5"/>
  <c r="Y9" i="5"/>
  <c r="Y10" i="5"/>
  <c r="Y11" i="5"/>
  <c r="Y14" i="5"/>
  <c r="Y16" i="5"/>
  <c r="Y18" i="5"/>
  <c r="Y19" i="5"/>
  <c r="Y20" i="5"/>
  <c r="Y21" i="5"/>
  <c r="Y23" i="5"/>
  <c r="Y28" i="5"/>
  <c r="Y31" i="5"/>
  <c r="Y32" i="5"/>
  <c r="X3" i="5"/>
  <c r="X5" i="5"/>
  <c r="X7" i="5"/>
  <c r="X9" i="5"/>
  <c r="X10" i="5"/>
  <c r="X11" i="5"/>
  <c r="X14" i="5"/>
  <c r="X16" i="5"/>
  <c r="X18" i="5"/>
  <c r="X19" i="5"/>
  <c r="X20" i="5"/>
  <c r="X21" i="5"/>
  <c r="X23" i="5"/>
  <c r="X28" i="5"/>
  <c r="X31" i="5"/>
  <c r="X32" i="5"/>
  <c r="W3" i="5"/>
  <c r="W5" i="5"/>
  <c r="W7" i="5"/>
  <c r="W9" i="5"/>
  <c r="W10" i="5"/>
  <c r="W11" i="5"/>
  <c r="W14" i="5"/>
  <c r="W16" i="5"/>
  <c r="W18" i="5"/>
  <c r="W19" i="5"/>
  <c r="W20" i="5"/>
  <c r="W21" i="5"/>
  <c r="W23" i="5"/>
  <c r="W28" i="5"/>
  <c r="W31" i="5"/>
  <c r="W32" i="5"/>
  <c r="V3" i="5"/>
  <c r="V5" i="5"/>
  <c r="V7" i="5"/>
  <c r="V9" i="5"/>
  <c r="V10" i="5"/>
  <c r="V11" i="5"/>
  <c r="V14" i="5"/>
  <c r="V16" i="5"/>
  <c r="V18" i="5"/>
  <c r="V19" i="5"/>
  <c r="V20" i="5"/>
  <c r="V21" i="5"/>
  <c r="V23" i="5"/>
  <c r="V28" i="5"/>
  <c r="V31" i="5"/>
  <c r="V32" i="5"/>
  <c r="U3" i="5"/>
  <c r="U5" i="5"/>
  <c r="U7" i="5"/>
  <c r="U9" i="5"/>
  <c r="U10" i="5"/>
  <c r="U11" i="5"/>
  <c r="U14" i="5"/>
  <c r="U16" i="5"/>
  <c r="U18" i="5"/>
  <c r="U19" i="5"/>
  <c r="U20" i="5"/>
  <c r="U21" i="5"/>
  <c r="U23" i="5"/>
  <c r="U28" i="5"/>
  <c r="U31" i="5"/>
  <c r="U32" i="5"/>
  <c r="M2" i="5"/>
  <c r="T3" i="5"/>
  <c r="T5" i="5"/>
  <c r="T7" i="5"/>
  <c r="T9" i="5"/>
  <c r="T10" i="5"/>
  <c r="T11" i="5"/>
  <c r="T14" i="5"/>
  <c r="T16" i="5"/>
  <c r="T18" i="5"/>
  <c r="T19" i="5"/>
  <c r="T20" i="5"/>
  <c r="T21" i="5"/>
  <c r="T23" i="5"/>
  <c r="T28" i="5"/>
  <c r="T31" i="5"/>
  <c r="T32" i="5"/>
  <c r="S3" i="5"/>
  <c r="S5" i="5"/>
  <c r="S7" i="5"/>
  <c r="S9" i="5"/>
  <c r="S10" i="5"/>
  <c r="S11" i="5"/>
  <c r="S14" i="5"/>
  <c r="S16" i="5"/>
  <c r="S18" i="5"/>
  <c r="S19" i="5"/>
  <c r="S20" i="5"/>
  <c r="S21" i="5"/>
  <c r="S23" i="5"/>
  <c r="S28" i="5"/>
  <c r="S31" i="5"/>
  <c r="S32" i="5"/>
  <c r="K2" i="5"/>
  <c r="R3" i="5"/>
  <c r="R5" i="5"/>
  <c r="R7" i="5"/>
  <c r="R9" i="5"/>
  <c r="R10" i="5"/>
  <c r="R11" i="5"/>
  <c r="BL11" i="5" s="1"/>
  <c r="R14" i="5"/>
  <c r="R16" i="5"/>
  <c r="R18" i="5"/>
  <c r="R19" i="5"/>
  <c r="R20" i="5"/>
  <c r="R21" i="5"/>
  <c r="BL21" i="5" s="1"/>
  <c r="R23" i="5"/>
  <c r="R28" i="5"/>
  <c r="R31" i="5"/>
  <c r="R32" i="5"/>
  <c r="Q2" i="5"/>
  <c r="Q4" i="5"/>
  <c r="Q6" i="5"/>
  <c r="Q8" i="5"/>
  <c r="Q12" i="5"/>
  <c r="Q13" i="5"/>
  <c r="Q15" i="5"/>
  <c r="Q17" i="5"/>
  <c r="Q22" i="5"/>
  <c r="Q24" i="5"/>
  <c r="Q25" i="5"/>
  <c r="Q26" i="5"/>
  <c r="Q27" i="5"/>
  <c r="Q29" i="5"/>
  <c r="Q30" i="5"/>
  <c r="Q33" i="5"/>
  <c r="P2" i="5"/>
  <c r="P4" i="5"/>
  <c r="P6" i="5"/>
  <c r="P8" i="5"/>
  <c r="P12" i="5"/>
  <c r="P13" i="5"/>
  <c r="P15" i="5"/>
  <c r="P17" i="5"/>
  <c r="P22" i="5"/>
  <c r="P24" i="5"/>
  <c r="P25" i="5"/>
  <c r="P26" i="5"/>
  <c r="P27" i="5"/>
  <c r="P29" i="5"/>
  <c r="P30" i="5"/>
  <c r="P33" i="5"/>
  <c r="O2" i="5"/>
  <c r="O4" i="5"/>
  <c r="O6" i="5"/>
  <c r="O8" i="5"/>
  <c r="O12" i="5"/>
  <c r="O13" i="5"/>
  <c r="O15" i="5"/>
  <c r="O17" i="5"/>
  <c r="O22" i="5"/>
  <c r="O24" i="5"/>
  <c r="O25" i="5"/>
  <c r="O26" i="5"/>
  <c r="O27" i="5"/>
  <c r="O29" i="5"/>
  <c r="O30" i="5"/>
  <c r="O33" i="5"/>
  <c r="N2" i="5"/>
  <c r="N4" i="5"/>
  <c r="N6" i="5"/>
  <c r="N8" i="5"/>
  <c r="N12" i="5"/>
  <c r="N13" i="5"/>
  <c r="N15" i="5"/>
  <c r="N17" i="5"/>
  <c r="N22" i="5"/>
  <c r="N24" i="5"/>
  <c r="N25" i="5"/>
  <c r="N26" i="5"/>
  <c r="N27" i="5"/>
  <c r="N29" i="5"/>
  <c r="N30" i="5"/>
  <c r="N33" i="5"/>
  <c r="M4" i="5"/>
  <c r="M6" i="5"/>
  <c r="M8" i="5"/>
  <c r="M12" i="5"/>
  <c r="M13" i="5"/>
  <c r="M15" i="5"/>
  <c r="M17" i="5"/>
  <c r="M22" i="5"/>
  <c r="M24" i="5"/>
  <c r="M25" i="5"/>
  <c r="M26" i="5"/>
  <c r="M27" i="5"/>
  <c r="M29" i="5"/>
  <c r="M30" i="5"/>
  <c r="M33" i="5"/>
  <c r="L2" i="5"/>
  <c r="L4" i="5"/>
  <c r="L6" i="5"/>
  <c r="L8" i="5"/>
  <c r="L12" i="5"/>
  <c r="L13" i="5"/>
  <c r="L15" i="5"/>
  <c r="L17" i="5"/>
  <c r="L22" i="5"/>
  <c r="L24" i="5"/>
  <c r="L25" i="5"/>
  <c r="L26" i="5"/>
  <c r="L27" i="5"/>
  <c r="L29" i="5"/>
  <c r="L30" i="5"/>
  <c r="L33" i="5"/>
  <c r="K4" i="5"/>
  <c r="K6" i="5"/>
  <c r="K8" i="5"/>
  <c r="K12" i="5"/>
  <c r="K13" i="5"/>
  <c r="K15" i="5"/>
  <c r="K17" i="5"/>
  <c r="K22" i="5"/>
  <c r="K24" i="5"/>
  <c r="K25" i="5"/>
  <c r="K26" i="5"/>
  <c r="K27" i="5"/>
  <c r="K29" i="5"/>
  <c r="K30" i="5"/>
  <c r="K33" i="5"/>
  <c r="J2" i="5"/>
  <c r="J4" i="5"/>
  <c r="J6" i="5"/>
  <c r="J8" i="5"/>
  <c r="J12" i="5"/>
  <c r="J13" i="5"/>
  <c r="BK13" i="5" s="1"/>
  <c r="J15" i="5"/>
  <c r="J17" i="5"/>
  <c r="J22" i="5"/>
  <c r="J24" i="5"/>
  <c r="J25" i="5"/>
  <c r="J26" i="5"/>
  <c r="BK26" i="5" s="1"/>
  <c r="J27" i="5"/>
  <c r="J29" i="5"/>
  <c r="J30" i="5"/>
  <c r="J33" i="5"/>
  <c r="G3" i="5"/>
  <c r="G5" i="5"/>
  <c r="G7" i="5"/>
  <c r="G9" i="5"/>
  <c r="G10" i="5"/>
  <c r="G11" i="5"/>
  <c r="G12" i="5"/>
  <c r="G14" i="5"/>
  <c r="G16" i="5"/>
  <c r="G17" i="5"/>
  <c r="G18" i="5"/>
  <c r="G19" i="5"/>
  <c r="G20" i="5"/>
  <c r="G21" i="5"/>
  <c r="G23" i="5"/>
  <c r="G25" i="5"/>
  <c r="G28" i="5"/>
  <c r="G29" i="5"/>
  <c r="G31" i="5"/>
  <c r="G32" i="5"/>
  <c r="F2" i="5"/>
  <c r="F4" i="5"/>
  <c r="F6" i="5"/>
  <c r="F8" i="5"/>
  <c r="F10" i="5"/>
  <c r="F12" i="5"/>
  <c r="F13" i="5"/>
  <c r="F15" i="5"/>
  <c r="F16" i="5"/>
  <c r="F17" i="5"/>
  <c r="F20" i="5"/>
  <c r="F21" i="5"/>
  <c r="F22" i="5"/>
  <c r="F24" i="5"/>
  <c r="F25" i="5"/>
  <c r="F26" i="5"/>
  <c r="F27" i="5"/>
  <c r="F29" i="5"/>
  <c r="F30" i="5"/>
  <c r="F33" i="5"/>
  <c r="D12" i="5"/>
  <c r="D16" i="5"/>
  <c r="D21" i="5"/>
  <c r="D29" i="5"/>
  <c r="AE2" i="1"/>
  <c r="AE3" i="1"/>
  <c r="AE4" i="1"/>
  <c r="AE5" i="1"/>
  <c r="AE6" i="1"/>
  <c r="AE7" i="1"/>
  <c r="AE8" i="1"/>
  <c r="AE9" i="1"/>
  <c r="AD2" i="1"/>
  <c r="AD3" i="1"/>
  <c r="AD4" i="1"/>
  <c r="AD5" i="1"/>
  <c r="AD6" i="1"/>
  <c r="AD7" i="1"/>
  <c r="AD8" i="1"/>
  <c r="AD9" i="1"/>
  <c r="C9" i="1"/>
  <c r="L9" i="1"/>
  <c r="AC9" i="1" s="1"/>
  <c r="P9" i="1"/>
  <c r="T9" i="1" s="1"/>
  <c r="U9" i="1"/>
  <c r="V9" i="1"/>
  <c r="AB9" i="1"/>
  <c r="AJ9" i="1"/>
  <c r="AL9" i="1" s="1"/>
  <c r="AK9" i="1"/>
  <c r="AM9" i="1"/>
  <c r="AB2" i="1"/>
  <c r="AB3" i="1"/>
  <c r="AB4" i="1"/>
  <c r="AB5" i="1"/>
  <c r="AB6" i="1"/>
  <c r="AB7" i="1"/>
  <c r="AB8" i="1"/>
  <c r="C8" i="1"/>
  <c r="L8" i="1"/>
  <c r="P8" i="1"/>
  <c r="T8" i="1" s="1"/>
  <c r="U8" i="1"/>
  <c r="Z8" i="1" s="1"/>
  <c r="V8" i="1"/>
  <c r="AA8" i="1" s="1"/>
  <c r="AJ8" i="1"/>
  <c r="AL8" i="1" s="1"/>
  <c r="AK8" i="1"/>
  <c r="AM8" i="1"/>
  <c r="C7" i="1"/>
  <c r="L7" i="1"/>
  <c r="P7" i="1"/>
  <c r="T7" i="1" s="1"/>
  <c r="U7" i="1"/>
  <c r="V7" i="1"/>
  <c r="AJ7" i="1"/>
  <c r="AK7" i="1"/>
  <c r="AM7" i="1"/>
  <c r="C6" i="1"/>
  <c r="L6" i="1"/>
  <c r="P6" i="1"/>
  <c r="T6" i="1" s="1"/>
  <c r="U6" i="1"/>
  <c r="V6" i="1"/>
  <c r="AJ6" i="1"/>
  <c r="AL6" i="1" s="1"/>
  <c r="AK6" i="1"/>
  <c r="AM6" i="1"/>
  <c r="V2" i="1"/>
  <c r="AA2" i="1" s="1"/>
  <c r="V3" i="1"/>
  <c r="AA3" i="1" s="1"/>
  <c r="V4" i="1"/>
  <c r="AA4" i="1" s="1"/>
  <c r="V5" i="1"/>
  <c r="U2" i="1"/>
  <c r="Z2" i="1" s="1"/>
  <c r="U3" i="1"/>
  <c r="Z3" i="1" s="1"/>
  <c r="U4" i="1"/>
  <c r="Z4" i="1" s="1"/>
  <c r="U5" i="1"/>
  <c r="AI20" i="1" l="1"/>
  <c r="AH20" i="1"/>
  <c r="W20" i="1"/>
  <c r="BK27" i="5"/>
  <c r="BK15" i="5"/>
  <c r="BK2" i="5"/>
  <c r="BL23" i="5"/>
  <c r="BL14" i="5"/>
  <c r="BL3" i="5"/>
  <c r="BL10" i="5"/>
  <c r="BK25" i="5"/>
  <c r="BK33" i="5"/>
  <c r="BK24" i="5"/>
  <c r="BK8" i="5"/>
  <c r="BL32" i="5"/>
  <c r="BL9" i="5"/>
  <c r="BK12" i="5"/>
  <c r="BL20" i="5"/>
  <c r="BK30" i="5"/>
  <c r="BK22" i="5"/>
  <c r="BK6" i="5"/>
  <c r="BL18" i="5"/>
  <c r="BL7" i="5"/>
  <c r="BL31" i="5"/>
  <c r="BK29" i="5"/>
  <c r="BK17" i="5"/>
  <c r="BK4" i="5"/>
  <c r="BL28" i="5"/>
  <c r="BL16" i="5"/>
  <c r="BL5" i="5"/>
  <c r="AP19" i="1" s="1"/>
  <c r="BL19" i="5"/>
  <c r="D17" i="5"/>
  <c r="AI17" i="1"/>
  <c r="V17" i="5" s="1"/>
  <c r="AB17" i="5" s="1"/>
  <c r="BF31" i="5"/>
  <c r="BF25" i="5"/>
  <c r="BF19" i="5"/>
  <c r="BF13" i="5"/>
  <c r="BF7" i="5"/>
  <c r="AG20" i="1"/>
  <c r="AG17" i="1"/>
  <c r="F11" i="5"/>
  <c r="H11" i="5" s="1"/>
  <c r="I11" i="5" s="1"/>
  <c r="D11" i="5"/>
  <c r="X20" i="1"/>
  <c r="U17" i="5"/>
  <c r="AG17" i="5" s="1"/>
  <c r="BE32" i="5"/>
  <c r="BE26" i="5"/>
  <c r="BE20" i="5"/>
  <c r="BE14" i="5"/>
  <c r="BE8" i="5"/>
  <c r="BE2" i="5"/>
  <c r="BF28" i="5"/>
  <c r="BF22" i="5"/>
  <c r="BF16" i="5"/>
  <c r="BF10" i="5"/>
  <c r="BG10" i="5" s="1"/>
  <c r="BF4" i="5"/>
  <c r="BG4" i="5" s="1"/>
  <c r="BE25" i="5"/>
  <c r="BE19" i="5"/>
  <c r="BE7" i="5"/>
  <c r="BF33" i="5"/>
  <c r="BF27" i="5"/>
  <c r="BF21" i="5"/>
  <c r="BF15" i="5"/>
  <c r="BF9" i="5"/>
  <c r="BF3" i="5"/>
  <c r="BA29" i="5"/>
  <c r="BA23" i="5"/>
  <c r="BA17" i="5"/>
  <c r="BA11" i="5"/>
  <c r="BA5" i="5"/>
  <c r="BA31" i="5"/>
  <c r="BA13" i="5"/>
  <c r="BA33" i="5"/>
  <c r="BA27" i="5"/>
  <c r="BA21" i="5"/>
  <c r="BA15" i="5"/>
  <c r="BA9" i="5"/>
  <c r="BA3" i="5"/>
  <c r="BF12" i="5"/>
  <c r="BF6" i="5"/>
  <c r="BA28" i="5"/>
  <c r="BA22" i="5"/>
  <c r="BA16" i="5"/>
  <c r="BA10" i="5"/>
  <c r="BA4" i="5"/>
  <c r="AX33" i="5"/>
  <c r="AX27" i="5"/>
  <c r="AX21" i="5"/>
  <c r="AX15" i="5"/>
  <c r="AX9" i="5"/>
  <c r="AX3" i="5"/>
  <c r="AX7" i="5"/>
  <c r="AX25" i="5"/>
  <c r="AX31" i="5"/>
  <c r="AX13" i="5"/>
  <c r="BA25" i="5"/>
  <c r="BA19" i="5"/>
  <c r="BA7" i="5"/>
  <c r="AX30" i="5"/>
  <c r="AX24" i="5"/>
  <c r="AX18" i="5"/>
  <c r="AX12" i="5"/>
  <c r="AX6" i="5"/>
  <c r="BG28" i="5"/>
  <c r="BE33" i="5"/>
  <c r="BE21" i="5"/>
  <c r="BE3" i="5"/>
  <c r="AX22" i="5"/>
  <c r="AX4" i="5"/>
  <c r="BE27" i="5"/>
  <c r="AX19" i="5"/>
  <c r="BE31" i="5"/>
  <c r="BE13" i="5"/>
  <c r="AX32" i="5"/>
  <c r="AX26" i="5"/>
  <c r="AX20" i="5"/>
  <c r="AX14" i="5"/>
  <c r="AX8" i="5"/>
  <c r="AX2" i="5"/>
  <c r="AX16" i="5"/>
  <c r="BE30" i="5"/>
  <c r="BE24" i="5"/>
  <c r="BE18" i="5"/>
  <c r="BE12" i="5"/>
  <c r="BE6" i="5"/>
  <c r="BF32" i="5"/>
  <c r="BF26" i="5"/>
  <c r="BF20" i="5"/>
  <c r="BF14" i="5"/>
  <c r="BF8" i="5"/>
  <c r="BF2" i="5"/>
  <c r="BE15" i="5"/>
  <c r="AX29" i="5"/>
  <c r="AX23" i="5"/>
  <c r="AX17" i="5"/>
  <c r="AX11" i="5"/>
  <c r="AX5" i="5"/>
  <c r="BE29" i="5"/>
  <c r="BE23" i="5"/>
  <c r="BE17" i="5"/>
  <c r="BE11" i="5"/>
  <c r="BE5" i="5"/>
  <c r="BE9" i="5"/>
  <c r="AX28" i="5"/>
  <c r="AX10" i="5"/>
  <c r="BA30" i="5"/>
  <c r="BA24" i="5"/>
  <c r="BA18" i="5"/>
  <c r="BA12" i="5"/>
  <c r="BA6" i="5"/>
  <c r="BA32" i="5"/>
  <c r="BA26" i="5"/>
  <c r="BA20" i="5"/>
  <c r="BA14" i="5"/>
  <c r="BA8" i="5"/>
  <c r="BA2" i="5"/>
  <c r="AL18" i="1"/>
  <c r="AF19" i="1"/>
  <c r="W19" i="1"/>
  <c r="AH18" i="1"/>
  <c r="AG18" i="1"/>
  <c r="D27" i="5"/>
  <c r="AF18" i="1"/>
  <c r="D20" i="5"/>
  <c r="AI15" i="1"/>
  <c r="W18" i="1"/>
  <c r="X19" i="1"/>
  <c r="AH15" i="1"/>
  <c r="AF15" i="1"/>
  <c r="D22" i="5"/>
  <c r="AI9" i="1"/>
  <c r="D9" i="5"/>
  <c r="F9" i="5"/>
  <c r="H9" i="5" s="1"/>
  <c r="I9" i="5" s="1"/>
  <c r="G22" i="5"/>
  <c r="H22" i="5" s="1"/>
  <c r="I22" i="5" s="1"/>
  <c r="AC10" i="1"/>
  <c r="X10" i="1" s="1"/>
  <c r="AC11" i="1"/>
  <c r="W11" i="1" s="1"/>
  <c r="AH17" i="1"/>
  <c r="X18" i="1"/>
  <c r="AI10" i="1"/>
  <c r="AC15" i="1"/>
  <c r="X15" i="1" s="1"/>
  <c r="AC16" i="1"/>
  <c r="X16" i="1" s="1"/>
  <c r="W17" i="1"/>
  <c r="D26" i="5"/>
  <c r="H10" i="5"/>
  <c r="I10" i="5" s="1"/>
  <c r="F19" i="5"/>
  <c r="G26" i="5"/>
  <c r="H26" i="5" s="1"/>
  <c r="I26" i="5" s="1"/>
  <c r="AI16" i="1"/>
  <c r="AH16" i="1"/>
  <c r="D19" i="5"/>
  <c r="AG15" i="1"/>
  <c r="Z16" i="1"/>
  <c r="D14" i="5"/>
  <c r="F14" i="5"/>
  <c r="H14" i="5" s="1"/>
  <c r="I14" i="5" s="1"/>
  <c r="G6" i="5"/>
  <c r="H6" i="5" s="1"/>
  <c r="I6" i="5" s="1"/>
  <c r="D6" i="5"/>
  <c r="H12" i="5"/>
  <c r="I12" i="5" s="1"/>
  <c r="X17" i="1"/>
  <c r="AL15" i="1"/>
  <c r="AC12" i="1"/>
  <c r="X12" i="1" s="1"/>
  <c r="AA14" i="1"/>
  <c r="AL12" i="1"/>
  <c r="D10" i="5"/>
  <c r="D25" i="5"/>
  <c r="H29" i="5"/>
  <c r="I29" i="5" s="1"/>
  <c r="AL11" i="1"/>
  <c r="Z9" i="1"/>
  <c r="AL10" i="1"/>
  <c r="AA15" i="1"/>
  <c r="AG16" i="1"/>
  <c r="AA16" i="1"/>
  <c r="W14" i="1"/>
  <c r="W15" i="1"/>
  <c r="W13" i="1"/>
  <c r="AI14" i="1"/>
  <c r="AH14" i="1"/>
  <c r="Z13" i="1"/>
  <c r="AH13" i="1"/>
  <c r="AG14" i="1"/>
  <c r="AA13" i="1"/>
  <c r="AI13" i="1"/>
  <c r="Z14" i="1"/>
  <c r="X14" i="1"/>
  <c r="AH10" i="1"/>
  <c r="AH12" i="1"/>
  <c r="AG13" i="1"/>
  <c r="AI12" i="1"/>
  <c r="Z11" i="1"/>
  <c r="X13" i="1"/>
  <c r="AI11" i="1"/>
  <c r="AA11" i="1"/>
  <c r="AH11" i="1"/>
  <c r="AG12" i="1"/>
  <c r="AA12" i="1"/>
  <c r="AA9" i="1"/>
  <c r="Z12" i="1"/>
  <c r="AF10" i="1"/>
  <c r="AG11" i="1"/>
  <c r="AA10" i="1"/>
  <c r="AG10" i="1"/>
  <c r="X11" i="1"/>
  <c r="AI6" i="1"/>
  <c r="Z10" i="1"/>
  <c r="B2" i="6"/>
  <c r="V24" i="5"/>
  <c r="AB24" i="5" s="1"/>
  <c r="AH8" i="1"/>
  <c r="X9" i="1"/>
  <c r="AH7" i="1"/>
  <c r="AF18" i="6"/>
  <c r="H27" i="5"/>
  <c r="I27" i="5" s="1"/>
  <c r="H16" i="5"/>
  <c r="I16" i="5" s="1"/>
  <c r="H25" i="5"/>
  <c r="I25" i="5" s="1"/>
  <c r="H17" i="5"/>
  <c r="I17" i="5" s="1"/>
  <c r="H20" i="5"/>
  <c r="I20" i="5" s="1"/>
  <c r="H21" i="5"/>
  <c r="I21" i="5" s="1"/>
  <c r="AE33" i="6"/>
  <c r="H31" i="6"/>
  <c r="S26" i="6"/>
  <c r="K21" i="6"/>
  <c r="AF3" i="1"/>
  <c r="B26" i="6"/>
  <c r="B17" i="6"/>
  <c r="B8" i="6"/>
  <c r="AD33" i="6"/>
  <c r="R33" i="6"/>
  <c r="AE32" i="6"/>
  <c r="M32" i="6"/>
  <c r="Z31" i="6"/>
  <c r="AG30" i="6"/>
  <c r="AB29" i="6"/>
  <c r="W28" i="6"/>
  <c r="R27" i="6"/>
  <c r="M26" i="6"/>
  <c r="H25" i="6"/>
  <c r="C24" i="6"/>
  <c r="X22" i="6"/>
  <c r="AD20" i="6"/>
  <c r="S18" i="6"/>
  <c r="U33" i="6"/>
  <c r="C30" i="6"/>
  <c r="N25" i="6"/>
  <c r="M13" i="6"/>
  <c r="AG8" i="1"/>
  <c r="F3" i="5"/>
  <c r="H3" i="5" s="1"/>
  <c r="I3" i="5" s="1"/>
  <c r="N3" i="5"/>
  <c r="AB3" i="5" s="1"/>
  <c r="J3" i="5"/>
  <c r="D3" i="5"/>
  <c r="G33" i="5"/>
  <c r="H33" i="5" s="1"/>
  <c r="I33" i="5" s="1"/>
  <c r="D33" i="5"/>
  <c r="AG2" i="1"/>
  <c r="E2" i="6"/>
  <c r="K2" i="6"/>
  <c r="Q2" i="6"/>
  <c r="W2" i="6"/>
  <c r="AC2" i="6"/>
  <c r="D3" i="6"/>
  <c r="J3" i="6"/>
  <c r="P3" i="6"/>
  <c r="V3" i="6"/>
  <c r="AB3" i="6"/>
  <c r="C4" i="6"/>
  <c r="I4" i="6"/>
  <c r="O4" i="6"/>
  <c r="U4" i="6"/>
  <c r="AA4" i="6"/>
  <c r="AG4" i="6"/>
  <c r="H5" i="6"/>
  <c r="N5" i="6"/>
  <c r="T5" i="6"/>
  <c r="Z5" i="6"/>
  <c r="AF5" i="6"/>
  <c r="G6" i="6"/>
  <c r="M6" i="6"/>
  <c r="S6" i="6"/>
  <c r="Y6" i="6"/>
  <c r="AE6" i="6"/>
  <c r="F7" i="6"/>
  <c r="L7" i="6"/>
  <c r="R7" i="6"/>
  <c r="X7" i="6"/>
  <c r="AD7" i="6"/>
  <c r="E8" i="6"/>
  <c r="K8" i="6"/>
  <c r="Q8" i="6"/>
  <c r="W8" i="6"/>
  <c r="AC8" i="6"/>
  <c r="D9" i="6"/>
  <c r="J9" i="6"/>
  <c r="P9" i="6"/>
  <c r="V9" i="6"/>
  <c r="AB9" i="6"/>
  <c r="C10" i="6"/>
  <c r="I10" i="6"/>
  <c r="O10" i="6"/>
  <c r="U10" i="6"/>
  <c r="AA10" i="6"/>
  <c r="AG10" i="6"/>
  <c r="H11" i="6"/>
  <c r="N11" i="6"/>
  <c r="T11" i="6"/>
  <c r="D7" i="5"/>
  <c r="D13" i="5"/>
  <c r="F2" i="6"/>
  <c r="L2" i="6"/>
  <c r="R2" i="6"/>
  <c r="X2" i="6"/>
  <c r="AD2" i="6"/>
  <c r="E3" i="6"/>
  <c r="K3" i="6"/>
  <c r="Q3" i="6"/>
  <c r="AO18" i="1" s="1"/>
  <c r="W3" i="6"/>
  <c r="AC3" i="6"/>
  <c r="D4" i="6"/>
  <c r="J4" i="6"/>
  <c r="P4" i="6"/>
  <c r="V4" i="6"/>
  <c r="AB4" i="6"/>
  <c r="C5" i="6"/>
  <c r="I5" i="6"/>
  <c r="O5" i="6"/>
  <c r="U5" i="6"/>
  <c r="AA5" i="6"/>
  <c r="AG5" i="6"/>
  <c r="H6" i="6"/>
  <c r="N6" i="6"/>
  <c r="T6" i="6"/>
  <c r="Z6" i="6"/>
  <c r="AF6" i="6"/>
  <c r="G7" i="6"/>
  <c r="M7" i="6"/>
  <c r="S7" i="6"/>
  <c r="Y7" i="6"/>
  <c r="AE7" i="6"/>
  <c r="F8" i="6"/>
  <c r="L8" i="6"/>
  <c r="R8" i="6"/>
  <c r="X8" i="6"/>
  <c r="AD8" i="6"/>
  <c r="E9" i="6"/>
  <c r="K9" i="6"/>
  <c r="Q9" i="6"/>
  <c r="W9" i="6"/>
  <c r="AC9" i="6"/>
  <c r="D10" i="6"/>
  <c r="J10" i="6"/>
  <c r="P10" i="6"/>
  <c r="V10" i="6"/>
  <c r="AB10" i="6"/>
  <c r="C11" i="6"/>
  <c r="I11" i="6"/>
  <c r="O11" i="6"/>
  <c r="U11" i="6"/>
  <c r="AA11" i="6"/>
  <c r="G2" i="6"/>
  <c r="M2" i="6"/>
  <c r="S2" i="6"/>
  <c r="Y2" i="6"/>
  <c r="AE2" i="6"/>
  <c r="F3" i="6"/>
  <c r="L3" i="6"/>
  <c r="R3" i="6"/>
  <c r="X3" i="6"/>
  <c r="AD3" i="6"/>
  <c r="E4" i="6"/>
  <c r="K4" i="6"/>
  <c r="Q4" i="6"/>
  <c r="W4" i="6"/>
  <c r="AC4" i="6"/>
  <c r="D5" i="6"/>
  <c r="J5" i="6"/>
  <c r="P5" i="6"/>
  <c r="V5" i="6"/>
  <c r="AB5" i="6"/>
  <c r="C6" i="6"/>
  <c r="I6" i="6"/>
  <c r="O6" i="6"/>
  <c r="U6" i="6"/>
  <c r="AA6" i="6"/>
  <c r="AG6" i="6"/>
  <c r="H7" i="6"/>
  <c r="N7" i="6"/>
  <c r="Z7" i="6"/>
  <c r="AF7" i="6"/>
  <c r="G8" i="6"/>
  <c r="M8" i="6"/>
  <c r="S8" i="6"/>
  <c r="Y8" i="6"/>
  <c r="AE8" i="6"/>
  <c r="F9" i="6"/>
  <c r="L9" i="6"/>
  <c r="R9" i="6"/>
  <c r="X9" i="6"/>
  <c r="AD9" i="6"/>
  <c r="E10" i="6"/>
  <c r="K10" i="6"/>
  <c r="Q10" i="6"/>
  <c r="W10" i="6"/>
  <c r="D11" i="6"/>
  <c r="J11" i="6"/>
  <c r="P11" i="6"/>
  <c r="V11" i="6"/>
  <c r="AB11" i="6"/>
  <c r="C12" i="6"/>
  <c r="I12" i="6"/>
  <c r="O12" i="6"/>
  <c r="I2" i="6"/>
  <c r="O2" i="6"/>
  <c r="U2" i="6"/>
  <c r="AA2" i="6"/>
  <c r="AG2" i="6"/>
  <c r="H3" i="6"/>
  <c r="N3" i="6"/>
  <c r="T3" i="6"/>
  <c r="Z3" i="6"/>
  <c r="AF3" i="6"/>
  <c r="G4" i="6"/>
  <c r="M4" i="6"/>
  <c r="S4" i="6"/>
  <c r="Y4" i="6"/>
  <c r="AE4" i="6"/>
  <c r="F5" i="6"/>
  <c r="L5" i="6"/>
  <c r="X5" i="6"/>
  <c r="AD5" i="6"/>
  <c r="E6" i="6"/>
  <c r="K6" i="6"/>
  <c r="Q6" i="6"/>
  <c r="W6" i="6"/>
  <c r="AC6" i="6"/>
  <c r="D7" i="6"/>
  <c r="J7" i="6"/>
  <c r="P7" i="6"/>
  <c r="V7" i="6"/>
  <c r="AB7" i="6"/>
  <c r="C8" i="6"/>
  <c r="O8" i="6"/>
  <c r="U8" i="6"/>
  <c r="AA8" i="6"/>
  <c r="AG8" i="6"/>
  <c r="N9" i="6"/>
  <c r="T9" i="6"/>
  <c r="Z9" i="6"/>
  <c r="AF9" i="6"/>
  <c r="G10" i="6"/>
  <c r="M10" i="6"/>
  <c r="S10" i="6"/>
  <c r="Y10" i="6"/>
  <c r="AE10" i="6"/>
  <c r="D2" i="6"/>
  <c r="V2" i="6"/>
  <c r="I3" i="6"/>
  <c r="AA3" i="6"/>
  <c r="AO20" i="1" s="1"/>
  <c r="N4" i="6"/>
  <c r="AF4" i="6"/>
  <c r="S5" i="6"/>
  <c r="F6" i="6"/>
  <c r="X6" i="6"/>
  <c r="K7" i="6"/>
  <c r="AC7" i="6"/>
  <c r="P8" i="6"/>
  <c r="C9" i="6"/>
  <c r="U9" i="6"/>
  <c r="H10" i="6"/>
  <c r="Z10" i="6"/>
  <c r="K11" i="6"/>
  <c r="W11" i="6"/>
  <c r="AE11" i="6"/>
  <c r="G12" i="6"/>
  <c r="N12" i="6"/>
  <c r="U12" i="6"/>
  <c r="AA12" i="6"/>
  <c r="AG12" i="6"/>
  <c r="H13" i="6"/>
  <c r="N13" i="6"/>
  <c r="T13" i="6"/>
  <c r="Z13" i="6"/>
  <c r="AF13" i="6"/>
  <c r="G14" i="6"/>
  <c r="M14" i="6"/>
  <c r="S14" i="6"/>
  <c r="Y14" i="6"/>
  <c r="AE14" i="6"/>
  <c r="F15" i="6"/>
  <c r="L15" i="6"/>
  <c r="R15" i="6"/>
  <c r="X15" i="6"/>
  <c r="AD15" i="6"/>
  <c r="E16" i="6"/>
  <c r="K16" i="6"/>
  <c r="Q16" i="6"/>
  <c r="W16" i="6"/>
  <c r="AC16" i="6"/>
  <c r="D17" i="6"/>
  <c r="J17" i="6"/>
  <c r="P17" i="6"/>
  <c r="V17" i="6"/>
  <c r="AB17" i="6"/>
  <c r="C18" i="6"/>
  <c r="I18" i="6"/>
  <c r="O18" i="6"/>
  <c r="U18" i="6"/>
  <c r="AA18" i="6"/>
  <c r="AG18" i="6"/>
  <c r="H19" i="6"/>
  <c r="N19" i="6"/>
  <c r="T19" i="6"/>
  <c r="Z19" i="6"/>
  <c r="AF19" i="6"/>
  <c r="M20" i="6"/>
  <c r="S20" i="6"/>
  <c r="Y20" i="6"/>
  <c r="AE20" i="6"/>
  <c r="F21" i="6"/>
  <c r="L21" i="6"/>
  <c r="R21" i="6"/>
  <c r="X21" i="6"/>
  <c r="AD21" i="6"/>
  <c r="E22" i="6"/>
  <c r="H2" i="6"/>
  <c r="Z2" i="6"/>
  <c r="M3" i="6"/>
  <c r="AE3" i="6"/>
  <c r="AQ19" i="1" s="1"/>
  <c r="R4" i="6"/>
  <c r="E5" i="6"/>
  <c r="W5" i="6"/>
  <c r="J6" i="6"/>
  <c r="AB6" i="6"/>
  <c r="O7" i="6"/>
  <c r="AG7" i="6"/>
  <c r="T8" i="6"/>
  <c r="G9" i="6"/>
  <c r="Y9" i="6"/>
  <c r="L10" i="6"/>
  <c r="AD10" i="6"/>
  <c r="L11" i="6"/>
  <c r="X11" i="6"/>
  <c r="AF11" i="6"/>
  <c r="H12" i="6"/>
  <c r="P12" i="6"/>
  <c r="V12" i="6"/>
  <c r="AB12" i="6"/>
  <c r="C13" i="6"/>
  <c r="I13" i="6"/>
  <c r="O13" i="6"/>
  <c r="U13" i="6"/>
  <c r="AA13" i="6"/>
  <c r="H14" i="6"/>
  <c r="N14" i="6"/>
  <c r="T14" i="6"/>
  <c r="Z14" i="6"/>
  <c r="AF14" i="6"/>
  <c r="G15" i="6"/>
  <c r="M15" i="6"/>
  <c r="S15" i="6"/>
  <c r="Y15" i="6"/>
  <c r="AE15" i="6"/>
  <c r="F16" i="6"/>
  <c r="L16" i="6"/>
  <c r="R16" i="6"/>
  <c r="X16" i="6"/>
  <c r="AD16" i="6"/>
  <c r="E17" i="6"/>
  <c r="K17" i="6"/>
  <c r="Q17" i="6"/>
  <c r="W17" i="6"/>
  <c r="AC17" i="6"/>
  <c r="D18" i="6"/>
  <c r="J18" i="6"/>
  <c r="P18" i="6"/>
  <c r="V18" i="6"/>
  <c r="J2" i="6"/>
  <c r="AB2" i="6"/>
  <c r="O3" i="6"/>
  <c r="AG3" i="6"/>
  <c r="T4" i="6"/>
  <c r="G5" i="6"/>
  <c r="Y5" i="6"/>
  <c r="AD6" i="6"/>
  <c r="Q7" i="6"/>
  <c r="D8" i="6"/>
  <c r="V8" i="6"/>
  <c r="I9" i="6"/>
  <c r="AA9" i="6"/>
  <c r="N10" i="6"/>
  <c r="AF10" i="6"/>
  <c r="M11" i="6"/>
  <c r="AG11" i="6"/>
  <c r="J12" i="6"/>
  <c r="Q12" i="6"/>
  <c r="W12" i="6"/>
  <c r="AC12" i="6"/>
  <c r="D13" i="6"/>
  <c r="J13" i="6"/>
  <c r="P13" i="6"/>
  <c r="V13" i="6"/>
  <c r="AB13" i="6"/>
  <c r="C14" i="6"/>
  <c r="I14" i="6"/>
  <c r="O14" i="6"/>
  <c r="U14" i="6"/>
  <c r="AA14" i="6"/>
  <c r="AG14" i="6"/>
  <c r="H15" i="6"/>
  <c r="N15" i="6"/>
  <c r="T15" i="6"/>
  <c r="Z15" i="6"/>
  <c r="AF15" i="6"/>
  <c r="G16" i="6"/>
  <c r="M16" i="6"/>
  <c r="S16" i="6"/>
  <c r="Y16" i="6"/>
  <c r="F17" i="6"/>
  <c r="L17" i="6"/>
  <c r="R17" i="6"/>
  <c r="X17" i="6"/>
  <c r="AD17" i="6"/>
  <c r="K18" i="6"/>
  <c r="Q18" i="6"/>
  <c r="W18" i="6"/>
  <c r="AC18" i="6"/>
  <c r="D19" i="6"/>
  <c r="J19" i="6"/>
  <c r="P19" i="6"/>
  <c r="V19" i="6"/>
  <c r="AB19" i="6"/>
  <c r="C20" i="6"/>
  <c r="I20" i="6"/>
  <c r="O20" i="6"/>
  <c r="U20" i="6"/>
  <c r="AA20" i="6"/>
  <c r="AG20" i="6"/>
  <c r="H21" i="6"/>
  <c r="N21" i="6"/>
  <c r="T21" i="6"/>
  <c r="Z21" i="6"/>
  <c r="AF21" i="6"/>
  <c r="G22" i="6"/>
  <c r="M22" i="6"/>
  <c r="S22" i="6"/>
  <c r="Y22" i="6"/>
  <c r="AE22" i="6"/>
  <c r="F23" i="6"/>
  <c r="L23" i="6"/>
  <c r="R23" i="6"/>
  <c r="F7" i="5"/>
  <c r="H7" i="5" s="1"/>
  <c r="I7" i="5" s="1"/>
  <c r="N2" i="6"/>
  <c r="AF2" i="6"/>
  <c r="S3" i="6"/>
  <c r="F4" i="6"/>
  <c r="X4" i="6"/>
  <c r="K5" i="6"/>
  <c r="AC5" i="6"/>
  <c r="P6" i="6"/>
  <c r="C7" i="6"/>
  <c r="U7" i="6"/>
  <c r="H8" i="6"/>
  <c r="Z8" i="6"/>
  <c r="M9" i="6"/>
  <c r="AE9" i="6"/>
  <c r="R10" i="6"/>
  <c r="E11" i="6"/>
  <c r="Q11" i="6"/>
  <c r="Z11" i="6"/>
  <c r="D12" i="6"/>
  <c r="K12" i="6"/>
  <c r="R12" i="6"/>
  <c r="X12" i="6"/>
  <c r="AD12" i="6"/>
  <c r="E13" i="6"/>
  <c r="K13" i="6"/>
  <c r="Q13" i="6"/>
  <c r="W13" i="6"/>
  <c r="AC13" i="6"/>
  <c r="D14" i="6"/>
  <c r="J14" i="6"/>
  <c r="P14" i="6"/>
  <c r="V14" i="6"/>
  <c r="C15" i="6"/>
  <c r="I15" i="6"/>
  <c r="O15" i="6"/>
  <c r="AA15" i="6"/>
  <c r="AG15" i="6"/>
  <c r="H16" i="6"/>
  <c r="N16" i="6"/>
  <c r="T16" i="6"/>
  <c r="Z16" i="6"/>
  <c r="AF16" i="6"/>
  <c r="G17" i="6"/>
  <c r="M17" i="6"/>
  <c r="S17" i="6"/>
  <c r="Y17" i="6"/>
  <c r="AE17" i="6"/>
  <c r="F18" i="6"/>
  <c r="L18" i="6"/>
  <c r="R18" i="6"/>
  <c r="X18" i="6"/>
  <c r="AD18" i="6"/>
  <c r="E19" i="6"/>
  <c r="K19" i="6"/>
  <c r="Q19" i="6"/>
  <c r="AC19" i="6"/>
  <c r="D20" i="6"/>
  <c r="J20" i="6"/>
  <c r="P20" i="6"/>
  <c r="V20" i="6"/>
  <c r="AB20" i="6"/>
  <c r="C21" i="6"/>
  <c r="I21" i="6"/>
  <c r="U21" i="6"/>
  <c r="G13" i="5"/>
  <c r="H13" i="5" s="1"/>
  <c r="I13" i="5" s="1"/>
  <c r="P2" i="6"/>
  <c r="C3" i="6"/>
  <c r="U3" i="6"/>
  <c r="H4" i="6"/>
  <c r="Z4" i="6"/>
  <c r="M5" i="6"/>
  <c r="AE5" i="6"/>
  <c r="R6" i="6"/>
  <c r="E7" i="6"/>
  <c r="W7" i="6"/>
  <c r="J8" i="6"/>
  <c r="AB8" i="6"/>
  <c r="O9" i="6"/>
  <c r="AG9" i="6"/>
  <c r="T10" i="6"/>
  <c r="F11" i="6"/>
  <c r="R11" i="6"/>
  <c r="AC11" i="6"/>
  <c r="E12" i="6"/>
  <c r="L12" i="6"/>
  <c r="S12" i="6"/>
  <c r="Y12" i="6"/>
  <c r="AE12" i="6"/>
  <c r="F13" i="6"/>
  <c r="L13" i="6"/>
  <c r="R13" i="6"/>
  <c r="X13" i="6"/>
  <c r="AD13" i="6"/>
  <c r="E14" i="6"/>
  <c r="K14" i="6"/>
  <c r="Q14" i="6"/>
  <c r="W14" i="6"/>
  <c r="AC14" i="6"/>
  <c r="D15" i="6"/>
  <c r="J15" i="6"/>
  <c r="P15" i="6"/>
  <c r="V15" i="6"/>
  <c r="AB15" i="6"/>
  <c r="C16" i="6"/>
  <c r="I16" i="6"/>
  <c r="O16" i="6"/>
  <c r="U16" i="6"/>
  <c r="AA16" i="6"/>
  <c r="AG16" i="6"/>
  <c r="H17" i="6"/>
  <c r="N17" i="6"/>
  <c r="T17" i="6"/>
  <c r="G3" i="6"/>
  <c r="V6" i="6"/>
  <c r="F10" i="6"/>
  <c r="M12" i="6"/>
  <c r="S13" i="6"/>
  <c r="X14" i="6"/>
  <c r="AC15" i="6"/>
  <c r="C17" i="6"/>
  <c r="AQ18" i="1" s="1"/>
  <c r="AG17" i="6"/>
  <c r="T18" i="6"/>
  <c r="C19" i="6"/>
  <c r="O19" i="6"/>
  <c r="AA19" i="6"/>
  <c r="H20" i="6"/>
  <c r="T20" i="6"/>
  <c r="AF20" i="6"/>
  <c r="M21" i="6"/>
  <c r="Y21" i="6"/>
  <c r="C22" i="6"/>
  <c r="K22" i="6"/>
  <c r="R22" i="6"/>
  <c r="Z22" i="6"/>
  <c r="AG22" i="6"/>
  <c r="I23" i="6"/>
  <c r="P23" i="6"/>
  <c r="W23" i="6"/>
  <c r="AC23" i="6"/>
  <c r="D24" i="6"/>
  <c r="J24" i="6"/>
  <c r="P24" i="6"/>
  <c r="V24" i="6"/>
  <c r="AB24" i="6"/>
  <c r="C25" i="6"/>
  <c r="I25" i="6"/>
  <c r="O25" i="6"/>
  <c r="U25" i="6"/>
  <c r="AA25" i="6"/>
  <c r="AG25" i="6"/>
  <c r="H26" i="6"/>
  <c r="N26" i="6"/>
  <c r="T26" i="6"/>
  <c r="Z26" i="6"/>
  <c r="AF26" i="6"/>
  <c r="G27" i="6"/>
  <c r="M27" i="6"/>
  <c r="S27" i="6"/>
  <c r="Y27" i="6"/>
  <c r="AE27" i="6"/>
  <c r="F28" i="6"/>
  <c r="L28" i="6"/>
  <c r="R28" i="6"/>
  <c r="X28" i="6"/>
  <c r="AD28" i="6"/>
  <c r="E29" i="6"/>
  <c r="K29" i="6"/>
  <c r="Q29" i="6"/>
  <c r="W29" i="6"/>
  <c r="AC29" i="6"/>
  <c r="J30" i="6"/>
  <c r="P30" i="6"/>
  <c r="V30" i="6"/>
  <c r="AB30" i="6"/>
  <c r="C31" i="6"/>
  <c r="AO19" i="1" s="1"/>
  <c r="I31" i="6"/>
  <c r="O31" i="6"/>
  <c r="U31" i="6"/>
  <c r="AA31" i="6"/>
  <c r="AG31" i="6"/>
  <c r="H32" i="6"/>
  <c r="N32" i="6"/>
  <c r="T32" i="6"/>
  <c r="Z32" i="6"/>
  <c r="AF32" i="6"/>
  <c r="G33" i="6"/>
  <c r="S33" i="6"/>
  <c r="Y33" i="6"/>
  <c r="Y3" i="6"/>
  <c r="I7" i="6"/>
  <c r="X10" i="6"/>
  <c r="T12" i="6"/>
  <c r="Y13" i="6"/>
  <c r="AD14" i="6"/>
  <c r="D16" i="6"/>
  <c r="I17" i="6"/>
  <c r="G18" i="6"/>
  <c r="Y18" i="6"/>
  <c r="F19" i="6"/>
  <c r="R19" i="6"/>
  <c r="AD19" i="6"/>
  <c r="K20" i="6"/>
  <c r="W20" i="6"/>
  <c r="D21" i="6"/>
  <c r="P21" i="6"/>
  <c r="AA21" i="6"/>
  <c r="D22" i="6"/>
  <c r="L22" i="6"/>
  <c r="T22" i="6"/>
  <c r="AA22" i="6"/>
  <c r="C23" i="6"/>
  <c r="J23" i="6"/>
  <c r="Q23" i="6"/>
  <c r="X23" i="6"/>
  <c r="AD23" i="6"/>
  <c r="E24" i="6"/>
  <c r="K24" i="6"/>
  <c r="Q24" i="6"/>
  <c r="W24" i="6"/>
  <c r="AC24" i="6"/>
  <c r="D25" i="6"/>
  <c r="J25" i="6"/>
  <c r="P25" i="6"/>
  <c r="V25" i="6"/>
  <c r="AB25" i="6"/>
  <c r="C26" i="6"/>
  <c r="I26" i="6"/>
  <c r="O26" i="6"/>
  <c r="U26" i="6"/>
  <c r="AA26" i="6"/>
  <c r="AG26" i="6"/>
  <c r="H27" i="6"/>
  <c r="N27" i="6"/>
  <c r="T27" i="6"/>
  <c r="Z27" i="6"/>
  <c r="AF27" i="6"/>
  <c r="G28" i="6"/>
  <c r="M28" i="6"/>
  <c r="S28" i="6"/>
  <c r="Y28" i="6"/>
  <c r="AE28" i="6"/>
  <c r="F29" i="6"/>
  <c r="L29" i="6"/>
  <c r="R29" i="6"/>
  <c r="X29" i="6"/>
  <c r="AD29" i="6"/>
  <c r="E30" i="6"/>
  <c r="K30" i="6"/>
  <c r="Q30" i="6"/>
  <c r="W30" i="6"/>
  <c r="AC30" i="6"/>
  <c r="D31" i="6"/>
  <c r="J31" i="6"/>
  <c r="V31" i="6"/>
  <c r="AB31" i="6"/>
  <c r="C32" i="6"/>
  <c r="I32" i="6"/>
  <c r="O32" i="6"/>
  <c r="U32" i="6"/>
  <c r="AA32" i="6"/>
  <c r="AG32" i="6"/>
  <c r="H33" i="6"/>
  <c r="N33" i="6"/>
  <c r="T33" i="6"/>
  <c r="Z33" i="6"/>
  <c r="AF33" i="6"/>
  <c r="B7" i="6"/>
  <c r="B13" i="6"/>
  <c r="B19" i="6"/>
  <c r="B25" i="6"/>
  <c r="B31" i="6"/>
  <c r="L4" i="6"/>
  <c r="AA7" i="6"/>
  <c r="G11" i="6"/>
  <c r="Z12" i="6"/>
  <c r="AE13" i="6"/>
  <c r="E15" i="6"/>
  <c r="J16" i="6"/>
  <c r="O17" i="6"/>
  <c r="H18" i="6"/>
  <c r="Z18" i="6"/>
  <c r="G19" i="6"/>
  <c r="S19" i="6"/>
  <c r="AE19" i="6"/>
  <c r="L20" i="6"/>
  <c r="X20" i="6"/>
  <c r="E21" i="6"/>
  <c r="Q21" i="6"/>
  <c r="AB21" i="6"/>
  <c r="F22" i="6"/>
  <c r="N22" i="6"/>
  <c r="U22" i="6"/>
  <c r="AB22" i="6"/>
  <c r="D23" i="6"/>
  <c r="K23" i="6"/>
  <c r="Y23" i="6"/>
  <c r="AE23" i="6"/>
  <c r="F24" i="6"/>
  <c r="L24" i="6"/>
  <c r="R24" i="6"/>
  <c r="X24" i="6"/>
  <c r="AD24" i="6"/>
  <c r="E25" i="6"/>
  <c r="Q25" i="6"/>
  <c r="W25" i="6"/>
  <c r="AC25" i="6"/>
  <c r="D26" i="6"/>
  <c r="J26" i="6"/>
  <c r="P26" i="6"/>
  <c r="V26" i="6"/>
  <c r="AB26" i="6"/>
  <c r="C27" i="6"/>
  <c r="AQ20" i="1" s="1"/>
  <c r="I27" i="6"/>
  <c r="O27" i="6"/>
  <c r="U27" i="6"/>
  <c r="AA27" i="6"/>
  <c r="AG27" i="6"/>
  <c r="H28" i="6"/>
  <c r="T28" i="6"/>
  <c r="Z28" i="6"/>
  <c r="AF28" i="6"/>
  <c r="G29" i="6"/>
  <c r="M29" i="6"/>
  <c r="S29" i="6"/>
  <c r="Y29" i="6"/>
  <c r="AE29" i="6"/>
  <c r="F30" i="6"/>
  <c r="L30" i="6"/>
  <c r="R30" i="6"/>
  <c r="X30" i="6"/>
  <c r="AD30" i="6"/>
  <c r="E31" i="6"/>
  <c r="K31" i="6"/>
  <c r="N8" i="6"/>
  <c r="S11" i="6"/>
  <c r="AF12" i="6"/>
  <c r="F14" i="6"/>
  <c r="K15" i="6"/>
  <c r="P16" i="6"/>
  <c r="U17" i="6"/>
  <c r="M18" i="6"/>
  <c r="AB18" i="6"/>
  <c r="I19" i="6"/>
  <c r="U19" i="6"/>
  <c r="AG19" i="6"/>
  <c r="N20" i="6"/>
  <c r="Z20" i="6"/>
  <c r="G21" i="6"/>
  <c r="S21" i="6"/>
  <c r="AC21" i="6"/>
  <c r="H22" i="6"/>
  <c r="O22" i="6"/>
  <c r="V22" i="6"/>
  <c r="AC22" i="6"/>
  <c r="E23" i="6"/>
  <c r="M23" i="6"/>
  <c r="T23" i="6"/>
  <c r="Z23" i="6"/>
  <c r="AF23" i="6"/>
  <c r="G24" i="6"/>
  <c r="M24" i="6"/>
  <c r="S24" i="6"/>
  <c r="Y24" i="6"/>
  <c r="AE24" i="6"/>
  <c r="F25" i="6"/>
  <c r="L25" i="6"/>
  <c r="R25" i="6"/>
  <c r="X25" i="6"/>
  <c r="AD25" i="6"/>
  <c r="E26" i="6"/>
  <c r="K26" i="6"/>
  <c r="W26" i="6"/>
  <c r="AC26" i="6"/>
  <c r="D27" i="6"/>
  <c r="J27" i="6"/>
  <c r="P27" i="6"/>
  <c r="V27" i="6"/>
  <c r="AB27" i="6"/>
  <c r="C28" i="6"/>
  <c r="I28" i="6"/>
  <c r="O28" i="6"/>
  <c r="U28" i="6"/>
  <c r="AA28" i="6"/>
  <c r="AG28" i="6"/>
  <c r="H29" i="6"/>
  <c r="N29" i="6"/>
  <c r="T29" i="6"/>
  <c r="Z29" i="6"/>
  <c r="AF29" i="6"/>
  <c r="G30" i="6"/>
  <c r="M30" i="6"/>
  <c r="S30" i="6"/>
  <c r="Y30" i="6"/>
  <c r="AE30" i="6"/>
  <c r="F31" i="6"/>
  <c r="L31" i="6"/>
  <c r="R31" i="6"/>
  <c r="X31" i="6"/>
  <c r="AD31" i="6"/>
  <c r="E32" i="6"/>
  <c r="K32" i="6"/>
  <c r="Q32" i="6"/>
  <c r="W32" i="6"/>
  <c r="AC32" i="6"/>
  <c r="D33" i="6"/>
  <c r="J33" i="6"/>
  <c r="P33" i="6"/>
  <c r="Q5" i="6"/>
  <c r="AF8" i="6"/>
  <c r="AD11" i="6"/>
  <c r="G13" i="6"/>
  <c r="L14" i="6"/>
  <c r="Q15" i="6"/>
  <c r="V16" i="6"/>
  <c r="AA17" i="6"/>
  <c r="N18" i="6"/>
  <c r="AE18" i="6"/>
  <c r="L19" i="6"/>
  <c r="X19" i="6"/>
  <c r="E20" i="6"/>
  <c r="Q20" i="6"/>
  <c r="AC20" i="6"/>
  <c r="J21" i="6"/>
  <c r="V21" i="6"/>
  <c r="AE21" i="6"/>
  <c r="I22" i="6"/>
  <c r="P22" i="6"/>
  <c r="W22" i="6"/>
  <c r="AD22" i="6"/>
  <c r="G23" i="6"/>
  <c r="N23" i="6"/>
  <c r="U23" i="6"/>
  <c r="AA23" i="6"/>
  <c r="AG23" i="6"/>
  <c r="H24" i="6"/>
  <c r="N24" i="6"/>
  <c r="T24" i="6"/>
  <c r="Z24" i="6"/>
  <c r="AF24" i="6"/>
  <c r="G25" i="6"/>
  <c r="M25" i="6"/>
  <c r="S25" i="6"/>
  <c r="Y25" i="6"/>
  <c r="AE25" i="6"/>
  <c r="F26" i="6"/>
  <c r="L26" i="6"/>
  <c r="R26" i="6"/>
  <c r="X26" i="6"/>
  <c r="AD26" i="6"/>
  <c r="E27" i="6"/>
  <c r="K27" i="6"/>
  <c r="Q27" i="6"/>
  <c r="W27" i="6"/>
  <c r="AC27" i="6"/>
  <c r="D28" i="6"/>
  <c r="J28" i="6"/>
  <c r="P28" i="6"/>
  <c r="V28" i="6"/>
  <c r="AB28" i="6"/>
  <c r="C29" i="6"/>
  <c r="I29" i="6"/>
  <c r="O29" i="6"/>
  <c r="U29" i="6"/>
  <c r="AA29" i="6"/>
  <c r="AG29" i="6"/>
  <c r="H30" i="6"/>
  <c r="N30" i="6"/>
  <c r="T30" i="6"/>
  <c r="Z30" i="6"/>
  <c r="AF30" i="6"/>
  <c r="G31" i="6"/>
  <c r="M31" i="6"/>
  <c r="S31" i="6"/>
  <c r="Y31" i="6"/>
  <c r="AE31" i="6"/>
  <c r="F32" i="6"/>
  <c r="L32" i="6"/>
  <c r="R32" i="6"/>
  <c r="X32" i="6"/>
  <c r="AD32" i="6"/>
  <c r="E33" i="6"/>
  <c r="K33" i="6"/>
  <c r="Q33" i="6"/>
  <c r="W33" i="6"/>
  <c r="AC33" i="6"/>
  <c r="B4" i="6"/>
  <c r="B10" i="6"/>
  <c r="B16" i="6"/>
  <c r="B22" i="6"/>
  <c r="B28" i="6"/>
  <c r="AH6" i="1"/>
  <c r="AI8" i="1"/>
  <c r="B33" i="6"/>
  <c r="B24" i="6"/>
  <c r="B15" i="6"/>
  <c r="B6" i="6"/>
  <c r="AB33" i="6"/>
  <c r="O33" i="6"/>
  <c r="AB32" i="6"/>
  <c r="J32" i="6"/>
  <c r="W31" i="6"/>
  <c r="AA30" i="6"/>
  <c r="V29" i="6"/>
  <c r="Q28" i="6"/>
  <c r="L27" i="6"/>
  <c r="G26" i="6"/>
  <c r="AG24" i="6"/>
  <c r="AB23" i="6"/>
  <c r="Q22" i="6"/>
  <c r="R20" i="6"/>
  <c r="AF17" i="6"/>
  <c r="S9" i="6"/>
  <c r="AF9" i="1"/>
  <c r="D18" i="5"/>
  <c r="D24" i="5"/>
  <c r="T24" i="5"/>
  <c r="AE24" i="5" s="1"/>
  <c r="G24" i="5"/>
  <c r="H24" i="5" s="1"/>
  <c r="I24" i="5" s="1"/>
  <c r="S24" i="5"/>
  <c r="AC24" i="5" s="1"/>
  <c r="F18" i="5"/>
  <c r="H18" i="5" s="1"/>
  <c r="I18" i="5" s="1"/>
  <c r="B18" i="6"/>
  <c r="P32" i="6"/>
  <c r="AC28" i="6"/>
  <c r="I24" i="6"/>
  <c r="AG3" i="1"/>
  <c r="F28" i="5"/>
  <c r="H28" i="5" s="1"/>
  <c r="I28" i="5" s="1"/>
  <c r="D28" i="5"/>
  <c r="G15" i="5"/>
  <c r="H15" i="5" s="1"/>
  <c r="I15" i="5" s="1"/>
  <c r="AF7" i="1"/>
  <c r="D2" i="5"/>
  <c r="G2" i="5"/>
  <c r="H2" i="5" s="1"/>
  <c r="I2" i="5" s="1"/>
  <c r="F5" i="5"/>
  <c r="H5" i="5" s="1"/>
  <c r="I5" i="5" s="1"/>
  <c r="D5" i="5"/>
  <c r="AI7" i="1"/>
  <c r="B32" i="6"/>
  <c r="B23" i="6"/>
  <c r="B14" i="6"/>
  <c r="B5" i="6"/>
  <c r="AA33" i="6"/>
  <c r="L33" i="6"/>
  <c r="Y32" i="6"/>
  <c r="G32" i="6"/>
  <c r="T31" i="6"/>
  <c r="U30" i="6"/>
  <c r="P29" i="6"/>
  <c r="K28" i="6"/>
  <c r="F27" i="6"/>
  <c r="AF25" i="6"/>
  <c r="V23" i="6"/>
  <c r="J22" i="6"/>
  <c r="F20" i="6"/>
  <c r="AB16" i="6"/>
  <c r="D6" i="6"/>
  <c r="D15" i="5"/>
  <c r="AF4" i="1"/>
  <c r="D30" i="5"/>
  <c r="D31" i="5"/>
  <c r="G30" i="5"/>
  <c r="H30" i="5" s="1"/>
  <c r="I30" i="5" s="1"/>
  <c r="F31" i="5"/>
  <c r="H31" i="5" s="1"/>
  <c r="I31" i="5" s="1"/>
  <c r="B9" i="6"/>
  <c r="AC31" i="6"/>
  <c r="B30" i="6"/>
  <c r="B21" i="6"/>
  <c r="B12" i="6"/>
  <c r="X33" i="6"/>
  <c r="I33" i="6"/>
  <c r="D32" i="6"/>
  <c r="Q31" i="6"/>
  <c r="O30" i="6"/>
  <c r="E28" i="6"/>
  <c r="AE26" i="6"/>
  <c r="Z25" i="6"/>
  <c r="U24" i="6"/>
  <c r="O23" i="6"/>
  <c r="AG21" i="6"/>
  <c r="Y19" i="6"/>
  <c r="W15" i="6"/>
  <c r="T2" i="6"/>
  <c r="B27" i="6"/>
  <c r="C33" i="6"/>
  <c r="AF6" i="1"/>
  <c r="F32" i="5"/>
  <c r="H32" i="5" s="1"/>
  <c r="I32" i="5" s="1"/>
  <c r="D8" i="5"/>
  <c r="D32" i="5"/>
  <c r="G8" i="5"/>
  <c r="H8" i="5" s="1"/>
  <c r="I8" i="5" s="1"/>
  <c r="AG5" i="1"/>
  <c r="G4" i="5"/>
  <c r="H4" i="5" s="1"/>
  <c r="I4" i="5" s="1"/>
  <c r="D4" i="5"/>
  <c r="F23" i="5"/>
  <c r="H23" i="5" s="1"/>
  <c r="I23" i="5" s="1"/>
  <c r="D23" i="5"/>
  <c r="AH9" i="1"/>
  <c r="B29" i="6"/>
  <c r="B20" i="6"/>
  <c r="B11" i="6"/>
  <c r="AG33" i="6"/>
  <c r="V33" i="6"/>
  <c r="F33" i="6"/>
  <c r="S32" i="6"/>
  <c r="AF31" i="6"/>
  <c r="N31" i="6"/>
  <c r="I30" i="6"/>
  <c r="D29" i="6"/>
  <c r="AD27" i="6"/>
  <c r="Y26" i="6"/>
  <c r="T25" i="6"/>
  <c r="O24" i="6"/>
  <c r="H23" i="6"/>
  <c r="W21" i="6"/>
  <c r="M19" i="6"/>
  <c r="R14" i="6"/>
  <c r="H19" i="5"/>
  <c r="I19" i="5" s="1"/>
  <c r="AG9" i="1"/>
  <c r="AG7" i="1"/>
  <c r="AG4" i="1"/>
  <c r="AF5" i="1"/>
  <c r="AG6" i="1"/>
  <c r="AF8" i="1"/>
  <c r="AF2" i="1"/>
  <c r="AC8" i="1"/>
  <c r="AC7" i="1"/>
  <c r="W9" i="1"/>
  <c r="AC6" i="1"/>
  <c r="AL7" i="1"/>
  <c r="Z5" i="1"/>
  <c r="AA5" i="1"/>
  <c r="AA7" i="1"/>
  <c r="AA6" i="1"/>
  <c r="Z6" i="1"/>
  <c r="Z7" i="1"/>
  <c r="BH20" i="5" l="1"/>
  <c r="BI17" i="5"/>
  <c r="BH21" i="5"/>
  <c r="BI3" i="5"/>
  <c r="BI22" i="5"/>
  <c r="BH16" i="5"/>
  <c r="BH33" i="5"/>
  <c r="BI6" i="5"/>
  <c r="BI21" i="5"/>
  <c r="BJ21" i="5" s="1"/>
  <c r="BI10" i="5"/>
  <c r="BI19" i="5"/>
  <c r="BG16" i="5"/>
  <c r="BI16" i="5"/>
  <c r="S25" i="5"/>
  <c r="BB25" i="5"/>
  <c r="BC25" i="5"/>
  <c r="BB20" i="5"/>
  <c r="BC20" i="5"/>
  <c r="BC21" i="5"/>
  <c r="BB21" i="5"/>
  <c r="BB9" i="5"/>
  <c r="BC9" i="5"/>
  <c r="BC22" i="5"/>
  <c r="BB22" i="5"/>
  <c r="BG5" i="5"/>
  <c r="BH5" i="5"/>
  <c r="BG8" i="5"/>
  <c r="BI8" i="5"/>
  <c r="BG12" i="5"/>
  <c r="BH12" i="5"/>
  <c r="BG31" i="5"/>
  <c r="BH31" i="5"/>
  <c r="BI30" i="5"/>
  <c r="W19" i="6"/>
  <c r="AO15" i="1" s="1"/>
  <c r="N14" i="5"/>
  <c r="AB14" i="5" s="1"/>
  <c r="BB27" i="5"/>
  <c r="BC27" i="5"/>
  <c r="Y24" i="5"/>
  <c r="AH24" i="5" s="1"/>
  <c r="BC24" i="5"/>
  <c r="BB24" i="5"/>
  <c r="T22" i="5"/>
  <c r="AE22" i="5" s="1"/>
  <c r="BG11" i="5"/>
  <c r="BH11" i="5"/>
  <c r="BG14" i="5"/>
  <c r="BI14" i="5"/>
  <c r="BG18" i="5"/>
  <c r="BH18" i="5"/>
  <c r="BI12" i="5"/>
  <c r="BI27" i="5"/>
  <c r="BH26" i="5"/>
  <c r="BI25" i="5"/>
  <c r="BI23" i="5"/>
  <c r="BH4" i="5"/>
  <c r="BB32" i="5"/>
  <c r="BC32" i="5"/>
  <c r="Q5" i="5"/>
  <c r="AH5" i="5" s="1"/>
  <c r="BC5" i="5"/>
  <c r="BB5" i="5"/>
  <c r="W22" i="5"/>
  <c r="AD22" i="5" s="1"/>
  <c r="V22" i="5"/>
  <c r="AB22" i="5" s="1"/>
  <c r="U22" i="5"/>
  <c r="AG22" i="5" s="1"/>
  <c r="M9" i="5"/>
  <c r="AG9" i="5" s="1"/>
  <c r="BG17" i="5"/>
  <c r="BH17" i="5"/>
  <c r="BJ17" i="5" s="1"/>
  <c r="BG20" i="5"/>
  <c r="BI20" i="5"/>
  <c r="BJ20" i="5" s="1"/>
  <c r="BG24" i="5"/>
  <c r="BH24" i="5"/>
  <c r="BG27" i="5"/>
  <c r="BH27" i="5"/>
  <c r="BI33" i="5"/>
  <c r="BJ33" i="5" s="1"/>
  <c r="BI28" i="5"/>
  <c r="BH32" i="5"/>
  <c r="BI31" i="5"/>
  <c r="BI29" i="5"/>
  <c r="BH10" i="5"/>
  <c r="BJ10" i="5" s="1"/>
  <c r="T7" i="6"/>
  <c r="AQ9" i="1" s="1"/>
  <c r="BC18" i="5"/>
  <c r="BB18" i="5"/>
  <c r="BC12" i="5"/>
  <c r="BB12" i="5"/>
  <c r="AE16" i="6"/>
  <c r="AQ13" i="1" s="1"/>
  <c r="BC29" i="5"/>
  <c r="BB29" i="5"/>
  <c r="K14" i="5"/>
  <c r="AC14" i="5" s="1"/>
  <c r="BB14" i="5"/>
  <c r="BC14" i="5"/>
  <c r="J9" i="5"/>
  <c r="R22" i="5"/>
  <c r="L9" i="5"/>
  <c r="AE9" i="5" s="1"/>
  <c r="BG23" i="5"/>
  <c r="BH23" i="5"/>
  <c r="BG26" i="5"/>
  <c r="BI26" i="5"/>
  <c r="BG30" i="5"/>
  <c r="BH30" i="5"/>
  <c r="BG7" i="5"/>
  <c r="BH7" i="5"/>
  <c r="BH2" i="5"/>
  <c r="BC17" i="5"/>
  <c r="S17" i="5"/>
  <c r="BB17" i="5"/>
  <c r="R17" i="5"/>
  <c r="Y17" i="5"/>
  <c r="AH17" i="5" s="1"/>
  <c r="M10" i="5"/>
  <c r="AG10" i="5" s="1"/>
  <c r="BC10" i="5"/>
  <c r="BB10" i="5"/>
  <c r="S6" i="5"/>
  <c r="AC6" i="5" s="1"/>
  <c r="BC6" i="5"/>
  <c r="BB6" i="5"/>
  <c r="L14" i="5"/>
  <c r="AE14" i="5" s="1"/>
  <c r="P19" i="5"/>
  <c r="AF19" i="5" s="1"/>
  <c r="BB19" i="5"/>
  <c r="BC19" i="5"/>
  <c r="BG29" i="5"/>
  <c r="BH29" i="5"/>
  <c r="BH15" i="5"/>
  <c r="BG32" i="5"/>
  <c r="BI32" i="5"/>
  <c r="BG22" i="5"/>
  <c r="BI9" i="5"/>
  <c r="BG19" i="5"/>
  <c r="BH19" i="5"/>
  <c r="BI4" i="5"/>
  <c r="BH8" i="5"/>
  <c r="T17" i="5"/>
  <c r="AE17" i="5" s="1"/>
  <c r="W17" i="5"/>
  <c r="AD17" i="5" s="1"/>
  <c r="BI7" i="5"/>
  <c r="X17" i="5"/>
  <c r="AF17" i="5" s="1"/>
  <c r="BI5" i="5"/>
  <c r="BI18" i="5"/>
  <c r="BH22" i="5"/>
  <c r="T2" i="5"/>
  <c r="AE2" i="5" s="1"/>
  <c r="BB2" i="5"/>
  <c r="BC2" i="5"/>
  <c r="X33" i="5"/>
  <c r="AF33" i="5" s="1"/>
  <c r="BB33" i="5"/>
  <c r="BC33" i="5"/>
  <c r="N28" i="6"/>
  <c r="AO17" i="1" s="1"/>
  <c r="S23" i="6"/>
  <c r="AQ15" i="1" s="1"/>
  <c r="D30" i="6"/>
  <c r="AO12" i="1" s="1"/>
  <c r="O3" i="5"/>
  <c r="AD3" i="5" s="1"/>
  <c r="BC3" i="5"/>
  <c r="BB3" i="5"/>
  <c r="X8" i="5"/>
  <c r="AF8" i="5" s="1"/>
  <c r="BB8" i="5"/>
  <c r="BC8" i="5"/>
  <c r="BC16" i="5"/>
  <c r="BB16" i="5"/>
  <c r="S26" i="5"/>
  <c r="AC26" i="5" s="1"/>
  <c r="BB26" i="5"/>
  <c r="BC26" i="5"/>
  <c r="BC11" i="5"/>
  <c r="BB11" i="5"/>
  <c r="K9" i="5"/>
  <c r="AC9" i="5" s="1"/>
  <c r="BH9" i="5"/>
  <c r="BG2" i="5"/>
  <c r="BI2" i="5"/>
  <c r="BH6" i="5"/>
  <c r="BJ6" i="5" s="1"/>
  <c r="BG13" i="5"/>
  <c r="BH13" i="5"/>
  <c r="BH3" i="5"/>
  <c r="BJ3" i="5" s="1"/>
  <c r="BI15" i="5"/>
  <c r="BG25" i="5"/>
  <c r="BH25" i="5"/>
  <c r="BJ25" i="5" s="1"/>
  <c r="BH14" i="5"/>
  <c r="BI13" i="5"/>
  <c r="BI11" i="5"/>
  <c r="BI24" i="5"/>
  <c r="BH28" i="5"/>
  <c r="BG6" i="5"/>
  <c r="BG21" i="5"/>
  <c r="BG15" i="5"/>
  <c r="BG9" i="5"/>
  <c r="BG3" i="5"/>
  <c r="BG33" i="5"/>
  <c r="U8" i="5"/>
  <c r="AG8" i="5" s="1"/>
  <c r="W10" i="1"/>
  <c r="W24" i="5"/>
  <c r="AD24" i="5" s="1"/>
  <c r="AD4" i="6"/>
  <c r="AQ12" i="1" s="1"/>
  <c r="Y22" i="5"/>
  <c r="AH22" i="5" s="1"/>
  <c r="X22" i="5"/>
  <c r="S22" i="5"/>
  <c r="AC22" i="5" s="1"/>
  <c r="Y25" i="5"/>
  <c r="AH25" i="5" s="1"/>
  <c r="Y11" i="6"/>
  <c r="AQ6" i="1" s="1"/>
  <c r="X24" i="5"/>
  <c r="AF24" i="5" s="1"/>
  <c r="P5" i="5"/>
  <c r="AF5" i="5" s="1"/>
  <c r="U24" i="5"/>
  <c r="AG24" i="5" s="1"/>
  <c r="R24" i="5"/>
  <c r="R25" i="5"/>
  <c r="O5" i="5"/>
  <c r="AD5" i="5" s="1"/>
  <c r="W12" i="1"/>
  <c r="Q11" i="5"/>
  <c r="AH11" i="5" s="1"/>
  <c r="P11" i="5"/>
  <c r="AF11" i="5" s="1"/>
  <c r="O11" i="5"/>
  <c r="AD11" i="5" s="1"/>
  <c r="N11" i="5"/>
  <c r="AB11" i="5" s="1"/>
  <c r="L11" i="5"/>
  <c r="AE11" i="5" s="1"/>
  <c r="K11" i="5"/>
  <c r="J11" i="5"/>
  <c r="M11" i="5"/>
  <c r="AG11" i="5" s="1"/>
  <c r="V25" i="5"/>
  <c r="AB25" i="5" s="1"/>
  <c r="Y6" i="5"/>
  <c r="AH6" i="5" s="1"/>
  <c r="Q9" i="5"/>
  <c r="AH9" i="5" s="1"/>
  <c r="P9" i="5"/>
  <c r="N9" i="5"/>
  <c r="AB9" i="5" s="1"/>
  <c r="O9" i="5"/>
  <c r="AD9" i="5" s="1"/>
  <c r="P31" i="6"/>
  <c r="AO13" i="1" s="1"/>
  <c r="J14" i="5"/>
  <c r="M5" i="5"/>
  <c r="AG5" i="5" s="1"/>
  <c r="K5" i="5"/>
  <c r="AC5" i="5" s="1"/>
  <c r="AB14" i="6"/>
  <c r="AQ17" i="1" s="1"/>
  <c r="U25" i="5"/>
  <c r="AG25" i="5" s="1"/>
  <c r="M14" i="5"/>
  <c r="AG14" i="5" s="1"/>
  <c r="W6" i="5"/>
  <c r="AD6" i="5" s="1"/>
  <c r="W16" i="1"/>
  <c r="Y27" i="5"/>
  <c r="AH27" i="5" s="1"/>
  <c r="T27" i="5"/>
  <c r="AE27" i="5" s="1"/>
  <c r="X27" i="5"/>
  <c r="AF27" i="5" s="1"/>
  <c r="S27" i="5"/>
  <c r="W27" i="5"/>
  <c r="AD27" i="5" s="1"/>
  <c r="V27" i="5"/>
  <c r="AB27" i="5" s="1"/>
  <c r="R27" i="5"/>
  <c r="U27" i="5"/>
  <c r="AG27" i="5" s="1"/>
  <c r="R8" i="5"/>
  <c r="L6" i="6"/>
  <c r="AQ11" i="1" s="1"/>
  <c r="R5" i="6"/>
  <c r="AO14" i="1" s="1"/>
  <c r="N10" i="5"/>
  <c r="AB10" i="5" s="1"/>
  <c r="P10" i="5"/>
  <c r="AF10" i="5" s="1"/>
  <c r="P14" i="5"/>
  <c r="AF14" i="5" s="1"/>
  <c r="O14" i="5"/>
  <c r="AD14" i="5" s="1"/>
  <c r="R26" i="5"/>
  <c r="T8" i="5"/>
  <c r="AE8" i="5" s="1"/>
  <c r="E18" i="6"/>
  <c r="AQ14" i="1" s="1"/>
  <c r="J10" i="5"/>
  <c r="Q14" i="5"/>
  <c r="AH14" i="5" s="1"/>
  <c r="N19" i="5"/>
  <c r="AB19" i="5" s="1"/>
  <c r="L19" i="5"/>
  <c r="AE19" i="5" s="1"/>
  <c r="Y26" i="5"/>
  <c r="AH26" i="5" s="1"/>
  <c r="O21" i="6"/>
  <c r="AO16" i="1" s="1"/>
  <c r="U15" i="6"/>
  <c r="AQ16" i="1" s="1"/>
  <c r="V26" i="5"/>
  <c r="AB26" i="5" s="1"/>
  <c r="X26" i="5"/>
  <c r="AF26" i="5" s="1"/>
  <c r="M19" i="5"/>
  <c r="AG19" i="5" s="1"/>
  <c r="J19" i="5"/>
  <c r="U26" i="5"/>
  <c r="AG26" i="5" s="1"/>
  <c r="T26" i="5"/>
  <c r="AE26" i="5" s="1"/>
  <c r="Q19" i="5"/>
  <c r="AH19" i="5" s="1"/>
  <c r="O19" i="5"/>
  <c r="AD19" i="5" s="1"/>
  <c r="W26" i="5"/>
  <c r="AD26" i="5" s="1"/>
  <c r="K19" i="5"/>
  <c r="X6" i="5"/>
  <c r="AF6" i="5" s="1"/>
  <c r="U6" i="5"/>
  <c r="AG6" i="5" s="1"/>
  <c r="V6" i="5"/>
  <c r="AB6" i="5" s="1"/>
  <c r="R6" i="5"/>
  <c r="T6" i="5"/>
  <c r="W12" i="5"/>
  <c r="AD12" i="5" s="1"/>
  <c r="T12" i="5"/>
  <c r="AE12" i="5" s="1"/>
  <c r="X12" i="5"/>
  <c r="AF12" i="5" s="1"/>
  <c r="U12" i="5"/>
  <c r="AG12" i="5" s="1"/>
  <c r="S12" i="5"/>
  <c r="Y12" i="5"/>
  <c r="AH12" i="5" s="1"/>
  <c r="V12" i="5"/>
  <c r="AB12" i="5" s="1"/>
  <c r="R12" i="5"/>
  <c r="L21" i="5"/>
  <c r="AE21" i="5" s="1"/>
  <c r="J21" i="5"/>
  <c r="P21" i="5"/>
  <c r="AF21" i="5" s="1"/>
  <c r="N21" i="5"/>
  <c r="AB21" i="5" s="1"/>
  <c r="K21" i="5"/>
  <c r="M21" i="5"/>
  <c r="AG21" i="5" s="1"/>
  <c r="Q21" i="5"/>
  <c r="AH21" i="5" s="1"/>
  <c r="O21" i="5"/>
  <c r="AD21" i="5" s="1"/>
  <c r="Y29" i="5"/>
  <c r="AH29" i="5" s="1"/>
  <c r="S29" i="5"/>
  <c r="R29" i="5"/>
  <c r="X29" i="5"/>
  <c r="AF29" i="5" s="1"/>
  <c r="U29" i="5"/>
  <c r="AG29" i="5" s="1"/>
  <c r="T29" i="5"/>
  <c r="AE29" i="5" s="1"/>
  <c r="V29" i="5"/>
  <c r="AB29" i="5" s="1"/>
  <c r="W29" i="5"/>
  <c r="AD29" i="5" s="1"/>
  <c r="P16" i="5"/>
  <c r="AF16" i="5" s="1"/>
  <c r="K16" i="5"/>
  <c r="Q16" i="5"/>
  <c r="AH16" i="5" s="1"/>
  <c r="N16" i="5"/>
  <c r="AB16" i="5" s="1"/>
  <c r="L16" i="5"/>
  <c r="AE16" i="5" s="1"/>
  <c r="O16" i="5"/>
  <c r="AD16" i="5" s="1"/>
  <c r="J16" i="5"/>
  <c r="M16" i="5"/>
  <c r="AG16" i="5" s="1"/>
  <c r="AC25" i="5"/>
  <c r="O10" i="5"/>
  <c r="AD10" i="5" s="1"/>
  <c r="F12" i="6"/>
  <c r="AO11" i="1" s="1"/>
  <c r="K10" i="5"/>
  <c r="Q10" i="5"/>
  <c r="AH10" i="5" s="1"/>
  <c r="X25" i="5"/>
  <c r="AF25" i="5" s="1"/>
  <c r="T25" i="5"/>
  <c r="AE25" i="5" s="1"/>
  <c r="L10" i="5"/>
  <c r="AE10" i="5" s="1"/>
  <c r="W25" i="5"/>
  <c r="AD25" i="5" s="1"/>
  <c r="K20" i="5"/>
  <c r="J20" i="5"/>
  <c r="L20" i="5"/>
  <c r="AE20" i="5" s="1"/>
  <c r="M20" i="5"/>
  <c r="AG20" i="5" s="1"/>
  <c r="Q20" i="5"/>
  <c r="AH20" i="5" s="1"/>
  <c r="P20" i="5"/>
  <c r="AF20" i="5" s="1"/>
  <c r="O20" i="5"/>
  <c r="AD20" i="5" s="1"/>
  <c r="N20" i="5"/>
  <c r="AB20" i="5" s="1"/>
  <c r="V32" i="6"/>
  <c r="AQ10" i="1" s="1"/>
  <c r="AF22" i="6"/>
  <c r="AO10" i="1" s="1"/>
  <c r="M18" i="5"/>
  <c r="AG18" i="5" s="1"/>
  <c r="G20" i="6"/>
  <c r="AO9" i="1" s="1"/>
  <c r="J18" i="5"/>
  <c r="K18" i="5"/>
  <c r="AC18" i="5" s="1"/>
  <c r="L18" i="5"/>
  <c r="AE18" i="5" s="1"/>
  <c r="P18" i="5"/>
  <c r="AF18" i="5" s="1"/>
  <c r="N18" i="5"/>
  <c r="AB18" i="5" s="1"/>
  <c r="O18" i="5"/>
  <c r="AD18" i="5" s="1"/>
  <c r="Q18" i="5"/>
  <c r="AH18" i="5" s="1"/>
  <c r="J5" i="5"/>
  <c r="N5" i="5"/>
  <c r="AB5" i="5" s="1"/>
  <c r="L5" i="5"/>
  <c r="AE5" i="5" s="1"/>
  <c r="S8" i="5"/>
  <c r="AC8" i="5" s="1"/>
  <c r="V8" i="5"/>
  <c r="AB8" i="5" s="1"/>
  <c r="O32" i="5"/>
  <c r="AD32" i="5" s="1"/>
  <c r="L3" i="5"/>
  <c r="AE3" i="5" s="1"/>
  <c r="W8" i="5"/>
  <c r="AD8" i="5" s="1"/>
  <c r="M3" i="5"/>
  <c r="AG3" i="5" s="1"/>
  <c r="Y8" i="5"/>
  <c r="AH8" i="5" s="1"/>
  <c r="B3" i="6"/>
  <c r="AO7" i="1" s="1"/>
  <c r="Q3" i="5"/>
  <c r="AH3" i="5" s="1"/>
  <c r="P3" i="5"/>
  <c r="AF3" i="5" s="1"/>
  <c r="N32" i="5"/>
  <c r="AB32" i="5" s="1"/>
  <c r="K3" i="5"/>
  <c r="AC3" i="5" s="1"/>
  <c r="X2" i="5"/>
  <c r="AF2" i="5" s="1"/>
  <c r="Q32" i="5"/>
  <c r="AH32" i="5" s="1"/>
  <c r="L32" i="5"/>
  <c r="AE32" i="5" s="1"/>
  <c r="V33" i="5"/>
  <c r="AB33" i="5" s="1"/>
  <c r="M32" i="5"/>
  <c r="AG32" i="5" s="1"/>
  <c r="P32" i="5"/>
  <c r="AF32" i="5" s="1"/>
  <c r="U2" i="5"/>
  <c r="AG2" i="5" s="1"/>
  <c r="V2" i="5"/>
  <c r="AB2" i="5" s="1"/>
  <c r="W2" i="5"/>
  <c r="AD2" i="5" s="1"/>
  <c r="U33" i="5"/>
  <c r="AG33" i="5" s="1"/>
  <c r="W33" i="5"/>
  <c r="AD33" i="5" s="1"/>
  <c r="Y33" i="5"/>
  <c r="AH33" i="5" s="1"/>
  <c r="R2" i="5"/>
  <c r="Z17" i="6"/>
  <c r="AQ8" i="1" s="1"/>
  <c r="Y2" i="5"/>
  <c r="AH2" i="5" s="1"/>
  <c r="AA3" i="5"/>
  <c r="R33" i="5"/>
  <c r="S33" i="5"/>
  <c r="J32" i="5"/>
  <c r="K32" i="5"/>
  <c r="S2" i="5"/>
  <c r="K25" i="6"/>
  <c r="AO6" i="1" s="1"/>
  <c r="Q26" i="6"/>
  <c r="AO8" i="1" s="1"/>
  <c r="C2" i="6"/>
  <c r="AQ7" i="1" s="1"/>
  <c r="T33" i="5"/>
  <c r="AE33" i="5" s="1"/>
  <c r="X8" i="1"/>
  <c r="W8" i="1"/>
  <c r="W7" i="1"/>
  <c r="X7" i="1"/>
  <c r="W6" i="1"/>
  <c r="X6" i="1"/>
  <c r="AM2" i="1"/>
  <c r="AM3" i="1"/>
  <c r="AM4" i="1"/>
  <c r="AM5" i="1"/>
  <c r="AK2" i="1"/>
  <c r="AK3" i="1"/>
  <c r="AK4" i="1"/>
  <c r="AK5" i="1"/>
  <c r="C5" i="1"/>
  <c r="L5" i="1"/>
  <c r="P5" i="1"/>
  <c r="AJ5" i="1"/>
  <c r="AJ2" i="1"/>
  <c r="AL2" i="1" s="1"/>
  <c r="AJ3" i="1"/>
  <c r="AL3" i="1" s="1"/>
  <c r="AJ4" i="1"/>
  <c r="BO66" i="4"/>
  <c r="BO65" i="4"/>
  <c r="BP65" i="4" s="1"/>
  <c r="BO64" i="4"/>
  <c r="BQ63" i="4"/>
  <c r="BR63" i="4" s="1"/>
  <c r="BP63" i="4"/>
  <c r="BO63" i="4"/>
  <c r="BO62" i="4"/>
  <c r="BP61" i="4"/>
  <c r="BQ61" i="4" s="1"/>
  <c r="BO61" i="4"/>
  <c r="BO60" i="4"/>
  <c r="BO59" i="4"/>
  <c r="BP59" i="4" s="1"/>
  <c r="BO58" i="4"/>
  <c r="BO57" i="4"/>
  <c r="BP57" i="4" s="1"/>
  <c r="BO56" i="4"/>
  <c r="BO55" i="4"/>
  <c r="BP55" i="4" s="1"/>
  <c r="BO54" i="4"/>
  <c r="BO53" i="4"/>
  <c r="BP53" i="4" s="1"/>
  <c r="BO52" i="4"/>
  <c r="BQ51" i="4"/>
  <c r="BR51" i="4" s="1"/>
  <c r="BP51" i="4"/>
  <c r="BO51" i="4"/>
  <c r="BO50" i="4"/>
  <c r="BP49" i="4"/>
  <c r="BQ49" i="4" s="1"/>
  <c r="BO49" i="4"/>
  <c r="BO48" i="4"/>
  <c r="BO47" i="4"/>
  <c r="BP47" i="4" s="1"/>
  <c r="BO46" i="4"/>
  <c r="BO45" i="4"/>
  <c r="BP45" i="4" s="1"/>
  <c r="BO44" i="4"/>
  <c r="BO43" i="4"/>
  <c r="BP43" i="4" s="1"/>
  <c r="BO42" i="4"/>
  <c r="BO41" i="4"/>
  <c r="BP41" i="4" s="1"/>
  <c r="BO40" i="4"/>
  <c r="BQ39" i="4"/>
  <c r="BR39" i="4" s="1"/>
  <c r="BP39" i="4"/>
  <c r="BO39" i="4"/>
  <c r="BO38" i="4"/>
  <c r="BP37" i="4"/>
  <c r="BQ37" i="4" s="1"/>
  <c r="BO37" i="4"/>
  <c r="BO36" i="4"/>
  <c r="BO35" i="4"/>
  <c r="BP35" i="4" s="1"/>
  <c r="BO34" i="4"/>
  <c r="BO33" i="4"/>
  <c r="BP33" i="4" s="1"/>
  <c r="BO32" i="4"/>
  <c r="BO31" i="4"/>
  <c r="BP31" i="4" s="1"/>
  <c r="BO30" i="4"/>
  <c r="BP29" i="4" s="1"/>
  <c r="BO29" i="4"/>
  <c r="BO28" i="4"/>
  <c r="BQ27" i="4"/>
  <c r="BP27" i="4"/>
  <c r="BR27" i="4" s="1"/>
  <c r="BO27" i="4"/>
  <c r="BO26" i="4"/>
  <c r="BP25" i="4"/>
  <c r="BO25" i="4"/>
  <c r="BO24" i="4"/>
  <c r="BO23" i="4"/>
  <c r="BP23" i="4" s="1"/>
  <c r="BO22" i="4"/>
  <c r="BO21" i="4"/>
  <c r="BP21" i="4" s="1"/>
  <c r="BO20" i="4"/>
  <c r="BO19" i="4"/>
  <c r="BP19" i="4" s="1"/>
  <c r="BO18" i="4"/>
  <c r="BO17" i="4"/>
  <c r="BP17" i="4" s="1"/>
  <c r="BO16" i="4"/>
  <c r="BP15" i="4"/>
  <c r="BO15" i="4"/>
  <c r="BO14" i="4"/>
  <c r="BP13" i="4"/>
  <c r="BQ13" i="4" s="1"/>
  <c r="BO13" i="4"/>
  <c r="BO12" i="4"/>
  <c r="BO11" i="4"/>
  <c r="BP11" i="4" s="1"/>
  <c r="BO10" i="4"/>
  <c r="BO9" i="4"/>
  <c r="BP9" i="4" s="1"/>
  <c r="BO8" i="4"/>
  <c r="BO7" i="4"/>
  <c r="BP7" i="4" s="1"/>
  <c r="BO6" i="4"/>
  <c r="BO5" i="4"/>
  <c r="BP5" i="4" s="1"/>
  <c r="BO4" i="4"/>
  <c r="BP3" i="4"/>
  <c r="BO3" i="4"/>
  <c r="BO6" i="3"/>
  <c r="BP5" i="3" s="1"/>
  <c r="BO7" i="3"/>
  <c r="BP7" i="3" s="1"/>
  <c r="BO8" i="3"/>
  <c r="BO9" i="3"/>
  <c r="BO10" i="3"/>
  <c r="BO11" i="3"/>
  <c r="BO12" i="3"/>
  <c r="BO13" i="3"/>
  <c r="BP13" i="3" s="1"/>
  <c r="BO14" i="3"/>
  <c r="BO15" i="3"/>
  <c r="BO16" i="3"/>
  <c r="BO17" i="3"/>
  <c r="BO18" i="3"/>
  <c r="BO19" i="3"/>
  <c r="BP19" i="3" s="1"/>
  <c r="BO20" i="3"/>
  <c r="BO21" i="3"/>
  <c r="BO22" i="3"/>
  <c r="BO23" i="3"/>
  <c r="BO24" i="3"/>
  <c r="BO25" i="3"/>
  <c r="BO26" i="3"/>
  <c r="BO27" i="3"/>
  <c r="BO28" i="3"/>
  <c r="BO29" i="3"/>
  <c r="BO30" i="3"/>
  <c r="BO31" i="3"/>
  <c r="BP31" i="3" s="1"/>
  <c r="BO32" i="3"/>
  <c r="BO33" i="3"/>
  <c r="BO34" i="3"/>
  <c r="BO35" i="3"/>
  <c r="BO36" i="3"/>
  <c r="BO37" i="3"/>
  <c r="BP37" i="3" s="1"/>
  <c r="BO38" i="3"/>
  <c r="BO39" i="3"/>
  <c r="BO40" i="3"/>
  <c r="BO41" i="3"/>
  <c r="BO42" i="3"/>
  <c r="BO43" i="3"/>
  <c r="BP43" i="3" s="1"/>
  <c r="BO44" i="3"/>
  <c r="BO45" i="3"/>
  <c r="BO46" i="3"/>
  <c r="BO47" i="3"/>
  <c r="BP47" i="3" s="1"/>
  <c r="BO48" i="3"/>
  <c r="BO49" i="3"/>
  <c r="BP49" i="3" s="1"/>
  <c r="BO50" i="3"/>
  <c r="BO51" i="3"/>
  <c r="BO52" i="3"/>
  <c r="BO53" i="3"/>
  <c r="BO54" i="3"/>
  <c r="BO55" i="3"/>
  <c r="BP55" i="3" s="1"/>
  <c r="BO56" i="3"/>
  <c r="BO57" i="3"/>
  <c r="BO58" i="3"/>
  <c r="BO59" i="3"/>
  <c r="BO60" i="3"/>
  <c r="BO61" i="3"/>
  <c r="BP61" i="3" s="1"/>
  <c r="BO62" i="3"/>
  <c r="BO63" i="3"/>
  <c r="BO64" i="3"/>
  <c r="BO65" i="3"/>
  <c r="BO66" i="3"/>
  <c r="BO4" i="3"/>
  <c r="BP3" i="3" s="1"/>
  <c r="BO5" i="3"/>
  <c r="BO3" i="3"/>
  <c r="BP9" i="3"/>
  <c r="BQ9" i="3" s="1"/>
  <c r="BP11" i="3"/>
  <c r="BQ11" i="3" s="1"/>
  <c r="BP15" i="3"/>
  <c r="BR15" i="3" s="1"/>
  <c r="BQ15" i="3"/>
  <c r="BP17" i="3"/>
  <c r="BQ17" i="3" s="1"/>
  <c r="BP21" i="3"/>
  <c r="BR21" i="3" s="1"/>
  <c r="BQ21" i="3"/>
  <c r="BP23" i="3"/>
  <c r="BQ23" i="3" s="1"/>
  <c r="BP27" i="3"/>
  <c r="BR27" i="3" s="1"/>
  <c r="BQ27" i="3"/>
  <c r="BP29" i="3"/>
  <c r="BQ29" i="3" s="1"/>
  <c r="BP33" i="3"/>
  <c r="BR33" i="3" s="1"/>
  <c r="BQ33" i="3"/>
  <c r="BP35" i="3"/>
  <c r="BQ35" i="3" s="1"/>
  <c r="BP39" i="3"/>
  <c r="BR39" i="3" s="1"/>
  <c r="BQ39" i="3"/>
  <c r="BP41" i="3"/>
  <c r="BQ41" i="3" s="1"/>
  <c r="BP45" i="3"/>
  <c r="BR45" i="3" s="1"/>
  <c r="BQ45" i="3"/>
  <c r="BP51" i="3"/>
  <c r="BR51" i="3" s="1"/>
  <c r="BQ51" i="3"/>
  <c r="BP53" i="3"/>
  <c r="BQ53" i="3" s="1"/>
  <c r="BP57" i="3"/>
  <c r="BR57" i="3" s="1"/>
  <c r="BQ57" i="3"/>
  <c r="BP59" i="3"/>
  <c r="BQ59" i="3" s="1"/>
  <c r="BP63" i="3"/>
  <c r="BR63" i="3" s="1"/>
  <c r="BQ63" i="3"/>
  <c r="BP65" i="3"/>
  <c r="BQ65" i="3" s="1"/>
  <c r="P2" i="1"/>
  <c r="P3" i="1"/>
  <c r="P4" i="1"/>
  <c r="L2" i="1"/>
  <c r="L3" i="1"/>
  <c r="L4" i="1"/>
  <c r="C4" i="1"/>
  <c r="C3" i="1"/>
  <c r="C2" i="1"/>
  <c r="BD18" i="5" l="1"/>
  <c r="BJ32" i="5"/>
  <c r="BL27" i="5"/>
  <c r="AP10" i="1" s="1"/>
  <c r="BD3" i="5"/>
  <c r="BJ22" i="5"/>
  <c r="AJ17" i="5"/>
  <c r="AL17" i="5" s="1"/>
  <c r="BD21" i="5"/>
  <c r="BD5" i="5"/>
  <c r="BD27" i="5"/>
  <c r="BJ12" i="5"/>
  <c r="BD22" i="5"/>
  <c r="BJ16" i="5"/>
  <c r="BJ19" i="5"/>
  <c r="BL33" i="5"/>
  <c r="AP8" i="1" s="1"/>
  <c r="BJ27" i="5"/>
  <c r="BJ28" i="5"/>
  <c r="BJ29" i="5"/>
  <c r="BK16" i="5"/>
  <c r="AN12" i="1" s="1"/>
  <c r="BK19" i="5"/>
  <c r="AN16" i="1" s="1"/>
  <c r="BL29" i="5"/>
  <c r="AP13" i="1" s="1"/>
  <c r="BJ15" i="5"/>
  <c r="BD6" i="5"/>
  <c r="BD12" i="5"/>
  <c r="BJ18" i="5"/>
  <c r="BD24" i="5"/>
  <c r="BD9" i="5"/>
  <c r="AA2" i="5"/>
  <c r="AU2" i="5" s="1"/>
  <c r="BL2" i="5"/>
  <c r="AP7" i="1" s="1"/>
  <c r="BK21" i="5"/>
  <c r="BL6" i="5"/>
  <c r="AP14" i="1" s="1"/>
  <c r="AA26" i="5"/>
  <c r="BL26" i="5"/>
  <c r="AP16" i="1" s="1"/>
  <c r="BD8" i="5"/>
  <c r="BJ2" i="5"/>
  <c r="AA25" i="5"/>
  <c r="BL25" i="5"/>
  <c r="AP11" i="1" s="1"/>
  <c r="BD26" i="5"/>
  <c r="AA24" i="5"/>
  <c r="Z24" i="5" s="1"/>
  <c r="BL24" i="5"/>
  <c r="AP9" i="1" s="1"/>
  <c r="AI17" i="5"/>
  <c r="AA8" i="5"/>
  <c r="Z8" i="5" s="1"/>
  <c r="BL8" i="5"/>
  <c r="AP6" i="1" s="1"/>
  <c r="BJ13" i="5"/>
  <c r="BD16" i="5"/>
  <c r="BD33" i="5"/>
  <c r="BJ8" i="5"/>
  <c r="BD19" i="5"/>
  <c r="BD10" i="5"/>
  <c r="BD17" i="5"/>
  <c r="BJ30" i="5"/>
  <c r="BD29" i="5"/>
  <c r="BD32" i="5"/>
  <c r="BJ31" i="5"/>
  <c r="BJ5" i="5"/>
  <c r="AA10" i="5"/>
  <c r="BK10" i="5"/>
  <c r="AN11" i="1" s="1"/>
  <c r="BK32" i="5"/>
  <c r="AN6" i="1" s="1"/>
  <c r="BJ9" i="5"/>
  <c r="BL17" i="5"/>
  <c r="AP17" i="1" s="1"/>
  <c r="AA17" i="5"/>
  <c r="AM17" i="5"/>
  <c r="BJ26" i="5"/>
  <c r="BD25" i="5"/>
  <c r="AA5" i="5"/>
  <c r="AU5" i="5" s="1"/>
  <c r="BK5" i="5"/>
  <c r="AN20" i="1" s="1"/>
  <c r="BK20" i="5"/>
  <c r="AN10" i="1" s="1"/>
  <c r="BL12" i="5"/>
  <c r="AP12" i="1" s="1"/>
  <c r="BK11" i="5"/>
  <c r="AN17" i="1" s="1"/>
  <c r="BJ14" i="5"/>
  <c r="BD11" i="5"/>
  <c r="AN17" i="5"/>
  <c r="AC17" i="5"/>
  <c r="AA22" i="5"/>
  <c r="Z22" i="5" s="1"/>
  <c r="BL22" i="5"/>
  <c r="AP15" i="1" s="1"/>
  <c r="BJ4" i="5"/>
  <c r="BJ11" i="5"/>
  <c r="BK3" i="5"/>
  <c r="AN8" i="1" s="1"/>
  <c r="AA18" i="5"/>
  <c r="AU18" i="5" s="1"/>
  <c r="BK18" i="5"/>
  <c r="AN9" i="1" s="1"/>
  <c r="AA9" i="5"/>
  <c r="Z9" i="5" s="1"/>
  <c r="BK9" i="5"/>
  <c r="AN15" i="1" s="1"/>
  <c r="BD2" i="5"/>
  <c r="BD20" i="5"/>
  <c r="AA14" i="5"/>
  <c r="Z14" i="5" s="1"/>
  <c r="BK14" i="5"/>
  <c r="AN14" i="1" s="1"/>
  <c r="BJ7" i="5"/>
  <c r="BJ23" i="5"/>
  <c r="BD14" i="5"/>
  <c r="BJ24" i="5"/>
  <c r="AM24" i="5"/>
  <c r="AO24" i="5" s="1"/>
  <c r="AS24" i="5" s="1"/>
  <c r="AU10" i="5"/>
  <c r="AU26" i="5"/>
  <c r="AI8" i="5"/>
  <c r="AU25" i="5"/>
  <c r="Z3" i="5"/>
  <c r="AU3" i="5"/>
  <c r="AU8" i="5"/>
  <c r="Z10" i="5"/>
  <c r="AJ5" i="5"/>
  <c r="AL5" i="5" s="1"/>
  <c r="Z25" i="5"/>
  <c r="AI24" i="5"/>
  <c r="AJ27" i="5"/>
  <c r="AK27" i="5" s="1"/>
  <c r="AJ11" i="5"/>
  <c r="AL11" i="5" s="1"/>
  <c r="AM22" i="5"/>
  <c r="AF22" i="5"/>
  <c r="AU22" i="5" s="1"/>
  <c r="AI27" i="5"/>
  <c r="AN22" i="5"/>
  <c r="AI11" i="5"/>
  <c r="AJ24" i="5"/>
  <c r="AK24" i="5" s="1"/>
  <c r="AN24" i="5"/>
  <c r="AM14" i="5"/>
  <c r="AR14" i="5" s="1"/>
  <c r="Z26" i="5"/>
  <c r="AJ14" i="5"/>
  <c r="AK14" i="5" s="1"/>
  <c r="AN14" i="5"/>
  <c r="AN27" i="5"/>
  <c r="AC27" i="5"/>
  <c r="AA11" i="5"/>
  <c r="AM11" i="5"/>
  <c r="AN9" i="5"/>
  <c r="AM27" i="5"/>
  <c r="AA27" i="5"/>
  <c r="AM9" i="5"/>
  <c r="AF9" i="5"/>
  <c r="AC11" i="5"/>
  <c r="AN11" i="5"/>
  <c r="AJ26" i="5"/>
  <c r="AL26" i="5" s="1"/>
  <c r="AI26" i="5"/>
  <c r="AI14" i="5"/>
  <c r="AI19" i="5"/>
  <c r="AM26" i="5"/>
  <c r="AC19" i="5"/>
  <c r="AN19" i="5"/>
  <c r="AA19" i="5"/>
  <c r="AM19" i="5"/>
  <c r="AJ19" i="5"/>
  <c r="AL19" i="5" s="1"/>
  <c r="AN26" i="5"/>
  <c r="AM6" i="5"/>
  <c r="AA6" i="5"/>
  <c r="AJ29" i="5"/>
  <c r="AL29" i="5" s="1"/>
  <c r="AI12" i="5"/>
  <c r="AN6" i="5"/>
  <c r="AE6" i="5"/>
  <c r="AI29" i="5"/>
  <c r="AI21" i="5"/>
  <c r="AA12" i="5"/>
  <c r="AM12" i="5"/>
  <c r="AC12" i="5"/>
  <c r="AN12" i="5"/>
  <c r="AJ12" i="5"/>
  <c r="AL12" i="5" s="1"/>
  <c r="AA29" i="5"/>
  <c r="AM29" i="5"/>
  <c r="AC21" i="5"/>
  <c r="AN21" i="5"/>
  <c r="AN29" i="5"/>
  <c r="AC29" i="5"/>
  <c r="AJ21" i="5"/>
  <c r="AK21" i="5" s="1"/>
  <c r="AM21" i="5"/>
  <c r="AA21" i="5"/>
  <c r="AI16" i="5"/>
  <c r="AJ16" i="5"/>
  <c r="AK16" i="5" s="1"/>
  <c r="AN5" i="5"/>
  <c r="AC16" i="5"/>
  <c r="AN16" i="5"/>
  <c r="AM16" i="5"/>
  <c r="AA16" i="5"/>
  <c r="AJ25" i="5"/>
  <c r="AL25" i="5" s="1"/>
  <c r="AJ10" i="5"/>
  <c r="AK10" i="5" s="1"/>
  <c r="AI10" i="5"/>
  <c r="AM25" i="5"/>
  <c r="AR25" i="5" s="1"/>
  <c r="AI25" i="5"/>
  <c r="AN25" i="5"/>
  <c r="AM5" i="5"/>
  <c r="AO5" i="5" s="1"/>
  <c r="AS5" i="5" s="1"/>
  <c r="AN10" i="5"/>
  <c r="AC10" i="5"/>
  <c r="AM10" i="5"/>
  <c r="AI5" i="5"/>
  <c r="AM18" i="5"/>
  <c r="AO18" i="5" s="1"/>
  <c r="AT18" i="5" s="1"/>
  <c r="AI20" i="5"/>
  <c r="AJ20" i="5"/>
  <c r="AK20" i="5" s="1"/>
  <c r="AJ18" i="5"/>
  <c r="AK18" i="5" s="1"/>
  <c r="Z5" i="5"/>
  <c r="AM20" i="5"/>
  <c r="AA20" i="5"/>
  <c r="AC20" i="5"/>
  <c r="AN20" i="5"/>
  <c r="AN18" i="5"/>
  <c r="AI18" i="5"/>
  <c r="AM8" i="5"/>
  <c r="AP8" i="5" s="1"/>
  <c r="AN8" i="5"/>
  <c r="AJ8" i="5"/>
  <c r="AL8" i="5" s="1"/>
  <c r="Z2" i="5"/>
  <c r="AJ3" i="5"/>
  <c r="AL3" i="5" s="1"/>
  <c r="AI3" i="5"/>
  <c r="AM3" i="5"/>
  <c r="AP3" i="5" s="1"/>
  <c r="AN3" i="5"/>
  <c r="AH5" i="1"/>
  <c r="AI5" i="1"/>
  <c r="AI2" i="5"/>
  <c r="AI4" i="1"/>
  <c r="AH4" i="1"/>
  <c r="AH3" i="1"/>
  <c r="AI3" i="1"/>
  <c r="AI2" i="1"/>
  <c r="AH2" i="1"/>
  <c r="AM2" i="5"/>
  <c r="AO2" i="5" s="1"/>
  <c r="AJ2" i="5"/>
  <c r="AL2" i="5" s="1"/>
  <c r="AJ32" i="5"/>
  <c r="AL32" i="5" s="1"/>
  <c r="AI32" i="5"/>
  <c r="AC2" i="5"/>
  <c r="AN2" i="5"/>
  <c r="AA32" i="5"/>
  <c r="AM32" i="5"/>
  <c r="AC32" i="5"/>
  <c r="AN32" i="5"/>
  <c r="AC33" i="5"/>
  <c r="AN33" i="5"/>
  <c r="AA33" i="5"/>
  <c r="AM33" i="5"/>
  <c r="AK17" i="5"/>
  <c r="AI33" i="5"/>
  <c r="AJ33" i="5"/>
  <c r="T5" i="1"/>
  <c r="AC5" i="1"/>
  <c r="AC4" i="1"/>
  <c r="T3" i="1"/>
  <c r="AC3" i="1"/>
  <c r="T2" i="1"/>
  <c r="AC2" i="1"/>
  <c r="T4" i="1"/>
  <c r="AL5" i="1"/>
  <c r="AL4" i="1"/>
  <c r="BR55" i="4"/>
  <c r="BQ55" i="4"/>
  <c r="BQ17" i="4"/>
  <c r="BR17" i="4" s="1"/>
  <c r="BQ41" i="4"/>
  <c r="BR41" i="4" s="1"/>
  <c r="BQ65" i="4"/>
  <c r="BR65" i="4" s="1"/>
  <c r="BR33" i="4"/>
  <c r="BQ33" i="4"/>
  <c r="BQ57" i="4"/>
  <c r="BR57" i="4" s="1"/>
  <c r="BR9" i="4"/>
  <c r="BQ9" i="4"/>
  <c r="BR43" i="4"/>
  <c r="BQ43" i="4"/>
  <c r="BQ35" i="4"/>
  <c r="BR35" i="4"/>
  <c r="BQ53" i="4"/>
  <c r="BR53" i="4"/>
  <c r="BQ59" i="4"/>
  <c r="BR59" i="4" s="1"/>
  <c r="BQ31" i="4"/>
  <c r="BR31" i="4" s="1"/>
  <c r="BQ7" i="4"/>
  <c r="BR7" i="4"/>
  <c r="BQ23" i="4"/>
  <c r="BR23" i="4" s="1"/>
  <c r="BQ47" i="4"/>
  <c r="BR47" i="4" s="1"/>
  <c r="BR19" i="4"/>
  <c r="BQ19" i="4"/>
  <c r="BQ5" i="4"/>
  <c r="BR5" i="4"/>
  <c r="BQ11" i="4"/>
  <c r="BR11" i="4" s="1"/>
  <c r="BR15" i="4"/>
  <c r="BQ21" i="4"/>
  <c r="BR21" i="4" s="1"/>
  <c r="BQ29" i="4"/>
  <c r="BR29" i="4"/>
  <c r="BQ45" i="4"/>
  <c r="BR45" i="4" s="1"/>
  <c r="BQ15" i="4"/>
  <c r="BR13" i="4"/>
  <c r="BR37" i="4"/>
  <c r="BQ3" i="4"/>
  <c r="BR3" i="4" s="1"/>
  <c r="BQ25" i="4"/>
  <c r="BR25" i="4" s="1"/>
  <c r="BR49" i="4"/>
  <c r="BR61" i="4"/>
  <c r="BP25" i="3"/>
  <c r="BQ47" i="3"/>
  <c r="BR47" i="3" s="1"/>
  <c r="BQ61" i="3"/>
  <c r="BR61" i="3"/>
  <c r="BQ55" i="3"/>
  <c r="BR55" i="3" s="1"/>
  <c r="BR49" i="3"/>
  <c r="BQ49" i="3"/>
  <c r="BQ43" i="3"/>
  <c r="BR43" i="3" s="1"/>
  <c r="BQ37" i="3"/>
  <c r="BR37" i="3"/>
  <c r="BR31" i="3"/>
  <c r="BQ31" i="3"/>
  <c r="BQ25" i="3"/>
  <c r="BR25" i="3" s="1"/>
  <c r="BQ19" i="3"/>
  <c r="BR19" i="3" s="1"/>
  <c r="BQ13" i="3"/>
  <c r="BR13" i="3" s="1"/>
  <c r="BQ7" i="3"/>
  <c r="BR7" i="3"/>
  <c r="BR59" i="3"/>
  <c r="BR35" i="3"/>
  <c r="BR11" i="3"/>
  <c r="BR23" i="3"/>
  <c r="BR9" i="3"/>
  <c r="BR65" i="3"/>
  <c r="BR53" i="3"/>
  <c r="BR41" i="3"/>
  <c r="BR29" i="3"/>
  <c r="BR17" i="3"/>
  <c r="BQ5" i="3"/>
  <c r="BR5" i="3" s="1"/>
  <c r="BQ3" i="3"/>
  <c r="BR3" i="3" s="1"/>
  <c r="AU24" i="5" l="1"/>
  <c r="Z18" i="5"/>
  <c r="AP18" i="1"/>
  <c r="AK11" i="5"/>
  <c r="AU14" i="5"/>
  <c r="AL24" i="5"/>
  <c r="AQ24" i="5"/>
  <c r="BB7" i="5"/>
  <c r="BC7" i="5"/>
  <c r="AR24" i="5"/>
  <c r="AU9" i="5"/>
  <c r="AU17" i="5"/>
  <c r="Z17" i="5"/>
  <c r="AP24" i="5"/>
  <c r="BB13" i="5"/>
  <c r="BC13" i="5"/>
  <c r="AN18" i="1"/>
  <c r="AN7" i="1"/>
  <c r="AN19" i="1"/>
  <c r="AN13" i="1"/>
  <c r="BC28" i="5"/>
  <c r="BB28" i="5"/>
  <c r="BB31" i="5"/>
  <c r="BC31" i="5"/>
  <c r="BB15" i="5"/>
  <c r="BC15" i="5"/>
  <c r="BC4" i="5"/>
  <c r="BB4" i="5"/>
  <c r="BC23" i="5"/>
  <c r="BB23" i="5"/>
  <c r="BC30" i="5"/>
  <c r="BB30" i="5"/>
  <c r="AR17" i="5"/>
  <c r="AO17" i="5"/>
  <c r="AP17" i="5"/>
  <c r="AQ17" i="5"/>
  <c r="AK5" i="5"/>
  <c r="Z16" i="5"/>
  <c r="AU16" i="5"/>
  <c r="Z11" i="5"/>
  <c r="AU11" i="5"/>
  <c r="Z29" i="5"/>
  <c r="AU29" i="5"/>
  <c r="Z6" i="5"/>
  <c r="AU6" i="5"/>
  <c r="Z21" i="5"/>
  <c r="AU21" i="5"/>
  <c r="Z33" i="5"/>
  <c r="AU33" i="5"/>
  <c r="Z32" i="5"/>
  <c r="AU32" i="5"/>
  <c r="Z12" i="5"/>
  <c r="AU12" i="5"/>
  <c r="Z19" i="5"/>
  <c r="AU19" i="5"/>
  <c r="Z27" i="5"/>
  <c r="AU27" i="5"/>
  <c r="Z20" i="5"/>
  <c r="AU20" i="5"/>
  <c r="AL27" i="5"/>
  <c r="AO14" i="5"/>
  <c r="AT14" i="5" s="1"/>
  <c r="AQ14" i="5"/>
  <c r="AP14" i="5"/>
  <c r="AL14" i="5"/>
  <c r="AI22" i="5"/>
  <c r="AJ22" i="5"/>
  <c r="AQ22" i="5"/>
  <c r="AR22" i="5"/>
  <c r="AP22" i="5"/>
  <c r="AO22" i="5"/>
  <c r="AQ11" i="5"/>
  <c r="AP11" i="5"/>
  <c r="AO11" i="5"/>
  <c r="AR11" i="5"/>
  <c r="AI9" i="5"/>
  <c r="AJ9" i="5"/>
  <c r="AO27" i="5"/>
  <c r="AR27" i="5"/>
  <c r="AQ27" i="5"/>
  <c r="AP27" i="5"/>
  <c r="AK26" i="5"/>
  <c r="AP9" i="5"/>
  <c r="AO9" i="5"/>
  <c r="AR9" i="5"/>
  <c r="AQ9" i="5"/>
  <c r="AL21" i="5"/>
  <c r="AK19" i="5"/>
  <c r="AP26" i="5"/>
  <c r="AQ26" i="5"/>
  <c r="AO26" i="5"/>
  <c r="AR26" i="5"/>
  <c r="AO19" i="5"/>
  <c r="AR19" i="5"/>
  <c r="AP19" i="5"/>
  <c r="AQ19" i="5"/>
  <c r="AK29" i="5"/>
  <c r="AJ6" i="5"/>
  <c r="AI6" i="5"/>
  <c r="AO6" i="5"/>
  <c r="AR6" i="5"/>
  <c r="AP6" i="5"/>
  <c r="AQ6" i="5"/>
  <c r="AK12" i="5"/>
  <c r="AL10" i="5"/>
  <c r="AP12" i="5"/>
  <c r="AO12" i="5"/>
  <c r="AR12" i="5"/>
  <c r="AQ12" i="5"/>
  <c r="AL16" i="5"/>
  <c r="AO21" i="5"/>
  <c r="AR21" i="5"/>
  <c r="AQ21" i="5"/>
  <c r="AP21" i="5"/>
  <c r="AQ29" i="5"/>
  <c r="AO29" i="5"/>
  <c r="AP29" i="5"/>
  <c r="AR29" i="5"/>
  <c r="AO16" i="5"/>
  <c r="AS16" i="5" s="1"/>
  <c r="AQ16" i="5"/>
  <c r="AP16" i="5"/>
  <c r="AR16" i="5"/>
  <c r="AK25" i="5"/>
  <c r="AP25" i="5"/>
  <c r="AR5" i="5"/>
  <c r="AQ5" i="5"/>
  <c r="AP5" i="5"/>
  <c r="AQ18" i="5"/>
  <c r="AR8" i="5"/>
  <c r="AQ8" i="5"/>
  <c r="AR18" i="5"/>
  <c r="AP18" i="5"/>
  <c r="AO25" i="5"/>
  <c r="AQ25" i="5"/>
  <c r="AR10" i="5"/>
  <c r="AQ10" i="5"/>
  <c r="AP10" i="5"/>
  <c r="AO10" i="5"/>
  <c r="AT10" i="5" s="1"/>
  <c r="AL20" i="5"/>
  <c r="AL18" i="5"/>
  <c r="AO8" i="5"/>
  <c r="AT8" i="5" s="1"/>
  <c r="AR20" i="5"/>
  <c r="AP20" i="5"/>
  <c r="AQ20" i="5"/>
  <c r="AO20" i="5"/>
  <c r="AT20" i="5" s="1"/>
  <c r="AK8" i="5"/>
  <c r="AR3" i="5"/>
  <c r="AK3" i="5"/>
  <c r="AQ2" i="5"/>
  <c r="AQ3" i="5"/>
  <c r="AO3" i="5"/>
  <c r="AT3" i="5" s="1"/>
  <c r="AK32" i="5"/>
  <c r="AS18" i="5"/>
  <c r="AT5" i="5"/>
  <c r="U30" i="5"/>
  <c r="AG30" i="5" s="1"/>
  <c r="I8" i="6"/>
  <c r="AQ4" i="1" s="1"/>
  <c r="T30" i="5"/>
  <c r="AE30" i="5" s="1"/>
  <c r="S30" i="5"/>
  <c r="R30" i="5"/>
  <c r="V30" i="5"/>
  <c r="AB30" i="5" s="1"/>
  <c r="W30" i="5"/>
  <c r="AD30" i="5" s="1"/>
  <c r="X30" i="5"/>
  <c r="AF30" i="5" s="1"/>
  <c r="Y30" i="5"/>
  <c r="AH30" i="5" s="1"/>
  <c r="X27" i="6"/>
  <c r="AQ5" i="1" s="1"/>
  <c r="W4" i="5"/>
  <c r="AD4" i="5" s="1"/>
  <c r="X4" i="5"/>
  <c r="AF4" i="5" s="1"/>
  <c r="V4" i="5"/>
  <c r="AB4" i="5" s="1"/>
  <c r="U4" i="5"/>
  <c r="AG4" i="5" s="1"/>
  <c r="S4" i="5"/>
  <c r="T4" i="5"/>
  <c r="AE4" i="5" s="1"/>
  <c r="Y4" i="5"/>
  <c r="AH4" i="5" s="1"/>
  <c r="R4" i="5"/>
  <c r="W13" i="5"/>
  <c r="AD13" i="5" s="1"/>
  <c r="S13" i="5"/>
  <c r="T13" i="5"/>
  <c r="AE13" i="5" s="1"/>
  <c r="Y13" i="5"/>
  <c r="AH13" i="5" s="1"/>
  <c r="V13" i="5"/>
  <c r="AB13" i="5" s="1"/>
  <c r="X13" i="5"/>
  <c r="AF13" i="5" s="1"/>
  <c r="J29" i="6"/>
  <c r="AQ2" i="1" s="1"/>
  <c r="R13" i="5"/>
  <c r="U13" i="5"/>
  <c r="AG13" i="5" s="1"/>
  <c r="AT2" i="5"/>
  <c r="AS2" i="5"/>
  <c r="V15" i="5"/>
  <c r="AB15" i="5" s="1"/>
  <c r="S15" i="5"/>
  <c r="U15" i="5"/>
  <c r="AG15" i="5" s="1"/>
  <c r="R15" i="5"/>
  <c r="T15" i="5"/>
  <c r="AE15" i="5" s="1"/>
  <c r="Y15" i="5"/>
  <c r="AH15" i="5" s="1"/>
  <c r="X15" i="5"/>
  <c r="AF15" i="5" s="1"/>
  <c r="AG13" i="6"/>
  <c r="AQ3" i="1" s="1"/>
  <c r="W15" i="5"/>
  <c r="AD15" i="5" s="1"/>
  <c r="AT24" i="5"/>
  <c r="M31" i="5"/>
  <c r="AG31" i="5" s="1"/>
  <c r="O31" i="5"/>
  <c r="AD31" i="5" s="1"/>
  <c r="K31" i="5"/>
  <c r="Q31" i="5"/>
  <c r="AH31" i="5" s="1"/>
  <c r="P31" i="5"/>
  <c r="AF31" i="5" s="1"/>
  <c r="L31" i="5"/>
  <c r="AE31" i="5" s="1"/>
  <c r="J31" i="5"/>
  <c r="N31" i="5"/>
  <c r="AB31" i="5" s="1"/>
  <c r="H9" i="6"/>
  <c r="AO4" i="1" s="1"/>
  <c r="M23" i="5"/>
  <c r="AG23" i="5" s="1"/>
  <c r="J23" i="5"/>
  <c r="P23" i="5"/>
  <c r="AF23" i="5" s="1"/>
  <c r="O23" i="5"/>
  <c r="AD23" i="5" s="1"/>
  <c r="L23" i="5"/>
  <c r="AE23" i="5" s="1"/>
  <c r="Q23" i="5"/>
  <c r="AH23" i="5" s="1"/>
  <c r="N23" i="5"/>
  <c r="AB23" i="5" s="1"/>
  <c r="K23" i="5"/>
  <c r="AA24" i="6"/>
  <c r="AO5" i="1" s="1"/>
  <c r="AR2" i="5"/>
  <c r="AP2" i="5"/>
  <c r="K7" i="5"/>
  <c r="Q7" i="5"/>
  <c r="AH7" i="5" s="1"/>
  <c r="O7" i="5"/>
  <c r="AD7" i="5" s="1"/>
  <c r="P7" i="5"/>
  <c r="AF7" i="5" s="1"/>
  <c r="M7" i="5"/>
  <c r="AG7" i="5" s="1"/>
  <c r="N7" i="5"/>
  <c r="AB7" i="5" s="1"/>
  <c r="AC10" i="6"/>
  <c r="AO2" i="1" s="1"/>
  <c r="J7" i="5"/>
  <c r="L7" i="5"/>
  <c r="AE7" i="5" s="1"/>
  <c r="N28" i="5"/>
  <c r="AB28" i="5" s="1"/>
  <c r="Q28" i="5"/>
  <c r="AH28" i="5" s="1"/>
  <c r="K28" i="5"/>
  <c r="L28" i="5"/>
  <c r="AE28" i="5" s="1"/>
  <c r="P28" i="5"/>
  <c r="AF28" i="5" s="1"/>
  <c r="M33" i="6"/>
  <c r="AO3" i="1" s="1"/>
  <c r="J28" i="5"/>
  <c r="O28" i="5"/>
  <c r="AD28" i="5" s="1"/>
  <c r="M28" i="5"/>
  <c r="AG28" i="5" s="1"/>
  <c r="AK2" i="5"/>
  <c r="AP32" i="5"/>
  <c r="AO32" i="5"/>
  <c r="AT32" i="5" s="1"/>
  <c r="AR32" i="5"/>
  <c r="AQ32" i="5"/>
  <c r="AP33" i="5"/>
  <c r="AO33" i="5"/>
  <c r="AT33" i="5" s="1"/>
  <c r="AR33" i="5"/>
  <c r="AQ33" i="5"/>
  <c r="AK33" i="5"/>
  <c r="AL33" i="5"/>
  <c r="X2" i="1"/>
  <c r="W2" i="1"/>
  <c r="X3" i="1"/>
  <c r="W3" i="1"/>
  <c r="X4" i="1"/>
  <c r="W4" i="1"/>
  <c r="X5" i="1"/>
  <c r="W5" i="1"/>
  <c r="BD30" i="5" l="1"/>
  <c r="BK23" i="5"/>
  <c r="AN5" i="1" s="1"/>
  <c r="BK7" i="5"/>
  <c r="AN2" i="1" s="1"/>
  <c r="BL4" i="5"/>
  <c r="BD31" i="5"/>
  <c r="BK31" i="5"/>
  <c r="AN4" i="1" s="1"/>
  <c r="BD23" i="5"/>
  <c r="BK28" i="5"/>
  <c r="AN3" i="1" s="1"/>
  <c r="BL15" i="5"/>
  <c r="AP3" i="1" s="1"/>
  <c r="BL13" i="5"/>
  <c r="AP2" i="1" s="1"/>
  <c r="BD4" i="5"/>
  <c r="BD28" i="5"/>
  <c r="BD13" i="5"/>
  <c r="BL30" i="5"/>
  <c r="AP4" i="1" s="1"/>
  <c r="AT17" i="5"/>
  <c r="AS17" i="5"/>
  <c r="BD15" i="5"/>
  <c r="BD7" i="5"/>
  <c r="AS14" i="5"/>
  <c r="AT22" i="5"/>
  <c r="AS22" i="5"/>
  <c r="AK22" i="5"/>
  <c r="AL22" i="5"/>
  <c r="AL9" i="5"/>
  <c r="AK9" i="5"/>
  <c r="AT11" i="5"/>
  <c r="AS11" i="5"/>
  <c r="AT9" i="5"/>
  <c r="AS9" i="5"/>
  <c r="AT27" i="5"/>
  <c r="AS27" i="5"/>
  <c r="AT26" i="5"/>
  <c r="AS26" i="5"/>
  <c r="AS19" i="5"/>
  <c r="AT19" i="5"/>
  <c r="AS6" i="5"/>
  <c r="AT6" i="5"/>
  <c r="AK6" i="5"/>
  <c r="AL6" i="5"/>
  <c r="AS12" i="5"/>
  <c r="AT12" i="5"/>
  <c r="AT29" i="5"/>
  <c r="AS29" i="5"/>
  <c r="AT21" i="5"/>
  <c r="AS21" i="5"/>
  <c r="AT16" i="5"/>
  <c r="AS8" i="5"/>
  <c r="AT25" i="5"/>
  <c r="AS25" i="5"/>
  <c r="AS10" i="5"/>
  <c r="AS20" i="5"/>
  <c r="AS3" i="5"/>
  <c r="AI15" i="5"/>
  <c r="AS32" i="5"/>
  <c r="AC15" i="5"/>
  <c r="AN15" i="5"/>
  <c r="AI28" i="5"/>
  <c r="AJ28" i="5"/>
  <c r="AL28" i="5" s="1"/>
  <c r="AC7" i="5"/>
  <c r="AN7" i="5"/>
  <c r="AM30" i="5"/>
  <c r="AA30" i="5"/>
  <c r="AC28" i="5"/>
  <c r="AN28" i="5"/>
  <c r="AI23" i="5"/>
  <c r="AJ23" i="5"/>
  <c r="AL23" i="5" s="1"/>
  <c r="AI13" i="5"/>
  <c r="AJ13" i="5"/>
  <c r="AC4" i="5"/>
  <c r="AN4" i="5"/>
  <c r="AC30" i="5"/>
  <c r="AN30" i="5"/>
  <c r="AA31" i="5"/>
  <c r="AM31" i="5"/>
  <c r="AJ15" i="5"/>
  <c r="AL15" i="5" s="1"/>
  <c r="AM13" i="5"/>
  <c r="AA13" i="5"/>
  <c r="AC13" i="5"/>
  <c r="AN13" i="5"/>
  <c r="AI30" i="5"/>
  <c r="AJ30" i="5"/>
  <c r="AI31" i="5"/>
  <c r="AJ31" i="5"/>
  <c r="AA15" i="5"/>
  <c r="AM15" i="5"/>
  <c r="AS33" i="5"/>
  <c r="AA7" i="5"/>
  <c r="AM7" i="5"/>
  <c r="AC31" i="5"/>
  <c r="AN31" i="5"/>
  <c r="AI4" i="5"/>
  <c r="AJ4" i="5"/>
  <c r="AL4" i="5" s="1"/>
  <c r="AM28" i="5"/>
  <c r="AA28" i="5"/>
  <c r="AJ7" i="5"/>
  <c r="AL7" i="5" s="1"/>
  <c r="AI7" i="5"/>
  <c r="AC23" i="5"/>
  <c r="AN23" i="5"/>
  <c r="AM23" i="5"/>
  <c r="AA23" i="5"/>
  <c r="AA4" i="5"/>
  <c r="AM4" i="5"/>
  <c r="AP5" i="1" l="1"/>
  <c r="AP20" i="1"/>
  <c r="Z28" i="5"/>
  <c r="AU28" i="5"/>
  <c r="Z30" i="5"/>
  <c r="AU30" i="5"/>
  <c r="Z23" i="5"/>
  <c r="AU23" i="5"/>
  <c r="Z31" i="5"/>
  <c r="AU31" i="5"/>
  <c r="Z15" i="5"/>
  <c r="AU15" i="5"/>
  <c r="Z4" i="5"/>
  <c r="AU4" i="5"/>
  <c r="Z13" i="5"/>
  <c r="AU13" i="5"/>
  <c r="Z7" i="5"/>
  <c r="AU7" i="5"/>
  <c r="AK4" i="5"/>
  <c r="AK15" i="5"/>
  <c r="AK28" i="5"/>
  <c r="AR7" i="5"/>
  <c r="AO7" i="5"/>
  <c r="AS7" i="5" s="1"/>
  <c r="AQ7" i="5"/>
  <c r="AP7" i="5"/>
  <c r="AL30" i="5"/>
  <c r="AK30" i="5"/>
  <c r="AK7" i="5"/>
  <c r="AQ4" i="5"/>
  <c r="AR4" i="5"/>
  <c r="AO4" i="5"/>
  <c r="AS4" i="5" s="1"/>
  <c r="AP4" i="5"/>
  <c r="AQ15" i="5"/>
  <c r="AP15" i="5"/>
  <c r="AO15" i="5"/>
  <c r="AS15" i="5" s="1"/>
  <c r="AR15" i="5"/>
  <c r="AO31" i="5"/>
  <c r="AS31" i="5" s="1"/>
  <c r="AP31" i="5"/>
  <c r="AR31" i="5"/>
  <c r="AQ31" i="5"/>
  <c r="AL13" i="5"/>
  <c r="AK13" i="5"/>
  <c r="AO13" i="5"/>
  <c r="AT13" i="5" s="1"/>
  <c r="AP13" i="5"/>
  <c r="AR13" i="5"/>
  <c r="AQ13" i="5"/>
  <c r="AR23" i="5"/>
  <c r="AO23" i="5"/>
  <c r="AT23" i="5" s="1"/>
  <c r="AQ23" i="5"/>
  <c r="AP23" i="5"/>
  <c r="AR28" i="5"/>
  <c r="AP28" i="5"/>
  <c r="AO28" i="5"/>
  <c r="AS28" i="5" s="1"/>
  <c r="AQ28" i="5"/>
  <c r="AL31" i="5"/>
  <c r="AK31" i="5"/>
  <c r="AK23" i="5"/>
  <c r="AQ30" i="5"/>
  <c r="AR30" i="5"/>
  <c r="AP30" i="5"/>
  <c r="AO30" i="5"/>
  <c r="AS30" i="5" s="1"/>
  <c r="AT15" i="5" l="1"/>
  <c r="AT4" i="5"/>
  <c r="AS13" i="5"/>
  <c r="AT30" i="5"/>
  <c r="AT7" i="5"/>
  <c r="AT28" i="5"/>
  <c r="AT31" i="5"/>
  <c r="AS23" i="5"/>
  <c r="AM42" i="6" l="1"/>
  <c r="AM43" i="6"/>
  <c r="AM38" i="6"/>
  <c r="AM39" i="6"/>
  <c r="AM40" i="6"/>
  <c r="AM37" i="6"/>
  <c r="AM41" i="6"/>
  <c r="AM46" i="6"/>
  <c r="AM44" i="6"/>
  <c r="AM45" i="6"/>
  <c r="AM47" i="6" l="1"/>
  <c r="AM48" i="6" l="1"/>
  <c r="AM49" i="6" l="1"/>
  <c r="AM50" i="6" l="1"/>
  <c r="AM51" i="6" l="1"/>
  <c r="AI42" i="6" l="1"/>
  <c r="AL50" i="6"/>
  <c r="AI45" i="6"/>
  <c r="AL39" i="6"/>
  <c r="AL48" i="6"/>
  <c r="AL47" i="6"/>
  <c r="AI46" i="6"/>
  <c r="AI43" i="6"/>
  <c r="AL40" i="6"/>
  <c r="AL41" i="6"/>
  <c r="AL44" i="6"/>
  <c r="AM52" i="6"/>
  <c r="AL46" i="6"/>
  <c r="AI40" i="6"/>
  <c r="AL52" i="6"/>
  <c r="AI47" i="6" l="1"/>
  <c r="AI44" i="6"/>
  <c r="AL49" i="6"/>
  <c r="AI49" i="6"/>
  <c r="AL42" i="6"/>
  <c r="AI53" i="6"/>
  <c r="AL37" i="6"/>
  <c r="AI48" i="6"/>
  <c r="AL51" i="6"/>
  <c r="AI51" i="6"/>
  <c r="AI39" i="6"/>
  <c r="AL53" i="6"/>
  <c r="AI38" i="6"/>
  <c r="AL38" i="6"/>
  <c r="AL43" i="6"/>
  <c r="AI50" i="6"/>
  <c r="AI41" i="6"/>
  <c r="AI52" i="6"/>
  <c r="AM53" i="6"/>
  <c r="AL45" i="6"/>
  <c r="AI37" i="6"/>
  <c r="AM54" i="6" l="1"/>
  <c r="AI54" i="6"/>
  <c r="AL54" i="6"/>
  <c r="AI55" i="6" l="1"/>
  <c r="AL55" i="6"/>
  <c r="AM55" i="6"/>
  <c r="AL56" i="6" l="1"/>
  <c r="AM56" i="6"/>
  <c r="AI56" i="6"/>
  <c r="AL57" i="6" l="1"/>
  <c r="AM57" i="6"/>
  <c r="AI57" i="6"/>
  <c r="AM58" i="6" l="1"/>
  <c r="AI58" i="6"/>
  <c r="AL58" i="6"/>
  <c r="AL59" i="6" l="1"/>
  <c r="AM59" i="6"/>
  <c r="AI59" i="6"/>
  <c r="AK60" i="6" l="1"/>
  <c r="AL60" i="6"/>
  <c r="AM60" i="6"/>
  <c r="AK46" i="6"/>
  <c r="AK56" i="6"/>
  <c r="AK55" i="6"/>
  <c r="AK52" i="6"/>
  <c r="AK38" i="6"/>
  <c r="AK58" i="6"/>
  <c r="AK44" i="6"/>
  <c r="AK41" i="6"/>
  <c r="AK51" i="6"/>
  <c r="AK42" i="6"/>
  <c r="AK59" i="6"/>
  <c r="AK39" i="6"/>
  <c r="AK48" i="6"/>
  <c r="AK50" i="6"/>
  <c r="AK49" i="6"/>
  <c r="AK43" i="6"/>
  <c r="AK40" i="6"/>
  <c r="AK57" i="6"/>
  <c r="AK54" i="6"/>
  <c r="AK45" i="6"/>
  <c r="AK53" i="6"/>
  <c r="AK47" i="6"/>
  <c r="AI60" i="6"/>
  <c r="AK61" i="6" l="1"/>
  <c r="AK37" i="6"/>
  <c r="AM61" i="6"/>
  <c r="AI61" i="6"/>
  <c r="AL61" i="6"/>
  <c r="AL62" i="6" l="1"/>
  <c r="AK62" i="6"/>
  <c r="AM62" i="6"/>
  <c r="AI62" i="6"/>
  <c r="AK63" i="6" l="1"/>
  <c r="AM63" i="6"/>
  <c r="AI63" i="6"/>
  <c r="AL63" i="6"/>
  <c r="AL64" i="6" l="1"/>
  <c r="AK64" i="6"/>
  <c r="AM64" i="6"/>
  <c r="AI64" i="6"/>
  <c r="AM65" i="6" l="1"/>
  <c r="AI65" i="6"/>
  <c r="AL65" i="6"/>
  <c r="AK65" i="6"/>
  <c r="AI66" i="6" l="1"/>
  <c r="AL66" i="6"/>
  <c r="AK66" i="6"/>
  <c r="AM66" i="6"/>
  <c r="AK67" i="6" l="1"/>
  <c r="AM67" i="6"/>
  <c r="AI67" i="6"/>
  <c r="AL67" i="6"/>
  <c r="AK68" i="6" l="1"/>
  <c r="AH68" i="6"/>
  <c r="AM68" i="6"/>
  <c r="AI68" i="6"/>
  <c r="AH39" i="6"/>
  <c r="AJ42" i="6"/>
  <c r="AJ63" i="6"/>
  <c r="AH56" i="6"/>
  <c r="AH60" i="6"/>
  <c r="AH45" i="6"/>
  <c r="AH51" i="6"/>
  <c r="AJ43" i="6"/>
  <c r="AH61" i="6"/>
  <c r="AJ62" i="6"/>
  <c r="AH66" i="6"/>
  <c r="AJ54" i="6"/>
  <c r="AJ40" i="6"/>
  <c r="AH53" i="6"/>
  <c r="AJ64" i="6"/>
  <c r="AH38" i="6"/>
  <c r="AJ46" i="6"/>
  <c r="AH55" i="6"/>
  <c r="AJ47" i="6"/>
  <c r="AH58" i="6"/>
  <c r="AH44" i="6"/>
  <c r="AH52" i="6"/>
  <c r="AH48" i="6"/>
  <c r="AH49" i="6"/>
  <c r="AJ50" i="6"/>
  <c r="AH41" i="6"/>
  <c r="AH57" i="6"/>
  <c r="AJ59" i="6"/>
  <c r="AH65" i="6"/>
  <c r="AJ53" i="6"/>
  <c r="AJ68" i="6"/>
  <c r="AL68" i="6"/>
  <c r="AJ38" i="6" l="1"/>
  <c r="AH46" i="6"/>
  <c r="AJ61" i="6"/>
  <c r="AJ51" i="6"/>
  <c r="AJ39" i="6"/>
  <c r="AJ56" i="6"/>
  <c r="AH62" i="6"/>
  <c r="AJ49" i="6"/>
  <c r="AJ52" i="6"/>
  <c r="AJ65" i="6"/>
  <c r="AJ41" i="6"/>
  <c r="AH42" i="6"/>
  <c r="AJ44" i="6"/>
  <c r="AJ60" i="6"/>
  <c r="AJ48" i="6"/>
  <c r="AJ58" i="6"/>
  <c r="AH47" i="6"/>
  <c r="AJ66" i="6"/>
  <c r="AH37" i="6"/>
  <c r="AJ37" i="6"/>
  <c r="AJ45" i="6"/>
  <c r="AH64" i="6"/>
  <c r="AH50" i="6"/>
  <c r="AJ67" i="6"/>
  <c r="AH67" i="6"/>
  <c r="AH43" i="6"/>
  <c r="AH59" i="6"/>
  <c r="AH63" i="6"/>
  <c r="AJ57" i="6"/>
  <c r="AH54" i="6"/>
  <c r="AH40" i="6"/>
  <c r="AJ55" i="6"/>
</calcChain>
</file>

<file path=xl/sharedStrings.xml><?xml version="1.0" encoding="utf-8"?>
<sst xmlns="http://schemas.openxmlformats.org/spreadsheetml/2006/main" count="904" uniqueCount="157">
  <si>
    <t>PredictionDate</t>
  </si>
  <si>
    <t>PredictionTime</t>
  </si>
  <si>
    <t>GameDate</t>
  </si>
  <si>
    <t>GameTime</t>
  </si>
  <si>
    <t>GameID</t>
  </si>
  <si>
    <t>AwayTeam</t>
  </si>
  <si>
    <t>HomeTeam</t>
  </si>
  <si>
    <t>PredictedAwayScore</t>
  </si>
  <si>
    <t>PredictedHomeScore</t>
  </si>
  <si>
    <t>PredictedResult</t>
  </si>
  <si>
    <t>PredictedWinner</t>
  </si>
  <si>
    <t>ActualAwayScore</t>
  </si>
  <si>
    <t>ActualHomeScore</t>
  </si>
  <si>
    <t>ActualResult</t>
  </si>
  <si>
    <t>ActualWinner</t>
  </si>
  <si>
    <t>WatchedGame</t>
  </si>
  <si>
    <t>CHI</t>
  </si>
  <si>
    <t>FLA</t>
  </si>
  <si>
    <t>REG</t>
  </si>
  <si>
    <t>WatchTime</t>
  </si>
  <si>
    <t>WatchDate</t>
  </si>
  <si>
    <t>Weekday</t>
  </si>
  <si>
    <t>MIN</t>
  </si>
  <si>
    <t>VAN</t>
  </si>
  <si>
    <t>TOR</t>
  </si>
  <si>
    <t>VGK</t>
  </si>
  <si>
    <t>OT</t>
  </si>
  <si>
    <t>SO</t>
  </si>
  <si>
    <t>InterConf</t>
  </si>
  <si>
    <t>InterDiv</t>
  </si>
  <si>
    <t>SameConfDiffDiv</t>
  </si>
  <si>
    <t>CrossConf</t>
  </si>
  <si>
    <t>ActualLoser</t>
  </si>
  <si>
    <t>Team</t>
  </si>
  <si>
    <t>Conf</t>
  </si>
  <si>
    <t>Div</t>
  </si>
  <si>
    <t>ANA</t>
  </si>
  <si>
    <t>BOS</t>
  </si>
  <si>
    <t>BUF</t>
  </si>
  <si>
    <t>CGY</t>
  </si>
  <si>
    <t>CAR</t>
  </si>
  <si>
    <t>COL</t>
  </si>
  <si>
    <t>CBJ</t>
  </si>
  <si>
    <t>DAL</t>
  </si>
  <si>
    <t>DET</t>
  </si>
  <si>
    <t>EDM</t>
  </si>
  <si>
    <t>LAK</t>
  </si>
  <si>
    <t>MTL</t>
  </si>
  <si>
    <t>NSH</t>
  </si>
  <si>
    <t>NJD</t>
  </si>
  <si>
    <t>NYI</t>
  </si>
  <si>
    <t>NYR</t>
  </si>
  <si>
    <t>OTT</t>
  </si>
  <si>
    <t>PHI</t>
  </si>
  <si>
    <t>PIT</t>
  </si>
  <si>
    <t>SJS</t>
  </si>
  <si>
    <t>SEA</t>
  </si>
  <si>
    <t>TBL</t>
  </si>
  <si>
    <t>UTA</t>
  </si>
  <si>
    <t>WSH</t>
  </si>
  <si>
    <t>WPG</t>
  </si>
  <si>
    <t>STL</t>
  </si>
  <si>
    <t>W</t>
  </si>
  <si>
    <t>E</t>
  </si>
  <si>
    <t>C</t>
  </si>
  <si>
    <t>M</t>
  </si>
  <si>
    <t>P</t>
  </si>
  <si>
    <t>A</t>
  </si>
  <si>
    <t>HOME &gt;</t>
  </si>
  <si>
    <t>GP</t>
  </si>
  <si>
    <t>GR</t>
  </si>
  <si>
    <t>AWAY V</t>
  </si>
  <si>
    <t>H</t>
  </si>
  <si>
    <t>D</t>
  </si>
  <si>
    <t>AwayRecordAll</t>
  </si>
  <si>
    <t>AwayRecordVSHome</t>
  </si>
  <si>
    <t>HomeRecordAll</t>
  </si>
  <si>
    <t>HomeRecordVSAway</t>
  </si>
  <si>
    <t>GamePredictionPoints1</t>
  </si>
  <si>
    <t>GamePredictionPoints2</t>
  </si>
  <si>
    <t>GamePredictionPoints3</t>
  </si>
  <si>
    <t>AwayGameGoalDiff</t>
  </si>
  <si>
    <t>HomeGameGoalDiff</t>
  </si>
  <si>
    <t>AwayGoalDiffDay</t>
  </si>
  <si>
    <t>HomeGoalDiffDay</t>
  </si>
  <si>
    <t>GameIsOver</t>
  </si>
  <si>
    <t>CorrectWinnerPrediction</t>
  </si>
  <si>
    <t>CorrectAwayScorePrediction</t>
  </si>
  <si>
    <t>CorrectHomeScorePrediction</t>
  </si>
  <si>
    <t>AwayShutout</t>
  </si>
  <si>
    <t>HomeShutout</t>
  </si>
  <si>
    <t>East</t>
  </si>
  <si>
    <t>West</t>
  </si>
  <si>
    <t>Atl</t>
  </si>
  <si>
    <t>Met</t>
  </si>
  <si>
    <t>Cen</t>
  </si>
  <si>
    <t>Pac</t>
  </si>
  <si>
    <t>HomeWon</t>
  </si>
  <si>
    <t>AwayWon</t>
  </si>
  <si>
    <t>Watched</t>
  </si>
  <si>
    <t>PctWatched</t>
  </si>
  <si>
    <t>GP_A</t>
  </si>
  <si>
    <t>GP_H</t>
  </si>
  <si>
    <t>W_A</t>
  </si>
  <si>
    <t>RW_A</t>
  </si>
  <si>
    <t>OTW_A</t>
  </si>
  <si>
    <t>SOW_A</t>
  </si>
  <si>
    <t>L_A</t>
  </si>
  <si>
    <t>RL_A</t>
  </si>
  <si>
    <t>OTL_A</t>
  </si>
  <si>
    <t>SOL_A</t>
  </si>
  <si>
    <t>W_H</t>
  </si>
  <si>
    <t>RW_H</t>
  </si>
  <si>
    <t>OTL_H</t>
  </si>
  <si>
    <t>SOW_H</t>
  </si>
  <si>
    <t>SOL_H</t>
  </si>
  <si>
    <t>OTW_H</t>
  </si>
  <si>
    <t>RL_H</t>
  </si>
  <si>
    <t>W/L%</t>
  </si>
  <si>
    <t>L_H</t>
  </si>
  <si>
    <t>L</t>
  </si>
  <si>
    <t>RW</t>
  </si>
  <si>
    <t>RL</t>
  </si>
  <si>
    <t>OTW</t>
  </si>
  <si>
    <t>OTL</t>
  </si>
  <si>
    <t>SOW</t>
  </si>
  <si>
    <t>SOL</t>
  </si>
  <si>
    <t>OT_SO_Record</t>
  </si>
  <si>
    <t>ExtraTiem%</t>
  </si>
  <si>
    <t>Total_ExtraTimes</t>
  </si>
  <si>
    <t>PctExtraTimeNeeded</t>
  </si>
  <si>
    <t>PTS</t>
  </si>
  <si>
    <t>PTS2</t>
  </si>
  <si>
    <t>MAX_PTS</t>
  </si>
  <si>
    <t>MAX_PTS2</t>
  </si>
  <si>
    <t>PTS%</t>
  </si>
  <si>
    <t>PTS2%</t>
  </si>
  <si>
    <t>PROJ_PTS</t>
  </si>
  <si>
    <t>PROJ_PTS2</t>
  </si>
  <si>
    <t>RECORD</t>
  </si>
  <si>
    <t>GF_A</t>
  </si>
  <si>
    <t>GF_H</t>
  </si>
  <si>
    <t>GA_A</t>
  </si>
  <si>
    <t>GD_A</t>
  </si>
  <si>
    <t>GD_H</t>
  </si>
  <si>
    <t>GA_H</t>
  </si>
  <si>
    <t>GF_W</t>
  </si>
  <si>
    <t>GF_L</t>
  </si>
  <si>
    <t>GD_WL</t>
  </si>
  <si>
    <t>GF</t>
  </si>
  <si>
    <t>GA</t>
  </si>
  <si>
    <t>GD</t>
  </si>
  <si>
    <t>GFPG</t>
  </si>
  <si>
    <t>GAPG</t>
  </si>
  <si>
    <t>GDPG</t>
  </si>
  <si>
    <t>HOME_RECORD</t>
  </si>
  <si>
    <t>AWAY_RECORD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</si>
</sst>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14" fontId="0" fillId="0" borderId="0" xfId="0" applyNumberFormat="1"/>
    <xf numFmtId="0" fontId="0" fillId="0" borderId="0" xfId="0" applyAlignment="1">
      <alignment textRotation="90"/>
    </xf>
    <xf numFmtId="14" fontId="1" fillId="0" borderId="0" xfId="0" applyNumberFormat="1" applyFont="1" applyAlignment="1">
      <alignment textRotation="90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0" xfId="0" applyFont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/>
    <xf numFmtId="0" fontId="0" fillId="0" borderId="2" xfId="0" applyBorder="1"/>
    <xf numFmtId="0" fontId="0" fillId="0" borderId="19" xfId="0" applyBorder="1"/>
    <xf numFmtId="0" fontId="0" fillId="0" borderId="0" xfId="0" applyAlignment="1">
      <alignment horizontal="center"/>
    </xf>
    <xf numFmtId="10" fontId="0" fillId="3" borderId="0" xfId="0" applyNumberFormat="1" applyFill="1" applyAlignment="1">
      <alignment horizontal="center"/>
    </xf>
    <xf numFmtId="0" fontId="2" fillId="2" borderId="0" xfId="0" applyFont="1" applyFill="1"/>
    <xf numFmtId="0" fontId="2" fillId="0" borderId="17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2" fillId="0" borderId="18" xfId="0" applyFont="1" applyBorder="1"/>
    <xf numFmtId="0" fontId="2" fillId="0" borderId="15" xfId="0" applyFont="1" applyBorder="1"/>
    <xf numFmtId="0" fontId="2" fillId="2" borderId="15" xfId="0" applyFont="1" applyFill="1" applyBorder="1"/>
    <xf numFmtId="0" fontId="2" fillId="2" borderId="19" xfId="0" applyFont="1" applyFill="1" applyBorder="1"/>
    <xf numFmtId="0" fontId="2" fillId="0" borderId="19" xfId="0" applyFont="1" applyBorder="1"/>
    <xf numFmtId="0" fontId="2" fillId="0" borderId="20" xfId="0" applyFont="1" applyBorder="1"/>
    <xf numFmtId="0" fontId="2" fillId="0" borderId="13" xfId="0" applyFont="1" applyBorder="1"/>
    <xf numFmtId="0" fontId="0" fillId="0" borderId="0" xfId="0" applyNumberFormat="1"/>
    <xf numFmtId="0" fontId="0" fillId="0" borderId="0" xfId="0" applyAlignment="1">
      <alignment horizontal="left" vertical="top" textRotation="90"/>
    </xf>
    <xf numFmtId="0" fontId="3" fillId="0" borderId="15" xfId="0" applyFont="1" applyBorder="1"/>
    <xf numFmtId="0" fontId="3" fillId="0" borderId="19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2" fontId="0" fillId="0" borderId="0" xfId="0" applyNumberFormat="1"/>
    <xf numFmtId="2" fontId="0" fillId="0" borderId="24" xfId="0" applyNumberFormat="1" applyBorder="1"/>
    <xf numFmtId="2" fontId="0" fillId="0" borderId="2" xfId="0" applyNumberFormat="1" applyBorder="1"/>
    <xf numFmtId="2" fontId="0" fillId="0" borderId="25" xfId="0" applyNumberFormat="1" applyBorder="1"/>
    <xf numFmtId="2" fontId="0" fillId="0" borderId="15" xfId="0" applyNumberFormat="1" applyBorder="1"/>
    <xf numFmtId="2" fontId="0" fillId="0" borderId="23" xfId="0" applyNumberFormat="1" applyBorder="1"/>
    <xf numFmtId="2" fontId="0" fillId="0" borderId="19" xfId="0" applyNumberFormat="1" applyBorder="1"/>
    <xf numFmtId="0" fontId="0" fillId="4" borderId="0" xfId="0" applyFill="1"/>
    <xf numFmtId="0" fontId="0" fillId="4" borderId="26" xfId="0" applyFill="1" applyBorder="1"/>
    <xf numFmtId="0" fontId="0" fillId="4" borderId="2" xfId="0" applyFill="1" applyBorder="1"/>
    <xf numFmtId="0" fontId="0" fillId="4" borderId="25" xfId="0" applyFill="1" applyBorder="1"/>
    <xf numFmtId="0" fontId="0" fillId="4" borderId="15" xfId="0" applyFill="1" applyBorder="1"/>
    <xf numFmtId="0" fontId="0" fillId="4" borderId="19" xfId="0" applyFill="1" applyBorder="1"/>
    <xf numFmtId="2" fontId="0" fillId="0" borderId="0" xfId="0" applyNumberFormat="1" applyAlignment="1">
      <alignment horizontal="left" vertical="top" textRotation="90"/>
    </xf>
    <xf numFmtId="0" fontId="0" fillId="0" borderId="0" xfId="0" applyBorder="1"/>
    <xf numFmtId="2" fontId="0" fillId="0" borderId="26" xfId="0" applyNumberFormat="1" applyBorder="1"/>
  </cellXfs>
  <cellStyles count="1">
    <cellStyle name="Normal" xfId="0" builtinId="0"/>
  </cellStyles>
  <dxfs count="10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9" tint="0.39994506668294322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font>
        <b/>
        <i val="0"/>
        <color rgb="FFC00000"/>
      </font>
      <fill>
        <patternFill>
          <bgColor theme="9" tint="0.39994506668294322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font>
        <b/>
        <i val="0"/>
        <color theme="9" tint="-0.499984740745262"/>
      </font>
      <fill>
        <patternFill>
          <bgColor rgb="FF8AD76B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ED7777"/>
        </patternFill>
      </fill>
    </dxf>
    <dxf>
      <font>
        <color rgb="FFC00000"/>
      </font>
      <fill>
        <patternFill>
          <bgColor rgb="FFF2AAA8"/>
        </patternFill>
      </fill>
    </dxf>
    <dxf>
      <font>
        <color rgb="FFFF0000"/>
      </font>
      <fill>
        <patternFill>
          <bgColor rgb="FFFFC1C1"/>
        </patternFill>
      </fill>
    </dxf>
    <dxf>
      <font>
        <color rgb="FFFF0000"/>
      </font>
      <fill>
        <patternFill>
          <bgColor rgb="FFFFE1E1"/>
        </patternFill>
      </fill>
    </dxf>
    <dxf>
      <fill>
        <patternFill>
          <bgColor rgb="FFFCD908"/>
        </patternFill>
      </fill>
    </dxf>
    <dxf>
      <fill>
        <patternFill>
          <bgColor rgb="FFFCD908"/>
        </patternFill>
      </fill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9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9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3AD93-0A78-4F55-B420-203F73CCB398}" name="Table1" displayName="Table1" ref="A1:AQ20" totalsRowShown="0" headerRowDxfId="90">
  <autoFilter ref="A1:AQ20" xr:uid="{8F73AD93-0A78-4F55-B420-203F73CCB398}"/>
  <tableColumns count="43">
    <tableColumn id="1" xr3:uid="{0E6C8EE3-454F-4247-990A-3C93848665DA}" name="PredictionDate" dataDxfId="100"/>
    <tableColumn id="2" xr3:uid="{EA939408-31C0-4D6A-B481-7AF0476B7AD4}" name="PredictionTime"/>
    <tableColumn id="3" xr3:uid="{2252FC96-81FC-43BE-BA9D-F67931D3247F}" name="Weekday">
      <calculatedColumnFormula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calculatedColumnFormula>
    </tableColumn>
    <tableColumn id="4" xr3:uid="{AA47422C-2F0A-4250-90C9-701497B896F5}" name="GameDate" dataDxfId="99"/>
    <tableColumn id="5" xr3:uid="{C826D132-9E84-4ECE-AD3C-01A6713BE418}" name="GameTime"/>
    <tableColumn id="6" xr3:uid="{2687AD8E-7C28-48B0-997F-EF8D1B3DABC4}" name="GameID"/>
    <tableColumn id="7" xr3:uid="{F33F2498-2A83-44A8-A25E-785045C93EB9}" name="AwayTeam"/>
    <tableColumn id="8" xr3:uid="{C792DBED-7F46-4D3A-919C-3B2A5527A451}" name="HomeTeam"/>
    <tableColumn id="9" xr3:uid="{7091EEA9-782C-4B07-BD54-7CF949DAF7BB}" name="PredictedAwayScore"/>
    <tableColumn id="10" xr3:uid="{AC61735F-87CB-47CA-9ADF-EC193CA987E8}" name="PredictedHomeScore"/>
    <tableColumn id="11" xr3:uid="{595E58B0-BE1F-4502-A082-A3AC68C31E55}" name="PredictedResult"/>
    <tableColumn id="12" xr3:uid="{34DF3D66-D651-4728-953A-4AF4608EAD9A}" name="PredictedWinner" dataDxfId="97">
      <calculatedColumnFormula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calculatedColumnFormula>
    </tableColumn>
    <tableColumn id="13" xr3:uid="{EABD7630-CBA6-43E5-97F9-E4F8F161DAA8}" name="ActualAwayScore"/>
    <tableColumn id="14" xr3:uid="{E59DBA7E-4D4A-485A-BF06-862A32261849}" name="ActualHomeScore"/>
    <tableColumn id="15" xr3:uid="{88E49345-5CE3-42FB-B503-F3843D6D76A9}" name="ActualResult"/>
    <tableColumn id="16" xr3:uid="{7B5C689F-D8C1-4028-8E2D-3FAE5AFA8820}" name="ActualWinner" dataDxfId="96">
      <calculatedColumnFormula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calculatedColumnFormula>
    </tableColumn>
    <tableColumn id="17" xr3:uid="{04FA8D5B-8625-4DED-88C8-C4742E1248FB}" name="WatchedGame"/>
    <tableColumn id="18" xr3:uid="{5149F16E-9541-416C-9588-F8DF9EBB6FB7}" name="WatchDate" dataDxfId="98"/>
    <tableColumn id="19" xr3:uid="{CBE9F616-021B-452B-B6AC-1D89573BEA4C}" name="WatchTime"/>
    <tableColumn id="24" xr3:uid="{9B01754C-88E4-4025-BF8C-5206370E8DEC}" name="ActualLoser" dataDxfId="95">
      <calculatedColumnFormula>IF(Table1[[#This Row],[ActualWinner]]="", "", IF(Table1[[#This Row],[AwayTeam]]=Table1[[#This Row],[ActualWinner]],Table1[[#This Row],[HomeTeam]],Table1[[#This Row],[AwayTeam]]))</calculatedColumnFormula>
    </tableColumn>
    <tableColumn id="32" xr3:uid="{AD3FA0DE-3B5C-4D20-89BF-83C4E2D70263}" name="AwayGameGoalDiff" dataDxfId="89">
      <calculatedColumnFormula>Table1[[#This Row],[ActualAwayScore]]-Table1[[#This Row],[PredictedAwayScore]]</calculatedColumnFormula>
    </tableColumn>
    <tableColumn id="31" xr3:uid="{2D7C0218-A1E8-46EA-A47C-70E629C06DB1}" name="HomeGameGoalDiff" dataDxfId="88">
      <calculatedColumnFormula>Table1[[#This Row],[ActualHomeScore]]-Table1[[#This Row],[PredictedHomeScore]]</calculatedColumnFormula>
    </tableColumn>
    <tableColumn id="35" xr3:uid="{DC73DC17-0707-4DC9-AC03-3DFAB4EDD277}" name="GamePredictionPoints1" dataDxfId="79">
      <calculatedColumnFormula>(0.8*IF(Table1[[#This Row],[CorrectWinnerPrediction]]=1, 1, 0))+(0.1*IF(Table1[[#This Row],[CorrectAwayScorePrediction]]=1, 1, 0))+(0.1*IF(Table1[[#This Row],[CorrectHomeScorePrediction]]=1, 1, 0))</calculatedColumnFormula>
    </tableColumn>
    <tableColumn id="34" xr3:uid="{4D69F896-BD1B-49ED-8CC2-B56C20ADCAEE}" name="GamePredictionPoints2" dataDxfId="78">
      <calculatedColumnFormula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calculatedColumnFormula>
    </tableColumn>
    <tableColumn id="33" xr3:uid="{6CDE16B3-C3BF-44D4-BAF2-8FC085B7C6A6}" name="GamePredictionPoints3"/>
    <tableColumn id="30" xr3:uid="{A07E6496-B66B-4E69-BCD5-623984164AC3}" name="AwayGoalDiffDay" dataDxfId="87">
      <calculatedColumnFormula>SUMIF(Table1[GameDate], Table1[[#This Row],[GameDate]], Table1[AwayGameGoalDiff])</calculatedColumnFormula>
    </tableColumn>
    <tableColumn id="29" xr3:uid="{F55D87D7-B30D-47EE-B4B6-D9327FC7EAF4}" name="HomeGoalDiffDay" dataDxfId="86">
      <calculatedColumnFormula>SUMIF(Table1[GameDate], Table1[[#This Row],[GameDate]], Table1[HomeGameGoalDiff])</calculatedColumnFormula>
    </tableColumn>
    <tableColumn id="41" xr3:uid="{8D097408-A83E-4854-82CA-8B3325355802}" name="GameIsOver" dataDxfId="85">
      <calculatedColumnFormula>IF(ISBLANK(Table1[[#This Row],[ActualResult]]), 0, 1)</calculatedColumnFormula>
    </tableColumn>
    <tableColumn id="40" xr3:uid="{DFCD1B8F-2D6E-4BE7-A85E-2E6D420AC2D3}" name="CorrectWinnerPrediction" dataDxfId="80">
      <calculatedColumnFormula>IF(ISBLANK(Table1[[#This Row],[ActualResult]]), 0, IF(Table1[[#This Row],[ActualWinner]]=Table1[[#This Row],[PredictedWinner]], 1, 0))</calculatedColumnFormula>
    </tableColumn>
    <tableColumn id="39" xr3:uid="{BA52148C-1961-470A-B47C-9B532630EB38}" name="CorrectAwayScorePrediction" dataDxfId="82">
      <calculatedColumnFormula>IF(Table1[[#This Row],[ActualAwayScore]]&gt;Table1[[#This Row],[PredictedAwayScore]], 0, IF(ISBLANK(Table1[[#This Row],[ActualResult]]), 0, IF(Table1[[#This Row],[ActualAwayScore]]=Table1[[#This Row],[PredictedAwayScore]], 1,0)))</calculatedColumnFormula>
    </tableColumn>
    <tableColumn id="38" xr3:uid="{41A3AC2B-0964-426A-9C48-DF1ADC2EC5C5}" name="CorrectHomeScorePrediction" dataDxfId="81">
      <calculatedColumnFormula>IF(Table1[[#This Row],[ActualHomeScore]]&gt;Table1[[#This Row],[PredictedHomeScore]], 0, IF(ISBLANK(Table1[[#This Row],[ActualResult]]), 0, IF(Table1[[#This Row],[ActualHomeScore]]=Table1[[#This Row],[PredictedHomeScore]], 1, 0)))</calculatedColumnFormula>
    </tableColumn>
    <tableColumn id="37" xr3:uid="{E268AD0B-491B-444F-BDA3-3938DF3300DD}" name="AwayShutout" dataDxfId="83">
      <calculatedColumnFormula>IF(AND(Table1[[#This Row],[GameIsOver]]=1,Table1[[#This Row],[ActualAwayScore]]=0), 1,0)</calculatedColumnFormula>
    </tableColumn>
    <tableColumn id="36" xr3:uid="{D0A4C1EF-0F7A-46FD-A2B1-FA1AA84D3116}" name="HomeShutout" dataDxfId="84">
      <calculatedColumnFormula>IF(AND(Table1[[#This Row],[GameIsOver]]=1,Table1[[#This Row],[ActualHomeScore]]=0), 1,0)</calculatedColumnFormula>
    </tableColumn>
    <tableColumn id="43" xr3:uid="{F71B51B5-8FCE-4174-B9F3-F81A2F371BD0}" name="AwayWon" dataDxfId="77">
      <calculatedColumnFormula>IF(Table1[[#This Row],[GameIsOver]]=0,0,IF(Table1[[#This Row],[ActualWinner]]=Table1[[#This Row],[AwayTeam]], 1, 0))</calculatedColumnFormula>
    </tableColumn>
    <tableColumn id="42" xr3:uid="{5E113FEB-617A-4533-B6D7-9B9A14CF2515}" name="HomeWon" dataDxfId="76">
      <calculatedColumnFormula>IF(Table1[[#This Row],[GameIsOver]]=0,0,IF(Table1[[#This Row],[ActualWinner]]=Table1[[#This Row],[HomeTeam]], 1, 0))</calculatedColumnFormula>
    </tableColumn>
    <tableColumn id="20" xr3:uid="{6117E8B1-EA3C-4F04-8590-5214C966AEC3}" name="InterConf" dataDxfId="94">
      <calculatedColumnFormula>IF(INDEX(Standings!$A$2:$C$33,MATCH(Table1[[#This Row],[AwayTeam]],Standings!$A$2:$A$33,0),2)=INDEX(Standings!$A$2:$C$33,MATCH(Table1[[#This Row],[HomeTeam]],Standings!$A$2:$A$33,0),2),1,0)</calculatedColumnFormula>
    </tableColumn>
    <tableColumn id="21" xr3:uid="{5A6474DF-0266-47DD-8325-17901FBBE9CC}" name="InterDiv" dataDxfId="93">
      <calculatedColumnFormula>IF(INDEX(Standings!$A$2:$C$33,MATCH(Table1[[#This Row],[AwayTeam]],Standings!$A$2:$A$33,0),3)=INDEX(Standings!$A$2:$C$33,MATCH(Table1[[#This Row],[HomeTeam]],Standings!$A$2:$A$33,0),3),1,0)</calculatedColumnFormula>
    </tableColumn>
    <tableColumn id="22" xr3:uid="{8768F0B5-DB4D-4916-ABFF-348F1B286ED3}" name="SameConfDiffDiv" dataDxfId="92">
      <calculatedColumnFormula>IF(Table1[[#This Row],[InterConf]]=1,IF(Table1[[#This Row],[InterDiv]]=0, 1, 0), 0)</calculatedColumnFormula>
    </tableColumn>
    <tableColumn id="23" xr3:uid="{D43268EA-243C-419D-9B75-8ADB514FC4BC}" name="CrossConf" dataDxfId="91">
      <calculatedColumnFormula>IF(INDEX(Standings!$A$2:$C$33,MATCH(Table1[[#This Row],[AwayTeam]],Standings!$A$2:$A$33,0),2)&lt;&gt;INDEX(Standings!$A$2:$C$33,MATCH(Table1[[#This Row],[HomeTeam]],Standings!$A$2:$A$33,0),2),1,0)</calculatedColumnFormula>
    </tableColumn>
    <tableColumn id="25" xr3:uid="{33B534AA-694E-4BA2-B090-7638D5F3EBE7}" name="AwayRecordAll" dataDxfId="1">
      <calculatedColumnFormula>INDEX(Table2[AWAY_RECORD], MATCH(Table1[[#This Row],[AwayTeam]],Table2[Team], 0), 0)</calculatedColumnFormula>
    </tableColumn>
    <tableColumn id="26" xr3:uid="{E6D8524B-01D9-4E3F-8963-ADEBEC4CA1C1}" name="AwayRecordVSHome" dataDxfId="75">
      <calculatedColumnFormula>INDEX(Records!$B$2:$AG$33, MATCH(Table1[[#This Row],[AwayTeam]],Records!$A$2:$A$33, 0), MATCH(Table1[[#This Row],[HomeTeam]],Records!$A$2:$A$33, 0))</calculatedColumnFormula>
    </tableColumn>
    <tableColumn id="27" xr3:uid="{3E771E21-BC90-41BD-9948-D4E465300024}" name="HomeRecordAll" dataDxfId="0">
      <calculatedColumnFormula>INDEX(Table2[HOME_RECORD], MATCH(Table1[[#This Row],[HomeTeam]],Table2[Team], 0), 0)</calculatedColumnFormula>
    </tableColumn>
    <tableColumn id="28" xr3:uid="{5055D9DF-BD89-4A1B-B392-735E6B482E65}" name="HomeRecordVSAway" dataDxfId="74">
      <calculatedColumnFormula>INDEX(Records!$B$2:$AG$33, MATCH(Table1[[#This Row],[HomeTeam]],Records!$A$2:$A$33, 0), MATCH(Table1[[#This Row],[AwayTeam]],Records!$A$2:$A$33, 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04A2E9-6DDA-4283-AAEE-1AD0CB9B58B2}" name="Table2" displayName="Table2" ref="A1:BL33" totalsRowShown="0" headerRowDxfId="73">
  <autoFilter ref="A1:BL33" xr:uid="{3004A2E9-6DDA-4283-AAEE-1AD0CB9B58B2}"/>
  <tableColumns count="64">
    <tableColumn id="1" xr3:uid="{5921676E-E84B-4424-BBB0-71A7CD24588D}" name="Team"/>
    <tableColumn id="2" xr3:uid="{4F042EDB-B07E-401D-A3DC-1EE862A0FBD2}" name="C"/>
    <tableColumn id="3" xr3:uid="{EC96354D-7947-4814-97E9-B874499226CF}" name="D"/>
    <tableColumn id="4" xr3:uid="{1C6BE841-5360-41E0-B6F4-4EA8308F6DB9}" name="Watched" dataDxfId="72">
      <calculatedColumnFormula>COUNTIFS(Table1[AwayTeam],Table2[[#This Row],[Team]],Table1[GameIsOver], 1, Table1[WatchedGame],1) + COUNTIFS(Table1[HomeTeam],Table2[[#This Row],[Team]],Table1[GameIsOver],1,Table1[WatchedGame],1)</calculatedColumnFormula>
    </tableColumn>
    <tableColumn id="5" xr3:uid="{99D8E497-7043-4BD9-8F0B-9046CAD6DFC9}" name="PctWatched"/>
    <tableColumn id="6" xr3:uid="{BE76C717-872F-49D8-B0CA-F0FA8419D2E7}" name="GP_A" dataDxfId="71">
      <calculatedColumnFormula>COUNTIFS(Table1[AwayTeam],Table2[[#This Row],[Team]], Table1[GameIsOver],1)</calculatedColumnFormula>
    </tableColumn>
    <tableColumn id="7" xr3:uid="{52D6ADEC-718C-474B-832C-1C0E1D91082B}" name="GP_H" dataDxfId="70">
      <calculatedColumnFormula>COUNTIFS(Table1[HomeTeam],Table2[[#This Row],[Team]], Table1[GameIsOver],1)</calculatedColumnFormula>
    </tableColumn>
    <tableColumn id="8" xr3:uid="{65DFD41D-6251-4E58-92BA-CB25F663FCAB}" name="GP" dataDxfId="69">
      <calculatedColumnFormula>Table2[[#This Row],[GP_A]]+Table2[[#This Row],[GP_H]]</calculatedColumnFormula>
    </tableColumn>
    <tableColumn id="9" xr3:uid="{BEA5F15B-7506-4028-BA12-003B9A7B7086}" name="GR" dataDxfId="68">
      <calculatedColumnFormula>84-Table2[[#This Row],[GP]]</calculatedColumnFormula>
    </tableColumn>
    <tableColumn id="10" xr3:uid="{CB70F77D-4B75-4AB6-AEF5-AF371AA1B43C}" name="W_A" dataDxfId="67">
      <calculatedColumnFormula>COUNTIFS(Table1[AwayTeam], Table2[[#This Row],[Team]], Table1[GameIsOver], 1, Table1[AwayWon],1)</calculatedColumnFormula>
    </tableColumn>
    <tableColumn id="11" xr3:uid="{C07D90B8-D3BA-4FC8-8144-631CEAA2C833}" name="RW_A" dataDxfId="66">
      <calculatedColumnFormula>COUNTIFS(Table1[AwayTeam], Table2[[#This Row],[Team]], Table1[GameIsOver], 1, Table1[AwayWon],1, Table1[ActualResult], "REG")</calculatedColumnFormula>
    </tableColumn>
    <tableColumn id="12" xr3:uid="{ED5B2C1F-E30D-4719-AB5F-EB18163F938C}" name="OTW_A" dataDxfId="65">
      <calculatedColumnFormula>COUNTIFS(Table1[AwayTeam], Table2[[#This Row],[Team]], Table1[GameIsOver], 1, Table1[AwayWon],1, Table1[ActualResult], "OT")</calculatedColumnFormula>
    </tableColumn>
    <tableColumn id="13" xr3:uid="{53306BA7-2308-47CA-BF29-9EC2E30A6AA5}" name="SOW_A" dataDxfId="64">
      <calculatedColumnFormula>COUNTIFS(Table1[AwayTeam], Table2[[#This Row],[Team]], Table1[GameIsOver], 1, Table1[AwayWon],1, Table1[ActualResult], "SO")</calculatedColumnFormula>
    </tableColumn>
    <tableColumn id="14" xr3:uid="{3394A887-E032-47EB-83CF-5808B9E43981}" name="L_A" dataDxfId="63">
      <calculatedColumnFormula>COUNTIFS(Table1[AwayTeam], Table2[[#This Row],[Team]], Table1[GameIsOver], 1, Table1[AwayWon],0)</calculatedColumnFormula>
    </tableColumn>
    <tableColumn id="15" xr3:uid="{05245337-765C-4AD1-B238-A673A9EC3493}" name="RL_A" dataDxfId="62">
      <calculatedColumnFormula>COUNTIFS(Table1[AwayTeam], Table2[[#This Row],[Team]], Table1[GameIsOver], 1, Table1[AwayWon],0, Table1[ActualResult], "REG")</calculatedColumnFormula>
    </tableColumn>
    <tableColumn id="16" xr3:uid="{648EDD4C-19BE-4C84-9355-864EB36E3014}" name="OTL_A" dataDxfId="61">
      <calculatedColumnFormula>COUNTIFS(Table1[AwayTeam], Table2[[#This Row],[Team]], Table1[GameIsOver], 1, Table1[AwayWon],0, Table1[ActualResult], "OT")</calculatedColumnFormula>
    </tableColumn>
    <tableColumn id="17" xr3:uid="{732D7B71-7EC3-4BD0-B673-B7459E2693FB}" name="SOL_A" dataDxfId="60">
      <calculatedColumnFormula>COUNTIFS(Table1[AwayTeam], Table2[[#This Row],[Team]], Table1[GameIsOver], 1, Table1[AwayWon],0, Table1[ActualResult], "SO")</calculatedColumnFormula>
    </tableColumn>
    <tableColumn id="18" xr3:uid="{C8577F19-3540-4AB9-8198-1F16708DD8EF}" name="W_H" dataDxfId="59">
      <calculatedColumnFormula>COUNTIFS(Table1[HomeTeam], Table2[[#This Row],[Team]], Table1[GameIsOver], 1, Table1[HomeWon],1)</calculatedColumnFormula>
    </tableColumn>
    <tableColumn id="19" xr3:uid="{89073C31-5170-4424-852B-3B281E15E82B}" name="RW_H" dataDxfId="58">
      <calculatedColumnFormula>COUNTIFS(Table1[HomeTeam], Table2[[#This Row],[Team]], Table1[GameIsOver], 1, Table1[HomeWon],1, Table1[ActualResult], "REG")</calculatedColumnFormula>
    </tableColumn>
    <tableColumn id="20" xr3:uid="{FDD909DA-CC05-4D89-A420-59700D9313BC}" name="OTW_H" dataDxfId="57">
      <calculatedColumnFormula>COUNTIFS(Table1[HomeTeam], Table2[[#This Row],[Team]], Table1[GameIsOver], 1, Table1[HomeWon],1, Table1[ActualResult], "OT")</calculatedColumnFormula>
    </tableColumn>
    <tableColumn id="21" xr3:uid="{721C8833-3688-4381-A433-51B1C2C8D48D}" name="SOW_H" dataDxfId="56">
      <calculatedColumnFormula>COUNTIFS(Table1[HomeTeam], Table2[[#This Row],[Team]], Table1[GameIsOver], 1, Table1[HomeWon],1, Table1[ActualResult], "SO")</calculatedColumnFormula>
    </tableColumn>
    <tableColumn id="26" xr3:uid="{39A049BF-A561-4C5C-85D4-BD68D404DF55}" name="L_H" dataDxfId="55">
      <calculatedColumnFormula>COUNTIFS(Table1[HomeTeam], Table2[[#This Row],[Team]], Table1[GameIsOver], 1, Table1[HomeWon],0)</calculatedColumnFormula>
    </tableColumn>
    <tableColumn id="22" xr3:uid="{6DC1A4C3-7CCF-49F2-8F17-4BFA2B177E75}" name="RL_H" dataDxfId="54">
      <calculatedColumnFormula>COUNTIFS(Table1[HomeTeam], Table2[[#This Row],[Team]], Table1[GameIsOver], 1, Table1[HomeWon],0, Table1[ActualResult], "REG")</calculatedColumnFormula>
    </tableColumn>
    <tableColumn id="23" xr3:uid="{B0D7CB57-8989-4CC2-8E2F-F045BF3EFDE8}" name="OTL_H" dataDxfId="53">
      <calculatedColumnFormula>COUNTIFS(Table1[HomeTeam], Table2[[#This Row],[Team]], Table1[GameIsOver], 1, Table1[HomeWon],0, Table1[ActualResult], "OT")</calculatedColumnFormula>
    </tableColumn>
    <tableColumn id="24" xr3:uid="{779AF5BA-04A0-4BB5-8842-041FD0981FD4}" name="SOL_H" dataDxfId="52">
      <calculatedColumnFormula>COUNTIFS(Table1[HomeTeam], Table2[[#This Row],[Team]], Table1[GameIsOver], 1, Table1[HomeWon],0, Table1[ActualResult], "SO")</calculatedColumnFormula>
    </tableColumn>
    <tableColumn id="25" xr3:uid="{33651D8C-9E47-4F74-93D3-A5B82E4A5F40}" name="W/L%" dataDxfId="43">
      <calculatedColumnFormula>Table2[[#This Row],[W]]/MAX(1,Table2[[#This Row],[W]]+Table2[[#This Row],[L]])</calculatedColumnFormula>
    </tableColumn>
    <tableColumn id="27" xr3:uid="{4DBD784B-5D73-4A25-A0D4-7C2003C37AFA}" name="W" dataDxfId="51">
      <calculatedColumnFormula>Table2[[#This Row],[W_A]]+Table2[[#This Row],[W_H]]</calculatedColumnFormula>
    </tableColumn>
    <tableColumn id="28" xr3:uid="{A9370396-A990-429E-A09C-6050179FA1D3}" name="L" dataDxfId="50">
      <calculatedColumnFormula>Table2[[#This Row],[L_A]]+Table2[[#This Row],[L_H]]</calculatedColumnFormula>
    </tableColumn>
    <tableColumn id="29" xr3:uid="{B2C2D886-AC53-4652-B016-B28922464A75}" name="RW" dataDxfId="49">
      <calculatedColumnFormula>Table2[RW_A]+Table2[RW_H]</calculatedColumnFormula>
    </tableColumn>
    <tableColumn id="30" xr3:uid="{6208F346-C4BC-4CFD-A400-4BE69C2848B8}" name="RL" dataDxfId="48">
      <calculatedColumnFormula>Table2[RL_A]+Table2[RL_H]</calculatedColumnFormula>
    </tableColumn>
    <tableColumn id="31" xr3:uid="{34CA8FC3-D493-4A34-A2CC-C6BBB7D36986}" name="OTW" dataDxfId="47">
      <calculatedColumnFormula>Table2[OTW_A]+Table2[OTW_H]</calculatedColumnFormula>
    </tableColumn>
    <tableColumn id="32" xr3:uid="{E468CEEB-A6AD-48AE-A2EC-B4DE80C3DCA6}" name="OTL" dataDxfId="46">
      <calculatedColumnFormula>Table2[OTL_A]+Table2[OTL_H]</calculatedColumnFormula>
    </tableColumn>
    <tableColumn id="33" xr3:uid="{8F9C4890-6552-45BE-947A-31587A5B09C5}" name="SOW" dataDxfId="45">
      <calculatedColumnFormula>Table2[SOW_A]+Table2[SOW_H]</calculatedColumnFormula>
    </tableColumn>
    <tableColumn id="34" xr3:uid="{C1E6357A-DE0E-4CC7-9CA8-29EF6F9C32FF}" name="SOL" dataDxfId="44">
      <calculatedColumnFormula>Table2[SOL_A]+Table2[SOL_H]</calculatedColumnFormula>
    </tableColumn>
    <tableColumn id="35" xr3:uid="{4CBB4D7D-AB6D-48B2-903E-13A3C1517728}" name="OT_SO_Record" dataDxfId="42">
      <calculatedColumnFormula>_xlfn.CONCAT(TEXT(Table2[[#This Row],[OTW]]+Table2[[#This Row],[SOW]], "0"), "-", TEXT(Table2[[#This Row],[OTL]]+Table2[[#This Row],[SOL]],"0"))</calculatedColumnFormula>
    </tableColumn>
    <tableColumn id="36" xr3:uid="{FB131BA3-C5C8-4C07-90CC-149892CF4671}" name="Total_ExtraTimes" dataDxfId="41">
      <calculatedColumnFormula>SUM(Table2[[#This Row],[OTW]],Table2[[#This Row],[OTL]],Table2[[#This Row],[SOW]],Table2[[#This Row],[SOL]])</calculatedColumnFormula>
    </tableColumn>
    <tableColumn id="37" xr3:uid="{EFC6F52D-9BFC-4E6A-BDBA-95C79F622B3D}" name="ExtraTiem%" dataDxfId="40">
      <calculatedColumnFormula>(Table2[[#This Row],[OTW]]+Table2[[#This Row],[SOW]])/IF(Table2[[#This Row],[Total_ExtraTimes]]=0,1,Table2[[#This Row],[Total_ExtraTimes]])</calculatedColumnFormula>
    </tableColumn>
    <tableColumn id="38" xr3:uid="{7615E6AF-1C05-4585-A922-2F48492BC152}" name="PctExtraTimeNeeded" dataDxfId="39">
      <calculatedColumnFormula>Table2[[#This Row],[Total_ExtraTimes]]/MAX(1,Table2[[#This Row],[GP]])</calculatedColumnFormula>
    </tableColumn>
    <tableColumn id="39" xr3:uid="{1587547F-0D1F-4DA0-B9F6-52127DEE38B9}" name="PTS" dataDxfId="38">
      <calculatedColumnFormula>(2*(Table2[[#This Row],[W_A]]+Table2[[#This Row],[W_H]]))+Table2[[#This Row],[OTL_A]]+Table2[[#This Row],[SOL_A]]+Table2[[#This Row],[OTL_H]]+Table2[[#This Row],[SOL_H]]</calculatedColumnFormula>
    </tableColumn>
    <tableColumn id="40" xr3:uid="{6C795AAF-128C-42DC-AAD8-87D3BF33ADFD}" name="PTS2" dataDxfId="37">
      <calculatedColumnFormula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calculatedColumnFormula>
    </tableColumn>
    <tableColumn id="44" xr3:uid="{49A6BB11-F68F-45E9-81AD-A5A2BEE67B66}" name="PTS%" dataDxfId="25">
      <calculatedColumnFormula>Table2[[#This Row],[PTS]]/(2*Table2[[#This Row],[GP]])</calculatedColumnFormula>
    </tableColumn>
    <tableColumn id="43" xr3:uid="{8F6C1905-0792-43E4-9678-ED6DAAD04B5E}" name="PTS2%" dataDxfId="24">
      <calculatedColumnFormula>Table2[[#This Row],[PTS]]/(3*Table2[[#This Row],[GP]])</calculatedColumnFormula>
    </tableColumn>
    <tableColumn id="41" xr3:uid="{28C920C0-A62C-423C-9F46-F8BE996916BD}" name="MAX_PTS" dataDxfId="23">
      <calculatedColumnFormula>(2*Table2[[#This Row],[GR]])+Table2[[#This Row],[PTS]]</calculatedColumnFormula>
    </tableColumn>
    <tableColumn id="42" xr3:uid="{C66D39EF-026F-494A-A00C-E8FDEAE5D985}" name="MAX_PTS2" dataDxfId="22">
      <calculatedColumnFormula>(3*Table2[[#This Row],[GR]])+Table2[[#This Row],[PTS]]</calculatedColumnFormula>
    </tableColumn>
    <tableColumn id="45" xr3:uid="{02C1559C-1CB0-4B5F-8D6D-53239B9A7E6A}" name="PROJ_PTS" dataDxfId="21">
      <calculatedColumnFormula>Table2[[#This Row],[PTS]]+(2 * Table2[[#This Row],[GR]] * Table2[[#This Row],[PTS%]])</calculatedColumnFormula>
    </tableColumn>
    <tableColumn id="46" xr3:uid="{FD805305-466B-4E91-81B8-F5157F54CE6F}" name="PROJ_PTS2" dataDxfId="20">
      <calculatedColumnFormula>Table2[[#This Row],[PTS]]+(3 * Table2[[#This Row],[GR]] * Table2[[#This Row],[PTS%]])</calculatedColumnFormula>
    </tableColumn>
    <tableColumn id="47" xr3:uid="{37467657-8E61-4678-BCFE-53D424F27C3F}" name="RECORD" dataDxfId="19">
      <calculatedColumnFormula>_xlfn.CONCAT(TEXT(Table2[[#This Row],[W]], "0"), "-", TEXT(Table2[[#This Row],[RL]],"0"), "-", TEXT(Table2[[#This Row],[OTL]]+Table2[[#This Row],[SOL]], "0"))</calculatedColumnFormula>
    </tableColumn>
    <tableColumn id="48" xr3:uid="{836B1F36-E74C-4D96-8825-5E88140DBFCE}" name="GF_A" dataDxfId="18">
      <calculatedColumnFormula>SUMIF(Table1[AwayTeam], Table2[[#This Row],[Team]], Table1[ActualAwayScore])</calculatedColumnFormula>
    </tableColumn>
    <tableColumn id="49" xr3:uid="{919BA3D4-6FBD-4A01-B213-4A9BF00325C8}" name="GA_A" dataDxfId="17">
      <calculatedColumnFormula>SUMIF(Table1[AwayTeam], Table2[[#This Row],[Team]], Table1[ActualHomeScore])</calculatedColumnFormula>
    </tableColumn>
    <tableColumn id="50" xr3:uid="{4F1269EF-3767-4757-96B8-9B5BC6F9579F}" name="GD_A" dataDxfId="16">
      <calculatedColumnFormula>Table2[[#This Row],[GF_A]]-Table2[[#This Row],[GA_A]]</calculatedColumnFormula>
    </tableColumn>
    <tableColumn id="51" xr3:uid="{237BC934-3281-44D2-9BB9-EF1BD5AA64D8}" name="GF_H" dataDxfId="15">
      <calculatedColumnFormula>SUMIF(Table1[HomeTeam], Table2[[#This Row],[Team]], Table1[ActualHomeScore])</calculatedColumnFormula>
    </tableColumn>
    <tableColumn id="52" xr3:uid="{9BA50E72-CE19-4DF5-83AA-BBEF54ED94A3}" name="GA_H" dataDxfId="14">
      <calculatedColumnFormula>SUMIF(Table1[HomeTeam], Table2[[#This Row],[Team]], Table1[ActualAwayScore])</calculatedColumnFormula>
    </tableColumn>
    <tableColumn id="53" xr3:uid="{1969D5C8-CD98-4F19-B69F-980EC8E3BC3B}" name="GD_H" dataDxfId="13">
      <calculatedColumnFormula>Table2[[#This Row],[GF_H]]-Table2[[#This Row],[GA_H]]</calculatedColumnFormula>
    </tableColumn>
    <tableColumn id="54" xr3:uid="{25869843-7575-4DD4-B1D3-643A531B4D4D}" name="GF_W" dataDxfId="11">
      <calculatedColumnFormula>SUMIFS(Table1[ActualAwayScore], Table1[AwayTeam], Table2[[#This Row],[Team]], Table1[AwayWon],1)+SUMIFS(Table1[ActualHomeScore], Table1[HomeTeam], Table2[[#This Row],[Team]], Table1[HomeWon],1)</calculatedColumnFormula>
    </tableColumn>
    <tableColumn id="55" xr3:uid="{481D6259-3417-4465-9009-F8BCB096D713}" name="GF_L" dataDxfId="10">
      <calculatedColumnFormula>SUMIFS(Table1[ActualAwayScore], Table1[AwayTeam], Table2[[#This Row],[Team]], Table1[AwayWon],0) + SUMIFS(Table1[ActualHomeScore], Table1[HomeTeam], Table2[[#This Row],[Team]], Table1[HomeWon],0)</calculatedColumnFormula>
    </tableColumn>
    <tableColumn id="56" xr3:uid="{348DF190-1FD0-4F48-A9BC-155A0E313210}" name="GD_WL" dataDxfId="12">
      <calculatedColumnFormula>Table2[[#This Row],[GF_W]]-Table2[[#This Row],[GF_L]]</calculatedColumnFormula>
    </tableColumn>
    <tableColumn id="57" xr3:uid="{CB5C3F23-9BE2-4D56-8DAB-E9FF12C23B7C}" name="GF" dataDxfId="9">
      <calculatedColumnFormula>Table2[[#This Row],[GF_A]]+Table2[[#This Row],[GF_H]]</calculatedColumnFormula>
    </tableColumn>
    <tableColumn id="58" xr3:uid="{782A6E9F-9ABD-413E-8C29-91242B95E434}" name="GA" dataDxfId="8">
      <calculatedColumnFormula>Table2[[#This Row],[GA_A]]+Table2[[#This Row],[GA_H]]</calculatedColumnFormula>
    </tableColumn>
    <tableColumn id="59" xr3:uid="{1A8E8D75-94B8-449F-94A8-86BCDD4848D8}" name="GD" dataDxfId="7">
      <calculatedColumnFormula>Table2[[#This Row],[GF]]-Table2[[#This Row],[GA]]</calculatedColumnFormula>
    </tableColumn>
    <tableColumn id="60" xr3:uid="{600AD40D-12FD-4E6D-A1D7-A84951EBC9BD}" name="GFPG" dataDxfId="6">
      <calculatedColumnFormula>Table2[[#This Row],[GF]]/Table2[[#This Row],[GP]]</calculatedColumnFormula>
    </tableColumn>
    <tableColumn id="61" xr3:uid="{50FAD8E4-251F-4EBC-BAE1-0D552AC2BE71}" name="GAPG" dataDxfId="5">
      <calculatedColumnFormula>Table2[[#This Row],[GA]]/Table2[[#This Row],[GP]]</calculatedColumnFormula>
    </tableColumn>
    <tableColumn id="62" xr3:uid="{17151576-0B0C-48E7-8D45-30E732D921A8}" name="GDPG" dataDxfId="4">
      <calculatedColumnFormula>Table2[[#This Row],[GFPG]]-Table2[[#This Row],[GAPG]]</calculatedColumnFormula>
    </tableColumn>
    <tableColumn id="63" xr3:uid="{22F1D942-33B6-4487-B738-0B0951547015}" name="AWAY_RECORD" dataDxfId="3">
      <calculatedColumnFormula>_xlfn.CONCAT(TEXT(Table2[[#This Row],[W_A]], "0"), "-", TEXT(Table2[[#This Row],[RL_A]],"0"), "-", TEXT(Table2[[#This Row],[OTL_A]]+Table2[[#This Row],[SOL_A]], "0"))</calculatedColumnFormula>
    </tableColumn>
    <tableColumn id="64" xr3:uid="{A6BF47DE-CA87-4107-9E1F-CE2A9B179648}" name="HOME_RECORD" dataDxfId="2">
      <calculatedColumnFormula>_xlfn.CONCAT(TEXT(Table2[[#This Row],[W_H]], "0"), "-", TEXT(Table2[[#This Row],[RL_H]],"0"), "-", TEXT(Table2[[#This Row],[OTL_H]]+Table2[[#This Row],[SOL_H]], "0"))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6D89-72B2-4FF1-867B-7594EB58D607}">
  <dimension ref="A1:AQ20"/>
  <sheetViews>
    <sheetView tabSelected="1" workbookViewId="0">
      <selection activeCell="V7" sqref="V7"/>
    </sheetView>
  </sheetViews>
  <sheetFormatPr defaultRowHeight="15" x14ac:dyDescent="0.25"/>
  <cols>
    <col min="1" max="1" width="10.140625" customWidth="1"/>
    <col min="2" max="2" width="5.28515625" customWidth="1"/>
    <col min="3" max="3" width="4.5703125" customWidth="1"/>
    <col min="4" max="4" width="10.140625" customWidth="1"/>
    <col min="5" max="5" width="5" customWidth="1"/>
    <col min="6" max="6" width="9.7109375" customWidth="1"/>
    <col min="7" max="8" width="4.85546875" customWidth="1"/>
    <col min="9" max="10" width="3" customWidth="1"/>
    <col min="11" max="11" width="4.140625" customWidth="1"/>
    <col min="12" max="12" width="4.85546875" customWidth="1"/>
    <col min="13" max="14" width="3" customWidth="1"/>
    <col min="15" max="15" width="4.140625" customWidth="1"/>
    <col min="16" max="16" width="4.85546875" customWidth="1"/>
    <col min="17" max="17" width="2.140625" customWidth="1"/>
    <col min="18" max="18" width="10.28515625" customWidth="1"/>
    <col min="19" max="19" width="5.140625" customWidth="1"/>
    <col min="20" max="20" width="4.85546875" customWidth="1"/>
    <col min="21" max="22" width="3.7109375" customWidth="1"/>
    <col min="23" max="23" width="4.28515625" customWidth="1"/>
    <col min="24" max="24" width="4.7109375" customWidth="1"/>
    <col min="25" max="33" width="3.7109375" customWidth="1"/>
    <col min="34" max="39" width="2.42578125" customWidth="1"/>
  </cols>
  <sheetData>
    <row r="1" spans="1:43" s="44" customFormat="1" ht="111.75" customHeight="1" x14ac:dyDescent="0.25">
      <c r="A1" s="44" t="s">
        <v>0</v>
      </c>
      <c r="B1" s="44" t="s">
        <v>1</v>
      </c>
      <c r="C1" s="44" t="s">
        <v>21</v>
      </c>
      <c r="D1" s="44" t="s">
        <v>2</v>
      </c>
      <c r="E1" s="44" t="s">
        <v>3</v>
      </c>
      <c r="F1" s="44" t="s">
        <v>4</v>
      </c>
      <c r="G1" s="44" t="s">
        <v>5</v>
      </c>
      <c r="H1" s="44" t="s">
        <v>6</v>
      </c>
      <c r="I1" s="44" t="s">
        <v>7</v>
      </c>
      <c r="J1" s="44" t="s">
        <v>8</v>
      </c>
      <c r="K1" s="44" t="s">
        <v>9</v>
      </c>
      <c r="L1" s="44" t="s">
        <v>10</v>
      </c>
      <c r="M1" s="44" t="s">
        <v>11</v>
      </c>
      <c r="N1" s="44" t="s">
        <v>12</v>
      </c>
      <c r="O1" s="44" t="s">
        <v>13</v>
      </c>
      <c r="P1" s="44" t="s">
        <v>14</v>
      </c>
      <c r="Q1" s="44" t="s">
        <v>15</v>
      </c>
      <c r="R1" s="44" t="s">
        <v>20</v>
      </c>
      <c r="S1" s="44" t="s">
        <v>19</v>
      </c>
      <c r="T1" s="44" t="s">
        <v>32</v>
      </c>
      <c r="U1" s="44" t="s">
        <v>81</v>
      </c>
      <c r="V1" s="44" t="s">
        <v>82</v>
      </c>
      <c r="W1" s="44" t="s">
        <v>78</v>
      </c>
      <c r="X1" s="44" t="s">
        <v>79</v>
      </c>
      <c r="Y1" s="44" t="s">
        <v>80</v>
      </c>
      <c r="Z1" s="44" t="s">
        <v>83</v>
      </c>
      <c r="AA1" s="44" t="s">
        <v>84</v>
      </c>
      <c r="AB1" s="44" t="s">
        <v>85</v>
      </c>
      <c r="AC1" s="44" t="s">
        <v>86</v>
      </c>
      <c r="AD1" s="44" t="s">
        <v>87</v>
      </c>
      <c r="AE1" s="44" t="s">
        <v>88</v>
      </c>
      <c r="AF1" s="44" t="s">
        <v>89</v>
      </c>
      <c r="AG1" s="44" t="s">
        <v>90</v>
      </c>
      <c r="AH1" s="44" t="s">
        <v>98</v>
      </c>
      <c r="AI1" s="44" t="s">
        <v>97</v>
      </c>
      <c r="AJ1" s="44" t="s">
        <v>28</v>
      </c>
      <c r="AK1" s="44" t="s">
        <v>29</v>
      </c>
      <c r="AL1" s="44" t="s">
        <v>30</v>
      </c>
      <c r="AM1" s="44" t="s">
        <v>31</v>
      </c>
      <c r="AN1" s="44" t="s">
        <v>74</v>
      </c>
      <c r="AO1" s="44" t="s">
        <v>75</v>
      </c>
      <c r="AP1" s="44" t="s">
        <v>76</v>
      </c>
      <c r="AQ1" s="44" t="s">
        <v>77</v>
      </c>
    </row>
    <row r="2" spans="1:43" x14ac:dyDescent="0.25">
      <c r="A2" s="1">
        <v>45937</v>
      </c>
      <c r="B2">
        <v>1620</v>
      </c>
      <c r="C2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TUE</v>
      </c>
      <c r="D2" s="1">
        <v>45937</v>
      </c>
      <c r="E2">
        <v>2000</v>
      </c>
      <c r="F2">
        <v>202520001</v>
      </c>
      <c r="G2" t="s">
        <v>16</v>
      </c>
      <c r="H2" t="s">
        <v>17</v>
      </c>
      <c r="I2">
        <v>8</v>
      </c>
      <c r="J2">
        <v>9</v>
      </c>
      <c r="K2" t="s">
        <v>18</v>
      </c>
      <c r="L2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FLA</v>
      </c>
      <c r="M2">
        <v>6</v>
      </c>
      <c r="N2">
        <v>3</v>
      </c>
      <c r="O2" t="s">
        <v>18</v>
      </c>
      <c r="P2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CHI</v>
      </c>
      <c r="Q2">
        <v>1</v>
      </c>
      <c r="R2" s="1">
        <v>45937</v>
      </c>
      <c r="S2">
        <v>2000</v>
      </c>
      <c r="T2" t="str">
        <f>IF(Table1[[#This Row],[ActualWinner]]="", "", IF(Table1[[#This Row],[AwayTeam]]=Table1[[#This Row],[ActualWinner]],Table1[[#This Row],[HomeTeam]],Table1[[#This Row],[AwayTeam]]))</f>
        <v>FLA</v>
      </c>
      <c r="U2">
        <f>Table1[[#This Row],[ActualAwayScore]]-Table1[[#This Row],[PredictedAwayScore]]</f>
        <v>-2</v>
      </c>
      <c r="V2">
        <f>Table1[[#This Row],[ActualHomeScore]]-Table1[[#This Row],[PredictedHomeScore]]</f>
        <v>-6</v>
      </c>
      <c r="W2">
        <f>(0.8*IF(Table1[[#This Row],[CorrectWinnerPrediction]]=1, 1, 0))+(0.1*IF(Table1[[#This Row],[CorrectAwayScorePrediction]]=1, 1, 0))+(0.1*IF(Table1[[#This Row],[CorrectHomeScorePrediction]]=1, 1, 0))</f>
        <v>0</v>
      </c>
      <c r="X2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2">
        <f>SUMIF(Table1[GameDate], Table1[[#This Row],[GameDate]], Table1[AwayGameGoalDiff])</f>
        <v>-2</v>
      </c>
      <c r="AA2">
        <f>SUMIF(Table1[GameDate], Table1[[#This Row],[GameDate]], Table1[HomeGameGoalDiff])</f>
        <v>-6</v>
      </c>
      <c r="AB2">
        <f>IF(ISBLANK(Table1[[#This Row],[ActualResult]]), 0, 1)</f>
        <v>1</v>
      </c>
      <c r="AC2">
        <f>IF(ISBLANK(Table1[[#This Row],[ActualResult]]), 0, IF(Table1[[#This Row],[ActualWinner]]=Table1[[#This Row],[PredictedWinner]], 1, 0))</f>
        <v>0</v>
      </c>
      <c r="AD2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">
        <f>IF(AND(Table1[[#This Row],[GameIsOver]]=1,Table1[[#This Row],[ActualAwayScore]]=0), 1,0)</f>
        <v>0</v>
      </c>
      <c r="AG2">
        <f>IF(AND(Table1[[#This Row],[GameIsOver]]=1,Table1[[#This Row],[ActualHomeScore]]=0), 1,0)</f>
        <v>0</v>
      </c>
      <c r="AH2">
        <f>IF(Table1[[#This Row],[GameIsOver]]=0,0,IF(Table1[[#This Row],[ActualWinner]]=Table1[[#This Row],[AwayTeam]], 1, 0))</f>
        <v>1</v>
      </c>
      <c r="AI2">
        <f>IF(Table1[[#This Row],[GameIsOver]]=0,0,IF(Table1[[#This Row],[ActualWinner]]=Table1[[#This Row],[HomeTeam]], 1, 0))</f>
        <v>0</v>
      </c>
      <c r="AJ2">
        <f>IF(INDEX(Standings!$A$2:$C$33,MATCH(Table1[[#This Row],[AwayTeam]],Standings!$A$2:$A$33,0),2)=INDEX(Standings!$A$2:$C$33,MATCH(Table1[[#This Row],[HomeTeam]],Standings!$A$2:$A$33,0),2),1,0)</f>
        <v>0</v>
      </c>
      <c r="AK2">
        <f>IF(INDEX(Standings!$A$2:$C$33,MATCH(Table1[[#This Row],[AwayTeam]],Standings!$A$2:$A$33,0),3)=INDEX(Standings!$A$2:$C$33,MATCH(Table1[[#This Row],[HomeTeam]],Standings!$A$2:$A$33,0),3),1,0)</f>
        <v>0</v>
      </c>
      <c r="AL2">
        <f>IF(Table1[[#This Row],[InterConf]]=1,IF(Table1[[#This Row],[InterDiv]]=0, 1, 0), 0)</f>
        <v>0</v>
      </c>
      <c r="AM2">
        <f>IF(INDEX(Standings!$A$2:$C$33,MATCH(Table1[[#This Row],[AwayTeam]],Standings!$A$2:$A$33,0),2)&lt;&gt;INDEX(Standings!$A$2:$C$33,MATCH(Table1[[#This Row],[HomeTeam]],Standings!$A$2:$A$33,0),2),1,0)</f>
        <v>1</v>
      </c>
      <c r="AN2" s="43" t="str">
        <f>INDEX(Table2[AWAY_RECORD], MATCH(Table1[[#This Row],[AwayTeam]],Table2[Team], 0), 0)</f>
        <v>1-0-0</v>
      </c>
      <c r="AO2" s="43" t="str">
        <f>INDEX(Records!$B$2:$AG$33, MATCH(Table1[[#This Row],[AwayTeam]],Records!$A$2:$A$33, 0), MATCH(Table1[[#This Row],[HomeTeam]],Records!$A$2:$A$33, 0))</f>
        <v>1-0-0</v>
      </c>
      <c r="AP2" s="43" t="str">
        <f>INDEX(Table2[HOME_RECORD], MATCH(Table1[[#This Row],[HomeTeam]],Table2[Team], 0), 0)</f>
        <v>0-1-0</v>
      </c>
      <c r="AQ2" s="43" t="str">
        <f>INDEX(Records!$B$2:$AG$33, MATCH(Table1[[#This Row],[HomeTeam]],Records!$A$2:$A$33, 0), MATCH(Table1[[#This Row],[AwayTeam]],Records!$A$2:$A$33, 0))</f>
        <v>0-1-0</v>
      </c>
    </row>
    <row r="3" spans="1:43" x14ac:dyDescent="0.25">
      <c r="A3" s="1"/>
      <c r="C3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WED</v>
      </c>
      <c r="D3" s="1">
        <v>45938</v>
      </c>
      <c r="G3" t="s">
        <v>24</v>
      </c>
      <c r="H3" t="s">
        <v>22</v>
      </c>
      <c r="I3">
        <v>1</v>
      </c>
      <c r="J3">
        <v>3</v>
      </c>
      <c r="K3" t="s">
        <v>27</v>
      </c>
      <c r="L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MIN</v>
      </c>
      <c r="M3">
        <v>4</v>
      </c>
      <c r="N3">
        <v>3</v>
      </c>
      <c r="O3" t="s">
        <v>18</v>
      </c>
      <c r="P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TOR</v>
      </c>
      <c r="R3" s="1"/>
      <c r="T3" t="str">
        <f>IF(Table1[[#This Row],[ActualWinner]]="", "", IF(Table1[[#This Row],[AwayTeam]]=Table1[[#This Row],[ActualWinner]],Table1[[#This Row],[HomeTeam]],Table1[[#This Row],[AwayTeam]]))</f>
        <v>MIN</v>
      </c>
      <c r="U3">
        <f>Table1[[#This Row],[ActualAwayScore]]-Table1[[#This Row],[PredictedAwayScore]]</f>
        <v>3</v>
      </c>
      <c r="V3">
        <f>Table1[[#This Row],[ActualHomeScore]]-Table1[[#This Row],[PredictedHomeScore]]</f>
        <v>0</v>
      </c>
      <c r="W3">
        <f>(0.8*IF(Table1[[#This Row],[CorrectWinnerPrediction]]=1, 1, 0))+(0.1*IF(Table1[[#This Row],[CorrectAwayScorePrediction]]=1, 1, 0))+(0.1*IF(Table1[[#This Row],[CorrectHomeScorePrediction]]=1, 1, 0))</f>
        <v>0.1</v>
      </c>
      <c r="X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0.1</v>
      </c>
      <c r="Z3">
        <f>SUMIF(Table1[GameDate], Table1[[#This Row],[GameDate]], Table1[AwayGameGoalDiff])</f>
        <v>3</v>
      </c>
      <c r="AA3">
        <f>SUMIF(Table1[GameDate], Table1[[#This Row],[GameDate]], Table1[HomeGameGoalDiff])</f>
        <v>0</v>
      </c>
      <c r="AB3">
        <f>IF(ISBLANK(Table1[[#This Row],[ActualResult]]), 0, 1)</f>
        <v>1</v>
      </c>
      <c r="AC3">
        <f>IF(ISBLANK(Table1[[#This Row],[ActualResult]]), 0, IF(Table1[[#This Row],[ActualWinner]]=Table1[[#This Row],[PredictedWinner]], 1, 0))</f>
        <v>0</v>
      </c>
      <c r="AD3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3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3">
        <f>IF(AND(Table1[[#This Row],[GameIsOver]]=1,Table1[[#This Row],[ActualAwayScore]]=0), 1,0)</f>
        <v>0</v>
      </c>
      <c r="AG3">
        <f>IF(AND(Table1[[#This Row],[GameIsOver]]=1,Table1[[#This Row],[ActualHomeScore]]=0), 1,0)</f>
        <v>0</v>
      </c>
      <c r="AH3">
        <f>IF(Table1[[#This Row],[GameIsOver]]=0,0,IF(Table1[[#This Row],[ActualWinner]]=Table1[[#This Row],[AwayTeam]], 1, 0))</f>
        <v>1</v>
      </c>
      <c r="AI3">
        <f>IF(Table1[[#This Row],[GameIsOver]]=0,0,IF(Table1[[#This Row],[ActualWinner]]=Table1[[#This Row],[HomeTeam]], 1, 0))</f>
        <v>0</v>
      </c>
      <c r="AJ3">
        <f>IF(INDEX(Standings!$A$2:$C$33,MATCH(Table1[[#This Row],[AwayTeam]],Standings!$A$2:$A$33,0),2)=INDEX(Standings!$A$2:$C$33,MATCH(Table1[[#This Row],[HomeTeam]],Standings!$A$2:$A$33,0),2),1,0)</f>
        <v>0</v>
      </c>
      <c r="AK3">
        <f>IF(INDEX(Standings!$A$2:$C$33,MATCH(Table1[[#This Row],[AwayTeam]],Standings!$A$2:$A$33,0),3)=INDEX(Standings!$A$2:$C$33,MATCH(Table1[[#This Row],[HomeTeam]],Standings!$A$2:$A$33,0),3),1,0)</f>
        <v>0</v>
      </c>
      <c r="AL3">
        <f>IF(Table1[[#This Row],[InterConf]]=1,IF(Table1[[#This Row],[InterDiv]]=0, 1, 0), 0)</f>
        <v>0</v>
      </c>
      <c r="AM3">
        <f>IF(INDEX(Standings!$A$2:$C$33,MATCH(Table1[[#This Row],[AwayTeam]],Standings!$A$2:$A$33,0),2)&lt;&gt;INDEX(Standings!$A$2:$C$33,MATCH(Table1[[#This Row],[HomeTeam]],Standings!$A$2:$A$33,0),2),1,0)</f>
        <v>1</v>
      </c>
      <c r="AN3" s="43" t="str">
        <f>INDEX(Table2[AWAY_RECORD], MATCH(Table1[[#This Row],[AwayTeam]],Table2[Team], 0), 0)</f>
        <v>1-0-0</v>
      </c>
      <c r="AO3" s="43" t="str">
        <f>INDEX(Records!$B$2:$AG$33, MATCH(Table1[[#This Row],[AwayTeam]],Records!$A$2:$A$33, 0), MATCH(Table1[[#This Row],[HomeTeam]],Records!$A$2:$A$33, 0))</f>
        <v>1-0-0</v>
      </c>
      <c r="AP3" s="43" t="str">
        <f>INDEX(Table2[HOME_RECORD], MATCH(Table1[[#This Row],[HomeTeam]],Table2[Team], 0), 0)</f>
        <v>0-1-0</v>
      </c>
      <c r="AQ3" s="43" t="str">
        <f>INDEX(Records!$B$2:$AG$33, MATCH(Table1[[#This Row],[HomeTeam]],Records!$A$2:$A$33, 0), MATCH(Table1[[#This Row],[AwayTeam]],Records!$A$2:$A$33, 0))</f>
        <v>0-1-0</v>
      </c>
    </row>
    <row r="4" spans="1:43" x14ac:dyDescent="0.25">
      <c r="A4" s="1"/>
      <c r="C4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THU</v>
      </c>
      <c r="D4" s="1">
        <v>45939</v>
      </c>
      <c r="G4" t="s">
        <v>25</v>
      </c>
      <c r="H4" t="s">
        <v>23</v>
      </c>
      <c r="I4">
        <v>3</v>
      </c>
      <c r="J4">
        <v>1</v>
      </c>
      <c r="K4" t="s">
        <v>26</v>
      </c>
      <c r="L4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VGK</v>
      </c>
      <c r="M4">
        <v>3</v>
      </c>
      <c r="N4">
        <v>0</v>
      </c>
      <c r="O4" t="s">
        <v>18</v>
      </c>
      <c r="P4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VGK</v>
      </c>
      <c r="R4" s="1"/>
      <c r="T4" t="str">
        <f>IF(Table1[[#This Row],[ActualWinner]]="", "", IF(Table1[[#This Row],[AwayTeam]]=Table1[[#This Row],[ActualWinner]],Table1[[#This Row],[HomeTeam]],Table1[[#This Row],[AwayTeam]]))</f>
        <v>VAN</v>
      </c>
      <c r="U4">
        <f>Table1[[#This Row],[ActualAwayScore]]-Table1[[#This Row],[PredictedAwayScore]]</f>
        <v>0</v>
      </c>
      <c r="V4">
        <f>Table1[[#This Row],[ActualHomeScore]]-Table1[[#This Row],[PredictedHomeScore]]</f>
        <v>-1</v>
      </c>
      <c r="W4">
        <f>(0.8*IF(Table1[[#This Row],[CorrectWinnerPrediction]]=1, 1, 0))+(0.1*IF(Table1[[#This Row],[CorrectAwayScorePrediction]]=1, 1, 0))+(0.1*IF(Table1[[#This Row],[CorrectHomeScorePrediction]]=1, 1, 0))</f>
        <v>0.9</v>
      </c>
      <c r="X4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0.9</v>
      </c>
      <c r="Z4">
        <f>SUMIF(Table1[GameDate], Table1[[#This Row],[GameDate]], Table1[AwayGameGoalDiff])</f>
        <v>0</v>
      </c>
      <c r="AA4">
        <f>SUMIF(Table1[GameDate], Table1[[#This Row],[GameDate]], Table1[HomeGameGoalDiff])</f>
        <v>-1</v>
      </c>
      <c r="AB4">
        <f>IF(ISBLANK(Table1[[#This Row],[ActualResult]]), 0, 1)</f>
        <v>1</v>
      </c>
      <c r="AC4">
        <f>IF(ISBLANK(Table1[[#This Row],[ActualResult]]), 0, IF(Table1[[#This Row],[ActualWinner]]=Table1[[#This Row],[PredictedWinner]], 1, 0))</f>
        <v>1</v>
      </c>
      <c r="AD4">
        <f>IF(Table1[[#This Row],[ActualAwayScore]]&gt;Table1[[#This Row],[PredictedAwayScore]], 0, IF(ISBLANK(Table1[[#This Row],[ActualResult]]), 0, IF(Table1[[#This Row],[ActualAwayScore]]=Table1[[#This Row],[PredictedAwayScore]], 1,0)))</f>
        <v>1</v>
      </c>
      <c r="AE4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4">
        <f>IF(AND(Table1[[#This Row],[GameIsOver]]=1,Table1[[#This Row],[ActualAwayScore]]=0), 1,0)</f>
        <v>0</v>
      </c>
      <c r="AG4">
        <f>IF(AND(Table1[[#This Row],[GameIsOver]]=1,Table1[[#This Row],[ActualHomeScore]]=0), 1,0)</f>
        <v>1</v>
      </c>
      <c r="AH4">
        <f>IF(Table1[[#This Row],[GameIsOver]]=0,0,IF(Table1[[#This Row],[ActualWinner]]=Table1[[#This Row],[AwayTeam]], 1, 0))</f>
        <v>1</v>
      </c>
      <c r="AI4">
        <f>IF(Table1[[#This Row],[GameIsOver]]=0,0,IF(Table1[[#This Row],[ActualWinner]]=Table1[[#This Row],[HomeTeam]], 1, 0))</f>
        <v>0</v>
      </c>
      <c r="AJ4">
        <f>IF(INDEX(Standings!$A$2:$C$33,MATCH(Table1[[#This Row],[AwayTeam]],Standings!$A$2:$A$33,0),2)=INDEX(Standings!$A$2:$C$33,MATCH(Table1[[#This Row],[HomeTeam]],Standings!$A$2:$A$33,0),2),1,0)</f>
        <v>1</v>
      </c>
      <c r="AK4">
        <f>IF(INDEX(Standings!$A$2:$C$33,MATCH(Table1[[#This Row],[AwayTeam]],Standings!$A$2:$A$33,0),3)=INDEX(Standings!$A$2:$C$33,MATCH(Table1[[#This Row],[HomeTeam]],Standings!$A$2:$A$33,0),3),1,0)</f>
        <v>1</v>
      </c>
      <c r="AL4">
        <f>IF(Table1[[#This Row],[InterConf]]=1,IF(Table1[[#This Row],[InterDiv]]=0, 1, 0), 0)</f>
        <v>0</v>
      </c>
      <c r="AM4">
        <f>IF(INDEX(Standings!$A$2:$C$33,MATCH(Table1[[#This Row],[AwayTeam]],Standings!$A$2:$A$33,0),2)&lt;&gt;INDEX(Standings!$A$2:$C$33,MATCH(Table1[[#This Row],[HomeTeam]],Standings!$A$2:$A$33,0),2),1,0)</f>
        <v>0</v>
      </c>
      <c r="AN4" s="43" t="str">
        <f>INDEX(Table2[AWAY_RECORD], MATCH(Table1[[#This Row],[AwayTeam]],Table2[Team], 0), 0)</f>
        <v>1-0-0</v>
      </c>
      <c r="AO4" s="43" t="str">
        <f>INDEX(Records!$B$2:$AG$33, MATCH(Table1[[#This Row],[AwayTeam]],Records!$A$2:$A$33, 0), MATCH(Table1[[#This Row],[HomeTeam]],Records!$A$2:$A$33, 0))</f>
        <v>1-0-0</v>
      </c>
      <c r="AP4" s="43" t="str">
        <f>INDEX(Table2[HOME_RECORD], MATCH(Table1[[#This Row],[HomeTeam]],Table2[Team], 0), 0)</f>
        <v>0-1-0</v>
      </c>
      <c r="AQ4" s="43" t="str">
        <f>INDEX(Records!$B$2:$AG$33, MATCH(Table1[[#This Row],[HomeTeam]],Records!$A$2:$A$33, 0), MATCH(Table1[[#This Row],[AwayTeam]],Records!$A$2:$A$33, 0))</f>
        <v>0-1-0</v>
      </c>
    </row>
    <row r="5" spans="1:43" x14ac:dyDescent="0.25">
      <c r="A5" s="1"/>
      <c r="C5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FRI</v>
      </c>
      <c r="D5" s="1">
        <v>45940</v>
      </c>
      <c r="G5" t="s">
        <v>54</v>
      </c>
      <c r="H5" t="s">
        <v>38</v>
      </c>
      <c r="I5">
        <v>3</v>
      </c>
      <c r="J5">
        <v>2</v>
      </c>
      <c r="K5" t="s">
        <v>27</v>
      </c>
      <c r="L5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PIT</v>
      </c>
      <c r="M5">
        <v>1</v>
      </c>
      <c r="N5">
        <v>2</v>
      </c>
      <c r="O5" t="s">
        <v>26</v>
      </c>
      <c r="P5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BUF</v>
      </c>
      <c r="R5" s="1"/>
      <c r="T5" s="43" t="str">
        <f>IF(Table1[[#This Row],[ActualWinner]]="", "", IF(Table1[[#This Row],[AwayTeam]]=Table1[[#This Row],[ActualWinner]],Table1[[#This Row],[HomeTeam]],Table1[[#This Row],[AwayTeam]]))</f>
        <v>PIT</v>
      </c>
      <c r="U5" s="43">
        <f>Table1[[#This Row],[ActualAwayScore]]-Table1[[#This Row],[PredictedAwayScore]]</f>
        <v>-2</v>
      </c>
      <c r="V5" s="43">
        <f>Table1[[#This Row],[ActualHomeScore]]-Table1[[#This Row],[PredictedHomeScore]]</f>
        <v>0</v>
      </c>
      <c r="W5" s="43">
        <f>(0.8*IF(Table1[[#This Row],[CorrectWinnerPrediction]]=1, 1, 0))+(0.1*IF(Table1[[#This Row],[CorrectAwayScorePrediction]]=1, 1, 0))+(0.1*IF(Table1[[#This Row],[CorrectHomeScorePrediction]]=1, 1, 0))</f>
        <v>0.1</v>
      </c>
      <c r="X5" s="4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0.78</v>
      </c>
      <c r="Y5" s="43"/>
      <c r="Z5" s="43">
        <f>SUMIF(Table1[GameDate], Table1[[#This Row],[GameDate]], Table1[AwayGameGoalDiff])</f>
        <v>0</v>
      </c>
      <c r="AA5" s="43">
        <f>SUMIF(Table1[GameDate], Table1[[#This Row],[GameDate]], Table1[HomeGameGoalDiff])</f>
        <v>0</v>
      </c>
      <c r="AB5" s="43">
        <f>IF(ISBLANK(Table1[[#This Row],[ActualResult]]), 0, 1)</f>
        <v>1</v>
      </c>
      <c r="AC5" s="43">
        <f>IF(ISBLANK(Table1[[#This Row],[ActualResult]]), 0, IF(Table1[[#This Row],[ActualWinner]]=Table1[[#This Row],[PredictedWinner]], 1, 0))</f>
        <v>0</v>
      </c>
      <c r="AD5" s="43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5" s="43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5" s="43">
        <f>IF(AND(Table1[[#This Row],[GameIsOver]]=1,Table1[[#This Row],[ActualAwayScore]]=0), 1,0)</f>
        <v>0</v>
      </c>
      <c r="AG5" s="43">
        <f>IF(AND(Table1[[#This Row],[GameIsOver]]=1,Table1[[#This Row],[ActualHomeScore]]=0), 1,0)</f>
        <v>0</v>
      </c>
      <c r="AH5" s="43">
        <f>IF(Table1[[#This Row],[GameIsOver]]=0,0,IF(Table1[[#This Row],[ActualWinner]]=Table1[[#This Row],[AwayTeam]], 1, 0))</f>
        <v>0</v>
      </c>
      <c r="AI5" s="43">
        <f>IF(Table1[[#This Row],[GameIsOver]]=0,0,IF(Table1[[#This Row],[ActualWinner]]=Table1[[#This Row],[HomeTeam]], 1, 0))</f>
        <v>1</v>
      </c>
      <c r="AJ5" s="43">
        <f>IF(INDEX(Standings!$A$2:$C$33,MATCH(Table1[[#This Row],[AwayTeam]],Standings!$A$2:$A$33,0),2)=INDEX(Standings!$A$2:$C$33,MATCH(Table1[[#This Row],[HomeTeam]],Standings!$A$2:$A$33,0),2),1,0)</f>
        <v>1</v>
      </c>
      <c r="AK5">
        <f>IF(INDEX(Standings!$A$2:$C$33,MATCH(Table1[[#This Row],[AwayTeam]],Standings!$A$2:$A$33,0),3)=INDEX(Standings!$A$2:$C$33,MATCH(Table1[[#This Row],[HomeTeam]],Standings!$A$2:$A$33,0),3),1,0)</f>
        <v>0</v>
      </c>
      <c r="AL5">
        <f>IF(Table1[[#This Row],[InterConf]]=1,IF(Table1[[#This Row],[InterDiv]]=0, 1, 0), 0)</f>
        <v>1</v>
      </c>
      <c r="AM5">
        <f>IF(INDEX(Standings!$A$2:$C$33,MATCH(Table1[[#This Row],[AwayTeam]],Standings!$A$2:$A$33,0),2)&lt;&gt;INDEX(Standings!$A$2:$C$33,MATCH(Table1[[#This Row],[HomeTeam]],Standings!$A$2:$A$33,0),2),1,0)</f>
        <v>0</v>
      </c>
      <c r="AN5" s="43" t="str">
        <f>INDEX(Table2[AWAY_RECORD], MATCH(Table1[[#This Row],[AwayTeam]],Table2[Team], 0), 0)</f>
        <v>0-0-1</v>
      </c>
      <c r="AO5" s="43" t="str">
        <f>INDEX(Records!$B$2:$AG$33, MATCH(Table1[[#This Row],[AwayTeam]],Records!$A$2:$A$33, 0), MATCH(Table1[[#This Row],[HomeTeam]],Records!$A$2:$A$33, 0))</f>
        <v>0-0-1</v>
      </c>
      <c r="AP5" s="43" t="str">
        <f>INDEX(Table2[HOME_RECORD], MATCH(Table1[[#This Row],[HomeTeam]],Table2[Team], 0), 0)</f>
        <v>2-0-0</v>
      </c>
      <c r="AQ5" s="43" t="str">
        <f>INDEX(Records!$B$2:$AG$33, MATCH(Table1[[#This Row],[HomeTeam]],Records!$A$2:$A$33, 0), MATCH(Table1[[#This Row],[AwayTeam]],Records!$A$2:$A$33, 0))</f>
        <v>1-0-0</v>
      </c>
    </row>
    <row r="6" spans="1:43" x14ac:dyDescent="0.25">
      <c r="A6" s="1"/>
      <c r="C6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FRI</v>
      </c>
      <c r="D6" s="1">
        <v>45940</v>
      </c>
      <c r="G6" t="s">
        <v>59</v>
      </c>
      <c r="H6" t="s">
        <v>41</v>
      </c>
      <c r="I6">
        <v>1</v>
      </c>
      <c r="J6">
        <v>4</v>
      </c>
      <c r="K6" t="s">
        <v>18</v>
      </c>
      <c r="L6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COL</v>
      </c>
      <c r="M6">
        <v>4</v>
      </c>
      <c r="N6">
        <v>3</v>
      </c>
      <c r="O6" t="s">
        <v>27</v>
      </c>
      <c r="P6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WSH</v>
      </c>
      <c r="R6" s="1"/>
      <c r="T6" s="43" t="str">
        <f>IF(Table1[[#This Row],[ActualWinner]]="", "", IF(Table1[[#This Row],[AwayTeam]]=Table1[[#This Row],[ActualWinner]],Table1[[#This Row],[HomeTeam]],Table1[[#This Row],[AwayTeam]]))</f>
        <v>COL</v>
      </c>
      <c r="U6" s="43">
        <f>Table1[[#This Row],[ActualAwayScore]]-Table1[[#This Row],[PredictedAwayScore]]</f>
        <v>3</v>
      </c>
      <c r="V6" s="43">
        <f>Table1[[#This Row],[ActualHomeScore]]-Table1[[#This Row],[PredictedHomeScore]]</f>
        <v>-1</v>
      </c>
      <c r="W6">
        <f>(0.8*IF(Table1[[#This Row],[CorrectWinnerPrediction]]=1, 1, 0))+(0.1*IF(Table1[[#This Row],[CorrectAwayScorePrediction]]=1, 1, 0))+(0.1*IF(Table1[[#This Row],[CorrectHomeScorePrediction]]=1, 1, 0))</f>
        <v>0</v>
      </c>
      <c r="X6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6">
        <f>SUMIF(Table1[GameDate], Table1[[#This Row],[GameDate]], Table1[AwayGameGoalDiff])</f>
        <v>0</v>
      </c>
      <c r="AA6">
        <f>SUMIF(Table1[GameDate], Table1[[#This Row],[GameDate]], Table1[HomeGameGoalDiff])</f>
        <v>0</v>
      </c>
      <c r="AB6">
        <f>IF(ISBLANK(Table1[[#This Row],[ActualResult]]), 0, 1)</f>
        <v>1</v>
      </c>
      <c r="AC6">
        <f>IF(ISBLANK(Table1[[#This Row],[ActualResult]]), 0, IF(Table1[[#This Row],[ActualWinner]]=Table1[[#This Row],[PredictedWinner]], 1, 0))</f>
        <v>0</v>
      </c>
      <c r="AD6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6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6">
        <f>IF(AND(Table1[[#This Row],[GameIsOver]]=1,Table1[[#This Row],[ActualAwayScore]]=0), 1,0)</f>
        <v>0</v>
      </c>
      <c r="AG6">
        <f>IF(AND(Table1[[#This Row],[GameIsOver]]=1,Table1[[#This Row],[ActualHomeScore]]=0), 1,0)</f>
        <v>0</v>
      </c>
      <c r="AH6">
        <f>IF(Table1[[#This Row],[GameIsOver]]=0,0,IF(Table1[[#This Row],[ActualWinner]]=Table1[[#This Row],[AwayTeam]], 1, 0))</f>
        <v>1</v>
      </c>
      <c r="AI6">
        <f>IF(Table1[[#This Row],[GameIsOver]]=0,0,IF(Table1[[#This Row],[ActualWinner]]=Table1[[#This Row],[HomeTeam]], 1, 0))</f>
        <v>0</v>
      </c>
      <c r="AJ6" s="43">
        <f>IF(INDEX(Standings!$A$2:$C$33,MATCH(Table1[[#This Row],[AwayTeam]],Standings!$A$2:$A$33,0),2)=INDEX(Standings!$A$2:$C$33,MATCH(Table1[[#This Row],[HomeTeam]],Standings!$A$2:$A$33,0),2),1,0)</f>
        <v>0</v>
      </c>
      <c r="AK6" s="43">
        <f>IF(INDEX(Standings!$A$2:$C$33,MATCH(Table1[[#This Row],[AwayTeam]],Standings!$A$2:$A$33,0),3)=INDEX(Standings!$A$2:$C$33,MATCH(Table1[[#This Row],[HomeTeam]],Standings!$A$2:$A$33,0),3),1,0)</f>
        <v>0</v>
      </c>
      <c r="AL6" s="43">
        <f>IF(Table1[[#This Row],[InterConf]]=1,IF(Table1[[#This Row],[InterDiv]]=0, 1, 0), 0)</f>
        <v>0</v>
      </c>
      <c r="AM6" s="43">
        <f>IF(INDEX(Standings!$A$2:$C$33,MATCH(Table1[[#This Row],[AwayTeam]],Standings!$A$2:$A$33,0),2)&lt;&gt;INDEX(Standings!$A$2:$C$33,MATCH(Table1[[#This Row],[HomeTeam]],Standings!$A$2:$A$33,0),2),1,0)</f>
        <v>1</v>
      </c>
      <c r="AN6" s="43" t="str">
        <f>INDEX(Table2[AWAY_RECORD], MATCH(Table1[[#This Row],[AwayTeam]],Table2[Team], 0), 0)</f>
        <v>1-0-0</v>
      </c>
      <c r="AO6" s="43" t="str">
        <f>INDEX(Records!$B$2:$AG$33, MATCH(Table1[[#This Row],[AwayTeam]],Records!$A$2:$A$33, 0), MATCH(Table1[[#This Row],[HomeTeam]],Records!$A$2:$A$33, 0))</f>
        <v>1-0-0</v>
      </c>
      <c r="AP6" s="43" t="str">
        <f>INDEX(Table2[HOME_RECORD], MATCH(Table1[[#This Row],[HomeTeam]],Table2[Team], 0), 0)</f>
        <v>0-0-1</v>
      </c>
      <c r="AQ6" s="43" t="str">
        <f>INDEX(Records!$B$2:$AG$33, MATCH(Table1[[#This Row],[HomeTeam]],Records!$A$2:$A$33, 0), MATCH(Table1[[#This Row],[AwayTeam]],Records!$A$2:$A$33, 0))</f>
        <v>0-0-1</v>
      </c>
    </row>
    <row r="7" spans="1:43" x14ac:dyDescent="0.25">
      <c r="A7" s="1"/>
      <c r="C7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FRI</v>
      </c>
      <c r="D7" s="1">
        <v>45940</v>
      </c>
      <c r="G7" t="s">
        <v>39</v>
      </c>
      <c r="H7" t="s">
        <v>36</v>
      </c>
      <c r="I7">
        <v>5</v>
      </c>
      <c r="J7">
        <v>4</v>
      </c>
      <c r="K7" t="s">
        <v>26</v>
      </c>
      <c r="L7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CGY</v>
      </c>
      <c r="M7">
        <v>4</v>
      </c>
      <c r="N7">
        <v>5</v>
      </c>
      <c r="O7" t="s">
        <v>26</v>
      </c>
      <c r="P7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ANA</v>
      </c>
      <c r="R7" s="1"/>
      <c r="T7" s="43" t="str">
        <f>IF(Table1[[#This Row],[ActualWinner]]="", "", IF(Table1[[#This Row],[AwayTeam]]=Table1[[#This Row],[ActualWinner]],Table1[[#This Row],[HomeTeam]],Table1[[#This Row],[AwayTeam]]))</f>
        <v>CGY</v>
      </c>
      <c r="U7" s="43">
        <f>Table1[[#This Row],[ActualAwayScore]]-Table1[[#This Row],[PredictedAwayScore]]</f>
        <v>-1</v>
      </c>
      <c r="V7" s="43">
        <f>Table1[[#This Row],[ActualHomeScore]]-Table1[[#This Row],[PredictedHomeScore]]</f>
        <v>1</v>
      </c>
      <c r="W7">
        <f>(0.8*IF(Table1[[#This Row],[CorrectWinnerPrediction]]=1, 1, 0))+(0.1*IF(Table1[[#This Row],[CorrectAwayScorePrediction]]=1, 1, 0))+(0.1*IF(Table1[[#This Row],[CorrectHomeScorePrediction]]=1, 1, 0))</f>
        <v>0</v>
      </c>
      <c r="X7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0.68</v>
      </c>
      <c r="Z7">
        <f>SUMIF(Table1[GameDate], Table1[[#This Row],[GameDate]], Table1[AwayGameGoalDiff])</f>
        <v>0</v>
      </c>
      <c r="AA7">
        <f>SUMIF(Table1[GameDate], Table1[[#This Row],[GameDate]], Table1[HomeGameGoalDiff])</f>
        <v>0</v>
      </c>
      <c r="AB7">
        <f>IF(ISBLANK(Table1[[#This Row],[ActualResult]]), 0, 1)</f>
        <v>1</v>
      </c>
      <c r="AC7">
        <f>IF(ISBLANK(Table1[[#This Row],[ActualResult]]), 0, IF(Table1[[#This Row],[ActualWinner]]=Table1[[#This Row],[PredictedWinner]], 1, 0))</f>
        <v>0</v>
      </c>
      <c r="AD7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7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7">
        <f>IF(AND(Table1[[#This Row],[GameIsOver]]=1,Table1[[#This Row],[ActualAwayScore]]=0), 1,0)</f>
        <v>0</v>
      </c>
      <c r="AG7">
        <f>IF(AND(Table1[[#This Row],[GameIsOver]]=1,Table1[[#This Row],[ActualHomeScore]]=0), 1,0)</f>
        <v>0</v>
      </c>
      <c r="AH7">
        <f>IF(Table1[[#This Row],[GameIsOver]]=0,0,IF(Table1[[#This Row],[ActualWinner]]=Table1[[#This Row],[AwayTeam]], 1, 0))</f>
        <v>0</v>
      </c>
      <c r="AI7">
        <f>IF(Table1[[#This Row],[GameIsOver]]=0,0,IF(Table1[[#This Row],[ActualWinner]]=Table1[[#This Row],[HomeTeam]], 1, 0))</f>
        <v>1</v>
      </c>
      <c r="AJ7" s="43">
        <f>IF(INDEX(Standings!$A$2:$C$33,MATCH(Table1[[#This Row],[AwayTeam]],Standings!$A$2:$A$33,0),2)=INDEX(Standings!$A$2:$C$33,MATCH(Table1[[#This Row],[HomeTeam]],Standings!$A$2:$A$33,0),2),1,0)</f>
        <v>1</v>
      </c>
      <c r="AK7" s="43">
        <f>IF(INDEX(Standings!$A$2:$C$33,MATCH(Table1[[#This Row],[AwayTeam]],Standings!$A$2:$A$33,0),3)=INDEX(Standings!$A$2:$C$33,MATCH(Table1[[#This Row],[HomeTeam]],Standings!$A$2:$A$33,0),3),1,0)</f>
        <v>1</v>
      </c>
      <c r="AL7" s="43">
        <f>IF(Table1[[#This Row],[InterConf]]=1,IF(Table1[[#This Row],[InterDiv]]=0, 1, 0), 0)</f>
        <v>0</v>
      </c>
      <c r="AM7" s="43">
        <f>IF(INDEX(Standings!$A$2:$C$33,MATCH(Table1[[#This Row],[AwayTeam]],Standings!$A$2:$A$33,0),2)&lt;&gt;INDEX(Standings!$A$2:$C$33,MATCH(Table1[[#This Row],[HomeTeam]],Standings!$A$2:$A$33,0),2),1,0)</f>
        <v>0</v>
      </c>
      <c r="AN7" s="43" t="str">
        <f>INDEX(Table2[AWAY_RECORD], MATCH(Table1[[#This Row],[AwayTeam]],Table2[Team], 0), 0)</f>
        <v>1-0-2</v>
      </c>
      <c r="AO7" s="43" t="str">
        <f>INDEX(Records!$B$2:$AG$33, MATCH(Table1[[#This Row],[AwayTeam]],Records!$A$2:$A$33, 0), MATCH(Table1[[#This Row],[HomeTeam]],Records!$A$2:$A$33, 0))</f>
        <v>0-0-1</v>
      </c>
      <c r="AP7" s="43" t="str">
        <f>INDEX(Table2[HOME_RECORD], MATCH(Table1[[#This Row],[HomeTeam]],Table2[Team], 0), 0)</f>
        <v>1-0-0</v>
      </c>
      <c r="AQ7" s="43" t="str">
        <f>INDEX(Records!$B$2:$AG$33, MATCH(Table1[[#This Row],[HomeTeam]],Records!$A$2:$A$33, 0), MATCH(Table1[[#This Row],[AwayTeam]],Records!$A$2:$A$33, 0))</f>
        <v>1-0-0</v>
      </c>
    </row>
    <row r="8" spans="1:43" x14ac:dyDescent="0.25">
      <c r="A8" s="1"/>
      <c r="C8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SAT</v>
      </c>
      <c r="D8" s="1">
        <v>45941</v>
      </c>
      <c r="G8" t="s">
        <v>37</v>
      </c>
      <c r="H8" t="s">
        <v>60</v>
      </c>
      <c r="I8">
        <v>2</v>
      </c>
      <c r="J8">
        <v>1</v>
      </c>
      <c r="K8" t="s">
        <v>18</v>
      </c>
      <c r="L8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BOS</v>
      </c>
      <c r="M8">
        <v>4</v>
      </c>
      <c r="N8">
        <v>3</v>
      </c>
      <c r="O8" t="s">
        <v>18</v>
      </c>
      <c r="P8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BOS</v>
      </c>
      <c r="R8" s="1"/>
      <c r="T8" s="43" t="str">
        <f>IF(Table1[[#This Row],[ActualWinner]]="", "", IF(Table1[[#This Row],[AwayTeam]]=Table1[[#This Row],[ActualWinner]],Table1[[#This Row],[HomeTeam]],Table1[[#This Row],[AwayTeam]]))</f>
        <v>WPG</v>
      </c>
      <c r="U8" s="43">
        <f>Table1[[#This Row],[ActualAwayScore]]-Table1[[#This Row],[PredictedAwayScore]]</f>
        <v>2</v>
      </c>
      <c r="V8" s="43">
        <f>Table1[[#This Row],[ActualHomeScore]]-Table1[[#This Row],[PredictedHomeScore]]</f>
        <v>2</v>
      </c>
      <c r="W8">
        <f>(0.8*IF(Table1[[#This Row],[CorrectWinnerPrediction]]=1, 1, 0))+(0.1*IF(Table1[[#This Row],[CorrectAwayScorePrediction]]=1, 1, 0))+(0.1*IF(Table1[[#This Row],[CorrectHomeScorePrediction]]=1, 1, 0))</f>
        <v>0.8</v>
      </c>
      <c r="X8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0.8</v>
      </c>
      <c r="Z8">
        <f>SUMIF(Table1[GameDate], Table1[[#This Row],[GameDate]], Table1[AwayGameGoalDiff])</f>
        <v>2</v>
      </c>
      <c r="AA8">
        <f>SUMIF(Table1[GameDate], Table1[[#This Row],[GameDate]], Table1[HomeGameGoalDiff])</f>
        <v>2</v>
      </c>
      <c r="AB8">
        <f>IF(ISBLANK(Table1[[#This Row],[ActualResult]]), 0, 1)</f>
        <v>1</v>
      </c>
      <c r="AC8">
        <f>IF(ISBLANK(Table1[[#This Row],[ActualResult]]), 0, IF(Table1[[#This Row],[ActualWinner]]=Table1[[#This Row],[PredictedWinner]], 1, 0))</f>
        <v>1</v>
      </c>
      <c r="AD8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8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8">
        <f>IF(AND(Table1[[#This Row],[GameIsOver]]=1,Table1[[#This Row],[ActualAwayScore]]=0), 1,0)</f>
        <v>0</v>
      </c>
      <c r="AG8">
        <f>IF(AND(Table1[[#This Row],[GameIsOver]]=1,Table1[[#This Row],[ActualHomeScore]]=0), 1,0)</f>
        <v>0</v>
      </c>
      <c r="AH8">
        <f>IF(Table1[[#This Row],[GameIsOver]]=0,0,IF(Table1[[#This Row],[ActualWinner]]=Table1[[#This Row],[AwayTeam]], 1, 0))</f>
        <v>1</v>
      </c>
      <c r="AI8">
        <f>IF(Table1[[#This Row],[GameIsOver]]=0,0,IF(Table1[[#This Row],[ActualWinner]]=Table1[[#This Row],[HomeTeam]], 1, 0))</f>
        <v>0</v>
      </c>
      <c r="AJ8" s="43">
        <f>IF(INDEX(Standings!$A$2:$C$33,MATCH(Table1[[#This Row],[AwayTeam]],Standings!$A$2:$A$33,0),2)=INDEX(Standings!$A$2:$C$33,MATCH(Table1[[#This Row],[HomeTeam]],Standings!$A$2:$A$33,0),2),1,0)</f>
        <v>0</v>
      </c>
      <c r="AK8" s="43">
        <f>IF(INDEX(Standings!$A$2:$C$33,MATCH(Table1[[#This Row],[AwayTeam]],Standings!$A$2:$A$33,0),3)=INDEX(Standings!$A$2:$C$33,MATCH(Table1[[#This Row],[HomeTeam]],Standings!$A$2:$A$33,0),3),1,0)</f>
        <v>0</v>
      </c>
      <c r="AL8" s="43">
        <f>IF(Table1[[#This Row],[InterConf]]=1,IF(Table1[[#This Row],[InterDiv]]=0, 1, 0), 0)</f>
        <v>0</v>
      </c>
      <c r="AM8" s="43">
        <f>IF(INDEX(Standings!$A$2:$C$33,MATCH(Table1[[#This Row],[AwayTeam]],Standings!$A$2:$A$33,0),2)&lt;&gt;INDEX(Standings!$A$2:$C$33,MATCH(Table1[[#This Row],[HomeTeam]],Standings!$A$2:$A$33,0),2),1,0)</f>
        <v>1</v>
      </c>
      <c r="AN8" s="43" t="str">
        <f>INDEX(Table2[AWAY_RECORD], MATCH(Table1[[#This Row],[AwayTeam]],Table2[Team], 0), 0)</f>
        <v>1-0-0</v>
      </c>
      <c r="AO8" s="43" t="str">
        <f>INDEX(Records!$B$2:$AG$33, MATCH(Table1[[#This Row],[AwayTeam]],Records!$A$2:$A$33, 0), MATCH(Table1[[#This Row],[HomeTeam]],Records!$A$2:$A$33, 0))</f>
        <v>1-0-0</v>
      </c>
      <c r="AP8" s="43" t="str">
        <f>INDEX(Table2[HOME_RECORD], MATCH(Table1[[#This Row],[HomeTeam]],Table2[Team], 0), 0)</f>
        <v>0-1-1</v>
      </c>
      <c r="AQ8" s="43" t="str">
        <f>INDEX(Records!$B$2:$AG$33, MATCH(Table1[[#This Row],[HomeTeam]],Records!$A$2:$A$33, 0), MATCH(Table1[[#This Row],[AwayTeam]],Records!$A$2:$A$33, 0))</f>
        <v>0-1-0</v>
      </c>
    </row>
    <row r="9" spans="1:43" x14ac:dyDescent="0.25">
      <c r="A9" s="1"/>
      <c r="C9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SUN</v>
      </c>
      <c r="D9" s="1">
        <v>45942</v>
      </c>
      <c r="G9" t="s">
        <v>49</v>
      </c>
      <c r="H9" t="s">
        <v>55</v>
      </c>
      <c r="I9">
        <v>6</v>
      </c>
      <c r="J9">
        <v>5</v>
      </c>
      <c r="K9" t="s">
        <v>18</v>
      </c>
      <c r="L9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NJD</v>
      </c>
      <c r="M9">
        <v>2</v>
      </c>
      <c r="N9">
        <v>1</v>
      </c>
      <c r="O9" t="s">
        <v>26</v>
      </c>
      <c r="P9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NJD</v>
      </c>
      <c r="R9" s="1"/>
      <c r="T9" s="43" t="str">
        <f>IF(Table1[[#This Row],[ActualWinner]]="", "", IF(Table1[[#This Row],[AwayTeam]]=Table1[[#This Row],[ActualWinner]],Table1[[#This Row],[HomeTeam]],Table1[[#This Row],[AwayTeam]]))</f>
        <v>SJS</v>
      </c>
      <c r="U9" s="43">
        <f>Table1[[#This Row],[ActualAwayScore]]-Table1[[#This Row],[PredictedAwayScore]]</f>
        <v>-4</v>
      </c>
      <c r="V9" s="43">
        <f>Table1[[#This Row],[ActualHomeScore]]-Table1[[#This Row],[PredictedHomeScore]]</f>
        <v>-4</v>
      </c>
      <c r="W9">
        <f>(0.8*IF(Table1[[#This Row],[CorrectWinnerPrediction]]=1, 1, 0))+(0.1*IF(Table1[[#This Row],[CorrectAwayScorePrediction]]=1, 1, 0))+(0.1*IF(Table1[[#This Row],[CorrectHomeScorePrediction]]=1, 1, 0))</f>
        <v>0.8</v>
      </c>
      <c r="X9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0.8</v>
      </c>
      <c r="Z9" s="43">
        <f>SUMIF(Table1[GameDate], Table1[[#This Row],[GameDate]], Table1[AwayGameGoalDiff])</f>
        <v>-4</v>
      </c>
      <c r="AA9" s="43">
        <f>SUMIF(Table1[GameDate], Table1[[#This Row],[GameDate]], Table1[HomeGameGoalDiff])</f>
        <v>-5</v>
      </c>
      <c r="AB9" s="43">
        <f>IF(ISBLANK(Table1[[#This Row],[ActualResult]]), 0, 1)</f>
        <v>1</v>
      </c>
      <c r="AC9">
        <f>IF(ISBLANK(Table1[[#This Row],[ActualResult]]), 0, IF(Table1[[#This Row],[ActualWinner]]=Table1[[#This Row],[PredictedWinner]], 1, 0))</f>
        <v>1</v>
      </c>
      <c r="AD9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9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9">
        <f>IF(AND(Table1[[#This Row],[GameIsOver]]=1,Table1[[#This Row],[ActualAwayScore]]=0), 1,0)</f>
        <v>0</v>
      </c>
      <c r="AG9">
        <f>IF(AND(Table1[[#This Row],[GameIsOver]]=1,Table1[[#This Row],[ActualHomeScore]]=0), 1,0)</f>
        <v>0</v>
      </c>
      <c r="AH9">
        <f>IF(Table1[[#This Row],[GameIsOver]]=0,0,IF(Table1[[#This Row],[ActualWinner]]=Table1[[#This Row],[AwayTeam]], 1, 0))</f>
        <v>1</v>
      </c>
      <c r="AI9">
        <f>IF(Table1[[#This Row],[GameIsOver]]=0,0,IF(Table1[[#This Row],[ActualWinner]]=Table1[[#This Row],[HomeTeam]], 1, 0))</f>
        <v>0</v>
      </c>
      <c r="AJ9" s="43">
        <f>IF(INDEX(Standings!$A$2:$C$33,MATCH(Table1[[#This Row],[AwayTeam]],Standings!$A$2:$A$33,0),2)=INDEX(Standings!$A$2:$C$33,MATCH(Table1[[#This Row],[HomeTeam]],Standings!$A$2:$A$33,0),2),1,0)</f>
        <v>0</v>
      </c>
      <c r="AK9" s="43">
        <f>IF(INDEX(Standings!$A$2:$C$33,MATCH(Table1[[#This Row],[AwayTeam]],Standings!$A$2:$A$33,0),3)=INDEX(Standings!$A$2:$C$33,MATCH(Table1[[#This Row],[HomeTeam]],Standings!$A$2:$A$33,0),3),1,0)</f>
        <v>0</v>
      </c>
      <c r="AL9" s="43">
        <f>IF(Table1[[#This Row],[InterConf]]=1,IF(Table1[[#This Row],[InterDiv]]=0, 1, 0), 0)</f>
        <v>0</v>
      </c>
      <c r="AM9" s="43">
        <f>IF(INDEX(Standings!$A$2:$C$33,MATCH(Table1[[#This Row],[AwayTeam]],Standings!$A$2:$A$33,0),2)&lt;&gt;INDEX(Standings!$A$2:$C$33,MATCH(Table1[[#This Row],[HomeTeam]],Standings!$A$2:$A$33,0),2),1,0)</f>
        <v>1</v>
      </c>
      <c r="AN9" s="43" t="str">
        <f>INDEX(Table2[AWAY_RECORD], MATCH(Table1[[#This Row],[AwayTeam]],Table2[Team], 0), 0)</f>
        <v>1-0-0</v>
      </c>
      <c r="AO9" s="43" t="str">
        <f>INDEX(Records!$B$2:$AG$33, MATCH(Table1[[#This Row],[AwayTeam]],Records!$A$2:$A$33, 0), MATCH(Table1[[#This Row],[HomeTeam]],Records!$A$2:$A$33, 0))</f>
        <v>1-0-0</v>
      </c>
      <c r="AP9" s="43" t="str">
        <f>INDEX(Table2[HOME_RECORD], MATCH(Table1[[#This Row],[HomeTeam]],Table2[Team], 0), 0)</f>
        <v>0-0-1</v>
      </c>
      <c r="AQ9" s="43" t="str">
        <f>INDEX(Records!$B$2:$AG$33, MATCH(Table1[[#This Row],[HomeTeam]],Records!$A$2:$A$33, 0), MATCH(Table1[[#This Row],[AwayTeam]],Records!$A$2:$A$33, 0))</f>
        <v>0-0-1</v>
      </c>
    </row>
    <row r="10" spans="1:43" x14ac:dyDescent="0.25">
      <c r="A10" s="1"/>
      <c r="C10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SUN</v>
      </c>
      <c r="D10" s="1">
        <v>45942</v>
      </c>
      <c r="G10" t="s">
        <v>51</v>
      </c>
      <c r="H10" t="s">
        <v>57</v>
      </c>
      <c r="I10">
        <v>3</v>
      </c>
      <c r="J10">
        <v>6</v>
      </c>
      <c r="K10" t="s">
        <v>18</v>
      </c>
      <c r="L10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TBL</v>
      </c>
      <c r="M10">
        <v>3</v>
      </c>
      <c r="N10">
        <v>5</v>
      </c>
      <c r="O10" t="s">
        <v>18</v>
      </c>
      <c r="P10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TBL</v>
      </c>
      <c r="R10" s="1"/>
      <c r="T10" s="43" t="str">
        <f>IF(Table1[[#This Row],[ActualWinner]]="", "", IF(Table1[[#This Row],[AwayTeam]]=Table1[[#This Row],[ActualWinner]],Table1[[#This Row],[HomeTeam]],Table1[[#This Row],[AwayTeam]]))</f>
        <v>NYR</v>
      </c>
      <c r="U10" s="43">
        <f>Table1[[#This Row],[ActualAwayScore]]-Table1[[#This Row],[PredictedAwayScore]]</f>
        <v>0</v>
      </c>
      <c r="V10" s="43">
        <f>Table1[[#This Row],[ActualHomeScore]]-Table1[[#This Row],[PredictedHomeScore]]</f>
        <v>-1</v>
      </c>
      <c r="W10" s="43">
        <f>(0.8*IF(Table1[[#This Row],[CorrectWinnerPrediction]]=1, 1, 0))+(0.1*IF(Table1[[#This Row],[CorrectAwayScorePrediction]]=1, 1, 0))+(0.1*IF(Table1[[#This Row],[CorrectHomeScorePrediction]]=1, 1, 0))</f>
        <v>0.9</v>
      </c>
      <c r="X10" s="4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0.9</v>
      </c>
      <c r="Z10" s="43">
        <f>SUMIF(Table1[GameDate], Table1[[#This Row],[GameDate]], Table1[AwayGameGoalDiff])</f>
        <v>-4</v>
      </c>
      <c r="AA10" s="43">
        <f>SUMIF(Table1[GameDate], Table1[[#This Row],[GameDate]], Table1[HomeGameGoalDiff])</f>
        <v>-5</v>
      </c>
      <c r="AB10" s="43">
        <f>IF(ISBLANK(Table1[[#This Row],[ActualResult]]), 0, 1)</f>
        <v>1</v>
      </c>
      <c r="AC10" s="43">
        <f>IF(ISBLANK(Table1[[#This Row],[ActualResult]]), 0, IF(Table1[[#This Row],[ActualWinner]]=Table1[[#This Row],[PredictedWinner]], 1, 0))</f>
        <v>1</v>
      </c>
      <c r="AD10" s="43">
        <f>IF(Table1[[#This Row],[ActualAwayScore]]&gt;Table1[[#This Row],[PredictedAwayScore]], 0, IF(ISBLANK(Table1[[#This Row],[ActualResult]]), 0, IF(Table1[[#This Row],[ActualAwayScore]]=Table1[[#This Row],[PredictedAwayScore]], 1,0)))</f>
        <v>1</v>
      </c>
      <c r="AE10" s="43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0" s="43">
        <f>IF(AND(Table1[[#This Row],[GameIsOver]]=1,Table1[[#This Row],[ActualAwayScore]]=0), 1,0)</f>
        <v>0</v>
      </c>
      <c r="AG10" s="43">
        <f>IF(AND(Table1[[#This Row],[GameIsOver]]=1,Table1[[#This Row],[ActualHomeScore]]=0), 1,0)</f>
        <v>0</v>
      </c>
      <c r="AH10" s="43">
        <f>IF(Table1[[#This Row],[GameIsOver]]=0,0,IF(Table1[[#This Row],[ActualWinner]]=Table1[[#This Row],[AwayTeam]], 1, 0))</f>
        <v>0</v>
      </c>
      <c r="AI10" s="43">
        <f>IF(Table1[[#This Row],[GameIsOver]]=0,0,IF(Table1[[#This Row],[ActualWinner]]=Table1[[#This Row],[HomeTeam]], 1, 0))</f>
        <v>1</v>
      </c>
      <c r="AJ10" s="43">
        <f>IF(INDEX(Standings!$A$2:$C$33,MATCH(Table1[[#This Row],[AwayTeam]],Standings!$A$2:$A$33,0),2)=INDEX(Standings!$A$2:$C$33,MATCH(Table1[[#This Row],[HomeTeam]],Standings!$A$2:$A$33,0),2),1,0)</f>
        <v>1</v>
      </c>
      <c r="AK10" s="43">
        <f>IF(INDEX(Standings!$A$2:$C$33,MATCH(Table1[[#This Row],[AwayTeam]],Standings!$A$2:$A$33,0),3)=INDEX(Standings!$A$2:$C$33,MATCH(Table1[[#This Row],[HomeTeam]],Standings!$A$2:$A$33,0),3),1,0)</f>
        <v>0</v>
      </c>
      <c r="AL10" s="43">
        <f>IF(Table1[[#This Row],[InterConf]]=1,IF(Table1[[#This Row],[InterDiv]]=0, 1, 0), 0)</f>
        <v>1</v>
      </c>
      <c r="AM10" s="43">
        <f>IF(INDEX(Standings!$A$2:$C$33,MATCH(Table1[[#This Row],[AwayTeam]],Standings!$A$2:$A$33,0),2)&lt;&gt;INDEX(Standings!$A$2:$C$33,MATCH(Table1[[#This Row],[HomeTeam]],Standings!$A$2:$A$33,0),2),1,0)</f>
        <v>0</v>
      </c>
      <c r="AN10" s="43" t="str">
        <f>INDEX(Table2[AWAY_RECORD], MATCH(Table1[[#This Row],[AwayTeam]],Table2[Team], 0), 0)</f>
        <v>0-1-0</v>
      </c>
      <c r="AO10" s="43" t="str">
        <f>INDEX(Records!$B$2:$AG$33, MATCH(Table1[[#This Row],[AwayTeam]],Records!$A$2:$A$33, 0), MATCH(Table1[[#This Row],[HomeTeam]],Records!$A$2:$A$33, 0))</f>
        <v>0-1-0</v>
      </c>
      <c r="AP10" s="43" t="str">
        <f>INDEX(Table2[HOME_RECORD], MATCH(Table1[[#This Row],[HomeTeam]],Table2[Team], 0), 0)</f>
        <v>1-0-0</v>
      </c>
      <c r="AQ10" s="43" t="str">
        <f>INDEX(Records!$B$2:$AG$33, MATCH(Table1[[#This Row],[HomeTeam]],Records!$A$2:$A$33, 0), MATCH(Table1[[#This Row],[AwayTeam]],Records!$A$2:$A$33, 0))</f>
        <v>1-0-0</v>
      </c>
    </row>
    <row r="11" spans="1:43" x14ac:dyDescent="0.25">
      <c r="A11" s="1"/>
      <c r="C11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MON</v>
      </c>
      <c r="D11" s="1">
        <v>45943</v>
      </c>
      <c r="G11" t="s">
        <v>43</v>
      </c>
      <c r="H11" t="s">
        <v>56</v>
      </c>
      <c r="I11">
        <v>3</v>
      </c>
      <c r="J11">
        <v>4</v>
      </c>
      <c r="K11" t="s">
        <v>26</v>
      </c>
      <c r="L11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SEA</v>
      </c>
      <c r="M11">
        <v>3</v>
      </c>
      <c r="N11">
        <v>4</v>
      </c>
      <c r="O11" t="s">
        <v>18</v>
      </c>
      <c r="P11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SEA</v>
      </c>
      <c r="R11" s="1"/>
      <c r="T11" s="43" t="str">
        <f>IF(Table1[[#This Row],[ActualWinner]]="", "", IF(Table1[[#This Row],[AwayTeam]]=Table1[[#This Row],[ActualWinner]],Table1[[#This Row],[HomeTeam]],Table1[[#This Row],[AwayTeam]]))</f>
        <v>DAL</v>
      </c>
      <c r="U11" s="43">
        <f>Table1[[#This Row],[ActualAwayScore]]-Table1[[#This Row],[PredictedAwayScore]]</f>
        <v>0</v>
      </c>
      <c r="V11" s="43">
        <f>Table1[[#This Row],[ActualHomeScore]]-Table1[[#This Row],[PredictedHomeScore]]</f>
        <v>0</v>
      </c>
      <c r="W11" s="43">
        <f>(0.8*IF(Table1[[#This Row],[CorrectWinnerPrediction]]=1, 1, 0))+(0.1*IF(Table1[[#This Row],[CorrectAwayScorePrediction]]=1, 1, 0))+(0.1*IF(Table1[[#This Row],[CorrectHomeScorePrediction]]=1, 1, 0))</f>
        <v>1</v>
      </c>
      <c r="X11" s="4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1</v>
      </c>
      <c r="Z11" s="43">
        <f>SUMIF(Table1[GameDate], Table1[[#This Row],[GameDate]], Table1[AwayGameGoalDiff])</f>
        <v>0</v>
      </c>
      <c r="AA11" s="43">
        <f>SUMIF(Table1[GameDate], Table1[[#This Row],[GameDate]], Table1[HomeGameGoalDiff])</f>
        <v>-1</v>
      </c>
      <c r="AB11" s="43">
        <f>IF(ISBLANK(Table1[[#This Row],[ActualResult]]), 0, 1)</f>
        <v>1</v>
      </c>
      <c r="AC11" s="43">
        <f>IF(ISBLANK(Table1[[#This Row],[ActualResult]]), 0, IF(Table1[[#This Row],[ActualWinner]]=Table1[[#This Row],[PredictedWinner]], 1, 0))</f>
        <v>1</v>
      </c>
      <c r="AD11" s="43">
        <f>IF(Table1[[#This Row],[ActualAwayScore]]&gt;Table1[[#This Row],[PredictedAwayScore]], 0, IF(ISBLANK(Table1[[#This Row],[ActualResult]]), 0, IF(Table1[[#This Row],[ActualAwayScore]]=Table1[[#This Row],[PredictedAwayScore]], 1,0)))</f>
        <v>1</v>
      </c>
      <c r="AE11" s="43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11" s="43">
        <f>IF(AND(Table1[[#This Row],[GameIsOver]]=1,Table1[[#This Row],[ActualAwayScore]]=0), 1,0)</f>
        <v>0</v>
      </c>
      <c r="AG11" s="43">
        <f>IF(AND(Table1[[#This Row],[GameIsOver]]=1,Table1[[#This Row],[ActualHomeScore]]=0), 1,0)</f>
        <v>0</v>
      </c>
      <c r="AH11" s="43">
        <f>IF(Table1[[#This Row],[GameIsOver]]=0,0,IF(Table1[[#This Row],[ActualWinner]]=Table1[[#This Row],[AwayTeam]], 1, 0))</f>
        <v>0</v>
      </c>
      <c r="AI11" s="43">
        <f>IF(Table1[[#This Row],[GameIsOver]]=0,0,IF(Table1[[#This Row],[ActualWinner]]=Table1[[#This Row],[HomeTeam]], 1, 0))</f>
        <v>1</v>
      </c>
      <c r="AJ11" s="43">
        <f>IF(INDEX(Standings!$A$2:$C$33,MATCH(Table1[[#This Row],[AwayTeam]],Standings!$A$2:$A$33,0),2)=INDEX(Standings!$A$2:$C$33,MATCH(Table1[[#This Row],[HomeTeam]],Standings!$A$2:$A$33,0),2),1,0)</f>
        <v>1</v>
      </c>
      <c r="AK11" s="43">
        <f>IF(INDEX(Standings!$A$2:$C$33,MATCH(Table1[[#This Row],[AwayTeam]],Standings!$A$2:$A$33,0),3)=INDEX(Standings!$A$2:$C$33,MATCH(Table1[[#This Row],[HomeTeam]],Standings!$A$2:$A$33,0),3),1,0)</f>
        <v>0</v>
      </c>
      <c r="AL11" s="43">
        <f>IF(Table1[[#This Row],[InterConf]]=1,IF(Table1[[#This Row],[InterDiv]]=0, 1, 0), 0)</f>
        <v>1</v>
      </c>
      <c r="AM11" s="43">
        <f>IF(INDEX(Standings!$A$2:$C$33,MATCH(Table1[[#This Row],[AwayTeam]],Standings!$A$2:$A$33,0),2)&lt;&gt;INDEX(Standings!$A$2:$C$33,MATCH(Table1[[#This Row],[HomeTeam]],Standings!$A$2:$A$33,0),2),1,0)</f>
        <v>0</v>
      </c>
      <c r="AN11" s="43" t="str">
        <f>INDEX(Table2[AWAY_RECORD], MATCH(Table1[[#This Row],[AwayTeam]],Table2[Team], 0), 0)</f>
        <v>0-1-0</v>
      </c>
      <c r="AO11" s="43" t="str">
        <f>INDEX(Records!$B$2:$AG$33, MATCH(Table1[[#This Row],[AwayTeam]],Records!$A$2:$A$33, 0), MATCH(Table1[[#This Row],[HomeTeam]],Records!$A$2:$A$33, 0))</f>
        <v>0-1-0</v>
      </c>
      <c r="AP11" s="43" t="str">
        <f>INDEX(Table2[HOME_RECORD], MATCH(Table1[[#This Row],[HomeTeam]],Table2[Team], 0), 0)</f>
        <v>1-0-0</v>
      </c>
      <c r="AQ11" s="43" t="str">
        <f>INDEX(Records!$B$2:$AG$33, MATCH(Table1[[#This Row],[HomeTeam]],Records!$A$2:$A$33, 0), MATCH(Table1[[#This Row],[AwayTeam]],Records!$A$2:$A$33, 0))</f>
        <v>1-0-0</v>
      </c>
    </row>
    <row r="12" spans="1:43" x14ac:dyDescent="0.25">
      <c r="A12" s="1"/>
      <c r="C12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MON</v>
      </c>
      <c r="D12" s="1">
        <v>45943</v>
      </c>
      <c r="G12" t="s">
        <v>47</v>
      </c>
      <c r="H12" t="s">
        <v>45</v>
      </c>
      <c r="I12">
        <v>4</v>
      </c>
      <c r="J12">
        <v>5</v>
      </c>
      <c r="K12" t="s">
        <v>18</v>
      </c>
      <c r="L12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EDM</v>
      </c>
      <c r="M12">
        <v>2</v>
      </c>
      <c r="N12">
        <v>3</v>
      </c>
      <c r="O12" t="s">
        <v>27</v>
      </c>
      <c r="P12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EDM</v>
      </c>
      <c r="R12" s="1"/>
      <c r="T12" s="43" t="str">
        <f>IF(Table1[[#This Row],[ActualWinner]]="", "", IF(Table1[[#This Row],[AwayTeam]]=Table1[[#This Row],[ActualWinner]],Table1[[#This Row],[HomeTeam]],Table1[[#This Row],[AwayTeam]]))</f>
        <v>MTL</v>
      </c>
      <c r="U12" s="43">
        <f>Table1[[#This Row],[ActualAwayScore]]-Table1[[#This Row],[PredictedAwayScore]]</f>
        <v>-2</v>
      </c>
      <c r="V12" s="43">
        <f>Table1[[#This Row],[ActualHomeScore]]-Table1[[#This Row],[PredictedHomeScore]]</f>
        <v>-2</v>
      </c>
      <c r="W12" s="43">
        <f>(0.8*IF(Table1[[#This Row],[CorrectWinnerPrediction]]=1, 1, 0))+(0.1*IF(Table1[[#This Row],[CorrectAwayScorePrediction]]=1, 1, 0))+(0.1*IF(Table1[[#This Row],[CorrectHomeScorePrediction]]=1, 1, 0))</f>
        <v>0.8</v>
      </c>
      <c r="X12" s="4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0.8</v>
      </c>
      <c r="Z12" s="43">
        <f>SUMIF(Table1[GameDate], Table1[[#This Row],[GameDate]], Table1[AwayGameGoalDiff])</f>
        <v>0</v>
      </c>
      <c r="AA12" s="43">
        <f>SUMIF(Table1[GameDate], Table1[[#This Row],[GameDate]], Table1[HomeGameGoalDiff])</f>
        <v>-1</v>
      </c>
      <c r="AB12" s="43">
        <f>IF(ISBLANK(Table1[[#This Row],[ActualResult]]), 0, 1)</f>
        <v>1</v>
      </c>
      <c r="AC12" s="43">
        <f>IF(ISBLANK(Table1[[#This Row],[ActualResult]]), 0, IF(Table1[[#This Row],[ActualWinner]]=Table1[[#This Row],[PredictedWinner]], 1, 0))</f>
        <v>1</v>
      </c>
      <c r="AD12" s="43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2" s="43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2" s="43">
        <f>IF(AND(Table1[[#This Row],[GameIsOver]]=1,Table1[[#This Row],[ActualAwayScore]]=0), 1,0)</f>
        <v>0</v>
      </c>
      <c r="AG12" s="43">
        <f>IF(AND(Table1[[#This Row],[GameIsOver]]=1,Table1[[#This Row],[ActualHomeScore]]=0), 1,0)</f>
        <v>0</v>
      </c>
      <c r="AH12" s="43">
        <f>IF(Table1[[#This Row],[GameIsOver]]=0,0,IF(Table1[[#This Row],[ActualWinner]]=Table1[[#This Row],[AwayTeam]], 1, 0))</f>
        <v>0</v>
      </c>
      <c r="AI12" s="43">
        <f>IF(Table1[[#This Row],[GameIsOver]]=0,0,IF(Table1[[#This Row],[ActualWinner]]=Table1[[#This Row],[HomeTeam]], 1, 0))</f>
        <v>1</v>
      </c>
      <c r="AJ12" s="43">
        <f>IF(INDEX(Standings!$A$2:$C$33,MATCH(Table1[[#This Row],[AwayTeam]],Standings!$A$2:$A$33,0),2)=INDEX(Standings!$A$2:$C$33,MATCH(Table1[[#This Row],[HomeTeam]],Standings!$A$2:$A$33,0),2),1,0)</f>
        <v>0</v>
      </c>
      <c r="AK12" s="43">
        <f>IF(INDEX(Standings!$A$2:$C$33,MATCH(Table1[[#This Row],[AwayTeam]],Standings!$A$2:$A$33,0),3)=INDEX(Standings!$A$2:$C$33,MATCH(Table1[[#This Row],[HomeTeam]],Standings!$A$2:$A$33,0),3),1,0)</f>
        <v>0</v>
      </c>
      <c r="AL12" s="43">
        <f>IF(Table1[[#This Row],[InterConf]]=1,IF(Table1[[#This Row],[InterDiv]]=0, 1, 0), 0)</f>
        <v>0</v>
      </c>
      <c r="AM12" s="43">
        <f>IF(INDEX(Standings!$A$2:$C$33,MATCH(Table1[[#This Row],[AwayTeam]],Standings!$A$2:$A$33,0),2)&lt;&gt;INDEX(Standings!$A$2:$C$33,MATCH(Table1[[#This Row],[HomeTeam]],Standings!$A$2:$A$33,0),2),1,0)</f>
        <v>1</v>
      </c>
      <c r="AN12" s="43" t="str">
        <f>INDEX(Table2[AWAY_RECORD], MATCH(Table1[[#This Row],[AwayTeam]],Table2[Team], 0), 0)</f>
        <v>0-0-1</v>
      </c>
      <c r="AO12" s="43" t="str">
        <f>INDEX(Records!$B$2:$AG$33, MATCH(Table1[[#This Row],[AwayTeam]],Records!$A$2:$A$33, 0), MATCH(Table1[[#This Row],[HomeTeam]],Records!$A$2:$A$33, 0))</f>
        <v>0-0-1</v>
      </c>
      <c r="AP12" s="43" t="str">
        <f>INDEX(Table2[HOME_RECORD], MATCH(Table1[[#This Row],[HomeTeam]],Table2[Team], 0), 0)</f>
        <v>1-0-0</v>
      </c>
      <c r="AQ12" s="43" t="str">
        <f>INDEX(Records!$B$2:$AG$33, MATCH(Table1[[#This Row],[HomeTeam]],Records!$A$2:$A$33, 0), MATCH(Table1[[#This Row],[AwayTeam]],Records!$A$2:$A$33, 0))</f>
        <v>1-0-0</v>
      </c>
    </row>
    <row r="13" spans="1:43" x14ac:dyDescent="0.25">
      <c r="A13" s="1"/>
      <c r="C13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MON</v>
      </c>
      <c r="D13" s="1">
        <v>45943</v>
      </c>
      <c r="G13" t="s">
        <v>52</v>
      </c>
      <c r="H13" t="s">
        <v>58</v>
      </c>
      <c r="I13">
        <v>1</v>
      </c>
      <c r="J13">
        <v>3</v>
      </c>
      <c r="K13" t="s">
        <v>18</v>
      </c>
      <c r="L13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UTA</v>
      </c>
      <c r="M13">
        <v>2</v>
      </c>
      <c r="N13">
        <v>3</v>
      </c>
      <c r="O13" t="s">
        <v>27</v>
      </c>
      <c r="P13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UTA</v>
      </c>
      <c r="R13" s="1"/>
      <c r="T13" s="43" t="str">
        <f>IF(Table1[[#This Row],[ActualWinner]]="", "", IF(Table1[[#This Row],[AwayTeam]]=Table1[[#This Row],[ActualWinner]],Table1[[#This Row],[HomeTeam]],Table1[[#This Row],[AwayTeam]]))</f>
        <v>OTT</v>
      </c>
      <c r="U13" s="43">
        <f>Table1[[#This Row],[ActualAwayScore]]-Table1[[#This Row],[PredictedAwayScore]]</f>
        <v>1</v>
      </c>
      <c r="V13" s="43">
        <f>Table1[[#This Row],[ActualHomeScore]]-Table1[[#This Row],[PredictedHomeScore]]</f>
        <v>0</v>
      </c>
      <c r="W13" s="43">
        <f>(0.8*IF(Table1[[#This Row],[CorrectWinnerPrediction]]=1, 1, 0))+(0.1*IF(Table1[[#This Row],[CorrectAwayScorePrediction]]=1, 1, 0))+(0.1*IF(Table1[[#This Row],[CorrectHomeScorePrediction]]=1, 1, 0))</f>
        <v>0.9</v>
      </c>
      <c r="X13" s="4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0.9</v>
      </c>
      <c r="Z13" s="43">
        <f>SUMIF(Table1[GameDate], Table1[[#This Row],[GameDate]], Table1[AwayGameGoalDiff])</f>
        <v>0</v>
      </c>
      <c r="AA13" s="43">
        <f>SUMIF(Table1[GameDate], Table1[[#This Row],[GameDate]], Table1[HomeGameGoalDiff])</f>
        <v>-1</v>
      </c>
      <c r="AB13" s="43">
        <f>IF(ISBLANK(Table1[[#This Row],[ActualResult]]), 0, 1)</f>
        <v>1</v>
      </c>
      <c r="AC13" s="43">
        <f>IF(ISBLANK(Table1[[#This Row],[ActualResult]]), 0, IF(Table1[[#This Row],[ActualWinner]]=Table1[[#This Row],[PredictedWinner]], 1, 0))</f>
        <v>1</v>
      </c>
      <c r="AD13" s="43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3" s="43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13" s="43">
        <f>IF(AND(Table1[[#This Row],[GameIsOver]]=1,Table1[[#This Row],[ActualAwayScore]]=0), 1,0)</f>
        <v>0</v>
      </c>
      <c r="AG13" s="43">
        <f>IF(AND(Table1[[#This Row],[GameIsOver]]=1,Table1[[#This Row],[ActualHomeScore]]=0), 1,0)</f>
        <v>0</v>
      </c>
      <c r="AH13" s="43">
        <f>IF(Table1[[#This Row],[GameIsOver]]=0,0,IF(Table1[[#This Row],[ActualWinner]]=Table1[[#This Row],[AwayTeam]], 1, 0))</f>
        <v>0</v>
      </c>
      <c r="AI13" s="43">
        <f>IF(Table1[[#This Row],[GameIsOver]]=0,0,IF(Table1[[#This Row],[ActualWinner]]=Table1[[#This Row],[HomeTeam]], 1, 0))</f>
        <v>1</v>
      </c>
      <c r="AJ13" s="43">
        <f>IF(INDEX(Standings!$A$2:$C$33,MATCH(Table1[[#This Row],[AwayTeam]],Standings!$A$2:$A$33,0),2)=INDEX(Standings!$A$2:$C$33,MATCH(Table1[[#This Row],[HomeTeam]],Standings!$A$2:$A$33,0),2),1,0)</f>
        <v>0</v>
      </c>
      <c r="AK13" s="43">
        <f>IF(INDEX(Standings!$A$2:$C$33,MATCH(Table1[[#This Row],[AwayTeam]],Standings!$A$2:$A$33,0),3)=INDEX(Standings!$A$2:$C$33,MATCH(Table1[[#This Row],[HomeTeam]],Standings!$A$2:$A$33,0),3),1,0)</f>
        <v>0</v>
      </c>
      <c r="AL13" s="43">
        <f>IF(Table1[[#This Row],[InterConf]]=1,IF(Table1[[#This Row],[InterDiv]]=0, 1, 0), 0)</f>
        <v>0</v>
      </c>
      <c r="AM13" s="43">
        <f>IF(INDEX(Standings!$A$2:$C$33,MATCH(Table1[[#This Row],[AwayTeam]],Standings!$A$2:$A$33,0),2)&lt;&gt;INDEX(Standings!$A$2:$C$33,MATCH(Table1[[#This Row],[HomeTeam]],Standings!$A$2:$A$33,0),2),1,0)</f>
        <v>1</v>
      </c>
      <c r="AN13" s="43" t="str">
        <f>INDEX(Table2[AWAY_RECORD], MATCH(Table1[[#This Row],[AwayTeam]],Table2[Team], 0), 0)</f>
        <v>0-1-1</v>
      </c>
      <c r="AO13" s="43" t="str">
        <f>INDEX(Records!$B$2:$AG$33, MATCH(Table1[[#This Row],[AwayTeam]],Records!$A$2:$A$33, 0), MATCH(Table1[[#This Row],[HomeTeam]],Records!$A$2:$A$33, 0))</f>
        <v>0-0-1</v>
      </c>
      <c r="AP13" s="43" t="str">
        <f>INDEX(Table2[HOME_RECORD], MATCH(Table1[[#This Row],[HomeTeam]],Table2[Team], 0), 0)</f>
        <v>1-0-0</v>
      </c>
      <c r="AQ13" s="43" t="str">
        <f>INDEX(Records!$B$2:$AG$33, MATCH(Table1[[#This Row],[HomeTeam]],Records!$A$2:$A$33, 0), MATCH(Table1[[#This Row],[AwayTeam]],Records!$A$2:$A$33, 0))</f>
        <v>1-0-0</v>
      </c>
    </row>
    <row r="14" spans="1:43" x14ac:dyDescent="0.25">
      <c r="A14" s="1"/>
      <c r="C14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MON</v>
      </c>
      <c r="D14" s="1">
        <v>45943</v>
      </c>
      <c r="G14" t="s">
        <v>46</v>
      </c>
      <c r="H14" t="s">
        <v>40</v>
      </c>
      <c r="I14">
        <v>1</v>
      </c>
      <c r="J14">
        <v>2</v>
      </c>
      <c r="K14" t="s">
        <v>18</v>
      </c>
      <c r="L14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CAR</v>
      </c>
      <c r="M14">
        <v>2</v>
      </c>
      <c r="N14">
        <v>3</v>
      </c>
      <c r="O14" t="s">
        <v>27</v>
      </c>
      <c r="P14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CAR</v>
      </c>
      <c r="R14" s="1"/>
      <c r="T14" s="43" t="str">
        <f>IF(Table1[[#This Row],[ActualWinner]]="", "", IF(Table1[[#This Row],[AwayTeam]]=Table1[[#This Row],[ActualWinner]],Table1[[#This Row],[HomeTeam]],Table1[[#This Row],[AwayTeam]]))</f>
        <v>LAK</v>
      </c>
      <c r="U14" s="43">
        <f>Table1[[#This Row],[ActualAwayScore]]-Table1[[#This Row],[PredictedAwayScore]]</f>
        <v>1</v>
      </c>
      <c r="V14" s="43">
        <f>Table1[[#This Row],[ActualHomeScore]]-Table1[[#This Row],[PredictedHomeScore]]</f>
        <v>1</v>
      </c>
      <c r="W14" s="43">
        <f>(0.8*IF(Table1[[#This Row],[CorrectWinnerPrediction]]=1, 1, 0))+(0.1*IF(Table1[[#This Row],[CorrectAwayScorePrediction]]=1, 1, 0))+(0.1*IF(Table1[[#This Row],[CorrectHomeScorePrediction]]=1, 1, 0))</f>
        <v>0.8</v>
      </c>
      <c r="X14" s="4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0.8</v>
      </c>
      <c r="Z14" s="43">
        <f>SUMIF(Table1[GameDate], Table1[[#This Row],[GameDate]], Table1[AwayGameGoalDiff])</f>
        <v>0</v>
      </c>
      <c r="AA14" s="43">
        <f>SUMIF(Table1[GameDate], Table1[[#This Row],[GameDate]], Table1[HomeGameGoalDiff])</f>
        <v>-1</v>
      </c>
      <c r="AB14" s="43">
        <f>IF(ISBLANK(Table1[[#This Row],[ActualResult]]), 0, 1)</f>
        <v>1</v>
      </c>
      <c r="AC14" s="43">
        <f>IF(ISBLANK(Table1[[#This Row],[ActualResult]]), 0, IF(Table1[[#This Row],[ActualWinner]]=Table1[[#This Row],[PredictedWinner]], 1, 0))</f>
        <v>1</v>
      </c>
      <c r="AD14" s="43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4" s="43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4" s="43">
        <f>IF(AND(Table1[[#This Row],[GameIsOver]]=1,Table1[[#This Row],[ActualAwayScore]]=0), 1,0)</f>
        <v>0</v>
      </c>
      <c r="AG14" s="43">
        <f>IF(AND(Table1[[#This Row],[GameIsOver]]=1,Table1[[#This Row],[ActualHomeScore]]=0), 1,0)</f>
        <v>0</v>
      </c>
      <c r="AH14" s="43">
        <f>IF(Table1[[#This Row],[GameIsOver]]=0,0,IF(Table1[[#This Row],[ActualWinner]]=Table1[[#This Row],[AwayTeam]], 1, 0))</f>
        <v>0</v>
      </c>
      <c r="AI14" s="43">
        <f>IF(Table1[[#This Row],[GameIsOver]]=0,0,IF(Table1[[#This Row],[ActualWinner]]=Table1[[#This Row],[HomeTeam]], 1, 0))</f>
        <v>1</v>
      </c>
      <c r="AJ14" s="43">
        <f>IF(INDEX(Standings!$A$2:$C$33,MATCH(Table1[[#This Row],[AwayTeam]],Standings!$A$2:$A$33,0),2)=INDEX(Standings!$A$2:$C$33,MATCH(Table1[[#This Row],[HomeTeam]],Standings!$A$2:$A$33,0),2),1,0)</f>
        <v>0</v>
      </c>
      <c r="AK14" s="43">
        <f>IF(INDEX(Standings!$A$2:$C$33,MATCH(Table1[[#This Row],[AwayTeam]],Standings!$A$2:$A$33,0),3)=INDEX(Standings!$A$2:$C$33,MATCH(Table1[[#This Row],[HomeTeam]],Standings!$A$2:$A$33,0),3),1,0)</f>
        <v>0</v>
      </c>
      <c r="AL14" s="43">
        <f>IF(Table1[[#This Row],[InterConf]]=1,IF(Table1[[#This Row],[InterDiv]]=0, 1, 0), 0)</f>
        <v>0</v>
      </c>
      <c r="AM14" s="43">
        <f>IF(INDEX(Standings!$A$2:$C$33,MATCH(Table1[[#This Row],[AwayTeam]],Standings!$A$2:$A$33,0),2)&lt;&gt;INDEX(Standings!$A$2:$C$33,MATCH(Table1[[#This Row],[HomeTeam]],Standings!$A$2:$A$33,0),2),1,0)</f>
        <v>1</v>
      </c>
      <c r="AN14" s="43" t="str">
        <f>INDEX(Table2[AWAY_RECORD], MATCH(Table1[[#This Row],[AwayTeam]],Table2[Team], 0), 0)</f>
        <v>0-0-1</v>
      </c>
      <c r="AO14" s="43" t="str">
        <f>INDEX(Records!$B$2:$AG$33, MATCH(Table1[[#This Row],[AwayTeam]],Records!$A$2:$A$33, 0), MATCH(Table1[[#This Row],[HomeTeam]],Records!$A$2:$A$33, 0))</f>
        <v>0-0-1</v>
      </c>
      <c r="AP14" s="43" t="str">
        <f>INDEX(Table2[HOME_RECORD], MATCH(Table1[[#This Row],[HomeTeam]],Table2[Team], 0), 0)</f>
        <v>1-0-0</v>
      </c>
      <c r="AQ14" s="43" t="str">
        <f>INDEX(Records!$B$2:$AG$33, MATCH(Table1[[#This Row],[HomeTeam]],Records!$A$2:$A$33, 0), MATCH(Table1[[#This Row],[AwayTeam]],Records!$A$2:$A$33, 0))</f>
        <v>1-0-0</v>
      </c>
    </row>
    <row r="15" spans="1:43" x14ac:dyDescent="0.25">
      <c r="A15" s="1"/>
      <c r="C15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TUE</v>
      </c>
      <c r="D15" s="1">
        <v>45944</v>
      </c>
      <c r="G15" t="s">
        <v>42</v>
      </c>
      <c r="H15" t="s">
        <v>53</v>
      </c>
      <c r="I15">
        <v>3</v>
      </c>
      <c r="J15">
        <v>4</v>
      </c>
      <c r="K15" t="s">
        <v>18</v>
      </c>
      <c r="L15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PHI</v>
      </c>
      <c r="M15">
        <v>4</v>
      </c>
      <c r="N15">
        <v>3</v>
      </c>
      <c r="O15" t="s">
        <v>18</v>
      </c>
      <c r="P15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CBJ</v>
      </c>
      <c r="R15" s="1"/>
      <c r="T15" s="43" t="str">
        <f>IF(Table1[[#This Row],[ActualWinner]]="", "", IF(Table1[[#This Row],[AwayTeam]]=Table1[[#This Row],[ActualWinner]],Table1[[#This Row],[HomeTeam]],Table1[[#This Row],[AwayTeam]]))</f>
        <v>PHI</v>
      </c>
      <c r="U15" s="43">
        <f>Table1[[#This Row],[ActualAwayScore]]-Table1[[#This Row],[PredictedAwayScore]]</f>
        <v>1</v>
      </c>
      <c r="V15" s="43">
        <f>Table1[[#This Row],[ActualHomeScore]]-Table1[[#This Row],[PredictedHomeScore]]</f>
        <v>-1</v>
      </c>
      <c r="W15" s="43">
        <f>(0.8*IF(Table1[[#This Row],[CorrectWinnerPrediction]]=1, 1, 0))+(0.1*IF(Table1[[#This Row],[CorrectAwayScorePrediction]]=1, 1, 0))+(0.1*IF(Table1[[#This Row],[CorrectHomeScorePrediction]]=1, 1, 0))</f>
        <v>0</v>
      </c>
      <c r="X15" s="4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</v>
      </c>
      <c r="Z15" s="43">
        <f>SUMIF(Table1[GameDate], Table1[[#This Row],[GameDate]], Table1[AwayGameGoalDiff])</f>
        <v>2</v>
      </c>
      <c r="AA15" s="43">
        <f>SUMIF(Table1[GameDate], Table1[[#This Row],[GameDate]], Table1[HomeGameGoalDiff])</f>
        <v>-2</v>
      </c>
      <c r="AB15" s="43">
        <f>IF(ISBLANK(Table1[[#This Row],[ActualResult]]), 0, 1)</f>
        <v>1</v>
      </c>
      <c r="AC15" s="43">
        <f>IF(ISBLANK(Table1[[#This Row],[ActualResult]]), 0, IF(Table1[[#This Row],[ActualWinner]]=Table1[[#This Row],[PredictedWinner]], 1, 0))</f>
        <v>0</v>
      </c>
      <c r="AD15" s="43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5" s="43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5" s="43">
        <f>IF(AND(Table1[[#This Row],[GameIsOver]]=1,Table1[[#This Row],[ActualAwayScore]]=0), 1,0)</f>
        <v>0</v>
      </c>
      <c r="AG15" s="43">
        <f>IF(AND(Table1[[#This Row],[GameIsOver]]=1,Table1[[#This Row],[ActualHomeScore]]=0), 1,0)</f>
        <v>0</v>
      </c>
      <c r="AH15" s="43">
        <f>IF(Table1[[#This Row],[GameIsOver]]=0,0,IF(Table1[[#This Row],[ActualWinner]]=Table1[[#This Row],[AwayTeam]], 1, 0))</f>
        <v>1</v>
      </c>
      <c r="AI15" s="43">
        <f>IF(Table1[[#This Row],[GameIsOver]]=0,0,IF(Table1[[#This Row],[ActualWinner]]=Table1[[#This Row],[HomeTeam]], 1, 0))</f>
        <v>0</v>
      </c>
      <c r="AJ15" s="43">
        <f>IF(INDEX(Standings!$A$2:$C$33,MATCH(Table1[[#This Row],[AwayTeam]],Standings!$A$2:$A$33,0),2)=INDEX(Standings!$A$2:$C$33,MATCH(Table1[[#This Row],[HomeTeam]],Standings!$A$2:$A$33,0),2),1,0)</f>
        <v>1</v>
      </c>
      <c r="AK15" s="43">
        <f>IF(INDEX(Standings!$A$2:$C$33,MATCH(Table1[[#This Row],[AwayTeam]],Standings!$A$2:$A$33,0),3)=INDEX(Standings!$A$2:$C$33,MATCH(Table1[[#This Row],[HomeTeam]],Standings!$A$2:$A$33,0),3),1,0)</f>
        <v>1</v>
      </c>
      <c r="AL15" s="43">
        <f>IF(Table1[[#This Row],[InterConf]]=1,IF(Table1[[#This Row],[InterDiv]]=0, 1, 0), 0)</f>
        <v>0</v>
      </c>
      <c r="AM15" s="43">
        <f>IF(INDEX(Standings!$A$2:$C$33,MATCH(Table1[[#This Row],[AwayTeam]],Standings!$A$2:$A$33,0),2)&lt;&gt;INDEX(Standings!$A$2:$C$33,MATCH(Table1[[#This Row],[HomeTeam]],Standings!$A$2:$A$33,0),2),1,0)</f>
        <v>0</v>
      </c>
      <c r="AN15" s="43" t="str">
        <f>INDEX(Table2[AWAY_RECORD], MATCH(Table1[[#This Row],[AwayTeam]],Table2[Team], 0), 0)</f>
        <v>1-0-0</v>
      </c>
      <c r="AO15" s="43" t="str">
        <f>INDEX(Records!$B$2:$AG$33, MATCH(Table1[[#This Row],[AwayTeam]],Records!$A$2:$A$33, 0), MATCH(Table1[[#This Row],[HomeTeam]],Records!$A$2:$A$33, 0))</f>
        <v>1-0-0</v>
      </c>
      <c r="AP15" s="43" t="str">
        <f>INDEX(Table2[HOME_RECORD], MATCH(Table1[[#This Row],[HomeTeam]],Table2[Team], 0), 0)</f>
        <v>0-1-0</v>
      </c>
      <c r="AQ15" s="43" t="str">
        <f>INDEX(Records!$B$2:$AG$33, MATCH(Table1[[#This Row],[HomeTeam]],Records!$A$2:$A$33, 0), MATCH(Table1[[#This Row],[AwayTeam]],Records!$A$2:$A$33, 0))</f>
        <v>0-1-0</v>
      </c>
    </row>
    <row r="16" spans="1:43" x14ac:dyDescent="0.25">
      <c r="A16" s="1"/>
      <c r="C16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TUE</v>
      </c>
      <c r="D16" s="1">
        <v>45944</v>
      </c>
      <c r="G16" t="s">
        <v>50</v>
      </c>
      <c r="H16" t="s">
        <v>61</v>
      </c>
      <c r="I16">
        <v>3</v>
      </c>
      <c r="J16">
        <v>4</v>
      </c>
      <c r="K16" t="s">
        <v>26</v>
      </c>
      <c r="L16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STL</v>
      </c>
      <c r="M16">
        <v>4</v>
      </c>
      <c r="N16">
        <v>3</v>
      </c>
      <c r="O16" t="s">
        <v>27</v>
      </c>
      <c r="P16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NYI</v>
      </c>
      <c r="R16" s="1"/>
      <c r="T16" s="43" t="str">
        <f>IF(Table1[[#This Row],[ActualWinner]]="", "", IF(Table1[[#This Row],[AwayTeam]]=Table1[[#This Row],[ActualWinner]],Table1[[#This Row],[HomeTeam]],Table1[[#This Row],[AwayTeam]]))</f>
        <v>STL</v>
      </c>
      <c r="U16" s="43">
        <f>Table1[[#This Row],[ActualAwayScore]]-Table1[[#This Row],[PredictedAwayScore]]</f>
        <v>1</v>
      </c>
      <c r="V16" s="43">
        <f>Table1[[#This Row],[ActualHomeScore]]-Table1[[#This Row],[PredictedHomeScore]]</f>
        <v>-1</v>
      </c>
      <c r="W16" s="43">
        <f>(0.8*IF(Table1[[#This Row],[CorrectWinnerPrediction]]=1, 1, 0))+(0.1*IF(Table1[[#This Row],[CorrectAwayScorePrediction]]=1, 1, 0))+(0.1*IF(Table1[[#This Row],[CorrectHomeScorePrediction]]=1, 1, 0))</f>
        <v>0</v>
      </c>
      <c r="X16" s="4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0.76</v>
      </c>
      <c r="Z16" s="43">
        <f>SUMIF(Table1[GameDate], Table1[[#This Row],[GameDate]], Table1[AwayGameGoalDiff])</f>
        <v>2</v>
      </c>
      <c r="AA16" s="43">
        <f>SUMIF(Table1[GameDate], Table1[[#This Row],[GameDate]], Table1[HomeGameGoalDiff])</f>
        <v>-2</v>
      </c>
      <c r="AB16" s="43">
        <f>IF(ISBLANK(Table1[[#This Row],[ActualResult]]), 0, 1)</f>
        <v>1</v>
      </c>
      <c r="AC16" s="43">
        <f>IF(ISBLANK(Table1[[#This Row],[ActualResult]]), 0, IF(Table1[[#This Row],[ActualWinner]]=Table1[[#This Row],[PredictedWinner]], 1, 0))</f>
        <v>0</v>
      </c>
      <c r="AD16" s="43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6" s="43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16" s="43">
        <f>IF(AND(Table1[[#This Row],[GameIsOver]]=1,Table1[[#This Row],[ActualAwayScore]]=0), 1,0)</f>
        <v>0</v>
      </c>
      <c r="AG16" s="43">
        <f>IF(AND(Table1[[#This Row],[GameIsOver]]=1,Table1[[#This Row],[ActualHomeScore]]=0), 1,0)</f>
        <v>0</v>
      </c>
      <c r="AH16" s="43">
        <f>IF(Table1[[#This Row],[GameIsOver]]=0,0,IF(Table1[[#This Row],[ActualWinner]]=Table1[[#This Row],[AwayTeam]], 1, 0))</f>
        <v>1</v>
      </c>
      <c r="AI16" s="43">
        <f>IF(Table1[[#This Row],[GameIsOver]]=0,0,IF(Table1[[#This Row],[ActualWinner]]=Table1[[#This Row],[HomeTeam]], 1, 0))</f>
        <v>0</v>
      </c>
      <c r="AJ16" s="43">
        <f>IF(INDEX(Standings!$A$2:$C$33,MATCH(Table1[[#This Row],[AwayTeam]],Standings!$A$2:$A$33,0),2)=INDEX(Standings!$A$2:$C$33,MATCH(Table1[[#This Row],[HomeTeam]],Standings!$A$2:$A$33,0),2),1,0)</f>
        <v>0</v>
      </c>
      <c r="AK16" s="43">
        <f>IF(INDEX(Standings!$A$2:$C$33,MATCH(Table1[[#This Row],[AwayTeam]],Standings!$A$2:$A$33,0),3)=INDEX(Standings!$A$2:$C$33,MATCH(Table1[[#This Row],[HomeTeam]],Standings!$A$2:$A$33,0),3),1,0)</f>
        <v>0</v>
      </c>
      <c r="AL16" s="43">
        <f>IF(Table1[[#This Row],[InterConf]]=1,IF(Table1[[#This Row],[InterDiv]]=0, 1, 0), 0)</f>
        <v>0</v>
      </c>
      <c r="AM16" s="43">
        <f>IF(INDEX(Standings!$A$2:$C$33,MATCH(Table1[[#This Row],[AwayTeam]],Standings!$A$2:$A$33,0),2)&lt;&gt;INDEX(Standings!$A$2:$C$33,MATCH(Table1[[#This Row],[HomeTeam]],Standings!$A$2:$A$33,0),2),1,0)</f>
        <v>1</v>
      </c>
      <c r="AN16" s="43" t="str">
        <f>INDEX(Table2[AWAY_RECORD], MATCH(Table1[[#This Row],[AwayTeam]],Table2[Team], 0), 0)</f>
        <v>1-0-0</v>
      </c>
      <c r="AO16" s="43" t="str">
        <f>INDEX(Records!$B$2:$AG$33, MATCH(Table1[[#This Row],[AwayTeam]],Records!$A$2:$A$33, 0), MATCH(Table1[[#This Row],[HomeTeam]],Records!$A$2:$A$33, 0))</f>
        <v>1-0-0</v>
      </c>
      <c r="AP16" s="43" t="str">
        <f>INDEX(Table2[HOME_RECORD], MATCH(Table1[[#This Row],[HomeTeam]],Table2[Team], 0), 0)</f>
        <v>0-0-1</v>
      </c>
      <c r="AQ16" s="43" t="str">
        <f>INDEX(Records!$B$2:$AG$33, MATCH(Table1[[#This Row],[HomeTeam]],Records!$A$2:$A$33, 0), MATCH(Table1[[#This Row],[AwayTeam]],Records!$A$2:$A$33, 0))</f>
        <v>0-0-1</v>
      </c>
    </row>
    <row r="17" spans="1:43" x14ac:dyDescent="0.25">
      <c r="A17" s="1"/>
      <c r="C17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WED</v>
      </c>
      <c r="D17" s="1">
        <v>45945</v>
      </c>
      <c r="G17" t="s">
        <v>44</v>
      </c>
      <c r="H17" t="s">
        <v>48</v>
      </c>
      <c r="I17">
        <v>2</v>
      </c>
      <c r="J17">
        <v>1</v>
      </c>
      <c r="K17" t="s">
        <v>18</v>
      </c>
      <c r="L17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DET</v>
      </c>
      <c r="M17">
        <v>3</v>
      </c>
      <c r="N17">
        <v>1</v>
      </c>
      <c r="O17" t="s">
        <v>18</v>
      </c>
      <c r="P17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DET</v>
      </c>
      <c r="R17" s="1"/>
      <c r="T17" s="43" t="str">
        <f>IF(Table1[[#This Row],[ActualWinner]]="", "", IF(Table1[[#This Row],[AwayTeam]]=Table1[[#This Row],[ActualWinner]],Table1[[#This Row],[HomeTeam]],Table1[[#This Row],[AwayTeam]]))</f>
        <v>NSH</v>
      </c>
      <c r="U17" s="43">
        <f>Table1[[#This Row],[ActualAwayScore]]-Table1[[#This Row],[PredictedAwayScore]]</f>
        <v>1</v>
      </c>
      <c r="V17" s="43">
        <f>Table1[[#This Row],[ActualHomeScore]]-Table1[[#This Row],[PredictedHomeScore]]</f>
        <v>0</v>
      </c>
      <c r="W17" s="43">
        <f>(0.8*IF(Table1[[#This Row],[CorrectWinnerPrediction]]=1, 1, 0))+(0.1*IF(Table1[[#This Row],[CorrectAwayScorePrediction]]=1, 1, 0))+(0.1*IF(Table1[[#This Row],[CorrectHomeScorePrediction]]=1, 1, 0))</f>
        <v>0.9</v>
      </c>
      <c r="X17" s="4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0.9</v>
      </c>
      <c r="Z17" s="43">
        <f>SUMIF(Table1[GameDate], Table1[[#This Row],[GameDate]], Table1[AwayGameGoalDiff])</f>
        <v>1</v>
      </c>
      <c r="AA17" s="43">
        <f>SUMIF(Table1[GameDate], Table1[[#This Row],[GameDate]], Table1[HomeGameGoalDiff])</f>
        <v>0</v>
      </c>
      <c r="AB17" s="43">
        <f>IF(ISBLANK(Table1[[#This Row],[ActualResult]]), 0, 1)</f>
        <v>1</v>
      </c>
      <c r="AC17" s="43">
        <f>IF(ISBLANK(Table1[[#This Row],[ActualResult]]), 0, IF(Table1[[#This Row],[ActualWinner]]=Table1[[#This Row],[PredictedWinner]], 1, 0))</f>
        <v>1</v>
      </c>
      <c r="AD17" s="43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17" s="43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17" s="43">
        <f>IF(AND(Table1[[#This Row],[GameIsOver]]=1,Table1[[#This Row],[ActualAwayScore]]=0), 1,0)</f>
        <v>0</v>
      </c>
      <c r="AG17" s="43">
        <f>IF(AND(Table1[[#This Row],[GameIsOver]]=1,Table1[[#This Row],[ActualHomeScore]]=0), 1,0)</f>
        <v>0</v>
      </c>
      <c r="AH17" s="43">
        <f>IF(Table1[[#This Row],[GameIsOver]]=0,0,IF(Table1[[#This Row],[ActualWinner]]=Table1[[#This Row],[AwayTeam]], 1, 0))</f>
        <v>1</v>
      </c>
      <c r="AI17" s="43">
        <f>IF(Table1[[#This Row],[GameIsOver]]=0,0,IF(Table1[[#This Row],[ActualWinner]]=Table1[[#This Row],[HomeTeam]], 1, 0))</f>
        <v>0</v>
      </c>
      <c r="AJ17" s="43">
        <f>IF(INDEX(Standings!$A$2:$C$33,MATCH(Table1[[#This Row],[AwayTeam]],Standings!$A$2:$A$33,0),2)=INDEX(Standings!$A$2:$C$33,MATCH(Table1[[#This Row],[HomeTeam]],Standings!$A$2:$A$33,0),2),1,0)</f>
        <v>0</v>
      </c>
      <c r="AK17" s="43">
        <f>IF(INDEX(Standings!$A$2:$C$33,MATCH(Table1[[#This Row],[AwayTeam]],Standings!$A$2:$A$33,0),3)=INDEX(Standings!$A$2:$C$33,MATCH(Table1[[#This Row],[HomeTeam]],Standings!$A$2:$A$33,0),3),1,0)</f>
        <v>0</v>
      </c>
      <c r="AL17" s="43">
        <f>IF(Table1[[#This Row],[InterConf]]=1,IF(Table1[[#This Row],[InterDiv]]=0, 1, 0), 0)</f>
        <v>0</v>
      </c>
      <c r="AM17" s="43">
        <f>IF(INDEX(Standings!$A$2:$C$33,MATCH(Table1[[#This Row],[AwayTeam]],Standings!$A$2:$A$33,0),2)&lt;&gt;INDEX(Standings!$A$2:$C$33,MATCH(Table1[[#This Row],[HomeTeam]],Standings!$A$2:$A$33,0),2),1,0)</f>
        <v>1</v>
      </c>
      <c r="AN17" s="43" t="str">
        <f>INDEX(Table2[AWAY_RECORD], MATCH(Table1[[#This Row],[AwayTeam]],Table2[Team], 0), 0)</f>
        <v>1-0-0</v>
      </c>
      <c r="AO17" s="43" t="str">
        <f>INDEX(Records!$B$2:$AG$33, MATCH(Table1[[#This Row],[AwayTeam]],Records!$A$2:$A$33, 0), MATCH(Table1[[#This Row],[HomeTeam]],Records!$A$2:$A$33, 0))</f>
        <v>1-0-0</v>
      </c>
      <c r="AP17" s="43" t="str">
        <f>INDEX(Table2[HOME_RECORD], MATCH(Table1[[#This Row],[HomeTeam]],Table2[Team], 0), 0)</f>
        <v>0-1-0</v>
      </c>
      <c r="AQ17" s="43" t="str">
        <f>INDEX(Records!$B$2:$AG$33, MATCH(Table1[[#This Row],[HomeTeam]],Records!$A$2:$A$33, 0), MATCH(Table1[[#This Row],[AwayTeam]],Records!$A$2:$A$33, 0))</f>
        <v>0-1-0</v>
      </c>
    </row>
    <row r="18" spans="1:43" x14ac:dyDescent="0.25">
      <c r="A18" s="1"/>
      <c r="C18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THU</v>
      </c>
      <c r="D18" s="1">
        <v>45946</v>
      </c>
      <c r="G18" t="s">
        <v>39</v>
      </c>
      <c r="H18" t="s">
        <v>60</v>
      </c>
      <c r="I18">
        <v>4</v>
      </c>
      <c r="J18">
        <v>3</v>
      </c>
      <c r="K18" t="s">
        <v>18</v>
      </c>
      <c r="L18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CGY</v>
      </c>
      <c r="M18">
        <v>4</v>
      </c>
      <c r="N18">
        <v>3</v>
      </c>
      <c r="O18" t="s">
        <v>26</v>
      </c>
      <c r="P18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CGY</v>
      </c>
      <c r="R18" s="1"/>
      <c r="T18" s="43" t="str">
        <f>IF(Table1[[#This Row],[ActualWinner]]="", "", IF(Table1[[#This Row],[AwayTeam]]=Table1[[#This Row],[ActualWinner]],Table1[[#This Row],[HomeTeam]],Table1[[#This Row],[AwayTeam]]))</f>
        <v>WPG</v>
      </c>
      <c r="U18" s="43">
        <f>Table1[[#This Row],[ActualAwayScore]]-Table1[[#This Row],[PredictedAwayScore]]</f>
        <v>0</v>
      </c>
      <c r="V18" s="43">
        <f>Table1[[#This Row],[ActualHomeScore]]-Table1[[#This Row],[PredictedHomeScore]]</f>
        <v>0</v>
      </c>
      <c r="W18" s="43">
        <f>(0.8*IF(Table1[[#This Row],[CorrectWinnerPrediction]]=1, 1, 0))+(0.1*IF(Table1[[#This Row],[CorrectAwayScorePrediction]]=1, 1, 0))+(0.1*IF(Table1[[#This Row],[CorrectHomeScorePrediction]]=1, 1, 0))</f>
        <v>1</v>
      </c>
      <c r="X18" s="4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1</v>
      </c>
      <c r="Z18" s="43">
        <f>SUMIF(Table1[GameDate], Table1[[#This Row],[GameDate]], Table1[AwayGameGoalDiff])</f>
        <v>0</v>
      </c>
      <c r="AA18" s="43">
        <f>SUMIF(Table1[GameDate], Table1[[#This Row],[GameDate]], Table1[HomeGameGoalDiff])</f>
        <v>0</v>
      </c>
      <c r="AB18" s="43">
        <f>IF(ISBLANK(Table1[[#This Row],[ActualResult]]), 0, 1)</f>
        <v>1</v>
      </c>
      <c r="AC18" s="43">
        <f>IF(ISBLANK(Table1[[#This Row],[ActualResult]]), 0, IF(Table1[[#This Row],[ActualWinner]]=Table1[[#This Row],[PredictedWinner]], 1, 0))</f>
        <v>1</v>
      </c>
      <c r="AD18" s="43">
        <f>IF(Table1[[#This Row],[ActualAwayScore]]&gt;Table1[[#This Row],[PredictedAwayScore]], 0, IF(ISBLANK(Table1[[#This Row],[ActualResult]]), 0, IF(Table1[[#This Row],[ActualAwayScore]]=Table1[[#This Row],[PredictedAwayScore]], 1,0)))</f>
        <v>1</v>
      </c>
      <c r="AE18" s="43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18" s="43">
        <f>IF(AND(Table1[[#This Row],[GameIsOver]]=1,Table1[[#This Row],[ActualAwayScore]]=0), 1,0)</f>
        <v>0</v>
      </c>
      <c r="AG18" s="43">
        <f>IF(AND(Table1[[#This Row],[GameIsOver]]=1,Table1[[#This Row],[ActualHomeScore]]=0), 1,0)</f>
        <v>0</v>
      </c>
      <c r="AH18" s="43">
        <f>IF(Table1[[#This Row],[GameIsOver]]=0,0,IF(Table1[[#This Row],[ActualWinner]]=Table1[[#This Row],[AwayTeam]], 1, 0))</f>
        <v>1</v>
      </c>
      <c r="AI18" s="43">
        <f>IF(Table1[[#This Row],[GameIsOver]]=0,0,IF(Table1[[#This Row],[ActualWinner]]=Table1[[#This Row],[HomeTeam]], 1, 0))</f>
        <v>0</v>
      </c>
      <c r="AJ18" s="43">
        <f>IF(INDEX(Standings!$A$2:$C$33,MATCH(Table1[[#This Row],[AwayTeam]],Standings!$A$2:$A$33,0),2)=INDEX(Standings!$A$2:$C$33,MATCH(Table1[[#This Row],[HomeTeam]],Standings!$A$2:$A$33,0),2),1,0)</f>
        <v>1</v>
      </c>
      <c r="AK18" s="43">
        <f>IF(INDEX(Standings!$A$2:$C$33,MATCH(Table1[[#This Row],[AwayTeam]],Standings!$A$2:$A$33,0),3)=INDEX(Standings!$A$2:$C$33,MATCH(Table1[[#This Row],[HomeTeam]],Standings!$A$2:$A$33,0),3),1,0)</f>
        <v>0</v>
      </c>
      <c r="AL18" s="43">
        <f>IF(Table1[[#This Row],[InterConf]]=1,IF(Table1[[#This Row],[InterDiv]]=0, 1, 0), 0)</f>
        <v>1</v>
      </c>
      <c r="AM18" s="43">
        <f>IF(INDEX(Standings!$A$2:$C$33,MATCH(Table1[[#This Row],[AwayTeam]],Standings!$A$2:$A$33,0),2)&lt;&gt;INDEX(Standings!$A$2:$C$33,MATCH(Table1[[#This Row],[HomeTeam]],Standings!$A$2:$A$33,0),2),1,0)</f>
        <v>0</v>
      </c>
      <c r="AN18" s="43" t="str">
        <f>INDEX(Table2[AWAY_RECORD], MATCH(Table1[[#This Row],[AwayTeam]],Table2[Team], 0), 0)</f>
        <v>1-0-2</v>
      </c>
      <c r="AO18" s="43" t="str">
        <f>INDEX(Records!$B$2:$AG$33, MATCH(Table1[[#This Row],[AwayTeam]],Records!$A$2:$A$33, 0), MATCH(Table1[[#This Row],[HomeTeam]],Records!$A$2:$A$33, 0))</f>
        <v>1-0-0</v>
      </c>
      <c r="AP18" s="43" t="str">
        <f>INDEX(Table2[HOME_RECORD], MATCH(Table1[[#This Row],[HomeTeam]],Table2[Team], 0), 0)</f>
        <v>0-1-1</v>
      </c>
      <c r="AQ18" s="43" t="str">
        <f>INDEX(Records!$B$2:$AG$33, MATCH(Table1[[#This Row],[HomeTeam]],Records!$A$2:$A$33, 0), MATCH(Table1[[#This Row],[AwayTeam]],Records!$A$2:$A$33, 0))</f>
        <v>0-0-1</v>
      </c>
    </row>
    <row r="19" spans="1:43" x14ac:dyDescent="0.25">
      <c r="A19" s="1"/>
      <c r="C19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FRI</v>
      </c>
      <c r="D19" s="1">
        <v>45947</v>
      </c>
      <c r="G19" t="s">
        <v>52</v>
      </c>
      <c r="H19" t="s">
        <v>39</v>
      </c>
      <c r="I19">
        <v>3</v>
      </c>
      <c r="J19">
        <v>4</v>
      </c>
      <c r="K19" t="s">
        <v>18</v>
      </c>
      <c r="L19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CGY</v>
      </c>
      <c r="M19">
        <v>3</v>
      </c>
      <c r="N19">
        <v>4</v>
      </c>
      <c r="O19" t="s">
        <v>18</v>
      </c>
      <c r="P19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CGY</v>
      </c>
      <c r="R19" s="1"/>
      <c r="T19" s="43" t="str">
        <f>IF(Table1[[#This Row],[ActualWinner]]="", "", IF(Table1[[#This Row],[AwayTeam]]=Table1[[#This Row],[ActualWinner]],Table1[[#This Row],[HomeTeam]],Table1[[#This Row],[AwayTeam]]))</f>
        <v>OTT</v>
      </c>
      <c r="U19" s="43">
        <f>Table1[[#This Row],[ActualAwayScore]]-Table1[[#This Row],[PredictedAwayScore]]</f>
        <v>0</v>
      </c>
      <c r="V19" s="43">
        <f>Table1[[#This Row],[ActualHomeScore]]-Table1[[#This Row],[PredictedHomeScore]]</f>
        <v>0</v>
      </c>
      <c r="W19" s="43">
        <f>(0.8*IF(Table1[[#This Row],[CorrectWinnerPrediction]]=1, 1, 0))+(0.1*IF(Table1[[#This Row],[CorrectAwayScorePrediction]]=1, 1, 0))+(0.1*IF(Table1[[#This Row],[CorrectHomeScorePrediction]]=1, 1, 0))</f>
        <v>1</v>
      </c>
      <c r="X19" s="4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1</v>
      </c>
      <c r="Z19" s="43">
        <f>SUMIF(Table1[GameDate], Table1[[#This Row],[GameDate]], Table1[AwayGameGoalDiff])</f>
        <v>0</v>
      </c>
      <c r="AA19" s="43">
        <f>SUMIF(Table1[GameDate], Table1[[#This Row],[GameDate]], Table1[HomeGameGoalDiff])</f>
        <v>0</v>
      </c>
      <c r="AB19" s="43">
        <f>IF(ISBLANK(Table1[[#This Row],[ActualResult]]), 0, 1)</f>
        <v>1</v>
      </c>
      <c r="AC19" s="43">
        <f>IF(ISBLANK(Table1[[#This Row],[ActualResult]]), 0, IF(Table1[[#This Row],[ActualWinner]]=Table1[[#This Row],[PredictedWinner]], 1, 0))</f>
        <v>1</v>
      </c>
      <c r="AD19" s="43">
        <f>IF(Table1[[#This Row],[ActualAwayScore]]&gt;Table1[[#This Row],[PredictedAwayScore]], 0, IF(ISBLANK(Table1[[#This Row],[ActualResult]]), 0, IF(Table1[[#This Row],[ActualAwayScore]]=Table1[[#This Row],[PredictedAwayScore]], 1,0)))</f>
        <v>1</v>
      </c>
      <c r="AE19" s="43">
        <f>IF(Table1[[#This Row],[ActualHomeScore]]&gt;Table1[[#This Row],[PredictedHomeScore]], 0, IF(ISBLANK(Table1[[#This Row],[ActualResult]]), 0, IF(Table1[[#This Row],[ActualHomeScore]]=Table1[[#This Row],[PredictedHomeScore]], 1, 0)))</f>
        <v>1</v>
      </c>
      <c r="AF19" s="43">
        <f>IF(AND(Table1[[#This Row],[GameIsOver]]=1,Table1[[#This Row],[ActualAwayScore]]=0), 1,0)</f>
        <v>0</v>
      </c>
      <c r="AG19" s="43">
        <f>IF(AND(Table1[[#This Row],[GameIsOver]]=1,Table1[[#This Row],[ActualHomeScore]]=0), 1,0)</f>
        <v>0</v>
      </c>
      <c r="AH19" s="43">
        <f>IF(Table1[[#This Row],[GameIsOver]]=0,0,IF(Table1[[#This Row],[ActualWinner]]=Table1[[#This Row],[AwayTeam]], 1, 0))</f>
        <v>0</v>
      </c>
      <c r="AI19" s="43">
        <f>IF(Table1[[#This Row],[GameIsOver]]=0,0,IF(Table1[[#This Row],[ActualWinner]]=Table1[[#This Row],[HomeTeam]], 1, 0))</f>
        <v>1</v>
      </c>
      <c r="AJ19" s="43">
        <f>IF(INDEX(Standings!$A$2:$C$33,MATCH(Table1[[#This Row],[AwayTeam]],Standings!$A$2:$A$33,0),2)=INDEX(Standings!$A$2:$C$33,MATCH(Table1[[#This Row],[HomeTeam]],Standings!$A$2:$A$33,0),2),1,0)</f>
        <v>0</v>
      </c>
      <c r="AK19" s="43">
        <f>IF(INDEX(Standings!$A$2:$C$33,MATCH(Table1[[#This Row],[AwayTeam]],Standings!$A$2:$A$33,0),3)=INDEX(Standings!$A$2:$C$33,MATCH(Table1[[#This Row],[HomeTeam]],Standings!$A$2:$A$33,0),3),1,0)</f>
        <v>0</v>
      </c>
      <c r="AL19" s="43">
        <f>IF(Table1[[#This Row],[InterConf]]=1,IF(Table1[[#This Row],[InterDiv]]=0, 1, 0), 0)</f>
        <v>0</v>
      </c>
      <c r="AM19" s="43">
        <f>IF(INDEX(Standings!$A$2:$C$33,MATCH(Table1[[#This Row],[AwayTeam]],Standings!$A$2:$A$33,0),2)&lt;&gt;INDEX(Standings!$A$2:$C$33,MATCH(Table1[[#This Row],[HomeTeam]],Standings!$A$2:$A$33,0),2),1,0)</f>
        <v>1</v>
      </c>
      <c r="AN19" s="43" t="str">
        <f>INDEX(Table2[AWAY_RECORD], MATCH(Table1[[#This Row],[AwayTeam]],Table2[Team], 0), 0)</f>
        <v>0-1-1</v>
      </c>
      <c r="AO19" s="43" t="str">
        <f>INDEX(Records!$B$2:$AG$33, MATCH(Table1[[#This Row],[AwayTeam]],Records!$A$2:$A$33, 0), MATCH(Table1[[#This Row],[HomeTeam]],Records!$A$2:$A$33, 0))</f>
        <v>0-1-0</v>
      </c>
      <c r="AP19" s="43" t="str">
        <f>INDEX(Table2[HOME_RECORD], MATCH(Table1[[#This Row],[HomeTeam]],Table2[Team], 0), 0)</f>
        <v>1-0-0</v>
      </c>
      <c r="AQ19" s="43" t="str">
        <f>INDEX(Records!$B$2:$AG$33, MATCH(Table1[[#This Row],[HomeTeam]],Records!$A$2:$A$33, 0), MATCH(Table1[[#This Row],[AwayTeam]],Records!$A$2:$A$33, 0))</f>
        <v>1-0-0</v>
      </c>
    </row>
    <row r="20" spans="1:43" x14ac:dyDescent="0.25">
      <c r="A20" s="1"/>
      <c r="C20" t="str">
        <f>IF(WEEKDAY(Table1[[#This Row],[GameDate]])=1,"SUN",IF(WEEKDAY(Table1[[#This Row],[GameDate]])=2,"MON",IF(WEEKDAY(Table1[[#This Row],[GameDate]])=3,"TUE",IF(WEEKDAY(Table1[[#This Row],[GameDate]])=4,"WED",IF(WEEKDAY(Table1[[#This Row],[GameDate]])=5,"THU",IF(WEEKDAY(Table1[[#This Row],[GameDate]])=6,"FRI", "SAT"))))))</f>
        <v>SAT</v>
      </c>
      <c r="D20" s="1">
        <v>45948</v>
      </c>
      <c r="G20" t="s">
        <v>39</v>
      </c>
      <c r="H20" t="s">
        <v>38</v>
      </c>
      <c r="I20">
        <v>4</v>
      </c>
      <c r="J20">
        <v>3</v>
      </c>
      <c r="K20" t="s">
        <v>27</v>
      </c>
      <c r="L20" s="43" t="str">
        <f>IF(OR(Table1[[#This Row],[PredictedAwayScore]]=Table1[[#This Row],[PredictedHomeScore]],AND(ISBLANK(Table1[[#This Row],[PredictedAwayScore]]),ISBLANK(Table1[[#This Row],[PredictedHomeScore]]))),"",IF(Table1[[#This Row],[PredictedAwayScore]]&gt;Table1[[#This Row],[PredictedHomeScore]],Table1[[#This Row],[AwayTeam]],Table1[[#This Row],[HomeTeam]]))</f>
        <v>CGY</v>
      </c>
      <c r="M20">
        <v>3</v>
      </c>
      <c r="N20">
        <v>4</v>
      </c>
      <c r="O20" t="s">
        <v>27</v>
      </c>
      <c r="P20" s="43" t="str">
        <f>IF(OR(Table1[[#This Row],[ActualAwayScore]]=Table1[[#This Row],[ActualHomeScore]],AND(ISBLANK(Table1[[#This Row],[ActualAwayScore]]),ISBLANK(Table1[[#This Row],[ActualHomeScore]]))),"",IF(Table1[[#This Row],[ActualAwayScore]]&gt;Table1[[#This Row],[ActualHomeScore]],Table1[[#This Row],[AwayTeam]], Table1[[#This Row],[HomeTeam]]))</f>
        <v>BUF</v>
      </c>
      <c r="R20" s="1"/>
      <c r="T20" s="43" t="str">
        <f>IF(Table1[[#This Row],[ActualWinner]]="", "", IF(Table1[[#This Row],[AwayTeam]]=Table1[[#This Row],[ActualWinner]],Table1[[#This Row],[HomeTeam]],Table1[[#This Row],[AwayTeam]]))</f>
        <v>CGY</v>
      </c>
      <c r="U20" s="43">
        <f>Table1[[#This Row],[ActualAwayScore]]-Table1[[#This Row],[PredictedAwayScore]]</f>
        <v>-1</v>
      </c>
      <c r="V20" s="43">
        <f>Table1[[#This Row],[ActualHomeScore]]-Table1[[#This Row],[PredictedHomeScore]]</f>
        <v>1</v>
      </c>
      <c r="W20" s="43">
        <f>(0.8*IF(Table1[[#This Row],[CorrectWinnerPrediction]]=1, 1, 0))+(0.1*IF(Table1[[#This Row],[CorrectAwayScorePrediction]]=1, 1, 0))+(0.1*IF(Table1[[#This Row],[CorrectHomeScorePrediction]]=1, 1, 0))</f>
        <v>0</v>
      </c>
      <c r="X20" s="43">
        <f>(0.8*IF(Table1[[#This Row],[CorrectWinnerPrediction]]=1, 1, 0))+(0.1*IF(Table1[[#This Row],[CorrectAwayScorePrediction]]=1, 1, 0))+(0.1*IF(Table1[[#This Row],[CorrectHomeScorePrediction]]=1, 1, 0)) + (0.8 * IF(OR(Table1[[#This Row],[PredictedResult]]="REG",Table1[[#This Row],[CorrectWinnerPrediction]]=1), 0, IF(Table1[[#This Row],[ActualResult]]="OT", 0.85, IF(Table1[[#This Row],[ActualResult]]="SO", 0.95, 0))))</f>
        <v>0.76</v>
      </c>
      <c r="Z20" s="43">
        <f>SUMIF(Table1[GameDate], Table1[[#This Row],[GameDate]], Table1[AwayGameGoalDiff])</f>
        <v>-1</v>
      </c>
      <c r="AA20" s="43">
        <f>SUMIF(Table1[GameDate], Table1[[#This Row],[GameDate]], Table1[HomeGameGoalDiff])</f>
        <v>1</v>
      </c>
      <c r="AB20" s="43">
        <f>IF(ISBLANK(Table1[[#This Row],[ActualResult]]), 0, 1)</f>
        <v>1</v>
      </c>
      <c r="AC20" s="43">
        <f>IF(ISBLANK(Table1[[#This Row],[ActualResult]]), 0, IF(Table1[[#This Row],[ActualWinner]]=Table1[[#This Row],[PredictedWinner]], 1, 0))</f>
        <v>0</v>
      </c>
      <c r="AD20" s="43">
        <f>IF(Table1[[#This Row],[ActualAwayScore]]&gt;Table1[[#This Row],[PredictedAwayScore]], 0, IF(ISBLANK(Table1[[#This Row],[ActualResult]]), 0, IF(Table1[[#This Row],[ActualAwayScore]]=Table1[[#This Row],[PredictedAwayScore]], 1,0)))</f>
        <v>0</v>
      </c>
      <c r="AE20" s="43">
        <f>IF(Table1[[#This Row],[ActualHomeScore]]&gt;Table1[[#This Row],[PredictedHomeScore]], 0, IF(ISBLANK(Table1[[#This Row],[ActualResult]]), 0, IF(Table1[[#This Row],[ActualHomeScore]]=Table1[[#This Row],[PredictedHomeScore]], 1, 0)))</f>
        <v>0</v>
      </c>
      <c r="AF20" s="43">
        <f>IF(AND(Table1[[#This Row],[GameIsOver]]=1,Table1[[#This Row],[ActualAwayScore]]=0), 1,0)</f>
        <v>0</v>
      </c>
      <c r="AG20" s="43">
        <f>IF(AND(Table1[[#This Row],[GameIsOver]]=1,Table1[[#This Row],[ActualHomeScore]]=0), 1,0)</f>
        <v>0</v>
      </c>
      <c r="AH20" s="43">
        <f>IF(Table1[[#This Row],[GameIsOver]]=0,0,IF(Table1[[#This Row],[ActualWinner]]=Table1[[#This Row],[AwayTeam]], 1, 0))</f>
        <v>0</v>
      </c>
      <c r="AI20" s="43">
        <f>IF(Table1[[#This Row],[GameIsOver]]=0,0,IF(Table1[[#This Row],[ActualWinner]]=Table1[[#This Row],[HomeTeam]], 1, 0))</f>
        <v>1</v>
      </c>
      <c r="AJ20" s="43">
        <f>IF(INDEX(Standings!$A$2:$C$33,MATCH(Table1[[#This Row],[AwayTeam]],Standings!$A$2:$A$33,0),2)=INDEX(Standings!$A$2:$C$33,MATCH(Table1[[#This Row],[HomeTeam]],Standings!$A$2:$A$33,0),2),1,0)</f>
        <v>0</v>
      </c>
      <c r="AK20" s="43">
        <f>IF(INDEX(Standings!$A$2:$C$33,MATCH(Table1[[#This Row],[AwayTeam]],Standings!$A$2:$A$33,0),3)=INDEX(Standings!$A$2:$C$33,MATCH(Table1[[#This Row],[HomeTeam]],Standings!$A$2:$A$33,0),3),1,0)</f>
        <v>0</v>
      </c>
      <c r="AL20" s="43">
        <f>IF(Table1[[#This Row],[InterConf]]=1,IF(Table1[[#This Row],[InterDiv]]=0, 1, 0), 0)</f>
        <v>0</v>
      </c>
      <c r="AM20" s="43">
        <f>IF(INDEX(Standings!$A$2:$C$33,MATCH(Table1[[#This Row],[AwayTeam]],Standings!$A$2:$A$33,0),2)&lt;&gt;INDEX(Standings!$A$2:$C$33,MATCH(Table1[[#This Row],[HomeTeam]],Standings!$A$2:$A$33,0),2),1,0)</f>
        <v>1</v>
      </c>
      <c r="AN20" s="43" t="str">
        <f>INDEX(Table2[AWAY_RECORD], MATCH(Table1[[#This Row],[AwayTeam]],Table2[Team], 0), 0)</f>
        <v>1-0-2</v>
      </c>
      <c r="AO20" s="43" t="str">
        <f>INDEX(Records!$B$2:$AG$33, MATCH(Table1[[#This Row],[AwayTeam]],Records!$A$2:$A$33, 0), MATCH(Table1[[#This Row],[HomeTeam]],Records!$A$2:$A$33, 0))</f>
        <v>0-0-1</v>
      </c>
      <c r="AP20" s="43" t="str">
        <f>INDEX(Table2[HOME_RECORD], MATCH(Table1[[#This Row],[HomeTeam]],Table2[Team], 0), 0)</f>
        <v>2-0-0</v>
      </c>
      <c r="AQ20" s="43" t="str">
        <f>INDEX(Records!$B$2:$AG$33, MATCH(Table1[[#This Row],[HomeTeam]],Records!$A$2:$A$33, 0), MATCH(Table1[[#This Row],[AwayTeam]],Records!$A$2:$A$33, 0))</f>
        <v>1-0-0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C9FA-DC94-43B4-9979-71749B9D0D9D}">
  <dimension ref="A1:GT33"/>
  <sheetViews>
    <sheetView workbookViewId="0">
      <selection sqref="A1:C33"/>
    </sheetView>
  </sheetViews>
  <sheetFormatPr defaultRowHeight="15" x14ac:dyDescent="0.25"/>
  <cols>
    <col min="1" max="1" width="5.28515625" bestFit="1" customWidth="1"/>
    <col min="2" max="3" width="3.7109375" bestFit="1" customWidth="1"/>
    <col min="4" max="202" width="2.5703125" style="4" customWidth="1"/>
  </cols>
  <sheetData>
    <row r="1" spans="1:202" s="2" customFormat="1" ht="58.5" customHeight="1" x14ac:dyDescent="0.25">
      <c r="A1" s="2" t="s">
        <v>33</v>
      </c>
      <c r="B1" s="2" t="s">
        <v>34</v>
      </c>
      <c r="C1" s="2" t="s">
        <v>35</v>
      </c>
      <c r="D1" s="3">
        <v>46299</v>
      </c>
      <c r="E1" s="3">
        <v>46300</v>
      </c>
      <c r="F1" s="3">
        <v>46301</v>
      </c>
      <c r="G1" s="3">
        <v>46302</v>
      </c>
      <c r="H1" s="3">
        <v>46303</v>
      </c>
      <c r="I1" s="3">
        <v>46304</v>
      </c>
      <c r="J1" s="3">
        <v>46305</v>
      </c>
      <c r="K1" s="3">
        <v>46306</v>
      </c>
      <c r="L1" s="3">
        <v>46307</v>
      </c>
      <c r="M1" s="3">
        <v>46308</v>
      </c>
      <c r="N1" s="3">
        <v>46309</v>
      </c>
      <c r="O1" s="3">
        <v>46310</v>
      </c>
      <c r="P1" s="3">
        <v>46311</v>
      </c>
      <c r="Q1" s="3">
        <v>46312</v>
      </c>
      <c r="R1" s="3">
        <v>46313</v>
      </c>
      <c r="S1" s="3">
        <v>46314</v>
      </c>
      <c r="T1" s="3">
        <v>46315</v>
      </c>
      <c r="U1" s="3">
        <v>46316</v>
      </c>
      <c r="V1" s="3">
        <v>46317</v>
      </c>
      <c r="W1" s="3">
        <v>46318</v>
      </c>
      <c r="X1" s="3">
        <v>46319</v>
      </c>
      <c r="Y1" s="3">
        <v>46320</v>
      </c>
      <c r="Z1" s="3">
        <v>46321</v>
      </c>
      <c r="AA1" s="3">
        <v>46322</v>
      </c>
      <c r="AB1" s="3">
        <v>46323</v>
      </c>
      <c r="AC1" s="3">
        <v>46324</v>
      </c>
      <c r="AD1" s="3">
        <v>46325</v>
      </c>
      <c r="AE1" s="3">
        <v>46326</v>
      </c>
      <c r="AF1" s="3">
        <v>46327</v>
      </c>
      <c r="AG1" s="3">
        <v>46328</v>
      </c>
      <c r="AH1" s="3">
        <v>46329</v>
      </c>
      <c r="AI1" s="3">
        <v>46330</v>
      </c>
      <c r="AJ1" s="3">
        <v>46331</v>
      </c>
      <c r="AK1" s="3">
        <v>46332</v>
      </c>
      <c r="AL1" s="3">
        <v>46333</v>
      </c>
      <c r="AM1" s="3">
        <v>46334</v>
      </c>
      <c r="AN1" s="3">
        <v>46335</v>
      </c>
      <c r="AO1" s="3">
        <v>46336</v>
      </c>
      <c r="AP1" s="3">
        <v>46337</v>
      </c>
      <c r="AQ1" s="3">
        <v>46338</v>
      </c>
      <c r="AR1" s="3">
        <v>46339</v>
      </c>
      <c r="AS1" s="3">
        <v>46340</v>
      </c>
      <c r="AT1" s="3">
        <v>46341</v>
      </c>
      <c r="AU1" s="3">
        <v>46342</v>
      </c>
      <c r="AV1" s="3">
        <v>46343</v>
      </c>
      <c r="AW1" s="3">
        <v>46344</v>
      </c>
      <c r="AX1" s="3">
        <v>46345</v>
      </c>
      <c r="AY1" s="3">
        <v>46346</v>
      </c>
      <c r="AZ1" s="3">
        <v>46347</v>
      </c>
      <c r="BA1" s="3">
        <v>46348</v>
      </c>
      <c r="BB1" s="3">
        <v>46349</v>
      </c>
      <c r="BC1" s="3">
        <v>46350</v>
      </c>
      <c r="BD1" s="3">
        <v>46351</v>
      </c>
      <c r="BE1" s="3">
        <v>46352</v>
      </c>
      <c r="BF1" s="3">
        <v>46353</v>
      </c>
      <c r="BG1" s="3">
        <v>46354</v>
      </c>
      <c r="BH1" s="3">
        <v>46355</v>
      </c>
      <c r="BI1" s="3">
        <v>46356</v>
      </c>
      <c r="BJ1" s="3">
        <v>46357</v>
      </c>
      <c r="BK1" s="3">
        <v>46358</v>
      </c>
      <c r="BL1" s="3">
        <v>46359</v>
      </c>
      <c r="BM1" s="3">
        <v>46360</v>
      </c>
      <c r="BN1" s="3">
        <v>46361</v>
      </c>
      <c r="BO1" s="3">
        <v>46362</v>
      </c>
      <c r="BP1" s="3">
        <v>46363</v>
      </c>
      <c r="BQ1" s="3">
        <v>46364</v>
      </c>
      <c r="BR1" s="3">
        <v>46365</v>
      </c>
      <c r="BS1" s="3">
        <v>46366</v>
      </c>
      <c r="BT1" s="3">
        <v>46367</v>
      </c>
      <c r="BU1" s="3">
        <v>46368</v>
      </c>
      <c r="BV1" s="3">
        <v>46369</v>
      </c>
      <c r="BW1" s="3">
        <v>46370</v>
      </c>
      <c r="BX1" s="3">
        <v>46371</v>
      </c>
      <c r="BY1" s="3">
        <v>46372</v>
      </c>
      <c r="BZ1" s="3">
        <v>46373</v>
      </c>
      <c r="CA1" s="3">
        <v>46374</v>
      </c>
      <c r="CB1" s="3">
        <v>46375</v>
      </c>
      <c r="CC1" s="3">
        <v>46376</v>
      </c>
      <c r="CD1" s="3">
        <v>46377</v>
      </c>
      <c r="CE1" s="3">
        <v>46378</v>
      </c>
      <c r="CF1" s="3">
        <v>46379</v>
      </c>
      <c r="CG1" s="3">
        <v>46380</v>
      </c>
      <c r="CH1" s="3">
        <v>46381</v>
      </c>
      <c r="CI1" s="3">
        <v>46382</v>
      </c>
      <c r="CJ1" s="3">
        <v>46383</v>
      </c>
      <c r="CK1" s="3">
        <v>46384</v>
      </c>
      <c r="CL1" s="3">
        <v>46385</v>
      </c>
      <c r="CM1" s="3">
        <v>46386</v>
      </c>
      <c r="CN1" s="3">
        <v>46387</v>
      </c>
      <c r="CO1" s="3">
        <v>46388</v>
      </c>
      <c r="CP1" s="3">
        <v>46389</v>
      </c>
      <c r="CQ1" s="3">
        <v>46390</v>
      </c>
      <c r="CR1" s="3">
        <v>46391</v>
      </c>
      <c r="CS1" s="3">
        <v>46392</v>
      </c>
      <c r="CT1" s="3">
        <v>46393</v>
      </c>
      <c r="CU1" s="3">
        <v>46394</v>
      </c>
      <c r="CV1" s="3">
        <v>46395</v>
      </c>
      <c r="CW1" s="3">
        <v>46396</v>
      </c>
      <c r="CX1" s="3">
        <v>46397</v>
      </c>
      <c r="CY1" s="3">
        <v>46398</v>
      </c>
      <c r="CZ1" s="3">
        <v>46399</v>
      </c>
      <c r="DA1" s="3">
        <v>46400</v>
      </c>
      <c r="DB1" s="3">
        <v>46401</v>
      </c>
      <c r="DC1" s="3">
        <v>46402</v>
      </c>
      <c r="DD1" s="3">
        <v>46403</v>
      </c>
      <c r="DE1" s="3">
        <v>46404</v>
      </c>
      <c r="DF1" s="3">
        <v>46405</v>
      </c>
      <c r="DG1" s="3">
        <v>46406</v>
      </c>
      <c r="DH1" s="3">
        <v>46407</v>
      </c>
      <c r="DI1" s="3">
        <v>46408</v>
      </c>
      <c r="DJ1" s="3">
        <v>46409</v>
      </c>
      <c r="DK1" s="3">
        <v>46410</v>
      </c>
      <c r="DL1" s="3">
        <v>46411</v>
      </c>
      <c r="DM1" s="3">
        <v>46412</v>
      </c>
      <c r="DN1" s="3">
        <v>46413</v>
      </c>
      <c r="DO1" s="3">
        <v>46414</v>
      </c>
      <c r="DP1" s="3">
        <v>46415</v>
      </c>
      <c r="DQ1" s="3">
        <v>46416</v>
      </c>
      <c r="DR1" s="3">
        <v>46417</v>
      </c>
      <c r="DS1" s="3">
        <v>46418</v>
      </c>
      <c r="DT1" s="3">
        <v>46419</v>
      </c>
      <c r="DU1" s="3">
        <v>46420</v>
      </c>
      <c r="DV1" s="3">
        <v>46421</v>
      </c>
      <c r="DW1" s="3">
        <v>46422</v>
      </c>
      <c r="DX1" s="3">
        <v>46423</v>
      </c>
      <c r="DY1" s="3">
        <v>46424</v>
      </c>
      <c r="DZ1" s="3">
        <v>46425</v>
      </c>
      <c r="EA1" s="3">
        <v>46426</v>
      </c>
      <c r="EB1" s="3">
        <v>46427</v>
      </c>
      <c r="EC1" s="3">
        <v>46428</v>
      </c>
      <c r="ED1" s="3">
        <v>46429</v>
      </c>
      <c r="EE1" s="3">
        <v>46430</v>
      </c>
      <c r="EF1" s="3">
        <v>46431</v>
      </c>
      <c r="EG1" s="3">
        <v>46432</v>
      </c>
      <c r="EH1" s="3">
        <v>46433</v>
      </c>
      <c r="EI1" s="3">
        <v>46434</v>
      </c>
      <c r="EJ1" s="3">
        <v>46435</v>
      </c>
      <c r="EK1" s="3">
        <v>46436</v>
      </c>
      <c r="EL1" s="3">
        <v>46437</v>
      </c>
      <c r="EM1" s="3">
        <v>46438</v>
      </c>
      <c r="EN1" s="3">
        <v>46439</v>
      </c>
      <c r="EO1" s="3">
        <v>46440</v>
      </c>
      <c r="EP1" s="3">
        <v>46441</v>
      </c>
      <c r="EQ1" s="3">
        <v>46442</v>
      </c>
      <c r="ER1" s="3">
        <v>46443</v>
      </c>
      <c r="ES1" s="3">
        <v>46444</v>
      </c>
      <c r="ET1" s="3">
        <v>46445</v>
      </c>
      <c r="EU1" s="3">
        <v>46446</v>
      </c>
      <c r="EV1" s="3">
        <v>46447</v>
      </c>
      <c r="EW1" s="3">
        <v>46448</v>
      </c>
      <c r="EX1" s="3">
        <v>46449</v>
      </c>
      <c r="EY1" s="3">
        <v>46450</v>
      </c>
      <c r="EZ1" s="3">
        <v>46451</v>
      </c>
      <c r="FA1" s="3">
        <v>46452</v>
      </c>
      <c r="FB1" s="3">
        <v>46453</v>
      </c>
      <c r="FC1" s="3">
        <v>46454</v>
      </c>
      <c r="FD1" s="3">
        <v>46455</v>
      </c>
      <c r="FE1" s="3">
        <v>46456</v>
      </c>
      <c r="FF1" s="3">
        <v>46457</v>
      </c>
      <c r="FG1" s="3">
        <v>46458</v>
      </c>
      <c r="FH1" s="3">
        <v>46459</v>
      </c>
      <c r="FI1" s="3">
        <v>46460</v>
      </c>
      <c r="FJ1" s="3">
        <v>46461</v>
      </c>
      <c r="FK1" s="3">
        <v>46462</v>
      </c>
      <c r="FL1" s="3">
        <v>46463</v>
      </c>
      <c r="FM1" s="3">
        <v>46464</v>
      </c>
      <c r="FN1" s="3">
        <v>46465</v>
      </c>
      <c r="FO1" s="3">
        <v>46466</v>
      </c>
      <c r="FP1" s="3">
        <v>46467</v>
      </c>
      <c r="FQ1" s="3">
        <v>46468</v>
      </c>
      <c r="FR1" s="3">
        <v>46469</v>
      </c>
      <c r="FS1" s="3">
        <v>46470</v>
      </c>
      <c r="FT1" s="3">
        <v>46471</v>
      </c>
      <c r="FU1" s="3">
        <v>46472</v>
      </c>
      <c r="FV1" s="3">
        <v>46473</v>
      </c>
      <c r="FW1" s="3">
        <v>46474</v>
      </c>
      <c r="FX1" s="3">
        <v>46475</v>
      </c>
      <c r="FY1" s="3">
        <v>46476</v>
      </c>
      <c r="FZ1" s="3">
        <v>46477</v>
      </c>
      <c r="GA1" s="3">
        <v>46478</v>
      </c>
      <c r="GB1" s="3">
        <v>46479</v>
      </c>
      <c r="GC1" s="3">
        <v>46480</v>
      </c>
      <c r="GD1" s="3">
        <v>46481</v>
      </c>
      <c r="GE1" s="3">
        <v>46482</v>
      </c>
      <c r="GF1" s="3">
        <v>46483</v>
      </c>
      <c r="GG1" s="3">
        <v>46484</v>
      </c>
      <c r="GH1" s="3">
        <v>46485</v>
      </c>
      <c r="GI1" s="3">
        <v>46486</v>
      </c>
      <c r="GJ1" s="3">
        <v>46487</v>
      </c>
      <c r="GK1" s="3">
        <v>46488</v>
      </c>
      <c r="GL1" s="3">
        <v>46489</v>
      </c>
      <c r="GM1" s="3">
        <v>46490</v>
      </c>
      <c r="GN1" s="3">
        <v>46491</v>
      </c>
      <c r="GO1" s="3">
        <v>46492</v>
      </c>
      <c r="GP1" s="3">
        <v>46493</v>
      </c>
      <c r="GQ1" s="3">
        <v>46494</v>
      </c>
      <c r="GR1" s="3">
        <v>46495</v>
      </c>
      <c r="GS1" s="3">
        <v>46496</v>
      </c>
      <c r="GT1" s="3">
        <v>46497</v>
      </c>
    </row>
    <row r="2" spans="1:202" x14ac:dyDescent="0.25">
      <c r="A2" t="s">
        <v>36</v>
      </c>
      <c r="B2" t="s">
        <v>62</v>
      </c>
      <c r="C2" t="s">
        <v>66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</row>
    <row r="3" spans="1:202" x14ac:dyDescent="0.25">
      <c r="A3" t="s">
        <v>37</v>
      </c>
      <c r="B3" t="s">
        <v>63</v>
      </c>
      <c r="C3" t="s">
        <v>67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</row>
    <row r="4" spans="1:202" x14ac:dyDescent="0.25">
      <c r="A4" t="s">
        <v>38</v>
      </c>
      <c r="B4" t="s">
        <v>63</v>
      </c>
      <c r="C4" t="s">
        <v>67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</row>
    <row r="5" spans="1:202" x14ac:dyDescent="0.25">
      <c r="A5" t="s">
        <v>39</v>
      </c>
      <c r="B5" t="s">
        <v>62</v>
      </c>
      <c r="C5" t="s">
        <v>66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</row>
    <row r="6" spans="1:202" x14ac:dyDescent="0.25">
      <c r="A6" t="s">
        <v>40</v>
      </c>
      <c r="B6" t="s">
        <v>63</v>
      </c>
      <c r="C6" t="s">
        <v>65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</row>
    <row r="7" spans="1:202" x14ac:dyDescent="0.25">
      <c r="A7" t="s">
        <v>16</v>
      </c>
      <c r="B7" t="s">
        <v>62</v>
      </c>
      <c r="C7" t="s">
        <v>64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</row>
    <row r="8" spans="1:202" x14ac:dyDescent="0.25">
      <c r="A8" t="s">
        <v>41</v>
      </c>
      <c r="B8" t="s">
        <v>62</v>
      </c>
      <c r="C8" t="s">
        <v>64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</row>
    <row r="9" spans="1:202" x14ac:dyDescent="0.25">
      <c r="A9" t="s">
        <v>42</v>
      </c>
      <c r="B9" t="s">
        <v>63</v>
      </c>
      <c r="C9" t="s">
        <v>65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</row>
    <row r="10" spans="1:202" x14ac:dyDescent="0.25">
      <c r="A10" t="s">
        <v>43</v>
      </c>
      <c r="B10" t="s">
        <v>62</v>
      </c>
      <c r="C10" t="s">
        <v>64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</row>
    <row r="11" spans="1:202" x14ac:dyDescent="0.25">
      <c r="A11" t="s">
        <v>44</v>
      </c>
      <c r="B11" t="s">
        <v>63</v>
      </c>
      <c r="C11" t="s">
        <v>67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</row>
    <row r="12" spans="1:202" x14ac:dyDescent="0.25">
      <c r="A12" t="s">
        <v>45</v>
      </c>
      <c r="B12" t="s">
        <v>62</v>
      </c>
      <c r="C12" t="s">
        <v>66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</row>
    <row r="13" spans="1:202" x14ac:dyDescent="0.25">
      <c r="A13" t="s">
        <v>17</v>
      </c>
      <c r="B13" t="s">
        <v>63</v>
      </c>
      <c r="C13" t="s">
        <v>67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</row>
    <row r="14" spans="1:202" x14ac:dyDescent="0.25">
      <c r="A14" t="s">
        <v>46</v>
      </c>
      <c r="B14" t="s">
        <v>62</v>
      </c>
      <c r="C14" t="s">
        <v>66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</row>
    <row r="15" spans="1:202" x14ac:dyDescent="0.25">
      <c r="A15" t="s">
        <v>22</v>
      </c>
      <c r="B15" t="s">
        <v>62</v>
      </c>
      <c r="C15" t="s">
        <v>64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</row>
    <row r="16" spans="1:202" x14ac:dyDescent="0.25">
      <c r="A16" t="s">
        <v>47</v>
      </c>
      <c r="B16" t="s">
        <v>63</v>
      </c>
      <c r="C16" t="s">
        <v>67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</row>
    <row r="17" spans="1:202" x14ac:dyDescent="0.25">
      <c r="A17" t="s">
        <v>48</v>
      </c>
      <c r="B17" t="s">
        <v>62</v>
      </c>
      <c r="C17" t="s">
        <v>64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</row>
    <row r="18" spans="1:202" x14ac:dyDescent="0.25">
      <c r="A18" t="s">
        <v>49</v>
      </c>
      <c r="B18" t="s">
        <v>63</v>
      </c>
      <c r="C18" t="s">
        <v>65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</row>
    <row r="19" spans="1:202" x14ac:dyDescent="0.25">
      <c r="A19" t="s">
        <v>50</v>
      </c>
      <c r="B19" t="s">
        <v>63</v>
      </c>
      <c r="C19" t="s">
        <v>65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</row>
    <row r="20" spans="1:202" x14ac:dyDescent="0.25">
      <c r="A20" t="s">
        <v>51</v>
      </c>
      <c r="B20" t="s">
        <v>63</v>
      </c>
      <c r="C20" t="s">
        <v>65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</row>
    <row r="21" spans="1:202" x14ac:dyDescent="0.25">
      <c r="A21" t="s">
        <v>52</v>
      </c>
      <c r="B21" t="s">
        <v>63</v>
      </c>
      <c r="C21" t="s">
        <v>67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</row>
    <row r="22" spans="1:202" x14ac:dyDescent="0.25">
      <c r="A22" t="s">
        <v>53</v>
      </c>
      <c r="B22" t="s">
        <v>63</v>
      </c>
      <c r="C22" t="s">
        <v>65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</row>
    <row r="23" spans="1:202" x14ac:dyDescent="0.25">
      <c r="A23" t="s">
        <v>54</v>
      </c>
      <c r="B23" t="s">
        <v>63</v>
      </c>
      <c r="C23" t="s">
        <v>65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</row>
    <row r="24" spans="1:202" x14ac:dyDescent="0.25">
      <c r="A24" t="s">
        <v>55</v>
      </c>
      <c r="B24" t="s">
        <v>62</v>
      </c>
      <c r="C24" t="s">
        <v>66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</row>
    <row r="25" spans="1:202" x14ac:dyDescent="0.25">
      <c r="A25" t="s">
        <v>56</v>
      </c>
      <c r="B25" t="s">
        <v>62</v>
      </c>
      <c r="C25" t="s">
        <v>66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</row>
    <row r="26" spans="1:202" x14ac:dyDescent="0.25">
      <c r="A26" t="s">
        <v>61</v>
      </c>
      <c r="B26" t="s">
        <v>62</v>
      </c>
      <c r="C26" t="s">
        <v>64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</row>
    <row r="27" spans="1:202" x14ac:dyDescent="0.25">
      <c r="A27" t="s">
        <v>57</v>
      </c>
      <c r="B27" t="s">
        <v>63</v>
      </c>
      <c r="C27" t="s">
        <v>67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</row>
    <row r="28" spans="1:202" x14ac:dyDescent="0.25">
      <c r="A28" t="s">
        <v>24</v>
      </c>
      <c r="B28" t="s">
        <v>63</v>
      </c>
      <c r="C28" t="s">
        <v>67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</row>
    <row r="29" spans="1:202" x14ac:dyDescent="0.25">
      <c r="A29" t="s">
        <v>58</v>
      </c>
      <c r="B29" t="s">
        <v>62</v>
      </c>
      <c r="C29" t="s">
        <v>64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</row>
    <row r="30" spans="1:202" x14ac:dyDescent="0.25">
      <c r="A30" t="s">
        <v>23</v>
      </c>
      <c r="B30" t="s">
        <v>62</v>
      </c>
      <c r="C30" t="s">
        <v>66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</row>
    <row r="31" spans="1:202" x14ac:dyDescent="0.25">
      <c r="A31" t="s">
        <v>25</v>
      </c>
      <c r="B31" t="s">
        <v>62</v>
      </c>
      <c r="C31" t="s">
        <v>66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</row>
    <row r="32" spans="1:202" x14ac:dyDescent="0.25">
      <c r="A32" t="s">
        <v>59</v>
      </c>
      <c r="B32" t="s">
        <v>63</v>
      </c>
      <c r="C32" t="s">
        <v>65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</row>
    <row r="33" spans="1:202" x14ac:dyDescent="0.25">
      <c r="A33" t="s">
        <v>60</v>
      </c>
      <c r="B33" t="s">
        <v>62</v>
      </c>
      <c r="C33" t="s">
        <v>64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A1C3-8628-425A-8BE5-3FCDB817C672}">
  <dimension ref="A1:BR66"/>
  <sheetViews>
    <sheetView topLeftCell="A15" workbookViewId="0">
      <selection activeCell="X55" sqref="A1:XFD1048576"/>
    </sheetView>
  </sheetViews>
  <sheetFormatPr defaultRowHeight="15" x14ac:dyDescent="0.25"/>
  <cols>
    <col min="1" max="1" width="4.140625" customWidth="1"/>
    <col min="2" max="66" width="2" customWidth="1"/>
    <col min="67" max="67" width="2.7109375" customWidth="1"/>
    <col min="68" max="68" width="4.42578125" customWidth="1"/>
    <col min="69" max="69" width="4.28515625" customWidth="1"/>
  </cols>
  <sheetData>
    <row r="1" spans="1:70" x14ac:dyDescent="0.25">
      <c r="A1" s="6" t="s">
        <v>68</v>
      </c>
      <c r="B1" s="7"/>
      <c r="C1" s="8" t="s">
        <v>36</v>
      </c>
      <c r="D1" s="9"/>
      <c r="E1" s="8" t="s">
        <v>39</v>
      </c>
      <c r="F1" s="9"/>
      <c r="G1" s="8" t="s">
        <v>45</v>
      </c>
      <c r="H1" s="9"/>
      <c r="I1" s="8" t="s">
        <v>46</v>
      </c>
      <c r="J1" s="9"/>
      <c r="K1" s="8" t="s">
        <v>56</v>
      </c>
      <c r="L1" s="9"/>
      <c r="M1" s="8" t="s">
        <v>55</v>
      </c>
      <c r="N1" s="9"/>
      <c r="O1" s="8" t="s">
        <v>23</v>
      </c>
      <c r="P1" s="9"/>
      <c r="Q1" s="8" t="s">
        <v>25</v>
      </c>
      <c r="R1" s="10"/>
      <c r="S1" s="8" t="s">
        <v>16</v>
      </c>
      <c r="T1" s="9"/>
      <c r="U1" s="8" t="s">
        <v>41</v>
      </c>
      <c r="V1" s="9"/>
      <c r="W1" s="8" t="s">
        <v>43</v>
      </c>
      <c r="X1" s="9"/>
      <c r="Y1" s="8" t="s">
        <v>22</v>
      </c>
      <c r="Z1" s="9"/>
      <c r="AA1" s="8" t="s">
        <v>48</v>
      </c>
      <c r="AB1" s="9"/>
      <c r="AC1" s="8" t="s">
        <v>61</v>
      </c>
      <c r="AD1" s="9"/>
      <c r="AE1" s="8" t="s">
        <v>58</v>
      </c>
      <c r="AF1" s="9"/>
      <c r="AG1" s="11" t="s">
        <v>60</v>
      </c>
      <c r="AH1" s="10"/>
      <c r="AI1" s="8" t="s">
        <v>40</v>
      </c>
      <c r="AJ1" s="9"/>
      <c r="AK1" s="8" t="s">
        <v>42</v>
      </c>
      <c r="AL1" s="9"/>
      <c r="AM1" s="8" t="s">
        <v>49</v>
      </c>
      <c r="AN1" s="9"/>
      <c r="AO1" s="8" t="s">
        <v>50</v>
      </c>
      <c r="AP1" s="9"/>
      <c r="AQ1" s="8" t="s">
        <v>51</v>
      </c>
      <c r="AR1" s="9"/>
      <c r="AS1" s="8" t="s">
        <v>53</v>
      </c>
      <c r="AT1" s="9"/>
      <c r="AU1" s="8" t="s">
        <v>54</v>
      </c>
      <c r="AV1" s="9"/>
      <c r="AW1" s="8" t="s">
        <v>59</v>
      </c>
      <c r="AX1" s="10"/>
      <c r="AY1" s="8" t="s">
        <v>37</v>
      </c>
      <c r="AZ1" s="9"/>
      <c r="BA1" s="8" t="s">
        <v>38</v>
      </c>
      <c r="BB1" s="9"/>
      <c r="BC1" s="8" t="s">
        <v>44</v>
      </c>
      <c r="BD1" s="9"/>
      <c r="BE1" s="8" t="s">
        <v>17</v>
      </c>
      <c r="BF1" s="8"/>
      <c r="BG1" s="12" t="s">
        <v>47</v>
      </c>
      <c r="BH1" s="13"/>
      <c r="BI1" s="8" t="s">
        <v>52</v>
      </c>
      <c r="BJ1" s="9"/>
      <c r="BK1" s="8" t="s">
        <v>57</v>
      </c>
      <c r="BL1" s="9"/>
      <c r="BM1" s="8" t="s">
        <v>24</v>
      </c>
      <c r="BN1" s="9"/>
      <c r="BO1" s="14"/>
      <c r="BP1" s="15" t="s">
        <v>69</v>
      </c>
      <c r="BQ1" s="6" t="s">
        <v>70</v>
      </c>
    </row>
    <row r="2" spans="1:70" x14ac:dyDescent="0.25">
      <c r="A2" s="16" t="s">
        <v>71</v>
      </c>
      <c r="B2" s="17"/>
      <c r="C2" s="16" t="s">
        <v>67</v>
      </c>
      <c r="D2" s="17" t="s">
        <v>72</v>
      </c>
      <c r="E2" s="16" t="s">
        <v>67</v>
      </c>
      <c r="F2" s="17" t="s">
        <v>72</v>
      </c>
      <c r="G2" s="16" t="s">
        <v>67</v>
      </c>
      <c r="H2" s="17" t="s">
        <v>72</v>
      </c>
      <c r="I2" s="16" t="s">
        <v>67</v>
      </c>
      <c r="J2" s="17" t="s">
        <v>72</v>
      </c>
      <c r="K2" s="16" t="s">
        <v>67</v>
      </c>
      <c r="L2" s="17" t="s">
        <v>72</v>
      </c>
      <c r="M2" s="16" t="s">
        <v>67</v>
      </c>
      <c r="N2" s="17" t="s">
        <v>72</v>
      </c>
      <c r="O2" s="16" t="s">
        <v>67</v>
      </c>
      <c r="P2" s="17" t="s">
        <v>72</v>
      </c>
      <c r="Q2" s="16" t="s">
        <v>67</v>
      </c>
      <c r="R2" s="18" t="s">
        <v>72</v>
      </c>
      <c r="S2" s="16" t="s">
        <v>67</v>
      </c>
      <c r="T2" s="17" t="s">
        <v>72</v>
      </c>
      <c r="U2" s="16" t="s">
        <v>67</v>
      </c>
      <c r="V2" s="17" t="s">
        <v>72</v>
      </c>
      <c r="W2" s="16" t="s">
        <v>67</v>
      </c>
      <c r="X2" s="17" t="s">
        <v>72</v>
      </c>
      <c r="Y2" s="16" t="s">
        <v>67</v>
      </c>
      <c r="Z2" s="17" t="s">
        <v>72</v>
      </c>
      <c r="AA2" s="16" t="s">
        <v>67</v>
      </c>
      <c r="AB2" s="17" t="s">
        <v>72</v>
      </c>
      <c r="AC2" s="16" t="s">
        <v>67</v>
      </c>
      <c r="AD2" s="17" t="s">
        <v>72</v>
      </c>
      <c r="AE2" s="16" t="s">
        <v>67</v>
      </c>
      <c r="AF2" s="17" t="s">
        <v>72</v>
      </c>
      <c r="AG2" s="16" t="s">
        <v>67</v>
      </c>
      <c r="AH2" s="18" t="s">
        <v>72</v>
      </c>
      <c r="AI2" s="16" t="s">
        <v>67</v>
      </c>
      <c r="AJ2" s="17" t="s">
        <v>72</v>
      </c>
      <c r="AK2" s="16" t="s">
        <v>67</v>
      </c>
      <c r="AL2" s="17" t="s">
        <v>72</v>
      </c>
      <c r="AM2" s="16" t="s">
        <v>67</v>
      </c>
      <c r="AN2" s="17" t="s">
        <v>72</v>
      </c>
      <c r="AO2" s="16" t="s">
        <v>67</v>
      </c>
      <c r="AP2" s="17" t="s">
        <v>72</v>
      </c>
      <c r="AQ2" s="16" t="s">
        <v>67</v>
      </c>
      <c r="AR2" s="17" t="s">
        <v>72</v>
      </c>
      <c r="AS2" s="16" t="s">
        <v>67</v>
      </c>
      <c r="AT2" s="17" t="s">
        <v>72</v>
      </c>
      <c r="AU2" s="16" t="s">
        <v>67</v>
      </c>
      <c r="AV2" s="17" t="s">
        <v>72</v>
      </c>
      <c r="AW2" s="16" t="s">
        <v>67</v>
      </c>
      <c r="AX2" s="18" t="s">
        <v>72</v>
      </c>
      <c r="AY2" s="16" t="s">
        <v>67</v>
      </c>
      <c r="AZ2" s="17" t="s">
        <v>72</v>
      </c>
      <c r="BA2" s="16" t="s">
        <v>67</v>
      </c>
      <c r="BB2" s="17" t="s">
        <v>72</v>
      </c>
      <c r="BC2" s="16" t="s">
        <v>67</v>
      </c>
      <c r="BD2" s="17" t="s">
        <v>72</v>
      </c>
      <c r="BE2" s="16" t="s">
        <v>67</v>
      </c>
      <c r="BF2" s="16" t="s">
        <v>72</v>
      </c>
      <c r="BG2" s="19" t="s">
        <v>67</v>
      </c>
      <c r="BH2" s="17" t="s">
        <v>72</v>
      </c>
      <c r="BI2" s="16" t="s">
        <v>67</v>
      </c>
      <c r="BJ2" s="17" t="s">
        <v>72</v>
      </c>
      <c r="BK2" s="16" t="s">
        <v>67</v>
      </c>
      <c r="BL2" s="17" t="s">
        <v>72</v>
      </c>
      <c r="BM2" s="16" t="s">
        <v>67</v>
      </c>
      <c r="BN2" s="17" t="s">
        <v>72</v>
      </c>
      <c r="BO2" s="20"/>
      <c r="BP2" s="6"/>
      <c r="BQ2" s="6"/>
    </row>
    <row r="3" spans="1:70" ht="9.75" customHeight="1" x14ac:dyDescent="0.25">
      <c r="A3" s="21" t="s">
        <v>36</v>
      </c>
      <c r="B3" s="7" t="s">
        <v>67</v>
      </c>
      <c r="C3" s="32"/>
      <c r="D3" s="3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33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33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33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>
        <f>SUM(C3:BN3)</f>
        <v>0</v>
      </c>
      <c r="BP3" s="30">
        <f>BO3+BO4</f>
        <v>0</v>
      </c>
      <c r="BQ3" s="30">
        <f>84-BP3</f>
        <v>84</v>
      </c>
      <c r="BR3" s="31">
        <f>BP3/(BP3+BQ3)</f>
        <v>0</v>
      </c>
    </row>
    <row r="4" spans="1:70" ht="9.75" customHeight="1" x14ac:dyDescent="0.25">
      <c r="A4" s="22"/>
      <c r="B4" s="17" t="s">
        <v>72</v>
      </c>
      <c r="C4" s="32"/>
      <c r="D4" s="3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34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34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34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>
        <f t="shared" ref="BO4:BO66" si="0">SUM(C4:BN4)</f>
        <v>0</v>
      </c>
      <c r="BP4" s="30"/>
      <c r="BQ4" s="30"/>
      <c r="BR4" s="31"/>
    </row>
    <row r="5" spans="1:70" ht="9.75" customHeight="1" x14ac:dyDescent="0.25">
      <c r="A5" s="21" t="s">
        <v>39</v>
      </c>
      <c r="B5" s="7" t="s">
        <v>67</v>
      </c>
      <c r="C5" s="5"/>
      <c r="D5" s="5"/>
      <c r="E5" s="32"/>
      <c r="F5" s="3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34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34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34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>
        <f t="shared" si="0"/>
        <v>0</v>
      </c>
      <c r="BP5" s="30">
        <f>BO5+BO6</f>
        <v>0</v>
      </c>
      <c r="BQ5" s="30">
        <f>84-BP5</f>
        <v>84</v>
      </c>
      <c r="BR5" s="31">
        <f t="shared" ref="BR5" si="1">BP5/(BP5+BQ5)</f>
        <v>0</v>
      </c>
    </row>
    <row r="6" spans="1:70" ht="9.75" customHeight="1" x14ac:dyDescent="0.25">
      <c r="A6" s="22"/>
      <c r="B6" s="17" t="s">
        <v>72</v>
      </c>
      <c r="C6" s="5"/>
      <c r="D6" s="5"/>
      <c r="E6" s="32"/>
      <c r="F6" s="3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34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34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34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>
        <f t="shared" si="0"/>
        <v>0</v>
      </c>
      <c r="BP6" s="30"/>
      <c r="BQ6" s="30"/>
      <c r="BR6" s="31"/>
    </row>
    <row r="7" spans="1:70" ht="9.75" customHeight="1" x14ac:dyDescent="0.25">
      <c r="A7" s="21" t="s">
        <v>45</v>
      </c>
      <c r="B7" s="7" t="s">
        <v>67</v>
      </c>
      <c r="C7" s="5"/>
      <c r="D7" s="5"/>
      <c r="E7" s="5"/>
      <c r="F7" s="5"/>
      <c r="G7" s="32"/>
      <c r="H7" s="32"/>
      <c r="I7" s="5"/>
      <c r="J7" s="5"/>
      <c r="K7" s="5"/>
      <c r="L7" s="5"/>
      <c r="M7" s="5"/>
      <c r="N7" s="5"/>
      <c r="O7" s="5"/>
      <c r="P7" s="5"/>
      <c r="Q7" s="5"/>
      <c r="R7" s="34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34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34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f t="shared" si="0"/>
        <v>0</v>
      </c>
      <c r="BP7" s="30">
        <f t="shared" ref="BP7" si="2">BO7+BO8</f>
        <v>0</v>
      </c>
      <c r="BQ7" s="30">
        <f t="shared" ref="BQ7:BR7" si="3">84-BP7</f>
        <v>84</v>
      </c>
      <c r="BR7" s="31">
        <f t="shared" ref="BR7" si="4">BP7/(BP7+BQ7)</f>
        <v>0</v>
      </c>
    </row>
    <row r="8" spans="1:70" ht="9.75" customHeight="1" x14ac:dyDescent="0.25">
      <c r="A8" s="22"/>
      <c r="B8" s="17" t="s">
        <v>72</v>
      </c>
      <c r="C8" s="5"/>
      <c r="D8" s="5"/>
      <c r="E8" s="5"/>
      <c r="F8" s="5"/>
      <c r="G8" s="32"/>
      <c r="H8" s="32"/>
      <c r="I8" s="5"/>
      <c r="J8" s="5"/>
      <c r="K8" s="5"/>
      <c r="L8" s="5"/>
      <c r="M8" s="5"/>
      <c r="N8" s="5"/>
      <c r="O8" s="5"/>
      <c r="P8" s="5"/>
      <c r="Q8" s="5"/>
      <c r="R8" s="34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34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34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f t="shared" si="0"/>
        <v>0</v>
      </c>
      <c r="BP8" s="30"/>
      <c r="BQ8" s="30"/>
      <c r="BR8" s="31"/>
    </row>
    <row r="9" spans="1:70" ht="9.75" customHeight="1" x14ac:dyDescent="0.25">
      <c r="A9" s="21" t="s">
        <v>46</v>
      </c>
      <c r="B9" s="7" t="s">
        <v>67</v>
      </c>
      <c r="C9" s="5"/>
      <c r="D9" s="5"/>
      <c r="E9" s="5"/>
      <c r="F9" s="5"/>
      <c r="G9" s="5"/>
      <c r="H9" s="5"/>
      <c r="I9" s="32"/>
      <c r="J9" s="32"/>
      <c r="K9" s="5"/>
      <c r="L9" s="5"/>
      <c r="M9" s="5"/>
      <c r="N9" s="5"/>
      <c r="O9" s="5"/>
      <c r="P9" s="5"/>
      <c r="Q9" s="5"/>
      <c r="R9" s="34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34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34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f t="shared" si="0"/>
        <v>0</v>
      </c>
      <c r="BP9" s="30">
        <f t="shared" ref="BP9" si="5">BO9+BO10</f>
        <v>0</v>
      </c>
      <c r="BQ9" s="30">
        <f t="shared" ref="BQ9:BR9" si="6">84-BP9</f>
        <v>84</v>
      </c>
      <c r="BR9" s="31">
        <f t="shared" ref="BR9" si="7">BP9/(BP9+BQ9)</f>
        <v>0</v>
      </c>
    </row>
    <row r="10" spans="1:70" ht="9.75" customHeight="1" x14ac:dyDescent="0.25">
      <c r="A10" s="22"/>
      <c r="B10" s="17" t="s">
        <v>72</v>
      </c>
      <c r="C10" s="5"/>
      <c r="D10" s="5"/>
      <c r="E10" s="5"/>
      <c r="F10" s="5"/>
      <c r="G10" s="5"/>
      <c r="H10" s="5"/>
      <c r="I10" s="32"/>
      <c r="J10" s="32"/>
      <c r="K10" s="5"/>
      <c r="L10" s="5"/>
      <c r="M10" s="5"/>
      <c r="N10" s="5"/>
      <c r="O10" s="5"/>
      <c r="P10" s="5"/>
      <c r="Q10" s="5"/>
      <c r="R10" s="34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3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34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f t="shared" si="0"/>
        <v>0</v>
      </c>
      <c r="BP10" s="30"/>
      <c r="BQ10" s="30"/>
      <c r="BR10" s="31"/>
    </row>
    <row r="11" spans="1:70" ht="9.75" customHeight="1" x14ac:dyDescent="0.25">
      <c r="A11" s="21" t="s">
        <v>56</v>
      </c>
      <c r="B11" s="7" t="s">
        <v>67</v>
      </c>
      <c r="C11" s="5"/>
      <c r="D11" s="5"/>
      <c r="E11" s="5"/>
      <c r="F11" s="5"/>
      <c r="G11" s="5"/>
      <c r="H11" s="5"/>
      <c r="I11" s="5"/>
      <c r="J11" s="5"/>
      <c r="K11" s="32"/>
      <c r="L11" s="32"/>
      <c r="M11" s="5"/>
      <c r="N11" s="5"/>
      <c r="O11" s="5"/>
      <c r="P11" s="5"/>
      <c r="Q11" s="5"/>
      <c r="R11" s="34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3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34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f t="shared" si="0"/>
        <v>0</v>
      </c>
      <c r="BP11" s="30">
        <f t="shared" ref="BP11" si="8">BO11+BO12</f>
        <v>0</v>
      </c>
      <c r="BQ11" s="30">
        <f t="shared" ref="BQ11:BR11" si="9">84-BP11</f>
        <v>84</v>
      </c>
      <c r="BR11" s="31">
        <f t="shared" ref="BR11" si="10">BP11/(BP11+BQ11)</f>
        <v>0</v>
      </c>
    </row>
    <row r="12" spans="1:70" ht="9.75" customHeight="1" x14ac:dyDescent="0.25">
      <c r="A12" s="22"/>
      <c r="B12" s="17" t="s">
        <v>72</v>
      </c>
      <c r="C12" s="5"/>
      <c r="D12" s="5"/>
      <c r="E12" s="5"/>
      <c r="F12" s="5"/>
      <c r="G12" s="5"/>
      <c r="H12" s="5"/>
      <c r="I12" s="5"/>
      <c r="J12" s="5"/>
      <c r="K12" s="32"/>
      <c r="L12" s="32"/>
      <c r="M12" s="5"/>
      <c r="N12" s="5"/>
      <c r="O12" s="5"/>
      <c r="P12" s="5"/>
      <c r="Q12" s="5"/>
      <c r="R12" s="34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3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34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f t="shared" si="0"/>
        <v>0</v>
      </c>
      <c r="BP12" s="30"/>
      <c r="BQ12" s="30"/>
      <c r="BR12" s="31"/>
    </row>
    <row r="13" spans="1:70" ht="9.75" customHeight="1" x14ac:dyDescent="0.25">
      <c r="A13" s="21" t="s">
        <v>55</v>
      </c>
      <c r="B13" s="7" t="s">
        <v>67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32"/>
      <c r="N13" s="32"/>
      <c r="O13" s="5"/>
      <c r="P13" s="5"/>
      <c r="Q13" s="5"/>
      <c r="R13" s="34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3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34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f t="shared" si="0"/>
        <v>0</v>
      </c>
      <c r="BP13" s="30">
        <f t="shared" ref="BP13" si="11">BO13+BO14</f>
        <v>0</v>
      </c>
      <c r="BQ13" s="30">
        <f t="shared" ref="BQ13:BR13" si="12">84-BP13</f>
        <v>84</v>
      </c>
      <c r="BR13" s="31">
        <f t="shared" ref="BR13" si="13">BP13/(BP13+BQ13)</f>
        <v>0</v>
      </c>
    </row>
    <row r="14" spans="1:70" ht="9.75" customHeight="1" x14ac:dyDescent="0.25">
      <c r="A14" s="22"/>
      <c r="B14" s="17" t="s">
        <v>72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32"/>
      <c r="N14" s="32"/>
      <c r="O14" s="5"/>
      <c r="P14" s="5"/>
      <c r="Q14" s="5"/>
      <c r="R14" s="34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3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34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f t="shared" si="0"/>
        <v>0</v>
      </c>
      <c r="BP14" s="30"/>
      <c r="BQ14" s="30"/>
      <c r="BR14" s="31"/>
    </row>
    <row r="15" spans="1:70" ht="9.75" customHeight="1" x14ac:dyDescent="0.25">
      <c r="A15" s="21" t="s">
        <v>23</v>
      </c>
      <c r="B15" s="7" t="s">
        <v>67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32"/>
      <c r="P15" s="32"/>
      <c r="Q15" s="5"/>
      <c r="R15" s="34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3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34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f t="shared" si="0"/>
        <v>0</v>
      </c>
      <c r="BP15" s="30">
        <f t="shared" ref="BP15" si="14">BO15+BO16</f>
        <v>0</v>
      </c>
      <c r="BQ15" s="30">
        <f t="shared" ref="BQ15:BR15" si="15">84-BP15</f>
        <v>84</v>
      </c>
      <c r="BR15" s="31">
        <f t="shared" ref="BR15" si="16">BP15/(BP15+BQ15)</f>
        <v>0</v>
      </c>
    </row>
    <row r="16" spans="1:70" ht="9.75" customHeight="1" x14ac:dyDescent="0.25">
      <c r="A16" s="22"/>
      <c r="B16" s="17" t="s">
        <v>72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32"/>
      <c r="P16" s="32"/>
      <c r="Q16" s="5"/>
      <c r="R16" s="34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3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34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f t="shared" si="0"/>
        <v>0</v>
      </c>
      <c r="BP16" s="30"/>
      <c r="BQ16" s="30"/>
      <c r="BR16" s="31"/>
    </row>
    <row r="17" spans="1:70" ht="9.75" customHeight="1" x14ac:dyDescent="0.25">
      <c r="A17" s="21" t="s">
        <v>25</v>
      </c>
      <c r="B17" s="7" t="s">
        <v>67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32"/>
      <c r="R17" s="3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3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34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f t="shared" si="0"/>
        <v>0</v>
      </c>
      <c r="BP17" s="30">
        <f t="shared" ref="BP17" si="17">BO17+BO18</f>
        <v>0</v>
      </c>
      <c r="BQ17" s="30">
        <f t="shared" ref="BQ17:BR17" si="18">84-BP17</f>
        <v>84</v>
      </c>
      <c r="BR17" s="31">
        <f t="shared" ref="BR17" si="19">BP17/(BP17+BQ17)</f>
        <v>0</v>
      </c>
    </row>
    <row r="18" spans="1:70" ht="9.75" customHeight="1" thickBot="1" x14ac:dyDescent="0.3">
      <c r="A18" s="23"/>
      <c r="B18" s="7" t="s">
        <v>72</v>
      </c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8"/>
      <c r="R18" s="39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40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40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5">
        <f t="shared" si="0"/>
        <v>0</v>
      </c>
      <c r="BP18" s="30"/>
      <c r="BQ18" s="30"/>
      <c r="BR18" s="31"/>
    </row>
    <row r="19" spans="1:70" ht="9.75" customHeight="1" thickTop="1" x14ac:dyDescent="0.25">
      <c r="A19" s="24" t="s">
        <v>16</v>
      </c>
      <c r="B19" s="25" t="s">
        <v>67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34"/>
      <c r="S19" s="32"/>
      <c r="T19" s="32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3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34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f t="shared" si="0"/>
        <v>0</v>
      </c>
      <c r="BP19" s="30">
        <f t="shared" ref="BP19" si="20">BO19+BO20</f>
        <v>0</v>
      </c>
      <c r="BQ19" s="30">
        <f t="shared" ref="BQ19:BR19" si="21">84-BP19</f>
        <v>84</v>
      </c>
      <c r="BR19" s="31">
        <f t="shared" ref="BR19" si="22">BP19/(BP19+BQ19)</f>
        <v>0</v>
      </c>
    </row>
    <row r="20" spans="1:70" ht="9.75" customHeight="1" x14ac:dyDescent="0.25">
      <c r="A20" s="22"/>
      <c r="B20" s="17" t="s">
        <v>72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34"/>
      <c r="S20" s="32"/>
      <c r="T20" s="32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3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34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f t="shared" si="0"/>
        <v>0</v>
      </c>
      <c r="BP20" s="30"/>
      <c r="BQ20" s="30"/>
      <c r="BR20" s="31"/>
    </row>
    <row r="21" spans="1:70" ht="9.75" customHeight="1" x14ac:dyDescent="0.25">
      <c r="A21" s="21" t="s">
        <v>41</v>
      </c>
      <c r="B21" s="7" t="s">
        <v>67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34"/>
      <c r="S21" s="5"/>
      <c r="T21" s="5"/>
      <c r="U21" s="32"/>
      <c r="V21" s="3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3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34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f t="shared" si="0"/>
        <v>0</v>
      </c>
      <c r="BP21" s="30">
        <f t="shared" ref="BP21" si="23">BO21+BO22</f>
        <v>0</v>
      </c>
      <c r="BQ21" s="30">
        <f t="shared" ref="BQ21:BR21" si="24">84-BP21</f>
        <v>84</v>
      </c>
      <c r="BR21" s="31">
        <f t="shared" ref="BR21" si="25">BP21/(BP21+BQ21)</f>
        <v>0</v>
      </c>
    </row>
    <row r="22" spans="1:70" ht="9.75" customHeight="1" x14ac:dyDescent="0.25">
      <c r="A22" s="22"/>
      <c r="B22" s="17" t="s">
        <v>72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34"/>
      <c r="S22" s="5"/>
      <c r="T22" s="5"/>
      <c r="U22" s="32"/>
      <c r="V22" s="3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3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34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f t="shared" si="0"/>
        <v>0</v>
      </c>
      <c r="BP22" s="30"/>
      <c r="BQ22" s="30"/>
      <c r="BR22" s="31"/>
    </row>
    <row r="23" spans="1:70" ht="9.75" customHeight="1" x14ac:dyDescent="0.25">
      <c r="A23" s="21" t="s">
        <v>43</v>
      </c>
      <c r="B23" s="7" t="s">
        <v>67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34"/>
      <c r="S23" s="5"/>
      <c r="T23" s="5"/>
      <c r="U23" s="5"/>
      <c r="V23" s="5"/>
      <c r="W23" s="32"/>
      <c r="X23" s="32"/>
      <c r="Y23" s="5"/>
      <c r="Z23" s="5"/>
      <c r="AA23" s="5"/>
      <c r="AB23" s="5"/>
      <c r="AC23" s="5"/>
      <c r="AD23" s="5"/>
      <c r="AE23" s="5"/>
      <c r="AF23" s="5"/>
      <c r="AG23" s="5"/>
      <c r="AH23" s="3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34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f t="shared" si="0"/>
        <v>0</v>
      </c>
      <c r="BP23" s="30">
        <f t="shared" ref="BP23" si="26">BO23+BO24</f>
        <v>0</v>
      </c>
      <c r="BQ23" s="30">
        <f t="shared" ref="BQ23:BR23" si="27">84-BP23</f>
        <v>84</v>
      </c>
      <c r="BR23" s="31">
        <f t="shared" ref="BR23" si="28">BP23/(BP23+BQ23)</f>
        <v>0</v>
      </c>
    </row>
    <row r="24" spans="1:70" ht="9.75" customHeight="1" x14ac:dyDescent="0.25">
      <c r="A24" s="22"/>
      <c r="B24" s="17" t="s">
        <v>72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34"/>
      <c r="S24" s="5"/>
      <c r="T24" s="5"/>
      <c r="U24" s="5"/>
      <c r="V24" s="5"/>
      <c r="W24" s="32"/>
      <c r="X24" s="32"/>
      <c r="Y24" s="5"/>
      <c r="Z24" s="5"/>
      <c r="AA24" s="5"/>
      <c r="AB24" s="5"/>
      <c r="AC24" s="5"/>
      <c r="AD24" s="5"/>
      <c r="AE24" s="5"/>
      <c r="AF24" s="5"/>
      <c r="AG24" s="5"/>
      <c r="AH24" s="3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34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f t="shared" si="0"/>
        <v>0</v>
      </c>
      <c r="BP24" s="30"/>
      <c r="BQ24" s="30"/>
      <c r="BR24" s="31"/>
    </row>
    <row r="25" spans="1:70" ht="9.75" customHeight="1" x14ac:dyDescent="0.25">
      <c r="A25" s="21" t="s">
        <v>22</v>
      </c>
      <c r="B25" s="7" t="s">
        <v>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34"/>
      <c r="S25" s="5"/>
      <c r="T25" s="5"/>
      <c r="U25" s="5"/>
      <c r="V25" s="5"/>
      <c r="W25" s="5"/>
      <c r="X25" s="5"/>
      <c r="Y25" s="32"/>
      <c r="Z25" s="32"/>
      <c r="AA25" s="5"/>
      <c r="AB25" s="5"/>
      <c r="AC25" s="5"/>
      <c r="AD25" s="5"/>
      <c r="AE25" s="5"/>
      <c r="AF25" s="5"/>
      <c r="AG25" s="5"/>
      <c r="AH25" s="3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34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f t="shared" si="0"/>
        <v>0</v>
      </c>
      <c r="BP25" s="30">
        <f t="shared" ref="BP25" si="29">BO25+BO26</f>
        <v>0</v>
      </c>
      <c r="BQ25" s="30">
        <f t="shared" ref="BQ25:BR25" si="30">84-BP25</f>
        <v>84</v>
      </c>
      <c r="BR25" s="31">
        <f t="shared" ref="BR25" si="31">BP25/(BP25+BQ25)</f>
        <v>0</v>
      </c>
    </row>
    <row r="26" spans="1:70" ht="9.75" customHeight="1" x14ac:dyDescent="0.25">
      <c r="A26" s="22"/>
      <c r="B26" s="17" t="s">
        <v>72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34"/>
      <c r="S26" s="5"/>
      <c r="T26" s="5"/>
      <c r="U26" s="5"/>
      <c r="V26" s="5"/>
      <c r="W26" s="5"/>
      <c r="X26" s="5"/>
      <c r="Y26" s="32"/>
      <c r="Z26" s="32"/>
      <c r="AA26" s="5"/>
      <c r="AB26" s="5"/>
      <c r="AC26" s="5"/>
      <c r="AD26" s="5"/>
      <c r="AE26" s="5"/>
      <c r="AF26" s="5"/>
      <c r="AG26" s="5"/>
      <c r="AH26" s="3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34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f t="shared" si="0"/>
        <v>0</v>
      </c>
      <c r="BP26" s="30"/>
      <c r="BQ26" s="30"/>
      <c r="BR26" s="31"/>
    </row>
    <row r="27" spans="1:70" ht="9.75" customHeight="1" x14ac:dyDescent="0.25">
      <c r="A27" s="21" t="s">
        <v>48</v>
      </c>
      <c r="B27" s="7" t="s">
        <v>67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34"/>
      <c r="S27" s="5"/>
      <c r="T27" s="5"/>
      <c r="U27" s="5"/>
      <c r="V27" s="5"/>
      <c r="W27" s="5"/>
      <c r="X27" s="5"/>
      <c r="Y27" s="5"/>
      <c r="Z27" s="5"/>
      <c r="AA27" s="32"/>
      <c r="AB27" s="32"/>
      <c r="AC27" s="5"/>
      <c r="AD27" s="5"/>
      <c r="AE27" s="5"/>
      <c r="AF27" s="5"/>
      <c r="AG27" s="5"/>
      <c r="AH27" s="3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34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f t="shared" si="0"/>
        <v>0</v>
      </c>
      <c r="BP27" s="30">
        <f t="shared" ref="BP27" si="32">BO27+BO28</f>
        <v>0</v>
      </c>
      <c r="BQ27" s="30">
        <f t="shared" ref="BQ27:BR27" si="33">84-BP27</f>
        <v>84</v>
      </c>
      <c r="BR27" s="31">
        <f t="shared" ref="BR27" si="34">BP27/(BP27+BQ27)</f>
        <v>0</v>
      </c>
    </row>
    <row r="28" spans="1:70" ht="9.75" customHeight="1" x14ac:dyDescent="0.25">
      <c r="A28" s="22"/>
      <c r="B28" s="17" t="s">
        <v>72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34"/>
      <c r="S28" s="5"/>
      <c r="T28" s="5"/>
      <c r="U28" s="5"/>
      <c r="V28" s="5"/>
      <c r="W28" s="5"/>
      <c r="X28" s="5"/>
      <c r="Y28" s="5"/>
      <c r="Z28" s="5"/>
      <c r="AA28" s="32"/>
      <c r="AB28" s="32"/>
      <c r="AC28" s="5"/>
      <c r="AD28" s="5"/>
      <c r="AE28" s="5"/>
      <c r="AF28" s="5"/>
      <c r="AG28" s="5"/>
      <c r="AH28" s="3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34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f t="shared" si="0"/>
        <v>0</v>
      </c>
      <c r="BP28" s="30"/>
      <c r="BQ28" s="30"/>
      <c r="BR28" s="31"/>
    </row>
    <row r="29" spans="1:70" ht="9.75" customHeight="1" x14ac:dyDescent="0.25">
      <c r="A29" s="21" t="s">
        <v>61</v>
      </c>
      <c r="B29" s="7" t="s">
        <v>67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34"/>
      <c r="S29" s="5"/>
      <c r="T29" s="5"/>
      <c r="U29" s="5"/>
      <c r="V29" s="5"/>
      <c r="W29" s="5"/>
      <c r="X29" s="5"/>
      <c r="Y29" s="5"/>
      <c r="Z29" s="5"/>
      <c r="AA29" s="5"/>
      <c r="AB29" s="5"/>
      <c r="AC29" s="32"/>
      <c r="AD29" s="32"/>
      <c r="AE29" s="5"/>
      <c r="AF29" s="5"/>
      <c r="AG29" s="5"/>
      <c r="AH29" s="3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34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f t="shared" si="0"/>
        <v>0</v>
      </c>
      <c r="BP29" s="30">
        <f t="shared" ref="BP29" si="35">BO29+BO30</f>
        <v>0</v>
      </c>
      <c r="BQ29" s="30">
        <f t="shared" ref="BQ29:BR29" si="36">84-BP29</f>
        <v>84</v>
      </c>
      <c r="BR29" s="31">
        <f t="shared" ref="BR29" si="37">BP29/(BP29+BQ29)</f>
        <v>0</v>
      </c>
    </row>
    <row r="30" spans="1:70" ht="9.75" customHeight="1" x14ac:dyDescent="0.25">
      <c r="A30" s="22"/>
      <c r="B30" s="17" t="s">
        <v>72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34"/>
      <c r="S30" s="5"/>
      <c r="T30" s="5"/>
      <c r="U30" s="5"/>
      <c r="V30" s="5"/>
      <c r="W30" s="5"/>
      <c r="X30" s="5"/>
      <c r="Y30" s="5"/>
      <c r="Z30" s="5"/>
      <c r="AA30" s="5"/>
      <c r="AB30" s="5"/>
      <c r="AC30" s="32"/>
      <c r="AD30" s="32"/>
      <c r="AE30" s="5"/>
      <c r="AF30" s="5"/>
      <c r="AG30" s="5"/>
      <c r="AH30" s="3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34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f t="shared" si="0"/>
        <v>0</v>
      </c>
      <c r="BP30" s="30"/>
      <c r="BQ30" s="30"/>
      <c r="BR30" s="31"/>
    </row>
    <row r="31" spans="1:70" ht="9.75" customHeight="1" x14ac:dyDescent="0.25">
      <c r="A31" s="21" t="s">
        <v>58</v>
      </c>
      <c r="B31" s="7" t="s">
        <v>67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34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32"/>
      <c r="AF31" s="32"/>
      <c r="AG31" s="5"/>
      <c r="AH31" s="3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34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f t="shared" si="0"/>
        <v>0</v>
      </c>
      <c r="BP31" s="30">
        <f t="shared" ref="BP31" si="38">BO31+BO32</f>
        <v>0</v>
      </c>
      <c r="BQ31" s="30">
        <f t="shared" ref="BQ31:BR31" si="39">84-BP31</f>
        <v>84</v>
      </c>
      <c r="BR31" s="31">
        <f t="shared" ref="BR31" si="40">BP31/(BP31+BQ31)</f>
        <v>0</v>
      </c>
    </row>
    <row r="32" spans="1:70" ht="9.75" customHeight="1" x14ac:dyDescent="0.25">
      <c r="A32" s="22"/>
      <c r="B32" s="17" t="s">
        <v>72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34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32"/>
      <c r="AF32" s="32"/>
      <c r="AG32" s="5"/>
      <c r="AH32" s="3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34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f t="shared" si="0"/>
        <v>0</v>
      </c>
      <c r="BP32" s="30"/>
      <c r="BQ32" s="30"/>
      <c r="BR32" s="31"/>
    </row>
    <row r="33" spans="1:70" ht="9.75" customHeight="1" x14ac:dyDescent="0.25">
      <c r="A33" s="21" t="s">
        <v>60</v>
      </c>
      <c r="B33" s="7" t="s">
        <v>67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34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32"/>
      <c r="AH33" s="3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34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f t="shared" si="0"/>
        <v>0</v>
      </c>
      <c r="BP33" s="30">
        <f t="shared" ref="BP33" si="41">BO33+BO34</f>
        <v>0</v>
      </c>
      <c r="BQ33" s="30">
        <f t="shared" ref="BQ33:BR33" si="42">84-BP33</f>
        <v>84</v>
      </c>
      <c r="BR33" s="31">
        <f t="shared" ref="BR33" si="43">BP33/(BP33+BQ33)</f>
        <v>0</v>
      </c>
    </row>
    <row r="34" spans="1:70" ht="9.75" customHeight="1" thickBot="1" x14ac:dyDescent="0.3">
      <c r="A34" s="23"/>
      <c r="B34" s="7" t="s">
        <v>72</v>
      </c>
      <c r="C34" s="5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40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8"/>
      <c r="AH34" s="39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40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5">
        <f t="shared" si="0"/>
        <v>0</v>
      </c>
      <c r="BP34" s="30"/>
      <c r="BQ34" s="30"/>
      <c r="BR34" s="31"/>
    </row>
    <row r="35" spans="1:70" ht="9.75" customHeight="1" thickTop="1" x14ac:dyDescent="0.25">
      <c r="A35" s="24" t="s">
        <v>40</v>
      </c>
      <c r="B35" s="25" t="s">
        <v>67</v>
      </c>
      <c r="C35" s="4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34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34"/>
      <c r="AI35" s="32"/>
      <c r="AJ35" s="32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34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f t="shared" si="0"/>
        <v>0</v>
      </c>
      <c r="BP35" s="30">
        <f t="shared" ref="BP35" si="44">BO35+BO36</f>
        <v>0</v>
      </c>
      <c r="BQ35" s="30">
        <f t="shared" ref="BQ35:BR35" si="45">84-BP35</f>
        <v>84</v>
      </c>
      <c r="BR35" s="31">
        <f t="shared" ref="BR35" si="46">BP35/(BP35+BQ35)</f>
        <v>0</v>
      </c>
    </row>
    <row r="36" spans="1:70" ht="9.75" customHeight="1" x14ac:dyDescent="0.25">
      <c r="A36" s="22"/>
      <c r="B36" s="17" t="s">
        <v>72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34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34"/>
      <c r="AI36" s="32"/>
      <c r="AJ36" s="32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34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f t="shared" si="0"/>
        <v>0</v>
      </c>
      <c r="BP36" s="30"/>
      <c r="BQ36" s="30"/>
      <c r="BR36" s="31"/>
    </row>
    <row r="37" spans="1:70" ht="9.75" customHeight="1" x14ac:dyDescent="0.25">
      <c r="A37" s="21" t="s">
        <v>42</v>
      </c>
      <c r="B37" s="7" t="s">
        <v>67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34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34"/>
      <c r="AI37" s="5"/>
      <c r="AJ37" s="5"/>
      <c r="AK37" s="32"/>
      <c r="AL37" s="32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34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f t="shared" si="0"/>
        <v>0</v>
      </c>
      <c r="BP37" s="30">
        <f t="shared" ref="BP37" si="47">BO37+BO38</f>
        <v>0</v>
      </c>
      <c r="BQ37" s="30">
        <f t="shared" ref="BQ37:BR37" si="48">84-BP37</f>
        <v>84</v>
      </c>
      <c r="BR37" s="31">
        <f t="shared" ref="BR37" si="49">BP37/(BP37+BQ37)</f>
        <v>0</v>
      </c>
    </row>
    <row r="38" spans="1:70" ht="9.75" customHeight="1" x14ac:dyDescent="0.25">
      <c r="A38" s="22"/>
      <c r="B38" s="17" t="s">
        <v>72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34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34"/>
      <c r="AI38" s="5"/>
      <c r="AJ38" s="5"/>
      <c r="AK38" s="32"/>
      <c r="AL38" s="32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34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f t="shared" si="0"/>
        <v>0</v>
      </c>
      <c r="BP38" s="30"/>
      <c r="BQ38" s="30"/>
      <c r="BR38" s="31"/>
    </row>
    <row r="39" spans="1:70" ht="9.75" customHeight="1" x14ac:dyDescent="0.25">
      <c r="A39" s="21" t="s">
        <v>49</v>
      </c>
      <c r="B39" s="7" t="s">
        <v>67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34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34"/>
      <c r="AI39" s="5"/>
      <c r="AJ39" s="5"/>
      <c r="AK39" s="5"/>
      <c r="AL39" s="5"/>
      <c r="AM39" s="32"/>
      <c r="AN39" s="32"/>
      <c r="AO39" s="5"/>
      <c r="AP39" s="5"/>
      <c r="AQ39" s="5"/>
      <c r="AR39" s="5"/>
      <c r="AS39" s="5"/>
      <c r="AT39" s="5"/>
      <c r="AU39" s="5"/>
      <c r="AV39" s="5"/>
      <c r="AW39" s="5"/>
      <c r="AX39" s="34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f t="shared" si="0"/>
        <v>0</v>
      </c>
      <c r="BP39" s="30">
        <f t="shared" ref="BP39" si="50">BO39+BO40</f>
        <v>0</v>
      </c>
      <c r="BQ39" s="30">
        <f t="shared" ref="BQ39:BR39" si="51">84-BP39</f>
        <v>84</v>
      </c>
      <c r="BR39" s="31">
        <f t="shared" ref="BR39" si="52">BP39/(BP39+BQ39)</f>
        <v>0</v>
      </c>
    </row>
    <row r="40" spans="1:70" ht="9.75" customHeight="1" x14ac:dyDescent="0.25">
      <c r="A40" s="22"/>
      <c r="B40" s="17" t="s">
        <v>72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34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34"/>
      <c r="AI40" s="5"/>
      <c r="AJ40" s="5"/>
      <c r="AK40" s="5"/>
      <c r="AL40" s="5"/>
      <c r="AM40" s="32"/>
      <c r="AN40" s="32"/>
      <c r="AO40" s="5"/>
      <c r="AP40" s="5"/>
      <c r="AQ40" s="5"/>
      <c r="AR40" s="5"/>
      <c r="AS40" s="5"/>
      <c r="AT40" s="5"/>
      <c r="AU40" s="5"/>
      <c r="AV40" s="5"/>
      <c r="AW40" s="5"/>
      <c r="AX40" s="34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f t="shared" si="0"/>
        <v>0</v>
      </c>
      <c r="BP40" s="30"/>
      <c r="BQ40" s="30"/>
      <c r="BR40" s="31"/>
    </row>
    <row r="41" spans="1:70" ht="9.75" customHeight="1" x14ac:dyDescent="0.25">
      <c r="A41" s="21" t="s">
        <v>50</v>
      </c>
      <c r="B41" s="7" t="s">
        <v>67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34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34"/>
      <c r="AI41" s="5"/>
      <c r="AJ41" s="5"/>
      <c r="AK41" s="5"/>
      <c r="AL41" s="5"/>
      <c r="AM41" s="5"/>
      <c r="AN41" s="5"/>
      <c r="AO41" s="32"/>
      <c r="AP41" s="32"/>
      <c r="AQ41" s="5"/>
      <c r="AR41" s="5"/>
      <c r="AS41" s="5"/>
      <c r="AT41" s="5"/>
      <c r="AU41" s="5"/>
      <c r="AV41" s="5"/>
      <c r="AW41" s="5"/>
      <c r="AX41" s="34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f t="shared" si="0"/>
        <v>0</v>
      </c>
      <c r="BP41" s="30">
        <f t="shared" ref="BP41" si="53">BO41+BO42</f>
        <v>0</v>
      </c>
      <c r="BQ41" s="30">
        <f t="shared" ref="BQ41:BR41" si="54">84-BP41</f>
        <v>84</v>
      </c>
      <c r="BR41" s="31">
        <f t="shared" ref="BR41" si="55">BP41/(BP41+BQ41)</f>
        <v>0</v>
      </c>
    </row>
    <row r="42" spans="1:70" ht="9.75" customHeight="1" x14ac:dyDescent="0.25">
      <c r="A42" s="22"/>
      <c r="B42" s="17" t="s">
        <v>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34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34"/>
      <c r="AI42" s="5"/>
      <c r="AJ42" s="5"/>
      <c r="AK42" s="5"/>
      <c r="AL42" s="5"/>
      <c r="AM42" s="5"/>
      <c r="AN42" s="5"/>
      <c r="AO42" s="32"/>
      <c r="AP42" s="32"/>
      <c r="AQ42" s="5"/>
      <c r="AR42" s="5"/>
      <c r="AS42" s="5"/>
      <c r="AT42" s="5"/>
      <c r="AU42" s="5"/>
      <c r="AV42" s="5"/>
      <c r="AW42" s="5"/>
      <c r="AX42" s="34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f t="shared" si="0"/>
        <v>0</v>
      </c>
      <c r="BP42" s="30"/>
      <c r="BQ42" s="30"/>
      <c r="BR42" s="31"/>
    </row>
    <row r="43" spans="1:70" ht="9.75" customHeight="1" x14ac:dyDescent="0.25">
      <c r="A43" s="21" t="s">
        <v>51</v>
      </c>
      <c r="B43" s="7" t="s">
        <v>67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34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34"/>
      <c r="AI43" s="5"/>
      <c r="AJ43" s="5"/>
      <c r="AK43" s="5"/>
      <c r="AL43" s="5"/>
      <c r="AM43" s="5"/>
      <c r="AN43" s="5"/>
      <c r="AO43" s="5"/>
      <c r="AP43" s="5"/>
      <c r="AQ43" s="32"/>
      <c r="AR43" s="32"/>
      <c r="AS43" s="5"/>
      <c r="AT43" s="5"/>
      <c r="AU43" s="5"/>
      <c r="AV43" s="5"/>
      <c r="AW43" s="5"/>
      <c r="AX43" s="34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f t="shared" si="0"/>
        <v>0</v>
      </c>
      <c r="BP43" s="30">
        <f t="shared" ref="BP43" si="56">BO43+BO44</f>
        <v>0</v>
      </c>
      <c r="BQ43" s="30">
        <f t="shared" ref="BQ43:BR43" si="57">84-BP43</f>
        <v>84</v>
      </c>
      <c r="BR43" s="31">
        <f t="shared" ref="BR43" si="58">BP43/(BP43+BQ43)</f>
        <v>0</v>
      </c>
    </row>
    <row r="44" spans="1:70" ht="9.75" customHeight="1" x14ac:dyDescent="0.25">
      <c r="A44" s="22"/>
      <c r="B44" s="17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34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34"/>
      <c r="AI44" s="5"/>
      <c r="AJ44" s="5"/>
      <c r="AK44" s="5"/>
      <c r="AL44" s="5"/>
      <c r="AM44" s="5"/>
      <c r="AN44" s="5"/>
      <c r="AO44" s="5"/>
      <c r="AP44" s="5"/>
      <c r="AQ44" s="32"/>
      <c r="AR44" s="32"/>
      <c r="AS44" s="5"/>
      <c r="AT44" s="5"/>
      <c r="AU44" s="5"/>
      <c r="AV44" s="5"/>
      <c r="AW44" s="5"/>
      <c r="AX44" s="34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f t="shared" si="0"/>
        <v>0</v>
      </c>
      <c r="BP44" s="30"/>
      <c r="BQ44" s="30"/>
      <c r="BR44" s="31"/>
    </row>
    <row r="45" spans="1:70" ht="9.75" customHeight="1" x14ac:dyDescent="0.25">
      <c r="A45" s="21" t="s">
        <v>53</v>
      </c>
      <c r="B45" s="7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34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34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32"/>
      <c r="AT45" s="32"/>
      <c r="AU45" s="5"/>
      <c r="AV45" s="5"/>
      <c r="AW45" s="5"/>
      <c r="AX45" s="34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f t="shared" si="0"/>
        <v>0</v>
      </c>
      <c r="BP45" s="30">
        <f t="shared" ref="BP45" si="59">BO45+BO46</f>
        <v>0</v>
      </c>
      <c r="BQ45" s="30">
        <f t="shared" ref="BQ45:BR45" si="60">84-BP45</f>
        <v>84</v>
      </c>
      <c r="BR45" s="31">
        <f t="shared" ref="BR45" si="61">BP45/(BP45+BQ45)</f>
        <v>0</v>
      </c>
    </row>
    <row r="46" spans="1:70" ht="9.75" customHeight="1" x14ac:dyDescent="0.25">
      <c r="A46" s="22"/>
      <c r="B46" s="17" t="s">
        <v>72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34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34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32"/>
      <c r="AT46" s="32"/>
      <c r="AU46" s="5"/>
      <c r="AV46" s="5"/>
      <c r="AW46" s="5"/>
      <c r="AX46" s="34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f t="shared" si="0"/>
        <v>0</v>
      </c>
      <c r="BP46" s="30"/>
      <c r="BQ46" s="30"/>
      <c r="BR46" s="31"/>
    </row>
    <row r="47" spans="1:70" ht="9.75" customHeight="1" x14ac:dyDescent="0.25">
      <c r="A47" s="21" t="s">
        <v>54</v>
      </c>
      <c r="B47" s="7" t="s">
        <v>67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34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34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32"/>
      <c r="AV47" s="32"/>
      <c r="AW47" s="5"/>
      <c r="AX47" s="34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f t="shared" si="0"/>
        <v>0</v>
      </c>
      <c r="BP47" s="30">
        <f t="shared" ref="BP47" si="62">BO47+BO48</f>
        <v>0</v>
      </c>
      <c r="BQ47" s="30">
        <f t="shared" ref="BQ47:BR47" si="63">84-BP47</f>
        <v>84</v>
      </c>
      <c r="BR47" s="31">
        <f t="shared" ref="BR47" si="64">BP47/(BP47+BQ47)</f>
        <v>0</v>
      </c>
    </row>
    <row r="48" spans="1:70" ht="9.75" customHeight="1" x14ac:dyDescent="0.25">
      <c r="A48" s="22"/>
      <c r="B48" s="17" t="s">
        <v>72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34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34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32"/>
      <c r="AV48" s="32"/>
      <c r="AW48" s="5"/>
      <c r="AX48" s="34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f t="shared" si="0"/>
        <v>0</v>
      </c>
      <c r="BP48" s="30"/>
      <c r="BQ48" s="30"/>
      <c r="BR48" s="31"/>
    </row>
    <row r="49" spans="1:70" ht="9.75" customHeight="1" x14ac:dyDescent="0.25">
      <c r="A49" s="21" t="s">
        <v>59</v>
      </c>
      <c r="B49" s="7" t="s">
        <v>67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34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34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32"/>
      <c r="AX49" s="3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f t="shared" si="0"/>
        <v>0</v>
      </c>
      <c r="BP49" s="30">
        <f t="shared" ref="BP49" si="65">BO49+BO50</f>
        <v>0</v>
      </c>
      <c r="BQ49" s="30">
        <f t="shared" ref="BQ49:BR49" si="66">84-BP49</f>
        <v>84</v>
      </c>
      <c r="BR49" s="31">
        <f t="shared" ref="BR49" si="67">BP49/(BP49+BQ49)</f>
        <v>0</v>
      </c>
    </row>
    <row r="50" spans="1:70" ht="9.75" customHeight="1" thickBot="1" x14ac:dyDescent="0.3">
      <c r="A50" s="26"/>
      <c r="B50" s="27" t="s">
        <v>72</v>
      </c>
      <c r="C50" s="36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40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40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8"/>
      <c r="AX50" s="39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5"/>
      <c r="BN50" s="5"/>
      <c r="BO50" s="5">
        <f t="shared" si="0"/>
        <v>0</v>
      </c>
      <c r="BP50" s="30"/>
      <c r="BQ50" s="30"/>
      <c r="BR50" s="31"/>
    </row>
    <row r="51" spans="1:70" ht="9.75" customHeight="1" thickTop="1" x14ac:dyDescent="0.25">
      <c r="A51" s="23" t="s">
        <v>37</v>
      </c>
      <c r="B51" s="7" t="s">
        <v>67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34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34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34"/>
      <c r="AY51" s="32"/>
      <c r="AZ51" s="32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42"/>
      <c r="BN51" s="42"/>
      <c r="BO51" s="5">
        <f t="shared" si="0"/>
        <v>0</v>
      </c>
      <c r="BP51" s="30">
        <f t="shared" ref="BP51" si="68">BO51+BO52</f>
        <v>0</v>
      </c>
      <c r="BQ51" s="30">
        <f t="shared" ref="BQ51:BR51" si="69">84-BP51</f>
        <v>84</v>
      </c>
      <c r="BR51" s="31">
        <f t="shared" ref="BR51" si="70">BP51/(BP51+BQ51)</f>
        <v>0</v>
      </c>
    </row>
    <row r="52" spans="1:70" ht="9.75" customHeight="1" x14ac:dyDescent="0.25">
      <c r="A52" s="22"/>
      <c r="B52" s="17" t="s">
        <v>72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34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34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34"/>
      <c r="AY52" s="32"/>
      <c r="AZ52" s="32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f t="shared" si="0"/>
        <v>0</v>
      </c>
      <c r="BP52" s="30"/>
      <c r="BQ52" s="30"/>
      <c r="BR52" s="31"/>
    </row>
    <row r="53" spans="1:70" ht="9.75" customHeight="1" x14ac:dyDescent="0.25">
      <c r="A53" s="21" t="s">
        <v>38</v>
      </c>
      <c r="B53" s="7" t="s">
        <v>67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34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34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34"/>
      <c r="AY53" s="5"/>
      <c r="AZ53" s="5"/>
      <c r="BA53" s="32"/>
      <c r="BB53" s="32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f t="shared" si="0"/>
        <v>0</v>
      </c>
      <c r="BP53" s="30">
        <f t="shared" ref="BP53" si="71">BO53+BO54</f>
        <v>0</v>
      </c>
      <c r="BQ53" s="30">
        <f t="shared" ref="BQ53:BR53" si="72">84-BP53</f>
        <v>84</v>
      </c>
      <c r="BR53" s="31">
        <f t="shared" ref="BR53" si="73">BP53/(BP53+BQ53)</f>
        <v>0</v>
      </c>
    </row>
    <row r="54" spans="1:70" ht="9.75" customHeight="1" x14ac:dyDescent="0.25">
      <c r="A54" s="22"/>
      <c r="B54" s="17" t="s">
        <v>72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34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34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34"/>
      <c r="AY54" s="5"/>
      <c r="AZ54" s="5"/>
      <c r="BA54" s="32"/>
      <c r="BB54" s="32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f t="shared" si="0"/>
        <v>0</v>
      </c>
      <c r="BP54" s="30"/>
      <c r="BQ54" s="30"/>
      <c r="BR54" s="31"/>
    </row>
    <row r="55" spans="1:70" ht="9.75" customHeight="1" x14ac:dyDescent="0.25">
      <c r="A55" s="21" t="s">
        <v>44</v>
      </c>
      <c r="B55" s="7" t="s">
        <v>67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34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34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34"/>
      <c r="AY55" s="5"/>
      <c r="AZ55" s="5"/>
      <c r="BA55" s="5"/>
      <c r="BB55" s="5"/>
      <c r="BC55" s="32"/>
      <c r="BD55" s="32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f t="shared" si="0"/>
        <v>0</v>
      </c>
      <c r="BP55" s="30">
        <f t="shared" ref="BP55" si="74">BO55+BO56</f>
        <v>0</v>
      </c>
      <c r="BQ55" s="30">
        <f t="shared" ref="BQ55:BR55" si="75">84-BP55</f>
        <v>84</v>
      </c>
      <c r="BR55" s="31">
        <f t="shared" ref="BR55" si="76">BP55/(BP55+BQ55)</f>
        <v>0</v>
      </c>
    </row>
    <row r="56" spans="1:70" ht="9.75" customHeight="1" x14ac:dyDescent="0.25">
      <c r="A56" s="22"/>
      <c r="B56" s="17" t="s">
        <v>72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34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34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34"/>
      <c r="AY56" s="5"/>
      <c r="AZ56" s="5"/>
      <c r="BA56" s="5"/>
      <c r="BB56" s="5"/>
      <c r="BC56" s="32"/>
      <c r="BD56" s="32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f t="shared" si="0"/>
        <v>0</v>
      </c>
      <c r="BP56" s="30"/>
      <c r="BQ56" s="30"/>
      <c r="BR56" s="31"/>
    </row>
    <row r="57" spans="1:70" ht="9.75" customHeight="1" x14ac:dyDescent="0.25">
      <c r="A57" s="21" t="s">
        <v>17</v>
      </c>
      <c r="B57" s="7" t="s">
        <v>67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34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34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34"/>
      <c r="AY57" s="5"/>
      <c r="AZ57" s="5"/>
      <c r="BA57" s="5"/>
      <c r="BB57" s="5"/>
      <c r="BC57" s="5"/>
      <c r="BD57" s="5"/>
      <c r="BE57" s="32"/>
      <c r="BF57" s="32"/>
      <c r="BG57" s="5"/>
      <c r="BH57" s="5"/>
      <c r="BI57" s="5"/>
      <c r="BJ57" s="5"/>
      <c r="BK57" s="5"/>
      <c r="BL57" s="5"/>
      <c r="BM57" s="5"/>
      <c r="BN57" s="5"/>
      <c r="BO57" s="5">
        <f t="shared" si="0"/>
        <v>0</v>
      </c>
      <c r="BP57" s="30">
        <f t="shared" ref="BP57" si="77">BO57+BO58</f>
        <v>0</v>
      </c>
      <c r="BQ57" s="30">
        <f t="shared" ref="BQ57:BR57" si="78">84-BP57</f>
        <v>84</v>
      </c>
      <c r="BR57" s="31">
        <f t="shared" ref="BR57" si="79">BP57/(BP57+BQ57)</f>
        <v>0</v>
      </c>
    </row>
    <row r="58" spans="1:70" ht="9.75" customHeight="1" x14ac:dyDescent="0.25">
      <c r="A58" s="22"/>
      <c r="B58" s="17" t="s">
        <v>72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34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34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34"/>
      <c r="AY58" s="5"/>
      <c r="AZ58" s="5"/>
      <c r="BA58" s="5"/>
      <c r="BB58" s="5"/>
      <c r="BC58" s="5"/>
      <c r="BD58" s="5"/>
      <c r="BE58" s="32"/>
      <c r="BF58" s="32"/>
      <c r="BG58" s="5"/>
      <c r="BH58" s="5"/>
      <c r="BI58" s="5"/>
      <c r="BJ58" s="5"/>
      <c r="BK58" s="5"/>
      <c r="BL58" s="5"/>
      <c r="BM58" s="5"/>
      <c r="BN58" s="5"/>
      <c r="BO58" s="5">
        <f t="shared" si="0"/>
        <v>0</v>
      </c>
      <c r="BP58" s="30"/>
      <c r="BQ58" s="30"/>
      <c r="BR58" s="31"/>
    </row>
    <row r="59" spans="1:70" ht="9.75" customHeight="1" x14ac:dyDescent="0.25">
      <c r="A59" s="21" t="s">
        <v>47</v>
      </c>
      <c r="B59" s="7" t="s">
        <v>67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34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34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34"/>
      <c r="AY59" s="5"/>
      <c r="AZ59" s="5"/>
      <c r="BA59" s="5"/>
      <c r="BB59" s="5"/>
      <c r="BC59" s="5"/>
      <c r="BD59" s="5"/>
      <c r="BE59" s="5"/>
      <c r="BF59" s="5"/>
      <c r="BG59" s="32"/>
      <c r="BH59" s="32"/>
      <c r="BI59" s="5"/>
      <c r="BJ59" s="5"/>
      <c r="BK59" s="5"/>
      <c r="BL59" s="5"/>
      <c r="BM59" s="5"/>
      <c r="BN59" s="5"/>
      <c r="BO59" s="5">
        <f t="shared" si="0"/>
        <v>0</v>
      </c>
      <c r="BP59" s="30">
        <f t="shared" ref="BP59" si="80">BO59+BO60</f>
        <v>0</v>
      </c>
      <c r="BQ59" s="30">
        <f t="shared" ref="BQ59:BR59" si="81">84-BP59</f>
        <v>84</v>
      </c>
      <c r="BR59" s="31">
        <f t="shared" ref="BR59" si="82">BP59/(BP59+BQ59)</f>
        <v>0</v>
      </c>
    </row>
    <row r="60" spans="1:70" ht="9.75" customHeight="1" x14ac:dyDescent="0.25">
      <c r="A60" s="22"/>
      <c r="B60" s="17" t="s">
        <v>72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34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34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34"/>
      <c r="AY60" s="5"/>
      <c r="AZ60" s="5"/>
      <c r="BA60" s="5"/>
      <c r="BB60" s="5"/>
      <c r="BC60" s="5"/>
      <c r="BD60" s="5"/>
      <c r="BE60" s="5"/>
      <c r="BF60" s="5"/>
      <c r="BG60" s="32"/>
      <c r="BH60" s="32"/>
      <c r="BI60" s="5"/>
      <c r="BJ60" s="5"/>
      <c r="BK60" s="5"/>
      <c r="BL60" s="5"/>
      <c r="BM60" s="5"/>
      <c r="BN60" s="5"/>
      <c r="BO60" s="5">
        <f t="shared" si="0"/>
        <v>0</v>
      </c>
      <c r="BP60" s="30"/>
      <c r="BQ60" s="30"/>
      <c r="BR60" s="31"/>
    </row>
    <row r="61" spans="1:70" ht="9.75" customHeight="1" x14ac:dyDescent="0.25">
      <c r="A61" s="21" t="s">
        <v>52</v>
      </c>
      <c r="B61" s="7" t="s">
        <v>67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34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34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34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32"/>
      <c r="BJ61" s="32"/>
      <c r="BK61" s="5"/>
      <c r="BL61" s="5"/>
      <c r="BM61" s="5"/>
      <c r="BN61" s="5"/>
      <c r="BO61" s="5">
        <f t="shared" si="0"/>
        <v>0</v>
      </c>
      <c r="BP61" s="30">
        <f t="shared" ref="BP61" si="83">BO61+BO62</f>
        <v>0</v>
      </c>
      <c r="BQ61" s="30">
        <f t="shared" ref="BQ61:BR61" si="84">84-BP61</f>
        <v>84</v>
      </c>
      <c r="BR61" s="31">
        <f t="shared" ref="BR61" si="85">BP61/(BP61+BQ61)</f>
        <v>0</v>
      </c>
    </row>
    <row r="62" spans="1:70" ht="9.75" customHeight="1" x14ac:dyDescent="0.25">
      <c r="A62" s="22"/>
      <c r="B62" s="17" t="s">
        <v>72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34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34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34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32"/>
      <c r="BJ62" s="32"/>
      <c r="BK62" s="5"/>
      <c r="BL62" s="5"/>
      <c r="BM62" s="5"/>
      <c r="BN62" s="5"/>
      <c r="BO62" s="5">
        <f t="shared" si="0"/>
        <v>0</v>
      </c>
      <c r="BP62" s="30"/>
      <c r="BQ62" s="30"/>
      <c r="BR62" s="31"/>
    </row>
    <row r="63" spans="1:70" ht="9.75" customHeight="1" x14ac:dyDescent="0.25">
      <c r="A63" s="21" t="s">
        <v>57</v>
      </c>
      <c r="B63" s="7" t="s">
        <v>67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34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34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34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32"/>
      <c r="BL63" s="32"/>
      <c r="BM63" s="5"/>
      <c r="BN63" s="5"/>
      <c r="BO63" s="5">
        <f t="shared" si="0"/>
        <v>0</v>
      </c>
      <c r="BP63" s="30">
        <f t="shared" ref="BP63" si="86">BO63+BO64</f>
        <v>0</v>
      </c>
      <c r="BQ63" s="30">
        <f t="shared" ref="BQ63:BR63" si="87">84-BP63</f>
        <v>84</v>
      </c>
      <c r="BR63" s="31">
        <f t="shared" ref="BR63" si="88">BP63/(BP63+BQ63)</f>
        <v>0</v>
      </c>
    </row>
    <row r="64" spans="1:70" ht="9.75" customHeight="1" x14ac:dyDescent="0.25">
      <c r="A64" s="22"/>
      <c r="B64" s="17" t="s">
        <v>72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34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34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34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32"/>
      <c r="BL64" s="32"/>
      <c r="BM64" s="5"/>
      <c r="BN64" s="5"/>
      <c r="BO64" s="5">
        <f t="shared" si="0"/>
        <v>0</v>
      </c>
      <c r="BP64" s="30"/>
      <c r="BQ64" s="30"/>
      <c r="BR64" s="31"/>
    </row>
    <row r="65" spans="1:70" ht="9.75" customHeight="1" x14ac:dyDescent="0.25">
      <c r="A65" s="21" t="s">
        <v>24</v>
      </c>
      <c r="B65" s="7" t="s">
        <v>67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34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34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34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32"/>
      <c r="BN65" s="32"/>
      <c r="BO65" s="5">
        <f t="shared" si="0"/>
        <v>0</v>
      </c>
      <c r="BP65" s="30">
        <f t="shared" ref="BP65" si="89">BO65+BO66</f>
        <v>0</v>
      </c>
      <c r="BQ65" s="30">
        <f t="shared" ref="BQ65:BR65" si="90">84-BP65</f>
        <v>84</v>
      </c>
      <c r="BR65" s="31">
        <f t="shared" ref="BR65" si="91">BP65/(BP65+BQ65)</f>
        <v>0</v>
      </c>
    </row>
    <row r="66" spans="1:70" ht="9.75" customHeight="1" x14ac:dyDescent="0.25">
      <c r="A66" s="22"/>
      <c r="B66" s="17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34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34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34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32"/>
      <c r="BN66" s="32"/>
      <c r="BO66" s="5">
        <f t="shared" si="0"/>
        <v>0</v>
      </c>
      <c r="BP66" s="30"/>
      <c r="BQ66" s="30"/>
      <c r="BR66" s="31"/>
    </row>
  </sheetData>
  <mergeCells count="160">
    <mergeCell ref="BR59:BR60"/>
    <mergeCell ref="BR61:BR62"/>
    <mergeCell ref="BR63:BR64"/>
    <mergeCell ref="BR65:BR66"/>
    <mergeCell ref="BR47:BR48"/>
    <mergeCell ref="BR49:BR50"/>
    <mergeCell ref="BR51:BR52"/>
    <mergeCell ref="BR53:BR54"/>
    <mergeCell ref="BR55:BR56"/>
    <mergeCell ref="BR57:BR58"/>
    <mergeCell ref="BR35:BR36"/>
    <mergeCell ref="BR37:BR38"/>
    <mergeCell ref="BR39:BR40"/>
    <mergeCell ref="BR41:BR42"/>
    <mergeCell ref="BR43:BR44"/>
    <mergeCell ref="BR45:BR46"/>
    <mergeCell ref="BR23:BR24"/>
    <mergeCell ref="BR25:BR26"/>
    <mergeCell ref="BR27:BR28"/>
    <mergeCell ref="BR29:BR30"/>
    <mergeCell ref="BR31:BR32"/>
    <mergeCell ref="BR33:BR34"/>
    <mergeCell ref="BR11:BR12"/>
    <mergeCell ref="BR13:BR14"/>
    <mergeCell ref="BR15:BR16"/>
    <mergeCell ref="BR17:BR18"/>
    <mergeCell ref="BR19:BR20"/>
    <mergeCell ref="BR21:BR22"/>
    <mergeCell ref="BQ9:BQ10"/>
    <mergeCell ref="BQ7:BQ8"/>
    <mergeCell ref="BR3:BR4"/>
    <mergeCell ref="BR5:BR6"/>
    <mergeCell ref="BR7:BR8"/>
    <mergeCell ref="BR9:BR10"/>
    <mergeCell ref="BQ21:BQ22"/>
    <mergeCell ref="BQ19:BQ20"/>
    <mergeCell ref="BQ17:BQ18"/>
    <mergeCell ref="BQ15:BQ16"/>
    <mergeCell ref="BQ13:BQ14"/>
    <mergeCell ref="BQ11:BQ12"/>
    <mergeCell ref="BQ33:BQ34"/>
    <mergeCell ref="BQ31:BQ32"/>
    <mergeCell ref="BQ29:BQ30"/>
    <mergeCell ref="BQ27:BQ28"/>
    <mergeCell ref="BQ25:BQ26"/>
    <mergeCell ref="BQ23:BQ24"/>
    <mergeCell ref="BQ45:BQ46"/>
    <mergeCell ref="BQ43:BQ44"/>
    <mergeCell ref="BQ41:BQ42"/>
    <mergeCell ref="BQ39:BQ40"/>
    <mergeCell ref="BQ37:BQ38"/>
    <mergeCell ref="BQ35:BQ36"/>
    <mergeCell ref="BQ57:BQ58"/>
    <mergeCell ref="BQ55:BQ56"/>
    <mergeCell ref="BQ53:BQ54"/>
    <mergeCell ref="BQ51:BQ52"/>
    <mergeCell ref="BQ49:BQ50"/>
    <mergeCell ref="BQ47:BQ48"/>
    <mergeCell ref="BP59:BP60"/>
    <mergeCell ref="BP61:BP62"/>
    <mergeCell ref="BP63:BP64"/>
    <mergeCell ref="BP65:BP66"/>
    <mergeCell ref="BQ65:BQ66"/>
    <mergeCell ref="BQ63:BQ64"/>
    <mergeCell ref="BQ61:BQ62"/>
    <mergeCell ref="BQ59:BQ60"/>
    <mergeCell ref="BP47:BP48"/>
    <mergeCell ref="BP49:BP50"/>
    <mergeCell ref="BP51:BP52"/>
    <mergeCell ref="BP53:BP54"/>
    <mergeCell ref="BP55:BP56"/>
    <mergeCell ref="BP57:BP58"/>
    <mergeCell ref="BP35:BP36"/>
    <mergeCell ref="BP37:BP38"/>
    <mergeCell ref="BP39:BP40"/>
    <mergeCell ref="BP41:BP42"/>
    <mergeCell ref="BP43:BP44"/>
    <mergeCell ref="BP45:BP46"/>
    <mergeCell ref="BP23:BP24"/>
    <mergeCell ref="BP25:BP26"/>
    <mergeCell ref="BP27:BP28"/>
    <mergeCell ref="BP29:BP30"/>
    <mergeCell ref="BP31:BP32"/>
    <mergeCell ref="BP33:BP34"/>
    <mergeCell ref="BP11:BP12"/>
    <mergeCell ref="BP13:BP14"/>
    <mergeCell ref="BP15:BP16"/>
    <mergeCell ref="BP17:BP18"/>
    <mergeCell ref="BP19:BP20"/>
    <mergeCell ref="BP21:BP22"/>
    <mergeCell ref="A59:A60"/>
    <mergeCell ref="A61:A62"/>
    <mergeCell ref="A63:A64"/>
    <mergeCell ref="A65:A66"/>
    <mergeCell ref="BP3:BP4"/>
    <mergeCell ref="BQ3:BQ4"/>
    <mergeCell ref="BQ5:BQ6"/>
    <mergeCell ref="BP5:BP6"/>
    <mergeCell ref="BP7:BP8"/>
    <mergeCell ref="BP9:BP10"/>
    <mergeCell ref="A47:A48"/>
    <mergeCell ref="A49:A50"/>
    <mergeCell ref="A51:A52"/>
    <mergeCell ref="A53:A54"/>
    <mergeCell ref="A55:A56"/>
    <mergeCell ref="A57:A58"/>
    <mergeCell ref="A35:A36"/>
    <mergeCell ref="A37:A38"/>
    <mergeCell ref="A39:A40"/>
    <mergeCell ref="A41:A42"/>
    <mergeCell ref="A43:A44"/>
    <mergeCell ref="A45:A46"/>
    <mergeCell ref="A23:A24"/>
    <mergeCell ref="A25:A26"/>
    <mergeCell ref="A27:A28"/>
    <mergeCell ref="A29:A30"/>
    <mergeCell ref="A31:A32"/>
    <mergeCell ref="A33:A34"/>
    <mergeCell ref="A11:A12"/>
    <mergeCell ref="A13:A14"/>
    <mergeCell ref="A15:A16"/>
    <mergeCell ref="A17:A18"/>
    <mergeCell ref="A19:A20"/>
    <mergeCell ref="A21:A22"/>
    <mergeCell ref="BK1:BL1"/>
    <mergeCell ref="BM1:BN1"/>
    <mergeCell ref="A3:A4"/>
    <mergeCell ref="A5:A6"/>
    <mergeCell ref="A7:A8"/>
    <mergeCell ref="A9:A10"/>
    <mergeCell ref="AY1:AZ1"/>
    <mergeCell ref="BA1:BB1"/>
    <mergeCell ref="BC1:BD1"/>
    <mergeCell ref="BE1:BF1"/>
    <mergeCell ref="BG1:BH1"/>
    <mergeCell ref="BI1:BJ1"/>
    <mergeCell ref="AM1:AN1"/>
    <mergeCell ref="AO1:AP1"/>
    <mergeCell ref="AQ1:AR1"/>
    <mergeCell ref="AS1:AT1"/>
    <mergeCell ref="AU1:AV1"/>
    <mergeCell ref="AW1:AX1"/>
    <mergeCell ref="AA1:AB1"/>
    <mergeCell ref="AC1:AD1"/>
    <mergeCell ref="AE1:AF1"/>
    <mergeCell ref="AG1:AH1"/>
    <mergeCell ref="AI1:AJ1"/>
    <mergeCell ref="AK1:AL1"/>
    <mergeCell ref="O1:P1"/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</mergeCells>
  <conditionalFormatting sqref="BR3:BR6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{291808C5-C2CB-4507-8505-D87AE7CDE772}</x14:id>
        </ext>
      </extLst>
    </cfRule>
  </conditionalFormatting>
  <conditionalFormatting sqref="BR41:BR4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{629CAC3A-5B07-433E-8221-B74BD4E0E098}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1808C5-C2CB-4507-8505-D87AE7CDE7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BR3:BR66</xm:sqref>
        </x14:conditionalFormatting>
        <x14:conditionalFormatting xmlns:xm="http://schemas.microsoft.com/office/excel/2006/main">
          <x14:cfRule type="dataBar" id="{629CAC3A-5B07-433E-8221-B74BD4E0E0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BR41:BR42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7141-7C4C-4A9E-8176-7AC067E9DC48}">
  <dimension ref="A1:BR66"/>
  <sheetViews>
    <sheetView workbookViewId="0">
      <selection activeCell="BH21" sqref="BH21"/>
    </sheetView>
  </sheetViews>
  <sheetFormatPr defaultRowHeight="15" x14ac:dyDescent="0.25"/>
  <cols>
    <col min="1" max="1" width="4.140625" customWidth="1"/>
    <col min="2" max="66" width="2" customWidth="1"/>
    <col min="67" max="67" width="2.7109375" customWidth="1"/>
    <col min="68" max="68" width="4.42578125" customWidth="1"/>
    <col min="69" max="69" width="4.28515625" customWidth="1"/>
  </cols>
  <sheetData>
    <row r="1" spans="1:70" x14ac:dyDescent="0.25">
      <c r="A1" s="6" t="s">
        <v>68</v>
      </c>
      <c r="B1" s="7"/>
      <c r="C1" s="8" t="s">
        <v>36</v>
      </c>
      <c r="D1" s="9"/>
      <c r="E1" s="8" t="s">
        <v>39</v>
      </c>
      <c r="F1" s="9"/>
      <c r="G1" s="8" t="s">
        <v>45</v>
      </c>
      <c r="H1" s="9"/>
      <c r="I1" s="8" t="s">
        <v>46</v>
      </c>
      <c r="J1" s="9"/>
      <c r="K1" s="8" t="s">
        <v>56</v>
      </c>
      <c r="L1" s="9"/>
      <c r="M1" s="8" t="s">
        <v>55</v>
      </c>
      <c r="N1" s="9"/>
      <c r="O1" s="8" t="s">
        <v>23</v>
      </c>
      <c r="P1" s="9"/>
      <c r="Q1" s="8" t="s">
        <v>25</v>
      </c>
      <c r="R1" s="10"/>
      <c r="S1" s="8" t="s">
        <v>16</v>
      </c>
      <c r="T1" s="9"/>
      <c r="U1" s="8" t="s">
        <v>41</v>
      </c>
      <c r="V1" s="9"/>
      <c r="W1" s="8" t="s">
        <v>43</v>
      </c>
      <c r="X1" s="9"/>
      <c r="Y1" s="8" t="s">
        <v>22</v>
      </c>
      <c r="Z1" s="9"/>
      <c r="AA1" s="8" t="s">
        <v>48</v>
      </c>
      <c r="AB1" s="9"/>
      <c r="AC1" s="8" t="s">
        <v>61</v>
      </c>
      <c r="AD1" s="9"/>
      <c r="AE1" s="8" t="s">
        <v>58</v>
      </c>
      <c r="AF1" s="9"/>
      <c r="AG1" s="11" t="s">
        <v>60</v>
      </c>
      <c r="AH1" s="10"/>
      <c r="AI1" s="8" t="s">
        <v>40</v>
      </c>
      <c r="AJ1" s="9"/>
      <c r="AK1" s="8" t="s">
        <v>42</v>
      </c>
      <c r="AL1" s="9"/>
      <c r="AM1" s="8" t="s">
        <v>49</v>
      </c>
      <c r="AN1" s="9"/>
      <c r="AO1" s="8" t="s">
        <v>50</v>
      </c>
      <c r="AP1" s="9"/>
      <c r="AQ1" s="8" t="s">
        <v>51</v>
      </c>
      <c r="AR1" s="9"/>
      <c r="AS1" s="8" t="s">
        <v>53</v>
      </c>
      <c r="AT1" s="9"/>
      <c r="AU1" s="8" t="s">
        <v>54</v>
      </c>
      <c r="AV1" s="9"/>
      <c r="AW1" s="8" t="s">
        <v>59</v>
      </c>
      <c r="AX1" s="10"/>
      <c r="AY1" s="8" t="s">
        <v>37</v>
      </c>
      <c r="AZ1" s="9"/>
      <c r="BA1" s="8" t="s">
        <v>38</v>
      </c>
      <c r="BB1" s="9"/>
      <c r="BC1" s="8" t="s">
        <v>44</v>
      </c>
      <c r="BD1" s="9"/>
      <c r="BE1" s="8" t="s">
        <v>17</v>
      </c>
      <c r="BF1" s="8"/>
      <c r="BG1" s="12" t="s">
        <v>47</v>
      </c>
      <c r="BH1" s="13"/>
      <c r="BI1" s="8" t="s">
        <v>52</v>
      </c>
      <c r="BJ1" s="9"/>
      <c r="BK1" s="8" t="s">
        <v>57</v>
      </c>
      <c r="BL1" s="9"/>
      <c r="BM1" s="8" t="s">
        <v>24</v>
      </c>
      <c r="BN1" s="9"/>
      <c r="BO1" s="14"/>
      <c r="BP1" s="15" t="s">
        <v>69</v>
      </c>
      <c r="BQ1" s="6" t="s">
        <v>70</v>
      </c>
    </row>
    <row r="2" spans="1:70" x14ac:dyDescent="0.25">
      <c r="A2" s="16" t="s">
        <v>71</v>
      </c>
      <c r="B2" s="17"/>
      <c r="C2" s="16" t="s">
        <v>67</v>
      </c>
      <c r="D2" s="17" t="s">
        <v>72</v>
      </c>
      <c r="E2" s="16" t="s">
        <v>67</v>
      </c>
      <c r="F2" s="17" t="s">
        <v>72</v>
      </c>
      <c r="G2" s="16" t="s">
        <v>67</v>
      </c>
      <c r="H2" s="17" t="s">
        <v>72</v>
      </c>
      <c r="I2" s="16" t="s">
        <v>67</v>
      </c>
      <c r="J2" s="17" t="s">
        <v>72</v>
      </c>
      <c r="K2" s="16" t="s">
        <v>67</v>
      </c>
      <c r="L2" s="17" t="s">
        <v>72</v>
      </c>
      <c r="M2" s="16" t="s">
        <v>67</v>
      </c>
      <c r="N2" s="17" t="s">
        <v>72</v>
      </c>
      <c r="O2" s="16" t="s">
        <v>67</v>
      </c>
      <c r="P2" s="17" t="s">
        <v>72</v>
      </c>
      <c r="Q2" s="16" t="s">
        <v>67</v>
      </c>
      <c r="R2" s="18" t="s">
        <v>72</v>
      </c>
      <c r="S2" s="16" t="s">
        <v>67</v>
      </c>
      <c r="T2" s="17" t="s">
        <v>72</v>
      </c>
      <c r="U2" s="16" t="s">
        <v>67</v>
      </c>
      <c r="V2" s="17" t="s">
        <v>72</v>
      </c>
      <c r="W2" s="16" t="s">
        <v>67</v>
      </c>
      <c r="X2" s="17" t="s">
        <v>72</v>
      </c>
      <c r="Y2" s="16" t="s">
        <v>67</v>
      </c>
      <c r="Z2" s="17" t="s">
        <v>72</v>
      </c>
      <c r="AA2" s="16" t="s">
        <v>67</v>
      </c>
      <c r="AB2" s="17" t="s">
        <v>72</v>
      </c>
      <c r="AC2" s="16" t="s">
        <v>67</v>
      </c>
      <c r="AD2" s="17" t="s">
        <v>72</v>
      </c>
      <c r="AE2" s="16" t="s">
        <v>67</v>
      </c>
      <c r="AF2" s="17" t="s">
        <v>72</v>
      </c>
      <c r="AG2" s="16" t="s">
        <v>67</v>
      </c>
      <c r="AH2" s="18" t="s">
        <v>72</v>
      </c>
      <c r="AI2" s="16" t="s">
        <v>67</v>
      </c>
      <c r="AJ2" s="17" t="s">
        <v>72</v>
      </c>
      <c r="AK2" s="16" t="s">
        <v>67</v>
      </c>
      <c r="AL2" s="17" t="s">
        <v>72</v>
      </c>
      <c r="AM2" s="16" t="s">
        <v>67</v>
      </c>
      <c r="AN2" s="17" t="s">
        <v>72</v>
      </c>
      <c r="AO2" s="16" t="s">
        <v>67</v>
      </c>
      <c r="AP2" s="17" t="s">
        <v>72</v>
      </c>
      <c r="AQ2" s="16" t="s">
        <v>67</v>
      </c>
      <c r="AR2" s="17" t="s">
        <v>72</v>
      </c>
      <c r="AS2" s="16" t="s">
        <v>67</v>
      </c>
      <c r="AT2" s="17" t="s">
        <v>72</v>
      </c>
      <c r="AU2" s="16" t="s">
        <v>67</v>
      </c>
      <c r="AV2" s="17" t="s">
        <v>72</v>
      </c>
      <c r="AW2" s="16" t="s">
        <v>67</v>
      </c>
      <c r="AX2" s="18" t="s">
        <v>72</v>
      </c>
      <c r="AY2" s="16" t="s">
        <v>67</v>
      </c>
      <c r="AZ2" s="17" t="s">
        <v>72</v>
      </c>
      <c r="BA2" s="16" t="s">
        <v>67</v>
      </c>
      <c r="BB2" s="17" t="s">
        <v>72</v>
      </c>
      <c r="BC2" s="16" t="s">
        <v>67</v>
      </c>
      <c r="BD2" s="17" t="s">
        <v>72</v>
      </c>
      <c r="BE2" s="16" t="s">
        <v>67</v>
      </c>
      <c r="BF2" s="16" t="s">
        <v>72</v>
      </c>
      <c r="BG2" s="19" t="s">
        <v>67</v>
      </c>
      <c r="BH2" s="17" t="s">
        <v>72</v>
      </c>
      <c r="BI2" s="16" t="s">
        <v>67</v>
      </c>
      <c r="BJ2" s="17" t="s">
        <v>72</v>
      </c>
      <c r="BK2" s="16" t="s">
        <v>67</v>
      </c>
      <c r="BL2" s="17" t="s">
        <v>72</v>
      </c>
      <c r="BM2" s="16" t="s">
        <v>67</v>
      </c>
      <c r="BN2" s="17" t="s">
        <v>72</v>
      </c>
      <c r="BO2" s="20"/>
      <c r="BP2" s="6"/>
      <c r="BQ2" s="6"/>
    </row>
    <row r="3" spans="1:70" ht="9.75" customHeight="1" x14ac:dyDescent="0.25">
      <c r="A3" s="21" t="s">
        <v>36</v>
      </c>
      <c r="B3" s="7" t="s">
        <v>67</v>
      </c>
      <c r="C3" s="32"/>
      <c r="D3" s="3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33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33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33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>
        <f>SUM(C3:BN3)</f>
        <v>0</v>
      </c>
      <c r="BP3" s="30">
        <f>BO3+BO4</f>
        <v>0</v>
      </c>
      <c r="BQ3" s="30">
        <f>84-BP3</f>
        <v>84</v>
      </c>
      <c r="BR3" s="31">
        <f>BP3/(BP3+BQ3)</f>
        <v>0</v>
      </c>
    </row>
    <row r="4" spans="1:70" ht="9.75" customHeight="1" x14ac:dyDescent="0.25">
      <c r="A4" s="22"/>
      <c r="B4" s="17" t="s">
        <v>72</v>
      </c>
      <c r="C4" s="32"/>
      <c r="D4" s="3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34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34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34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>
        <f t="shared" ref="BO4:BO66" si="0">SUM(C4:BN4)</f>
        <v>0</v>
      </c>
      <c r="BP4" s="30"/>
      <c r="BQ4" s="30"/>
      <c r="BR4" s="31"/>
    </row>
    <row r="5" spans="1:70" ht="9.75" customHeight="1" x14ac:dyDescent="0.25">
      <c r="A5" s="21" t="s">
        <v>39</v>
      </c>
      <c r="B5" s="7" t="s">
        <v>67</v>
      </c>
      <c r="C5" s="5"/>
      <c r="D5" s="5"/>
      <c r="E5" s="32"/>
      <c r="F5" s="3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34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34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34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>
        <f t="shared" si="0"/>
        <v>0</v>
      </c>
      <c r="BP5" s="30">
        <f>BO5+BO6</f>
        <v>0</v>
      </c>
      <c r="BQ5" s="30">
        <f>84-BP5</f>
        <v>84</v>
      </c>
      <c r="BR5" s="31">
        <f t="shared" ref="BR5" si="1">BP5/(BP5+BQ5)</f>
        <v>0</v>
      </c>
    </row>
    <row r="6" spans="1:70" ht="9.75" customHeight="1" x14ac:dyDescent="0.25">
      <c r="A6" s="22"/>
      <c r="B6" s="17" t="s">
        <v>72</v>
      </c>
      <c r="C6" s="5"/>
      <c r="D6" s="5"/>
      <c r="E6" s="32"/>
      <c r="F6" s="3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34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34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34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>
        <f t="shared" si="0"/>
        <v>0</v>
      </c>
      <c r="BP6" s="30"/>
      <c r="BQ6" s="30"/>
      <c r="BR6" s="31"/>
    </row>
    <row r="7" spans="1:70" ht="9.75" customHeight="1" x14ac:dyDescent="0.25">
      <c r="A7" s="21" t="s">
        <v>45</v>
      </c>
      <c r="B7" s="7" t="s">
        <v>67</v>
      </c>
      <c r="C7" s="5"/>
      <c r="D7" s="5"/>
      <c r="E7" s="5"/>
      <c r="F7" s="5"/>
      <c r="G7" s="32"/>
      <c r="H7" s="32"/>
      <c r="I7" s="5"/>
      <c r="J7" s="5"/>
      <c r="K7" s="5"/>
      <c r="L7" s="5"/>
      <c r="M7" s="5"/>
      <c r="N7" s="5"/>
      <c r="O7" s="5"/>
      <c r="P7" s="5"/>
      <c r="Q7" s="5"/>
      <c r="R7" s="34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34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34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f t="shared" si="0"/>
        <v>0</v>
      </c>
      <c r="BP7" s="30">
        <f t="shared" ref="BP7" si="2">BO7+BO8</f>
        <v>0</v>
      </c>
      <c r="BQ7" s="30">
        <f t="shared" ref="BQ7:BR7" si="3">84-BP7</f>
        <v>84</v>
      </c>
      <c r="BR7" s="31">
        <f t="shared" ref="BR7" si="4">BP7/(BP7+BQ7)</f>
        <v>0</v>
      </c>
    </row>
    <row r="8" spans="1:70" ht="9.75" customHeight="1" x14ac:dyDescent="0.25">
      <c r="A8" s="22"/>
      <c r="B8" s="17" t="s">
        <v>72</v>
      </c>
      <c r="C8" s="5"/>
      <c r="D8" s="5"/>
      <c r="E8" s="5"/>
      <c r="F8" s="5"/>
      <c r="G8" s="32"/>
      <c r="H8" s="32"/>
      <c r="I8" s="5"/>
      <c r="J8" s="5"/>
      <c r="K8" s="5"/>
      <c r="L8" s="5"/>
      <c r="M8" s="5"/>
      <c r="N8" s="5"/>
      <c r="O8" s="5"/>
      <c r="P8" s="5"/>
      <c r="Q8" s="5"/>
      <c r="R8" s="34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34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34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f t="shared" si="0"/>
        <v>0</v>
      </c>
      <c r="BP8" s="30"/>
      <c r="BQ8" s="30"/>
      <c r="BR8" s="31"/>
    </row>
    <row r="9" spans="1:70" ht="9.75" customHeight="1" x14ac:dyDescent="0.25">
      <c r="A9" s="21" t="s">
        <v>46</v>
      </c>
      <c r="B9" s="7" t="s">
        <v>67</v>
      </c>
      <c r="C9" s="5"/>
      <c r="D9" s="5"/>
      <c r="E9" s="5"/>
      <c r="F9" s="5"/>
      <c r="G9" s="5"/>
      <c r="H9" s="5"/>
      <c r="I9" s="32"/>
      <c r="J9" s="32"/>
      <c r="K9" s="5"/>
      <c r="L9" s="5"/>
      <c r="M9" s="5"/>
      <c r="N9" s="5"/>
      <c r="O9" s="5"/>
      <c r="P9" s="5"/>
      <c r="Q9" s="5"/>
      <c r="R9" s="34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34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34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f t="shared" si="0"/>
        <v>0</v>
      </c>
      <c r="BP9" s="30">
        <f t="shared" ref="BP9" si="5">BO9+BO10</f>
        <v>0</v>
      </c>
      <c r="BQ9" s="30">
        <f t="shared" ref="BQ9:BR9" si="6">84-BP9</f>
        <v>84</v>
      </c>
      <c r="BR9" s="31">
        <f t="shared" ref="BR9" si="7">BP9/(BP9+BQ9)</f>
        <v>0</v>
      </c>
    </row>
    <row r="10" spans="1:70" ht="9.75" customHeight="1" x14ac:dyDescent="0.25">
      <c r="A10" s="22"/>
      <c r="B10" s="17" t="s">
        <v>72</v>
      </c>
      <c r="C10" s="5"/>
      <c r="D10" s="5"/>
      <c r="E10" s="5"/>
      <c r="F10" s="5"/>
      <c r="G10" s="5"/>
      <c r="H10" s="5"/>
      <c r="I10" s="32"/>
      <c r="J10" s="32"/>
      <c r="K10" s="5"/>
      <c r="L10" s="5"/>
      <c r="M10" s="5"/>
      <c r="N10" s="5"/>
      <c r="O10" s="5"/>
      <c r="P10" s="5"/>
      <c r="Q10" s="5"/>
      <c r="R10" s="34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3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34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f t="shared" si="0"/>
        <v>0</v>
      </c>
      <c r="BP10" s="30"/>
      <c r="BQ10" s="30"/>
      <c r="BR10" s="31"/>
    </row>
    <row r="11" spans="1:70" ht="9.75" customHeight="1" x14ac:dyDescent="0.25">
      <c r="A11" s="21" t="s">
        <v>56</v>
      </c>
      <c r="B11" s="7" t="s">
        <v>67</v>
      </c>
      <c r="C11" s="5"/>
      <c r="D11" s="5"/>
      <c r="E11" s="5"/>
      <c r="F11" s="5"/>
      <c r="G11" s="5"/>
      <c r="H11" s="5"/>
      <c r="I11" s="5"/>
      <c r="J11" s="5"/>
      <c r="K11" s="32"/>
      <c r="L11" s="32"/>
      <c r="M11" s="5"/>
      <c r="N11" s="5"/>
      <c r="O11" s="5"/>
      <c r="P11" s="5"/>
      <c r="Q11" s="5"/>
      <c r="R11" s="34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3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34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f t="shared" si="0"/>
        <v>0</v>
      </c>
      <c r="BP11" s="30">
        <f t="shared" ref="BP11" si="8">BO11+BO12</f>
        <v>0</v>
      </c>
      <c r="BQ11" s="30">
        <f t="shared" ref="BQ11:BR11" si="9">84-BP11</f>
        <v>84</v>
      </c>
      <c r="BR11" s="31">
        <f t="shared" ref="BR11" si="10">BP11/(BP11+BQ11)</f>
        <v>0</v>
      </c>
    </row>
    <row r="12" spans="1:70" ht="9.75" customHeight="1" x14ac:dyDescent="0.25">
      <c r="A12" s="22"/>
      <c r="B12" s="17" t="s">
        <v>72</v>
      </c>
      <c r="C12" s="5"/>
      <c r="D12" s="5"/>
      <c r="E12" s="5"/>
      <c r="F12" s="5"/>
      <c r="G12" s="5"/>
      <c r="H12" s="5"/>
      <c r="I12" s="5"/>
      <c r="J12" s="5"/>
      <c r="K12" s="32"/>
      <c r="L12" s="32"/>
      <c r="M12" s="5"/>
      <c r="N12" s="5"/>
      <c r="O12" s="5"/>
      <c r="P12" s="5"/>
      <c r="Q12" s="5"/>
      <c r="R12" s="34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3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34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f t="shared" si="0"/>
        <v>0</v>
      </c>
      <c r="BP12" s="30"/>
      <c r="BQ12" s="30"/>
      <c r="BR12" s="31"/>
    </row>
    <row r="13" spans="1:70" ht="9.75" customHeight="1" x14ac:dyDescent="0.25">
      <c r="A13" s="21" t="s">
        <v>55</v>
      </c>
      <c r="B13" s="7" t="s">
        <v>67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32"/>
      <c r="N13" s="32"/>
      <c r="O13" s="5"/>
      <c r="P13" s="5"/>
      <c r="Q13" s="5"/>
      <c r="R13" s="34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3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34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f t="shared" si="0"/>
        <v>0</v>
      </c>
      <c r="BP13" s="30">
        <f t="shared" ref="BP13" si="11">BO13+BO14</f>
        <v>0</v>
      </c>
      <c r="BQ13" s="30">
        <f t="shared" ref="BQ13:BR13" si="12">84-BP13</f>
        <v>84</v>
      </c>
      <c r="BR13" s="31">
        <f t="shared" ref="BR13" si="13">BP13/(BP13+BQ13)</f>
        <v>0</v>
      </c>
    </row>
    <row r="14" spans="1:70" ht="9.75" customHeight="1" x14ac:dyDescent="0.25">
      <c r="A14" s="22"/>
      <c r="B14" s="17" t="s">
        <v>72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32"/>
      <c r="N14" s="32"/>
      <c r="O14" s="5"/>
      <c r="P14" s="5"/>
      <c r="Q14" s="5"/>
      <c r="R14" s="34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3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34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f t="shared" si="0"/>
        <v>0</v>
      </c>
      <c r="BP14" s="30"/>
      <c r="BQ14" s="30"/>
      <c r="BR14" s="31"/>
    </row>
    <row r="15" spans="1:70" ht="9.75" customHeight="1" x14ac:dyDescent="0.25">
      <c r="A15" s="21" t="s">
        <v>23</v>
      </c>
      <c r="B15" s="7" t="s">
        <v>67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32"/>
      <c r="P15" s="32"/>
      <c r="Q15" s="5"/>
      <c r="R15" s="34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3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34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f t="shared" si="0"/>
        <v>0</v>
      </c>
      <c r="BP15" s="30">
        <f t="shared" ref="BP15" si="14">BO15+BO16</f>
        <v>0</v>
      </c>
      <c r="BQ15" s="30">
        <f t="shared" ref="BQ15:BR15" si="15">84-BP15</f>
        <v>84</v>
      </c>
      <c r="BR15" s="31">
        <f t="shared" ref="BR15" si="16">BP15/(BP15+BQ15)</f>
        <v>0</v>
      </c>
    </row>
    <row r="16" spans="1:70" ht="9.75" customHeight="1" x14ac:dyDescent="0.25">
      <c r="A16" s="22"/>
      <c r="B16" s="17" t="s">
        <v>72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32"/>
      <c r="P16" s="32"/>
      <c r="Q16" s="5"/>
      <c r="R16" s="34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3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34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f t="shared" si="0"/>
        <v>0</v>
      </c>
      <c r="BP16" s="30"/>
      <c r="BQ16" s="30"/>
      <c r="BR16" s="31"/>
    </row>
    <row r="17" spans="1:70" ht="9.75" customHeight="1" x14ac:dyDescent="0.25">
      <c r="A17" s="21" t="s">
        <v>25</v>
      </c>
      <c r="B17" s="7" t="s">
        <v>67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32"/>
      <c r="R17" s="3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3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34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f t="shared" si="0"/>
        <v>0</v>
      </c>
      <c r="BP17" s="30">
        <f t="shared" ref="BP17" si="17">BO17+BO18</f>
        <v>0</v>
      </c>
      <c r="BQ17" s="30">
        <f t="shared" ref="BQ17:BR17" si="18">84-BP17</f>
        <v>84</v>
      </c>
      <c r="BR17" s="31">
        <f t="shared" ref="BR17" si="19">BP17/(BP17+BQ17)</f>
        <v>0</v>
      </c>
    </row>
    <row r="18" spans="1:70" ht="9.75" customHeight="1" thickBot="1" x14ac:dyDescent="0.3">
      <c r="A18" s="23"/>
      <c r="B18" s="7" t="s">
        <v>72</v>
      </c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8"/>
      <c r="R18" s="39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40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40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5">
        <f t="shared" si="0"/>
        <v>0</v>
      </c>
      <c r="BP18" s="30"/>
      <c r="BQ18" s="30"/>
      <c r="BR18" s="31"/>
    </row>
    <row r="19" spans="1:70" ht="9.75" customHeight="1" thickTop="1" x14ac:dyDescent="0.25">
      <c r="A19" s="24" t="s">
        <v>16</v>
      </c>
      <c r="B19" s="25" t="s">
        <v>67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34"/>
      <c r="S19" s="32"/>
      <c r="T19" s="32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3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34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f t="shared" si="0"/>
        <v>0</v>
      </c>
      <c r="BP19" s="30">
        <f t="shared" ref="BP19" si="20">BO19+BO20</f>
        <v>0</v>
      </c>
      <c r="BQ19" s="30">
        <f t="shared" ref="BQ19:BR19" si="21">84-BP19</f>
        <v>84</v>
      </c>
      <c r="BR19" s="31">
        <f t="shared" ref="BR19" si="22">BP19/(BP19+BQ19)</f>
        <v>0</v>
      </c>
    </row>
    <row r="20" spans="1:70" ht="9.75" customHeight="1" x14ac:dyDescent="0.25">
      <c r="A20" s="22"/>
      <c r="B20" s="17" t="s">
        <v>72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34"/>
      <c r="S20" s="32"/>
      <c r="T20" s="32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3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34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f t="shared" si="0"/>
        <v>0</v>
      </c>
      <c r="BP20" s="30"/>
      <c r="BQ20" s="30"/>
      <c r="BR20" s="31"/>
    </row>
    <row r="21" spans="1:70" ht="9.75" customHeight="1" x14ac:dyDescent="0.25">
      <c r="A21" s="21" t="s">
        <v>41</v>
      </c>
      <c r="B21" s="7" t="s">
        <v>67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34"/>
      <c r="S21" s="5"/>
      <c r="T21" s="5"/>
      <c r="U21" s="32"/>
      <c r="V21" s="3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3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34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f t="shared" si="0"/>
        <v>0</v>
      </c>
      <c r="BP21" s="30">
        <f t="shared" ref="BP21" si="23">BO21+BO22</f>
        <v>0</v>
      </c>
      <c r="BQ21" s="30">
        <f t="shared" ref="BQ21:BR21" si="24">84-BP21</f>
        <v>84</v>
      </c>
      <c r="BR21" s="31">
        <f t="shared" ref="BR21" si="25">BP21/(BP21+BQ21)</f>
        <v>0</v>
      </c>
    </row>
    <row r="22" spans="1:70" ht="9.75" customHeight="1" x14ac:dyDescent="0.25">
      <c r="A22" s="22"/>
      <c r="B22" s="17" t="s">
        <v>72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34"/>
      <c r="S22" s="5"/>
      <c r="T22" s="5"/>
      <c r="U22" s="32"/>
      <c r="V22" s="3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3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34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f t="shared" si="0"/>
        <v>0</v>
      </c>
      <c r="BP22" s="30"/>
      <c r="BQ22" s="30"/>
      <c r="BR22" s="31"/>
    </row>
    <row r="23" spans="1:70" ht="9.75" customHeight="1" x14ac:dyDescent="0.25">
      <c r="A23" s="21" t="s">
        <v>43</v>
      </c>
      <c r="B23" s="7" t="s">
        <v>67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34"/>
      <c r="S23" s="5"/>
      <c r="T23" s="5"/>
      <c r="U23" s="5"/>
      <c r="V23" s="5"/>
      <c r="W23" s="32"/>
      <c r="X23" s="32"/>
      <c r="Y23" s="5"/>
      <c r="Z23" s="5"/>
      <c r="AA23" s="5"/>
      <c r="AB23" s="5"/>
      <c r="AC23" s="5"/>
      <c r="AD23" s="5"/>
      <c r="AE23" s="5"/>
      <c r="AF23" s="5"/>
      <c r="AG23" s="5"/>
      <c r="AH23" s="3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34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f t="shared" si="0"/>
        <v>0</v>
      </c>
      <c r="BP23" s="30">
        <f t="shared" ref="BP23" si="26">BO23+BO24</f>
        <v>0</v>
      </c>
      <c r="BQ23" s="30">
        <f t="shared" ref="BQ23:BR23" si="27">84-BP23</f>
        <v>84</v>
      </c>
      <c r="BR23" s="31">
        <f t="shared" ref="BR23" si="28">BP23/(BP23+BQ23)</f>
        <v>0</v>
      </c>
    </row>
    <row r="24" spans="1:70" ht="9.75" customHeight="1" x14ac:dyDescent="0.25">
      <c r="A24" s="22"/>
      <c r="B24" s="17" t="s">
        <v>72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34"/>
      <c r="S24" s="5"/>
      <c r="T24" s="5"/>
      <c r="U24" s="5"/>
      <c r="V24" s="5"/>
      <c r="W24" s="32"/>
      <c r="X24" s="32"/>
      <c r="Y24" s="5"/>
      <c r="Z24" s="5"/>
      <c r="AA24" s="5"/>
      <c r="AB24" s="5"/>
      <c r="AC24" s="5"/>
      <c r="AD24" s="5"/>
      <c r="AE24" s="5"/>
      <c r="AF24" s="5"/>
      <c r="AG24" s="5"/>
      <c r="AH24" s="3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34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f t="shared" si="0"/>
        <v>0</v>
      </c>
      <c r="BP24" s="30"/>
      <c r="BQ24" s="30"/>
      <c r="BR24" s="31"/>
    </row>
    <row r="25" spans="1:70" ht="9.75" customHeight="1" x14ac:dyDescent="0.25">
      <c r="A25" s="21" t="s">
        <v>22</v>
      </c>
      <c r="B25" s="7" t="s">
        <v>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34"/>
      <c r="S25" s="5"/>
      <c r="T25" s="5"/>
      <c r="U25" s="5"/>
      <c r="V25" s="5"/>
      <c r="W25" s="5"/>
      <c r="X25" s="5"/>
      <c r="Y25" s="32"/>
      <c r="Z25" s="32"/>
      <c r="AA25" s="5"/>
      <c r="AB25" s="5"/>
      <c r="AC25" s="5"/>
      <c r="AD25" s="5"/>
      <c r="AE25" s="5"/>
      <c r="AF25" s="5"/>
      <c r="AG25" s="5"/>
      <c r="AH25" s="3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34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f t="shared" si="0"/>
        <v>0</v>
      </c>
      <c r="BP25" s="30">
        <f t="shared" ref="BP25" si="29">BO25+BO26</f>
        <v>0</v>
      </c>
      <c r="BQ25" s="30">
        <f t="shared" ref="BQ25:BR25" si="30">84-BP25</f>
        <v>84</v>
      </c>
      <c r="BR25" s="31">
        <f t="shared" ref="BR25" si="31">BP25/(BP25+BQ25)</f>
        <v>0</v>
      </c>
    </row>
    <row r="26" spans="1:70" ht="9.75" customHeight="1" x14ac:dyDescent="0.25">
      <c r="A26" s="22"/>
      <c r="B26" s="17" t="s">
        <v>72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34"/>
      <c r="S26" s="5"/>
      <c r="T26" s="5"/>
      <c r="U26" s="5"/>
      <c r="V26" s="5"/>
      <c r="W26" s="5"/>
      <c r="X26" s="5"/>
      <c r="Y26" s="32"/>
      <c r="Z26" s="32"/>
      <c r="AA26" s="5"/>
      <c r="AB26" s="5"/>
      <c r="AC26" s="5"/>
      <c r="AD26" s="5"/>
      <c r="AE26" s="5"/>
      <c r="AF26" s="5"/>
      <c r="AG26" s="5"/>
      <c r="AH26" s="3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34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f t="shared" si="0"/>
        <v>0</v>
      </c>
      <c r="BP26" s="30"/>
      <c r="BQ26" s="30"/>
      <c r="BR26" s="31"/>
    </row>
    <row r="27" spans="1:70" ht="9.75" customHeight="1" x14ac:dyDescent="0.25">
      <c r="A27" s="21" t="s">
        <v>48</v>
      </c>
      <c r="B27" s="7" t="s">
        <v>67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34"/>
      <c r="S27" s="5"/>
      <c r="T27" s="5"/>
      <c r="U27" s="5"/>
      <c r="V27" s="5"/>
      <c r="W27" s="5"/>
      <c r="X27" s="5"/>
      <c r="Y27" s="5"/>
      <c r="Z27" s="5"/>
      <c r="AA27" s="32"/>
      <c r="AB27" s="32"/>
      <c r="AC27" s="5"/>
      <c r="AD27" s="5"/>
      <c r="AE27" s="5"/>
      <c r="AF27" s="5"/>
      <c r="AG27" s="5"/>
      <c r="AH27" s="3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34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f t="shared" si="0"/>
        <v>0</v>
      </c>
      <c r="BP27" s="30">
        <f t="shared" ref="BP27" si="32">BO27+BO28</f>
        <v>0</v>
      </c>
      <c r="BQ27" s="30">
        <f t="shared" ref="BQ27:BR27" si="33">84-BP27</f>
        <v>84</v>
      </c>
      <c r="BR27" s="31">
        <f t="shared" ref="BR27" si="34">BP27/(BP27+BQ27)</f>
        <v>0</v>
      </c>
    </row>
    <row r="28" spans="1:70" ht="9.75" customHeight="1" x14ac:dyDescent="0.25">
      <c r="A28" s="22"/>
      <c r="B28" s="17" t="s">
        <v>72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34"/>
      <c r="S28" s="5"/>
      <c r="T28" s="5"/>
      <c r="U28" s="5"/>
      <c r="V28" s="5"/>
      <c r="W28" s="5"/>
      <c r="X28" s="5"/>
      <c r="Y28" s="5"/>
      <c r="Z28" s="5"/>
      <c r="AA28" s="32"/>
      <c r="AB28" s="32"/>
      <c r="AC28" s="5"/>
      <c r="AD28" s="5"/>
      <c r="AE28" s="5"/>
      <c r="AF28" s="5"/>
      <c r="AG28" s="5"/>
      <c r="AH28" s="3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34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f t="shared" si="0"/>
        <v>0</v>
      </c>
      <c r="BP28" s="30"/>
      <c r="BQ28" s="30"/>
      <c r="BR28" s="31"/>
    </row>
    <row r="29" spans="1:70" ht="9.75" customHeight="1" x14ac:dyDescent="0.25">
      <c r="A29" s="21" t="s">
        <v>61</v>
      </c>
      <c r="B29" s="7" t="s">
        <v>67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34"/>
      <c r="S29" s="5"/>
      <c r="T29" s="5"/>
      <c r="U29" s="5"/>
      <c r="V29" s="5"/>
      <c r="W29" s="5"/>
      <c r="X29" s="5"/>
      <c r="Y29" s="5"/>
      <c r="Z29" s="5"/>
      <c r="AA29" s="5"/>
      <c r="AB29" s="5"/>
      <c r="AC29" s="32"/>
      <c r="AD29" s="32"/>
      <c r="AE29" s="5"/>
      <c r="AF29" s="5"/>
      <c r="AG29" s="5"/>
      <c r="AH29" s="3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34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f t="shared" si="0"/>
        <v>0</v>
      </c>
      <c r="BP29" s="30">
        <f t="shared" ref="BP29" si="35">BO29+BO30</f>
        <v>0</v>
      </c>
      <c r="BQ29" s="30">
        <f t="shared" ref="BQ29:BR29" si="36">84-BP29</f>
        <v>84</v>
      </c>
      <c r="BR29" s="31">
        <f t="shared" ref="BR29" si="37">BP29/(BP29+BQ29)</f>
        <v>0</v>
      </c>
    </row>
    <row r="30" spans="1:70" ht="9.75" customHeight="1" x14ac:dyDescent="0.25">
      <c r="A30" s="22"/>
      <c r="B30" s="17" t="s">
        <v>72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34"/>
      <c r="S30" s="5"/>
      <c r="T30" s="5"/>
      <c r="U30" s="5"/>
      <c r="V30" s="5"/>
      <c r="W30" s="5"/>
      <c r="X30" s="5"/>
      <c r="Y30" s="5"/>
      <c r="Z30" s="5"/>
      <c r="AA30" s="5"/>
      <c r="AB30" s="5"/>
      <c r="AC30" s="32"/>
      <c r="AD30" s="32"/>
      <c r="AE30" s="5"/>
      <c r="AF30" s="5"/>
      <c r="AG30" s="5"/>
      <c r="AH30" s="3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34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f t="shared" si="0"/>
        <v>0</v>
      </c>
      <c r="BP30" s="30"/>
      <c r="BQ30" s="30"/>
      <c r="BR30" s="31"/>
    </row>
    <row r="31" spans="1:70" ht="9.75" customHeight="1" x14ac:dyDescent="0.25">
      <c r="A31" s="21" t="s">
        <v>58</v>
      </c>
      <c r="B31" s="7" t="s">
        <v>67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34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32"/>
      <c r="AF31" s="32"/>
      <c r="AG31" s="5"/>
      <c r="AH31" s="3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34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f t="shared" si="0"/>
        <v>0</v>
      </c>
      <c r="BP31" s="30">
        <f t="shared" ref="BP31" si="38">BO31+BO32</f>
        <v>0</v>
      </c>
      <c r="BQ31" s="30">
        <f t="shared" ref="BQ31:BR31" si="39">84-BP31</f>
        <v>84</v>
      </c>
      <c r="BR31" s="31">
        <f t="shared" ref="BR31" si="40">BP31/(BP31+BQ31)</f>
        <v>0</v>
      </c>
    </row>
    <row r="32" spans="1:70" ht="9.75" customHeight="1" x14ac:dyDescent="0.25">
      <c r="A32" s="22"/>
      <c r="B32" s="17" t="s">
        <v>72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34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32"/>
      <c r="AF32" s="32"/>
      <c r="AG32" s="5"/>
      <c r="AH32" s="3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34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f t="shared" si="0"/>
        <v>0</v>
      </c>
      <c r="BP32" s="30"/>
      <c r="BQ32" s="30"/>
      <c r="BR32" s="31"/>
    </row>
    <row r="33" spans="1:70" ht="9.75" customHeight="1" x14ac:dyDescent="0.25">
      <c r="A33" s="21" t="s">
        <v>60</v>
      </c>
      <c r="B33" s="7" t="s">
        <v>67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34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32"/>
      <c r="AH33" s="3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34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f t="shared" si="0"/>
        <v>0</v>
      </c>
      <c r="BP33" s="30">
        <f t="shared" ref="BP33" si="41">BO33+BO34</f>
        <v>0</v>
      </c>
      <c r="BQ33" s="30">
        <f t="shared" ref="BQ33:BR33" si="42">84-BP33</f>
        <v>84</v>
      </c>
      <c r="BR33" s="31">
        <f t="shared" ref="BR33" si="43">BP33/(BP33+BQ33)</f>
        <v>0</v>
      </c>
    </row>
    <row r="34" spans="1:70" ht="9.75" customHeight="1" thickBot="1" x14ac:dyDescent="0.3">
      <c r="A34" s="23"/>
      <c r="B34" s="7" t="s">
        <v>72</v>
      </c>
      <c r="C34" s="5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40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8"/>
      <c r="AH34" s="39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40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5">
        <f t="shared" si="0"/>
        <v>0</v>
      </c>
      <c r="BP34" s="30"/>
      <c r="BQ34" s="30"/>
      <c r="BR34" s="31"/>
    </row>
    <row r="35" spans="1:70" ht="9.75" customHeight="1" thickTop="1" x14ac:dyDescent="0.25">
      <c r="A35" s="24" t="s">
        <v>40</v>
      </c>
      <c r="B35" s="25" t="s">
        <v>67</v>
      </c>
      <c r="C35" s="4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34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34"/>
      <c r="AI35" s="32"/>
      <c r="AJ35" s="32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34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f t="shared" si="0"/>
        <v>0</v>
      </c>
      <c r="BP35" s="30">
        <f t="shared" ref="BP35" si="44">BO35+BO36</f>
        <v>0</v>
      </c>
      <c r="BQ35" s="30">
        <f t="shared" ref="BQ35:BR35" si="45">84-BP35</f>
        <v>84</v>
      </c>
      <c r="BR35" s="31">
        <f t="shared" ref="BR35" si="46">BP35/(BP35+BQ35)</f>
        <v>0</v>
      </c>
    </row>
    <row r="36" spans="1:70" ht="9.75" customHeight="1" x14ac:dyDescent="0.25">
      <c r="A36" s="22"/>
      <c r="B36" s="17" t="s">
        <v>72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34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34"/>
      <c r="AI36" s="32"/>
      <c r="AJ36" s="32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34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f t="shared" si="0"/>
        <v>0</v>
      </c>
      <c r="BP36" s="30"/>
      <c r="BQ36" s="30"/>
      <c r="BR36" s="31"/>
    </row>
    <row r="37" spans="1:70" ht="9.75" customHeight="1" x14ac:dyDescent="0.25">
      <c r="A37" s="21" t="s">
        <v>42</v>
      </c>
      <c r="B37" s="7" t="s">
        <v>67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34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34"/>
      <c r="AI37" s="5"/>
      <c r="AJ37" s="5"/>
      <c r="AK37" s="32"/>
      <c r="AL37" s="32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34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f t="shared" si="0"/>
        <v>0</v>
      </c>
      <c r="BP37" s="30">
        <f t="shared" ref="BP37" si="47">BO37+BO38</f>
        <v>0</v>
      </c>
      <c r="BQ37" s="30">
        <f t="shared" ref="BQ37:BR37" si="48">84-BP37</f>
        <v>84</v>
      </c>
      <c r="BR37" s="31">
        <f t="shared" ref="BR37" si="49">BP37/(BP37+BQ37)</f>
        <v>0</v>
      </c>
    </row>
    <row r="38" spans="1:70" ht="9.75" customHeight="1" x14ac:dyDescent="0.25">
      <c r="A38" s="22"/>
      <c r="B38" s="17" t="s">
        <v>72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34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34"/>
      <c r="AI38" s="5"/>
      <c r="AJ38" s="5"/>
      <c r="AK38" s="32"/>
      <c r="AL38" s="32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34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f t="shared" si="0"/>
        <v>0</v>
      </c>
      <c r="BP38" s="30"/>
      <c r="BQ38" s="30"/>
      <c r="BR38" s="31"/>
    </row>
    <row r="39" spans="1:70" ht="9.75" customHeight="1" x14ac:dyDescent="0.25">
      <c r="A39" s="21" t="s">
        <v>49</v>
      </c>
      <c r="B39" s="7" t="s">
        <v>67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34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34"/>
      <c r="AI39" s="5"/>
      <c r="AJ39" s="5"/>
      <c r="AK39" s="5"/>
      <c r="AL39" s="5"/>
      <c r="AM39" s="32"/>
      <c r="AN39" s="32"/>
      <c r="AO39" s="5"/>
      <c r="AP39" s="5"/>
      <c r="AQ39" s="5"/>
      <c r="AR39" s="5"/>
      <c r="AS39" s="5"/>
      <c r="AT39" s="5"/>
      <c r="AU39" s="5"/>
      <c r="AV39" s="5"/>
      <c r="AW39" s="5"/>
      <c r="AX39" s="34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f t="shared" si="0"/>
        <v>0</v>
      </c>
      <c r="BP39" s="30">
        <f t="shared" ref="BP39" si="50">BO39+BO40</f>
        <v>0</v>
      </c>
      <c r="BQ39" s="30">
        <f t="shared" ref="BQ39:BR39" si="51">84-BP39</f>
        <v>84</v>
      </c>
      <c r="BR39" s="31">
        <f t="shared" ref="BR39" si="52">BP39/(BP39+BQ39)</f>
        <v>0</v>
      </c>
    </row>
    <row r="40" spans="1:70" ht="9.75" customHeight="1" x14ac:dyDescent="0.25">
      <c r="A40" s="22"/>
      <c r="B40" s="17" t="s">
        <v>72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34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34"/>
      <c r="AI40" s="5"/>
      <c r="AJ40" s="5"/>
      <c r="AK40" s="5"/>
      <c r="AL40" s="5"/>
      <c r="AM40" s="32"/>
      <c r="AN40" s="32"/>
      <c r="AO40" s="5"/>
      <c r="AP40" s="5"/>
      <c r="AQ40" s="5"/>
      <c r="AR40" s="5"/>
      <c r="AS40" s="5"/>
      <c r="AT40" s="5"/>
      <c r="AU40" s="5"/>
      <c r="AV40" s="5"/>
      <c r="AW40" s="5"/>
      <c r="AX40" s="34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f t="shared" si="0"/>
        <v>0</v>
      </c>
      <c r="BP40" s="30"/>
      <c r="BQ40" s="30"/>
      <c r="BR40" s="31"/>
    </row>
    <row r="41" spans="1:70" ht="9.75" customHeight="1" x14ac:dyDescent="0.25">
      <c r="A41" s="21" t="s">
        <v>50</v>
      </c>
      <c r="B41" s="7" t="s">
        <v>67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34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34"/>
      <c r="AI41" s="5"/>
      <c r="AJ41" s="5"/>
      <c r="AK41" s="5"/>
      <c r="AL41" s="5"/>
      <c r="AM41" s="5"/>
      <c r="AN41" s="5"/>
      <c r="AO41" s="32"/>
      <c r="AP41" s="32"/>
      <c r="AQ41" s="5"/>
      <c r="AR41" s="5"/>
      <c r="AS41" s="5"/>
      <c r="AT41" s="5"/>
      <c r="AU41" s="5"/>
      <c r="AV41" s="5"/>
      <c r="AW41" s="5"/>
      <c r="AX41" s="34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f t="shared" si="0"/>
        <v>0</v>
      </c>
      <c r="BP41" s="30">
        <f t="shared" ref="BP41" si="53">BO41+BO42</f>
        <v>0</v>
      </c>
      <c r="BQ41" s="30">
        <f t="shared" ref="BQ41:BR41" si="54">84-BP41</f>
        <v>84</v>
      </c>
      <c r="BR41" s="31">
        <f t="shared" ref="BR41" si="55">BP41/(BP41+BQ41)</f>
        <v>0</v>
      </c>
    </row>
    <row r="42" spans="1:70" ht="9.75" customHeight="1" x14ac:dyDescent="0.25">
      <c r="A42" s="22"/>
      <c r="B42" s="17" t="s">
        <v>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34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34"/>
      <c r="AI42" s="5"/>
      <c r="AJ42" s="5"/>
      <c r="AK42" s="5"/>
      <c r="AL42" s="5"/>
      <c r="AM42" s="5"/>
      <c r="AN42" s="5"/>
      <c r="AO42" s="32"/>
      <c r="AP42" s="32"/>
      <c r="AQ42" s="5"/>
      <c r="AR42" s="5"/>
      <c r="AS42" s="5"/>
      <c r="AT42" s="5"/>
      <c r="AU42" s="5"/>
      <c r="AV42" s="5"/>
      <c r="AW42" s="5"/>
      <c r="AX42" s="34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f t="shared" si="0"/>
        <v>0</v>
      </c>
      <c r="BP42" s="30"/>
      <c r="BQ42" s="30"/>
      <c r="BR42" s="31"/>
    </row>
    <row r="43" spans="1:70" ht="9.75" customHeight="1" x14ac:dyDescent="0.25">
      <c r="A43" s="21" t="s">
        <v>51</v>
      </c>
      <c r="B43" s="7" t="s">
        <v>67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34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34"/>
      <c r="AI43" s="5"/>
      <c r="AJ43" s="5"/>
      <c r="AK43" s="5"/>
      <c r="AL43" s="5"/>
      <c r="AM43" s="5"/>
      <c r="AN43" s="5"/>
      <c r="AO43" s="5"/>
      <c r="AP43" s="5"/>
      <c r="AQ43" s="32"/>
      <c r="AR43" s="32"/>
      <c r="AS43" s="5"/>
      <c r="AT43" s="5"/>
      <c r="AU43" s="5"/>
      <c r="AV43" s="5"/>
      <c r="AW43" s="5"/>
      <c r="AX43" s="34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f t="shared" si="0"/>
        <v>0</v>
      </c>
      <c r="BP43" s="30">
        <f t="shared" ref="BP43" si="56">BO43+BO44</f>
        <v>0</v>
      </c>
      <c r="BQ43" s="30">
        <f t="shared" ref="BQ43:BR43" si="57">84-BP43</f>
        <v>84</v>
      </c>
      <c r="BR43" s="31">
        <f t="shared" ref="BR43" si="58">BP43/(BP43+BQ43)</f>
        <v>0</v>
      </c>
    </row>
    <row r="44" spans="1:70" ht="9.75" customHeight="1" x14ac:dyDescent="0.25">
      <c r="A44" s="22"/>
      <c r="B44" s="17" t="s">
        <v>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34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34"/>
      <c r="AI44" s="5"/>
      <c r="AJ44" s="5"/>
      <c r="AK44" s="5"/>
      <c r="AL44" s="5"/>
      <c r="AM44" s="5"/>
      <c r="AN44" s="5"/>
      <c r="AO44" s="5"/>
      <c r="AP44" s="5"/>
      <c r="AQ44" s="32"/>
      <c r="AR44" s="32"/>
      <c r="AS44" s="5"/>
      <c r="AT44" s="5"/>
      <c r="AU44" s="5"/>
      <c r="AV44" s="5"/>
      <c r="AW44" s="5"/>
      <c r="AX44" s="34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f t="shared" si="0"/>
        <v>0</v>
      </c>
      <c r="BP44" s="30"/>
      <c r="BQ44" s="30"/>
      <c r="BR44" s="31"/>
    </row>
    <row r="45" spans="1:70" ht="9.75" customHeight="1" x14ac:dyDescent="0.25">
      <c r="A45" s="21" t="s">
        <v>53</v>
      </c>
      <c r="B45" s="7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34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34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32"/>
      <c r="AT45" s="32"/>
      <c r="AU45" s="5"/>
      <c r="AV45" s="5"/>
      <c r="AW45" s="5"/>
      <c r="AX45" s="34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f t="shared" si="0"/>
        <v>0</v>
      </c>
      <c r="BP45" s="30">
        <f t="shared" ref="BP45" si="59">BO45+BO46</f>
        <v>0</v>
      </c>
      <c r="BQ45" s="30">
        <f t="shared" ref="BQ45:BR45" si="60">84-BP45</f>
        <v>84</v>
      </c>
      <c r="BR45" s="31">
        <f t="shared" ref="BR45" si="61">BP45/(BP45+BQ45)</f>
        <v>0</v>
      </c>
    </row>
    <row r="46" spans="1:70" ht="9.75" customHeight="1" x14ac:dyDescent="0.25">
      <c r="A46" s="22"/>
      <c r="B46" s="17" t="s">
        <v>72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34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34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32"/>
      <c r="AT46" s="32"/>
      <c r="AU46" s="5"/>
      <c r="AV46" s="5"/>
      <c r="AW46" s="5"/>
      <c r="AX46" s="34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f t="shared" si="0"/>
        <v>0</v>
      </c>
      <c r="BP46" s="30"/>
      <c r="BQ46" s="30"/>
      <c r="BR46" s="31"/>
    </row>
    <row r="47" spans="1:70" ht="9.75" customHeight="1" x14ac:dyDescent="0.25">
      <c r="A47" s="21" t="s">
        <v>54</v>
      </c>
      <c r="B47" s="7" t="s">
        <v>67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34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34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32"/>
      <c r="AV47" s="32"/>
      <c r="AW47" s="5"/>
      <c r="AX47" s="34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f t="shared" si="0"/>
        <v>0</v>
      </c>
      <c r="BP47" s="30">
        <f t="shared" ref="BP47" si="62">BO47+BO48</f>
        <v>0</v>
      </c>
      <c r="BQ47" s="30">
        <f t="shared" ref="BQ47:BR47" si="63">84-BP47</f>
        <v>84</v>
      </c>
      <c r="BR47" s="31">
        <f t="shared" ref="BR47" si="64">BP47/(BP47+BQ47)</f>
        <v>0</v>
      </c>
    </row>
    <row r="48" spans="1:70" ht="9.75" customHeight="1" x14ac:dyDescent="0.25">
      <c r="A48" s="22"/>
      <c r="B48" s="17" t="s">
        <v>72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34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34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32"/>
      <c r="AV48" s="32"/>
      <c r="AW48" s="5"/>
      <c r="AX48" s="34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f t="shared" si="0"/>
        <v>0</v>
      </c>
      <c r="BP48" s="30"/>
      <c r="BQ48" s="30"/>
      <c r="BR48" s="31"/>
    </row>
    <row r="49" spans="1:70" ht="9.75" customHeight="1" x14ac:dyDescent="0.25">
      <c r="A49" s="21" t="s">
        <v>59</v>
      </c>
      <c r="B49" s="7" t="s">
        <v>67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34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34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32"/>
      <c r="AX49" s="3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f t="shared" si="0"/>
        <v>0</v>
      </c>
      <c r="BP49" s="30">
        <f t="shared" ref="BP49" si="65">BO49+BO50</f>
        <v>0</v>
      </c>
      <c r="BQ49" s="30">
        <f t="shared" ref="BQ49:BR49" si="66">84-BP49</f>
        <v>84</v>
      </c>
      <c r="BR49" s="31">
        <f t="shared" ref="BR49" si="67">BP49/(BP49+BQ49)</f>
        <v>0</v>
      </c>
    </row>
    <row r="50" spans="1:70" ht="9.75" customHeight="1" thickBot="1" x14ac:dyDescent="0.3">
      <c r="A50" s="26"/>
      <c r="B50" s="27" t="s">
        <v>72</v>
      </c>
      <c r="C50" s="36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40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40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8"/>
      <c r="AX50" s="39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5"/>
      <c r="BN50" s="5"/>
      <c r="BO50" s="5">
        <f t="shared" si="0"/>
        <v>0</v>
      </c>
      <c r="BP50" s="30"/>
      <c r="BQ50" s="30"/>
      <c r="BR50" s="31"/>
    </row>
    <row r="51" spans="1:70" ht="9.75" customHeight="1" thickTop="1" x14ac:dyDescent="0.25">
      <c r="A51" s="23" t="s">
        <v>37</v>
      </c>
      <c r="B51" s="7" t="s">
        <v>67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34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34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34"/>
      <c r="AY51" s="32"/>
      <c r="AZ51" s="32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42"/>
      <c r="BN51" s="42"/>
      <c r="BO51" s="5">
        <f t="shared" si="0"/>
        <v>0</v>
      </c>
      <c r="BP51" s="30">
        <f t="shared" ref="BP51" si="68">BO51+BO52</f>
        <v>0</v>
      </c>
      <c r="BQ51" s="30">
        <f t="shared" ref="BQ51:BR51" si="69">84-BP51</f>
        <v>84</v>
      </c>
      <c r="BR51" s="31">
        <f t="shared" ref="BR51" si="70">BP51/(BP51+BQ51)</f>
        <v>0</v>
      </c>
    </row>
    <row r="52" spans="1:70" ht="9.75" customHeight="1" x14ac:dyDescent="0.25">
      <c r="A52" s="22"/>
      <c r="B52" s="17" t="s">
        <v>72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34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34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34"/>
      <c r="AY52" s="32"/>
      <c r="AZ52" s="32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f t="shared" si="0"/>
        <v>0</v>
      </c>
      <c r="BP52" s="30"/>
      <c r="BQ52" s="30"/>
      <c r="BR52" s="31"/>
    </row>
    <row r="53" spans="1:70" ht="9.75" customHeight="1" x14ac:dyDescent="0.25">
      <c r="A53" s="21" t="s">
        <v>38</v>
      </c>
      <c r="B53" s="7" t="s">
        <v>67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34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34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34"/>
      <c r="AY53" s="5"/>
      <c r="AZ53" s="5"/>
      <c r="BA53" s="32"/>
      <c r="BB53" s="32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f t="shared" si="0"/>
        <v>0</v>
      </c>
      <c r="BP53" s="30">
        <f t="shared" ref="BP53" si="71">BO53+BO54</f>
        <v>0</v>
      </c>
      <c r="BQ53" s="30">
        <f t="shared" ref="BQ53:BR53" si="72">84-BP53</f>
        <v>84</v>
      </c>
      <c r="BR53" s="31">
        <f t="shared" ref="BR53" si="73">BP53/(BP53+BQ53)</f>
        <v>0</v>
      </c>
    </row>
    <row r="54" spans="1:70" ht="9.75" customHeight="1" x14ac:dyDescent="0.25">
      <c r="A54" s="22"/>
      <c r="B54" s="17" t="s">
        <v>72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34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34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34"/>
      <c r="AY54" s="5"/>
      <c r="AZ54" s="5"/>
      <c r="BA54" s="32"/>
      <c r="BB54" s="32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f t="shared" si="0"/>
        <v>0</v>
      </c>
      <c r="BP54" s="30"/>
      <c r="BQ54" s="30"/>
      <c r="BR54" s="31"/>
    </row>
    <row r="55" spans="1:70" ht="9.75" customHeight="1" x14ac:dyDescent="0.25">
      <c r="A55" s="21" t="s">
        <v>44</v>
      </c>
      <c r="B55" s="7" t="s">
        <v>67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34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34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34"/>
      <c r="AY55" s="5"/>
      <c r="AZ55" s="5"/>
      <c r="BA55" s="5"/>
      <c r="BB55" s="5"/>
      <c r="BC55" s="32"/>
      <c r="BD55" s="32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f t="shared" si="0"/>
        <v>0</v>
      </c>
      <c r="BP55" s="30">
        <f t="shared" ref="BP55" si="74">BO55+BO56</f>
        <v>0</v>
      </c>
      <c r="BQ55" s="30">
        <f t="shared" ref="BQ55:BR55" si="75">84-BP55</f>
        <v>84</v>
      </c>
      <c r="BR55" s="31">
        <f t="shared" ref="BR55" si="76">BP55/(BP55+BQ55)</f>
        <v>0</v>
      </c>
    </row>
    <row r="56" spans="1:70" ht="9.75" customHeight="1" x14ac:dyDescent="0.25">
      <c r="A56" s="22"/>
      <c r="B56" s="17" t="s">
        <v>72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34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34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34"/>
      <c r="AY56" s="5"/>
      <c r="AZ56" s="5"/>
      <c r="BA56" s="5"/>
      <c r="BB56" s="5"/>
      <c r="BC56" s="32"/>
      <c r="BD56" s="32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f t="shared" si="0"/>
        <v>0</v>
      </c>
      <c r="BP56" s="30"/>
      <c r="BQ56" s="30"/>
      <c r="BR56" s="31"/>
    </row>
    <row r="57" spans="1:70" ht="9.75" customHeight="1" x14ac:dyDescent="0.25">
      <c r="A57" s="21" t="s">
        <v>17</v>
      </c>
      <c r="B57" s="7" t="s">
        <v>67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34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34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34"/>
      <c r="AY57" s="5"/>
      <c r="AZ57" s="5"/>
      <c r="BA57" s="5"/>
      <c r="BB57" s="5"/>
      <c r="BC57" s="5"/>
      <c r="BD57" s="5"/>
      <c r="BE57" s="32"/>
      <c r="BF57" s="32"/>
      <c r="BG57" s="5"/>
      <c r="BH57" s="5"/>
      <c r="BI57" s="5"/>
      <c r="BJ57" s="5"/>
      <c r="BK57" s="5"/>
      <c r="BL57" s="5"/>
      <c r="BM57" s="5"/>
      <c r="BN57" s="5"/>
      <c r="BO57" s="5">
        <f t="shared" si="0"/>
        <v>0</v>
      </c>
      <c r="BP57" s="30">
        <f t="shared" ref="BP57" si="77">BO57+BO58</f>
        <v>0</v>
      </c>
      <c r="BQ57" s="30">
        <f t="shared" ref="BQ57:BR57" si="78">84-BP57</f>
        <v>84</v>
      </c>
      <c r="BR57" s="31">
        <f t="shared" ref="BR57" si="79">BP57/(BP57+BQ57)</f>
        <v>0</v>
      </c>
    </row>
    <row r="58" spans="1:70" ht="9.75" customHeight="1" x14ac:dyDescent="0.25">
      <c r="A58" s="22"/>
      <c r="B58" s="17" t="s">
        <v>72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34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34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34"/>
      <c r="AY58" s="5"/>
      <c r="AZ58" s="5"/>
      <c r="BA58" s="5"/>
      <c r="BB58" s="5"/>
      <c r="BC58" s="5"/>
      <c r="BD58" s="5"/>
      <c r="BE58" s="32"/>
      <c r="BF58" s="32"/>
      <c r="BG58" s="5"/>
      <c r="BH58" s="5"/>
      <c r="BI58" s="5"/>
      <c r="BJ58" s="5"/>
      <c r="BK58" s="5"/>
      <c r="BL58" s="5"/>
      <c r="BM58" s="5"/>
      <c r="BN58" s="5"/>
      <c r="BO58" s="5">
        <f t="shared" si="0"/>
        <v>0</v>
      </c>
      <c r="BP58" s="30"/>
      <c r="BQ58" s="30"/>
      <c r="BR58" s="31"/>
    </row>
    <row r="59" spans="1:70" ht="9.75" customHeight="1" x14ac:dyDescent="0.25">
      <c r="A59" s="21" t="s">
        <v>47</v>
      </c>
      <c r="B59" s="7" t="s">
        <v>67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34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34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34"/>
      <c r="AY59" s="5"/>
      <c r="AZ59" s="5"/>
      <c r="BA59" s="5"/>
      <c r="BB59" s="5"/>
      <c r="BC59" s="5"/>
      <c r="BD59" s="5"/>
      <c r="BE59" s="5"/>
      <c r="BF59" s="5"/>
      <c r="BG59" s="32"/>
      <c r="BH59" s="32"/>
      <c r="BI59" s="5"/>
      <c r="BJ59" s="5"/>
      <c r="BK59" s="5"/>
      <c r="BL59" s="5"/>
      <c r="BM59" s="5"/>
      <c r="BN59" s="5"/>
      <c r="BO59" s="5">
        <f t="shared" si="0"/>
        <v>0</v>
      </c>
      <c r="BP59" s="30">
        <f t="shared" ref="BP59" si="80">BO59+BO60</f>
        <v>0</v>
      </c>
      <c r="BQ59" s="30">
        <f t="shared" ref="BQ59:BR59" si="81">84-BP59</f>
        <v>84</v>
      </c>
      <c r="BR59" s="31">
        <f t="shared" ref="BR59" si="82">BP59/(BP59+BQ59)</f>
        <v>0</v>
      </c>
    </row>
    <row r="60" spans="1:70" ht="9.75" customHeight="1" x14ac:dyDescent="0.25">
      <c r="A60" s="22"/>
      <c r="B60" s="17" t="s">
        <v>72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34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34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34"/>
      <c r="AY60" s="5"/>
      <c r="AZ60" s="5"/>
      <c r="BA60" s="5"/>
      <c r="BB60" s="5"/>
      <c r="BC60" s="5"/>
      <c r="BD60" s="5"/>
      <c r="BE60" s="5"/>
      <c r="BF60" s="5"/>
      <c r="BG60" s="32"/>
      <c r="BH60" s="32"/>
      <c r="BI60" s="5"/>
      <c r="BJ60" s="5"/>
      <c r="BK60" s="5"/>
      <c r="BL60" s="5"/>
      <c r="BM60" s="5"/>
      <c r="BN60" s="5"/>
      <c r="BO60" s="5">
        <f t="shared" si="0"/>
        <v>0</v>
      </c>
      <c r="BP60" s="30"/>
      <c r="BQ60" s="30"/>
      <c r="BR60" s="31"/>
    </row>
    <row r="61" spans="1:70" ht="9.75" customHeight="1" x14ac:dyDescent="0.25">
      <c r="A61" s="21" t="s">
        <v>52</v>
      </c>
      <c r="B61" s="7" t="s">
        <v>67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34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34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34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32"/>
      <c r="BJ61" s="32"/>
      <c r="BK61" s="5"/>
      <c r="BL61" s="5"/>
      <c r="BM61" s="5"/>
      <c r="BN61" s="5"/>
      <c r="BO61" s="5">
        <f t="shared" si="0"/>
        <v>0</v>
      </c>
      <c r="BP61" s="30">
        <f t="shared" ref="BP61" si="83">BO61+BO62</f>
        <v>0</v>
      </c>
      <c r="BQ61" s="30">
        <f t="shared" ref="BQ61:BR61" si="84">84-BP61</f>
        <v>84</v>
      </c>
      <c r="BR61" s="31">
        <f t="shared" ref="BR61" si="85">BP61/(BP61+BQ61)</f>
        <v>0</v>
      </c>
    </row>
    <row r="62" spans="1:70" ht="9.75" customHeight="1" x14ac:dyDescent="0.25">
      <c r="A62" s="22"/>
      <c r="B62" s="17" t="s">
        <v>72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34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34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34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32"/>
      <c r="BJ62" s="32"/>
      <c r="BK62" s="5"/>
      <c r="BL62" s="5"/>
      <c r="BM62" s="5"/>
      <c r="BN62" s="5"/>
      <c r="BO62" s="5">
        <f t="shared" si="0"/>
        <v>0</v>
      </c>
      <c r="BP62" s="30"/>
      <c r="BQ62" s="30"/>
      <c r="BR62" s="31"/>
    </row>
    <row r="63" spans="1:70" ht="9.75" customHeight="1" x14ac:dyDescent="0.25">
      <c r="A63" s="21" t="s">
        <v>57</v>
      </c>
      <c r="B63" s="7" t="s">
        <v>67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34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34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34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32"/>
      <c r="BL63" s="32"/>
      <c r="BM63" s="5"/>
      <c r="BN63" s="5"/>
      <c r="BO63" s="5">
        <f t="shared" si="0"/>
        <v>0</v>
      </c>
      <c r="BP63" s="30">
        <f t="shared" ref="BP63" si="86">BO63+BO64</f>
        <v>0</v>
      </c>
      <c r="BQ63" s="30">
        <f t="shared" ref="BQ63:BR63" si="87">84-BP63</f>
        <v>84</v>
      </c>
      <c r="BR63" s="31">
        <f t="shared" ref="BR63" si="88">BP63/(BP63+BQ63)</f>
        <v>0</v>
      </c>
    </row>
    <row r="64" spans="1:70" ht="9.75" customHeight="1" x14ac:dyDescent="0.25">
      <c r="A64" s="22"/>
      <c r="B64" s="17" t="s">
        <v>72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34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34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34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32"/>
      <c r="BL64" s="32"/>
      <c r="BM64" s="5"/>
      <c r="BN64" s="5"/>
      <c r="BO64" s="5">
        <f t="shared" si="0"/>
        <v>0</v>
      </c>
      <c r="BP64" s="30"/>
      <c r="BQ64" s="30"/>
      <c r="BR64" s="31"/>
    </row>
    <row r="65" spans="1:70" ht="9.75" customHeight="1" x14ac:dyDescent="0.25">
      <c r="A65" s="21" t="s">
        <v>24</v>
      </c>
      <c r="B65" s="7" t="s">
        <v>67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34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34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34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32"/>
      <c r="BN65" s="32"/>
      <c r="BO65" s="5">
        <f t="shared" si="0"/>
        <v>0</v>
      </c>
      <c r="BP65" s="30">
        <f t="shared" ref="BP65" si="89">BO65+BO66</f>
        <v>0</v>
      </c>
      <c r="BQ65" s="30">
        <f t="shared" ref="BQ65:BR65" si="90">84-BP65</f>
        <v>84</v>
      </c>
      <c r="BR65" s="31">
        <f t="shared" ref="BR65" si="91">BP65/(BP65+BQ65)</f>
        <v>0</v>
      </c>
    </row>
    <row r="66" spans="1:70" ht="9.75" customHeight="1" x14ac:dyDescent="0.25">
      <c r="A66" s="22"/>
      <c r="B66" s="17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34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34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34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32"/>
      <c r="BN66" s="32"/>
      <c r="BO66" s="5">
        <f t="shared" si="0"/>
        <v>0</v>
      </c>
      <c r="BP66" s="30"/>
      <c r="BQ66" s="30"/>
      <c r="BR66" s="31"/>
    </row>
  </sheetData>
  <mergeCells count="160">
    <mergeCell ref="A65:A66"/>
    <mergeCell ref="BP65:BP66"/>
    <mergeCell ref="BQ65:BQ66"/>
    <mergeCell ref="BR65:BR66"/>
    <mergeCell ref="A61:A62"/>
    <mergeCell ref="BP61:BP62"/>
    <mergeCell ref="BQ61:BQ62"/>
    <mergeCell ref="BR61:BR62"/>
    <mergeCell ref="A63:A64"/>
    <mergeCell ref="BP63:BP64"/>
    <mergeCell ref="BQ63:BQ64"/>
    <mergeCell ref="BR63:BR64"/>
    <mergeCell ref="A57:A58"/>
    <mergeCell ref="BP57:BP58"/>
    <mergeCell ref="BQ57:BQ58"/>
    <mergeCell ref="BR57:BR58"/>
    <mergeCell ref="A59:A60"/>
    <mergeCell ref="BP59:BP60"/>
    <mergeCell ref="BQ59:BQ60"/>
    <mergeCell ref="BR59:BR60"/>
    <mergeCell ref="A53:A54"/>
    <mergeCell ref="BP53:BP54"/>
    <mergeCell ref="BQ53:BQ54"/>
    <mergeCell ref="BR53:BR54"/>
    <mergeCell ref="A55:A56"/>
    <mergeCell ref="BP55:BP56"/>
    <mergeCell ref="BQ55:BQ56"/>
    <mergeCell ref="BR55:BR56"/>
    <mergeCell ref="A49:A50"/>
    <mergeCell ref="BP49:BP50"/>
    <mergeCell ref="BQ49:BQ50"/>
    <mergeCell ref="BR49:BR50"/>
    <mergeCell ref="A51:A52"/>
    <mergeCell ref="BP51:BP52"/>
    <mergeCell ref="BQ51:BQ52"/>
    <mergeCell ref="BR51:BR52"/>
    <mergeCell ref="A45:A46"/>
    <mergeCell ref="BP45:BP46"/>
    <mergeCell ref="BQ45:BQ46"/>
    <mergeCell ref="BR45:BR46"/>
    <mergeCell ref="A47:A48"/>
    <mergeCell ref="BP47:BP48"/>
    <mergeCell ref="BQ47:BQ48"/>
    <mergeCell ref="BR47:BR48"/>
    <mergeCell ref="A41:A42"/>
    <mergeCell ref="BP41:BP42"/>
    <mergeCell ref="BQ41:BQ42"/>
    <mergeCell ref="BR41:BR42"/>
    <mergeCell ref="A43:A44"/>
    <mergeCell ref="BP43:BP44"/>
    <mergeCell ref="BQ43:BQ44"/>
    <mergeCell ref="BR43:BR44"/>
    <mergeCell ref="A37:A38"/>
    <mergeCell ref="BP37:BP38"/>
    <mergeCell ref="BQ37:BQ38"/>
    <mergeCell ref="BR37:BR38"/>
    <mergeCell ref="A39:A40"/>
    <mergeCell ref="BP39:BP40"/>
    <mergeCell ref="BQ39:BQ40"/>
    <mergeCell ref="BR39:BR40"/>
    <mergeCell ref="A33:A34"/>
    <mergeCell ref="BP33:BP34"/>
    <mergeCell ref="BQ33:BQ34"/>
    <mergeCell ref="BR33:BR34"/>
    <mergeCell ref="A35:A36"/>
    <mergeCell ref="BP35:BP36"/>
    <mergeCell ref="BQ35:BQ36"/>
    <mergeCell ref="BR35:BR36"/>
    <mergeCell ref="A29:A30"/>
    <mergeCell ref="BP29:BP30"/>
    <mergeCell ref="BQ29:BQ30"/>
    <mergeCell ref="BR29:BR30"/>
    <mergeCell ref="A31:A32"/>
    <mergeCell ref="BP31:BP32"/>
    <mergeCell ref="BQ31:BQ32"/>
    <mergeCell ref="BR31:BR32"/>
    <mergeCell ref="A25:A26"/>
    <mergeCell ref="BP25:BP26"/>
    <mergeCell ref="BQ25:BQ26"/>
    <mergeCell ref="BR25:BR26"/>
    <mergeCell ref="A27:A28"/>
    <mergeCell ref="BP27:BP28"/>
    <mergeCell ref="BQ27:BQ28"/>
    <mergeCell ref="BR27:BR28"/>
    <mergeCell ref="A21:A22"/>
    <mergeCell ref="BP21:BP22"/>
    <mergeCell ref="BQ21:BQ22"/>
    <mergeCell ref="BR21:BR22"/>
    <mergeCell ref="A23:A24"/>
    <mergeCell ref="BP23:BP24"/>
    <mergeCell ref="BQ23:BQ24"/>
    <mergeCell ref="BR23:BR24"/>
    <mergeCell ref="A17:A18"/>
    <mergeCell ref="BP17:BP18"/>
    <mergeCell ref="BQ17:BQ18"/>
    <mergeCell ref="BR17:BR18"/>
    <mergeCell ref="A19:A20"/>
    <mergeCell ref="BP19:BP20"/>
    <mergeCell ref="BQ19:BQ20"/>
    <mergeCell ref="BR19:BR20"/>
    <mergeCell ref="A13:A14"/>
    <mergeCell ref="BP13:BP14"/>
    <mergeCell ref="BQ13:BQ14"/>
    <mergeCell ref="BR13:BR14"/>
    <mergeCell ref="A15:A16"/>
    <mergeCell ref="BP15:BP16"/>
    <mergeCell ref="BQ15:BQ16"/>
    <mergeCell ref="BR15:BR16"/>
    <mergeCell ref="A9:A10"/>
    <mergeCell ref="BP9:BP10"/>
    <mergeCell ref="BQ9:BQ10"/>
    <mergeCell ref="BR9:BR10"/>
    <mergeCell ref="A11:A12"/>
    <mergeCell ref="BP11:BP12"/>
    <mergeCell ref="BQ11:BQ12"/>
    <mergeCell ref="BR11:BR12"/>
    <mergeCell ref="A5:A6"/>
    <mergeCell ref="BP5:BP6"/>
    <mergeCell ref="BQ5:BQ6"/>
    <mergeCell ref="BR5:BR6"/>
    <mergeCell ref="A7:A8"/>
    <mergeCell ref="BP7:BP8"/>
    <mergeCell ref="BQ7:BQ8"/>
    <mergeCell ref="BR7:BR8"/>
    <mergeCell ref="BK1:BL1"/>
    <mergeCell ref="BM1:BN1"/>
    <mergeCell ref="A3:A4"/>
    <mergeCell ref="BP3:BP4"/>
    <mergeCell ref="BQ3:BQ4"/>
    <mergeCell ref="BR3:BR4"/>
    <mergeCell ref="AY1:AZ1"/>
    <mergeCell ref="BA1:BB1"/>
    <mergeCell ref="BC1:BD1"/>
    <mergeCell ref="BE1:BF1"/>
    <mergeCell ref="BG1:BH1"/>
    <mergeCell ref="BI1:BJ1"/>
    <mergeCell ref="AM1:AN1"/>
    <mergeCell ref="AO1:AP1"/>
    <mergeCell ref="AQ1:AR1"/>
    <mergeCell ref="AS1:AT1"/>
    <mergeCell ref="AU1:AV1"/>
    <mergeCell ref="AW1:AX1"/>
    <mergeCell ref="AA1:AB1"/>
    <mergeCell ref="AC1:AD1"/>
    <mergeCell ref="AE1:AF1"/>
    <mergeCell ref="AG1:AH1"/>
    <mergeCell ref="AI1:AJ1"/>
    <mergeCell ref="AK1:AL1"/>
    <mergeCell ref="O1:P1"/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</mergeCells>
  <conditionalFormatting sqref="BR3:BR6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{B9520BD7-A35D-429B-B8FB-CB1F14E51307}</x14:id>
        </ext>
      </extLst>
    </cfRule>
  </conditionalFormatting>
  <conditionalFormatting sqref="BR41:BR4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{93C54F1E-5BC9-4115-A8BC-8D6F49840A40}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520BD7-A35D-429B-B8FB-CB1F14E513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BR3:BR66</xm:sqref>
        </x14:conditionalFormatting>
        <x14:conditionalFormatting xmlns:xm="http://schemas.microsoft.com/office/excel/2006/main">
          <x14:cfRule type="dataBar" id="{93C54F1E-5BC9-4115-A8BC-8D6F49840A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BR41:BR42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0BCD-0E32-4871-834B-EC025F970123}">
  <dimension ref="A1:BL33"/>
  <sheetViews>
    <sheetView topLeftCell="H1" workbookViewId="0">
      <selection activeCell="BL4" sqref="BL4"/>
    </sheetView>
  </sheetViews>
  <sheetFormatPr defaultRowHeight="15" x14ac:dyDescent="0.25"/>
  <cols>
    <col min="1" max="1" width="5.140625" customWidth="1"/>
    <col min="4" max="25" width="3.140625" customWidth="1"/>
    <col min="26" max="26" width="4.7109375" style="50" customWidth="1"/>
    <col min="27" max="34" width="3.5703125" customWidth="1"/>
    <col min="35" max="35" width="4.42578125" customWidth="1"/>
    <col min="36" max="36" width="4" customWidth="1"/>
    <col min="37" max="38" width="4.5703125" style="50" customWidth="1"/>
    <col min="39" max="40" width="4.28515625" customWidth="1"/>
    <col min="41" max="41" width="3.5703125" customWidth="1"/>
    <col min="42" max="42" width="4.28515625" customWidth="1"/>
    <col min="43" max="46" width="4.140625" customWidth="1"/>
    <col min="48" max="59" width="4.28515625" customWidth="1"/>
  </cols>
  <sheetData>
    <row r="1" spans="1:64" ht="105" x14ac:dyDescent="0.25">
      <c r="A1" s="44" t="s">
        <v>33</v>
      </c>
      <c r="B1" s="44" t="s">
        <v>64</v>
      </c>
      <c r="C1" s="44" t="s">
        <v>73</v>
      </c>
      <c r="D1" s="44" t="s">
        <v>99</v>
      </c>
      <c r="E1" s="44" t="s">
        <v>100</v>
      </c>
      <c r="F1" s="44" t="s">
        <v>101</v>
      </c>
      <c r="G1" s="44" t="s">
        <v>102</v>
      </c>
      <c r="H1" s="44" t="s">
        <v>69</v>
      </c>
      <c r="I1" s="44" t="s">
        <v>70</v>
      </c>
      <c r="J1" s="44" t="s">
        <v>103</v>
      </c>
      <c r="K1" s="44" t="s">
        <v>104</v>
      </c>
      <c r="L1" s="44" t="s">
        <v>105</v>
      </c>
      <c r="M1" s="44" t="s">
        <v>106</v>
      </c>
      <c r="N1" s="44" t="s">
        <v>107</v>
      </c>
      <c r="O1" s="44" t="s">
        <v>108</v>
      </c>
      <c r="P1" s="44" t="s">
        <v>109</v>
      </c>
      <c r="Q1" s="44" t="s">
        <v>110</v>
      </c>
      <c r="R1" s="44" t="s">
        <v>111</v>
      </c>
      <c r="S1" s="44" t="s">
        <v>112</v>
      </c>
      <c r="T1" s="44" t="s">
        <v>116</v>
      </c>
      <c r="U1" s="44" t="s">
        <v>114</v>
      </c>
      <c r="V1" s="44" t="s">
        <v>119</v>
      </c>
      <c r="W1" s="44" t="s">
        <v>117</v>
      </c>
      <c r="X1" s="44" t="s">
        <v>113</v>
      </c>
      <c r="Y1" s="44" t="s">
        <v>115</v>
      </c>
      <c r="Z1" s="63" t="s">
        <v>118</v>
      </c>
      <c r="AA1" s="44" t="s">
        <v>62</v>
      </c>
      <c r="AB1" s="44" t="s">
        <v>120</v>
      </c>
      <c r="AC1" s="44" t="s">
        <v>121</v>
      </c>
      <c r="AD1" s="44" t="s">
        <v>122</v>
      </c>
      <c r="AE1" s="44" t="s">
        <v>123</v>
      </c>
      <c r="AF1" s="44" t="s">
        <v>124</v>
      </c>
      <c r="AG1" s="44" t="s">
        <v>125</v>
      </c>
      <c r="AH1" s="44" t="s">
        <v>126</v>
      </c>
      <c r="AI1" s="44" t="s">
        <v>127</v>
      </c>
      <c r="AJ1" s="44" t="s">
        <v>129</v>
      </c>
      <c r="AK1" s="63" t="s">
        <v>128</v>
      </c>
      <c r="AL1" s="63" t="s">
        <v>130</v>
      </c>
      <c r="AM1" s="44" t="s">
        <v>131</v>
      </c>
      <c r="AN1" s="44" t="s">
        <v>132</v>
      </c>
      <c r="AO1" s="44" t="s">
        <v>135</v>
      </c>
      <c r="AP1" s="44" t="s">
        <v>136</v>
      </c>
      <c r="AQ1" s="44" t="s">
        <v>133</v>
      </c>
      <c r="AR1" s="44" t="s">
        <v>134</v>
      </c>
      <c r="AS1" s="44" t="s">
        <v>137</v>
      </c>
      <c r="AT1" s="44" t="s">
        <v>138</v>
      </c>
      <c r="AU1" s="44" t="s">
        <v>139</v>
      </c>
      <c r="AV1" s="44" t="s">
        <v>140</v>
      </c>
      <c r="AW1" s="44" t="s">
        <v>142</v>
      </c>
      <c r="AX1" s="44" t="s">
        <v>143</v>
      </c>
      <c r="AY1" s="44" t="s">
        <v>141</v>
      </c>
      <c r="AZ1" s="44" t="s">
        <v>145</v>
      </c>
      <c r="BA1" s="44" t="s">
        <v>144</v>
      </c>
      <c r="BB1" s="44" t="s">
        <v>146</v>
      </c>
      <c r="BC1" s="44" t="s">
        <v>147</v>
      </c>
      <c r="BD1" s="44" t="s">
        <v>148</v>
      </c>
      <c r="BE1" s="44" t="s">
        <v>149</v>
      </c>
      <c r="BF1" s="44" t="s">
        <v>150</v>
      </c>
      <c r="BG1" s="44" t="s">
        <v>151</v>
      </c>
      <c r="BH1" s="44" t="s">
        <v>152</v>
      </c>
      <c r="BI1" s="44" t="s">
        <v>153</v>
      </c>
      <c r="BJ1" s="44" t="s">
        <v>154</v>
      </c>
      <c r="BK1" s="44" t="s">
        <v>156</v>
      </c>
      <c r="BL1" s="44" t="s">
        <v>155</v>
      </c>
    </row>
    <row r="2" spans="1:64" x14ac:dyDescent="0.25">
      <c r="A2" t="s">
        <v>36</v>
      </c>
      <c r="B2" t="s">
        <v>62</v>
      </c>
      <c r="C2" t="s">
        <v>66</v>
      </c>
      <c r="D2">
        <f>COUNTIFS(Table1[AwayTeam],Table2[[#This Row],[Team]],Table1[GameIsOver], 1, Table1[WatchedGame],1) + COUNTIFS(Table1[HomeTeam],Table2[[#This Row],[Team]],Table1[GameIsOver],1,Table1[WatchedGame],1)</f>
        <v>0</v>
      </c>
      <c r="F2">
        <f>COUNTIFS(Table1[AwayTeam],Table2[[#This Row],[Team]], Table1[GameIsOver],1)</f>
        <v>0</v>
      </c>
      <c r="G2">
        <f>COUNTIFS(Table1[HomeTeam],Table2[[#This Row],[Team]], Table1[GameIsOver],1)</f>
        <v>1</v>
      </c>
      <c r="H2">
        <f>Table2[[#This Row],[GP_A]]+Table2[[#This Row],[GP_H]]</f>
        <v>1</v>
      </c>
      <c r="I2">
        <f>84-Table2[[#This Row],[GP]]</f>
        <v>83</v>
      </c>
      <c r="J2">
        <f>COUNTIFS(Table1[AwayTeam], Table2[[#This Row],[Team]], Table1[GameIsOver], 1, Table1[AwayWon],1)</f>
        <v>0</v>
      </c>
      <c r="K2">
        <f>COUNTIFS(Table1[AwayTeam], Table2[[#This Row],[Team]], Table1[GameIsOver], 1, Table1[AwayWon],1, Table1[ActualResult], "REG")</f>
        <v>0</v>
      </c>
      <c r="L2">
        <f>COUNTIFS(Table1[AwayTeam], Table2[[#This Row],[Team]], Table1[GameIsOver], 1, Table1[AwayWon],1, Table1[ActualResult], "OT")</f>
        <v>0</v>
      </c>
      <c r="M2">
        <f>COUNTIFS(Table1[AwayTeam], Table2[[#This Row],[Team]], Table1[GameIsOver], 1, Table1[AwayWon],1, Table1[ActualResult], "SO")</f>
        <v>0</v>
      </c>
      <c r="N2">
        <f>COUNTIFS(Table1[AwayTeam], Table2[[#This Row],[Team]], Table1[GameIsOver], 1, Table1[AwayWon],0)</f>
        <v>0</v>
      </c>
      <c r="O2">
        <f>COUNTIFS(Table1[AwayTeam], Table2[[#This Row],[Team]], Table1[GameIsOver], 1, Table1[AwayWon],0, Table1[ActualResult], "REG")</f>
        <v>0</v>
      </c>
      <c r="P2">
        <f>COUNTIFS(Table1[AwayTeam], Table2[[#This Row],[Team]], Table1[GameIsOver], 1, Table1[AwayWon],0, Table1[ActualResult], "OT")</f>
        <v>0</v>
      </c>
      <c r="Q2">
        <f>COUNTIFS(Table1[AwayTeam], Table2[[#This Row],[Team]], Table1[GameIsOver], 1, Table1[AwayWon],0, Table1[ActualResult], "SO")</f>
        <v>0</v>
      </c>
      <c r="R2">
        <f>COUNTIFS(Table1[HomeTeam], Table2[[#This Row],[Team]], Table1[GameIsOver], 1, Table1[HomeWon],1)</f>
        <v>1</v>
      </c>
      <c r="S2">
        <f>COUNTIFS(Table1[HomeTeam], Table2[[#This Row],[Team]], Table1[GameIsOver], 1, Table1[HomeWon],1, Table1[ActualResult], "REG")</f>
        <v>0</v>
      </c>
      <c r="T2">
        <f>COUNTIFS(Table1[HomeTeam], Table2[[#This Row],[Team]], Table1[GameIsOver], 1, Table1[HomeWon],1, Table1[ActualResult], "OT")</f>
        <v>1</v>
      </c>
      <c r="U2">
        <f>COUNTIFS(Table1[HomeTeam], Table2[[#This Row],[Team]], Table1[GameIsOver], 1, Table1[HomeWon],1, Table1[ActualResult], "SO")</f>
        <v>0</v>
      </c>
      <c r="V2">
        <f>COUNTIFS(Table1[HomeTeam], Table2[[#This Row],[Team]], Table1[GameIsOver], 1, Table1[HomeWon],0)</f>
        <v>0</v>
      </c>
      <c r="W2">
        <f>COUNTIFS(Table1[HomeTeam], Table2[[#This Row],[Team]], Table1[GameIsOver], 1, Table1[HomeWon],0, Table1[ActualResult], "REG")</f>
        <v>0</v>
      </c>
      <c r="X2">
        <f>COUNTIFS(Table1[HomeTeam], Table2[[#This Row],[Team]], Table1[GameIsOver], 1, Table1[HomeWon],0, Table1[ActualResult], "OT")</f>
        <v>0</v>
      </c>
      <c r="Y2">
        <f>COUNTIFS(Table1[HomeTeam], Table2[[#This Row],[Team]], Table1[GameIsOver], 1, Table1[HomeWon],0, Table1[ActualResult], "SO")</f>
        <v>0</v>
      </c>
      <c r="Z2" s="50">
        <f>Table2[[#This Row],[W]]/MAX(1,Table2[[#This Row],[W]]+Table2[[#This Row],[L]])</f>
        <v>1</v>
      </c>
      <c r="AA2" s="43">
        <f>Table2[[#This Row],[W_A]]+Table2[[#This Row],[W_H]]</f>
        <v>1</v>
      </c>
      <c r="AB2" s="43">
        <f>Table2[[#This Row],[L_A]]+Table2[[#This Row],[L_H]]</f>
        <v>0</v>
      </c>
      <c r="AC2" s="43">
        <f>Table2[RW_A]+Table2[RW_H]</f>
        <v>0</v>
      </c>
      <c r="AD2" s="43">
        <f>Table2[RL_A]+Table2[RL_H]</f>
        <v>0</v>
      </c>
      <c r="AE2" s="43">
        <f>Table2[OTW_A]+Table2[OTW_H]</f>
        <v>1</v>
      </c>
      <c r="AF2" s="43">
        <f>Table2[OTL_A]+Table2[OTL_H]</f>
        <v>0</v>
      </c>
      <c r="AG2" s="43">
        <f>Table2[SOW_A]+Table2[SOW_H]</f>
        <v>0</v>
      </c>
      <c r="AH2" s="43">
        <f>Table2[SOL_A]+Table2[SOL_H]</f>
        <v>0</v>
      </c>
      <c r="AI2" s="43" t="str">
        <f>_xlfn.CONCAT(TEXT(Table2[[#This Row],[OTW]]+Table2[[#This Row],[SOW]], "0"), "-", TEXT(Table2[[#This Row],[OTL]]+Table2[[#This Row],[SOL]],"0"))</f>
        <v>1-0</v>
      </c>
      <c r="AJ2" s="43">
        <f>SUM(Table2[[#This Row],[OTW]],Table2[[#This Row],[OTL]],Table2[[#This Row],[SOW]],Table2[[#This Row],[SOL]])</f>
        <v>1</v>
      </c>
      <c r="AK2" s="50">
        <f>(Table2[[#This Row],[OTW]]+Table2[[#This Row],[SOW]])/IF(Table2[[#This Row],[Total_ExtraTimes]]=0,1,Table2[[#This Row],[Total_ExtraTimes]])</f>
        <v>1</v>
      </c>
      <c r="AL2" s="50">
        <f>Table2[[#This Row],[Total_ExtraTimes]]/MAX(1,Table2[[#This Row],[GP]])</f>
        <v>1</v>
      </c>
      <c r="AM2" s="43">
        <f>(2*(Table2[[#This Row],[W_A]]+Table2[[#This Row],[W_H]]))+Table2[[#This Row],[OTL_A]]+Table2[[#This Row],[SOL_A]]+Table2[[#This Row],[OTL_H]]+Table2[[#This Row],[SOL_H]]</f>
        <v>2</v>
      </c>
      <c r="AN2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2" s="43">
        <f>Table2[[#This Row],[PTS]]/(2*Table2[[#This Row],[GP]])</f>
        <v>1</v>
      </c>
      <c r="AP2" s="43">
        <f>Table2[[#This Row],[PTS]]/(3*Table2[[#This Row],[GP]])</f>
        <v>0.66666666666666663</v>
      </c>
      <c r="AQ2" s="43">
        <f>(2*Table2[[#This Row],[GR]])+Table2[[#This Row],[PTS]]</f>
        <v>168</v>
      </c>
      <c r="AR2" s="43">
        <f>(3*Table2[[#This Row],[GR]])+Table2[[#This Row],[PTS]]</f>
        <v>251</v>
      </c>
      <c r="AS2" s="43">
        <f>Table2[[#This Row],[PTS]]+(2 * Table2[[#This Row],[GR]] * Table2[[#This Row],[PTS%]])</f>
        <v>168</v>
      </c>
      <c r="AT2" s="43">
        <f>Table2[[#This Row],[PTS]]+(3 * Table2[[#This Row],[GR]] * Table2[[#This Row],[PTS%]])</f>
        <v>251</v>
      </c>
      <c r="AU2" s="43" t="str">
        <f>_xlfn.CONCAT(TEXT(Table2[[#This Row],[W]], "0"), "-", TEXT(Table2[[#This Row],[RL]],"0"), "-", TEXT(Table2[[#This Row],[OTL]]+Table2[[#This Row],[SOL]], "0"))</f>
        <v>1-0-0</v>
      </c>
      <c r="AV2" s="43">
        <f>SUMIF(Table1[AwayTeam], Table2[[#This Row],[Team]], Table1[ActualAwayScore])</f>
        <v>0</v>
      </c>
      <c r="AW2" s="43">
        <f>SUMIF(Table1[AwayTeam], Table2[[#This Row],[Team]], Table1[ActualHomeScore])</f>
        <v>0</v>
      </c>
      <c r="AX2" s="43">
        <f>Table2[[#This Row],[GF_A]]-Table2[[#This Row],[GA_A]]</f>
        <v>0</v>
      </c>
      <c r="AY2" s="43">
        <f>SUMIF(Table1[HomeTeam], Table2[[#This Row],[Team]], Table1[ActualHomeScore])</f>
        <v>5</v>
      </c>
      <c r="AZ2" s="43">
        <f>SUMIF(Table1[HomeTeam], Table2[[#This Row],[Team]], Table1[ActualAwayScore])</f>
        <v>4</v>
      </c>
      <c r="BA2" s="43">
        <f>Table2[[#This Row],[GF_H]]-Table2[[#This Row],[GA_H]]</f>
        <v>1</v>
      </c>
      <c r="BB2" s="43">
        <f>SUMIFS(Table1[ActualAwayScore], Table1[AwayTeam], Table2[[#This Row],[Team]], Table1[AwayWon],1)+SUMIFS(Table1[ActualHomeScore], Table1[HomeTeam], Table2[[#This Row],[Team]], Table1[HomeWon],1)</f>
        <v>5</v>
      </c>
      <c r="BC2" s="43">
        <f>SUMIFS(Table1[ActualAwayScore], Table1[AwayTeam], Table2[[#This Row],[Team]], Table1[AwayWon],0) + SUMIFS(Table1[ActualHomeScore], Table1[HomeTeam], Table2[[#This Row],[Team]], Table1[HomeWon],0)</f>
        <v>0</v>
      </c>
      <c r="BD2" s="43">
        <f>Table2[[#This Row],[GF_W]]-Table2[[#This Row],[GF_L]]</f>
        <v>5</v>
      </c>
      <c r="BE2" s="43">
        <f>Table2[[#This Row],[GF_A]]+Table2[[#This Row],[GF_H]]</f>
        <v>5</v>
      </c>
      <c r="BF2" s="43">
        <f>Table2[[#This Row],[GA_A]]+Table2[[#This Row],[GA_H]]</f>
        <v>4</v>
      </c>
      <c r="BG2" s="43">
        <f>Table2[[#This Row],[GF]]-Table2[[#This Row],[GA]]</f>
        <v>1</v>
      </c>
      <c r="BH2" s="43">
        <f>Table2[[#This Row],[GF]]/Table2[[#This Row],[GP]]</f>
        <v>5</v>
      </c>
      <c r="BI2" s="43">
        <f>Table2[[#This Row],[GA]]/Table2[[#This Row],[GP]]</f>
        <v>4</v>
      </c>
      <c r="BJ2" s="43">
        <f>Table2[[#This Row],[GFPG]]-Table2[[#This Row],[GAPG]]</f>
        <v>1</v>
      </c>
      <c r="BK2" s="43" t="str">
        <f>_xlfn.CONCAT(TEXT(Table2[[#This Row],[W_A]], "0"), "-", TEXT(Table2[[#This Row],[RL_A]],"0"), "-", TEXT(Table2[[#This Row],[OTL_A]]+Table2[[#This Row],[SOL_A]], "0"))</f>
        <v>0-0-0</v>
      </c>
      <c r="BL2" s="43" t="str">
        <f>_xlfn.CONCAT(TEXT(Table2[[#This Row],[W_H]], "0"), "-", TEXT(Table2[[#This Row],[RL_H]],"0"), "-", TEXT(Table2[[#This Row],[OTL_H]]+Table2[[#This Row],[SOL_H]], "0"))</f>
        <v>1-0-0</v>
      </c>
    </row>
    <row r="3" spans="1:64" x14ac:dyDescent="0.25">
      <c r="A3" t="s">
        <v>37</v>
      </c>
      <c r="B3" t="s">
        <v>63</v>
      </c>
      <c r="C3" t="s">
        <v>67</v>
      </c>
      <c r="D3">
        <f>COUNTIFS(Table1[AwayTeam],Table2[[#This Row],[Team]],Table1[GameIsOver], 1, Table1[WatchedGame],1) + COUNTIFS(Table1[HomeTeam],Table2[[#This Row],[Team]],Table1[GameIsOver],1,Table1[WatchedGame],1)</f>
        <v>0</v>
      </c>
      <c r="F3">
        <f>COUNTIFS(Table1[AwayTeam],Table2[[#This Row],[Team]], Table1[GameIsOver],1)</f>
        <v>1</v>
      </c>
      <c r="G3">
        <f>COUNTIFS(Table1[HomeTeam],Table2[[#This Row],[Team]], Table1[GameIsOver],1)</f>
        <v>0</v>
      </c>
      <c r="H3">
        <f>Table2[[#This Row],[GP_A]]+Table2[[#This Row],[GP_H]]</f>
        <v>1</v>
      </c>
      <c r="I3">
        <f>84-Table2[[#This Row],[GP]]</f>
        <v>83</v>
      </c>
      <c r="J3">
        <f>COUNTIFS(Table1[AwayTeam], Table2[[#This Row],[Team]], Table1[GameIsOver], 1, Table1[AwayWon],1)</f>
        <v>1</v>
      </c>
      <c r="K3">
        <f>COUNTIFS(Table1[AwayTeam], Table2[[#This Row],[Team]], Table1[GameIsOver], 1, Table1[AwayWon],1, Table1[ActualResult], "REG")</f>
        <v>1</v>
      </c>
      <c r="L3">
        <f>COUNTIFS(Table1[AwayTeam], Table2[[#This Row],[Team]], Table1[GameIsOver], 1, Table1[AwayWon],1, Table1[ActualResult], "OT")</f>
        <v>0</v>
      </c>
      <c r="M3">
        <f>COUNTIFS(Table1[AwayTeam], Table2[[#This Row],[Team]], Table1[GameIsOver], 1, Table1[AwayWon],1, Table1[ActualResult], "SO")</f>
        <v>0</v>
      </c>
      <c r="N3">
        <f>COUNTIFS(Table1[AwayTeam], Table2[[#This Row],[Team]], Table1[GameIsOver], 1, Table1[AwayWon],0)</f>
        <v>0</v>
      </c>
      <c r="O3">
        <f>COUNTIFS(Table1[AwayTeam], Table2[[#This Row],[Team]], Table1[GameIsOver], 1, Table1[AwayWon],0, Table1[ActualResult], "REG")</f>
        <v>0</v>
      </c>
      <c r="P3">
        <f>COUNTIFS(Table1[AwayTeam], Table2[[#This Row],[Team]], Table1[GameIsOver], 1, Table1[AwayWon],0, Table1[ActualResult], "OT")</f>
        <v>0</v>
      </c>
      <c r="Q3">
        <f>COUNTIFS(Table1[AwayTeam], Table2[[#This Row],[Team]], Table1[GameIsOver], 1, Table1[AwayWon],0, Table1[ActualResult], "SO")</f>
        <v>0</v>
      </c>
      <c r="R3">
        <f>COUNTIFS(Table1[HomeTeam], Table2[[#This Row],[Team]], Table1[GameIsOver], 1, Table1[HomeWon],1)</f>
        <v>0</v>
      </c>
      <c r="S3">
        <f>COUNTIFS(Table1[HomeTeam], Table2[[#This Row],[Team]], Table1[GameIsOver], 1, Table1[HomeWon],1, Table1[ActualResult], "REG")</f>
        <v>0</v>
      </c>
      <c r="T3">
        <f>COUNTIFS(Table1[HomeTeam], Table2[[#This Row],[Team]], Table1[GameIsOver], 1, Table1[HomeWon],1, Table1[ActualResult], "OT")</f>
        <v>0</v>
      </c>
      <c r="U3">
        <f>COUNTIFS(Table1[HomeTeam], Table2[[#This Row],[Team]], Table1[GameIsOver], 1, Table1[HomeWon],1, Table1[ActualResult], "SO")</f>
        <v>0</v>
      </c>
      <c r="V3">
        <f>COUNTIFS(Table1[HomeTeam], Table2[[#This Row],[Team]], Table1[GameIsOver], 1, Table1[HomeWon],0)</f>
        <v>0</v>
      </c>
      <c r="W3">
        <f>COUNTIFS(Table1[HomeTeam], Table2[[#This Row],[Team]], Table1[GameIsOver], 1, Table1[HomeWon],0, Table1[ActualResult], "REG")</f>
        <v>0</v>
      </c>
      <c r="X3">
        <f>COUNTIFS(Table1[HomeTeam], Table2[[#This Row],[Team]], Table1[GameIsOver], 1, Table1[HomeWon],0, Table1[ActualResult], "OT")</f>
        <v>0</v>
      </c>
      <c r="Y3">
        <f>COUNTIFS(Table1[HomeTeam], Table2[[#This Row],[Team]], Table1[GameIsOver], 1, Table1[HomeWon],0, Table1[ActualResult], "SO")</f>
        <v>0</v>
      </c>
      <c r="Z3" s="50">
        <f>Table2[[#This Row],[W]]/MAX(1,Table2[[#This Row],[W]]+Table2[[#This Row],[L]])</f>
        <v>1</v>
      </c>
      <c r="AA3" s="43">
        <f>Table2[[#This Row],[W_A]]+Table2[[#This Row],[W_H]]</f>
        <v>1</v>
      </c>
      <c r="AB3" s="43">
        <f>Table2[[#This Row],[L_A]]+Table2[[#This Row],[L_H]]</f>
        <v>0</v>
      </c>
      <c r="AC3" s="43">
        <f>Table2[RW_A]+Table2[RW_H]</f>
        <v>1</v>
      </c>
      <c r="AD3" s="43">
        <f>Table2[RL_A]+Table2[RL_H]</f>
        <v>0</v>
      </c>
      <c r="AE3" s="43">
        <f>Table2[OTW_A]+Table2[OTW_H]</f>
        <v>0</v>
      </c>
      <c r="AF3" s="43">
        <f>Table2[OTL_A]+Table2[OTL_H]</f>
        <v>0</v>
      </c>
      <c r="AG3" s="43">
        <f>Table2[SOW_A]+Table2[SOW_H]</f>
        <v>0</v>
      </c>
      <c r="AH3" s="43">
        <f>Table2[SOL_A]+Table2[SOL_H]</f>
        <v>0</v>
      </c>
      <c r="AI3" s="43" t="str">
        <f>_xlfn.CONCAT(TEXT(Table2[[#This Row],[OTW]]+Table2[[#This Row],[SOW]], "0"), "-", TEXT(Table2[[#This Row],[OTL]]+Table2[[#This Row],[SOL]],"0"))</f>
        <v>0-0</v>
      </c>
      <c r="AJ3" s="43">
        <f>SUM(Table2[[#This Row],[OTW]],Table2[[#This Row],[OTL]],Table2[[#This Row],[SOW]],Table2[[#This Row],[SOL]])</f>
        <v>0</v>
      </c>
      <c r="AK3" s="50">
        <f>(Table2[[#This Row],[OTW]]+Table2[[#This Row],[SOW]])/IF(Table2[[#This Row],[Total_ExtraTimes]]=0,1,Table2[[#This Row],[Total_ExtraTimes]])</f>
        <v>0</v>
      </c>
      <c r="AL3" s="50">
        <f>Table2[[#This Row],[Total_ExtraTimes]]/MAX(1,Table2[[#This Row],[GP]])</f>
        <v>0</v>
      </c>
      <c r="AM3" s="43">
        <f>(2*(Table2[[#This Row],[W_A]]+Table2[[#This Row],[W_H]]))+Table2[[#This Row],[OTL_A]]+Table2[[#This Row],[SOL_A]]+Table2[[#This Row],[OTL_H]]+Table2[[#This Row],[SOL_H]]</f>
        <v>2</v>
      </c>
      <c r="AN3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3" s="43">
        <f>Table2[[#This Row],[PTS]]/(2*Table2[[#This Row],[GP]])</f>
        <v>1</v>
      </c>
      <c r="AP3" s="43">
        <f>Table2[[#This Row],[PTS]]/(3*Table2[[#This Row],[GP]])</f>
        <v>0.66666666666666663</v>
      </c>
      <c r="AQ3" s="43">
        <f>(2*Table2[[#This Row],[GR]])+Table2[[#This Row],[PTS]]</f>
        <v>168</v>
      </c>
      <c r="AR3" s="43">
        <f>(3*Table2[[#This Row],[GR]])+Table2[[#This Row],[PTS]]</f>
        <v>251</v>
      </c>
      <c r="AS3" s="43">
        <f>Table2[[#This Row],[PTS]]+(2 * Table2[[#This Row],[GR]] * Table2[[#This Row],[PTS%]])</f>
        <v>168</v>
      </c>
      <c r="AT3" s="43">
        <f>Table2[[#This Row],[PTS]]+(3 * Table2[[#This Row],[GR]] * Table2[[#This Row],[PTS%]])</f>
        <v>251</v>
      </c>
      <c r="AU3" s="43" t="str">
        <f>_xlfn.CONCAT(TEXT(Table2[[#This Row],[W]], "0"), "-", TEXT(Table2[[#This Row],[RL]],"0"), "-", TEXT(Table2[[#This Row],[OTL]]+Table2[[#This Row],[SOL]], "0"))</f>
        <v>1-0-0</v>
      </c>
      <c r="AV3" s="43">
        <f>SUMIF(Table1[AwayTeam], Table2[[#This Row],[Team]], Table1[ActualAwayScore])</f>
        <v>4</v>
      </c>
      <c r="AW3" s="43">
        <f>SUMIF(Table1[AwayTeam], Table2[[#This Row],[Team]], Table1[ActualHomeScore])</f>
        <v>3</v>
      </c>
      <c r="AX3" s="43">
        <f>Table2[[#This Row],[GF_A]]-Table2[[#This Row],[GA_A]]</f>
        <v>1</v>
      </c>
      <c r="AY3" s="43">
        <f>SUMIF(Table1[HomeTeam], Table2[[#This Row],[Team]], Table1[ActualHomeScore])</f>
        <v>0</v>
      </c>
      <c r="AZ3" s="43">
        <f>SUMIF(Table1[HomeTeam], Table2[[#This Row],[Team]], Table1[ActualAwayScore])</f>
        <v>0</v>
      </c>
      <c r="BA3" s="43">
        <f>Table2[[#This Row],[GF_H]]-Table2[[#This Row],[GA_H]]</f>
        <v>0</v>
      </c>
      <c r="BB3" s="43">
        <f>SUMIFS(Table1[ActualAwayScore], Table1[AwayTeam], Table2[[#This Row],[Team]], Table1[AwayWon],1)+SUMIFS(Table1[ActualHomeScore], Table1[HomeTeam], Table2[[#This Row],[Team]], Table1[HomeWon],1)</f>
        <v>4</v>
      </c>
      <c r="BC3" s="43">
        <f>SUMIFS(Table1[ActualAwayScore], Table1[AwayTeam], Table2[[#This Row],[Team]], Table1[AwayWon],0) + SUMIFS(Table1[ActualHomeScore], Table1[HomeTeam], Table2[[#This Row],[Team]], Table1[HomeWon],0)</f>
        <v>0</v>
      </c>
      <c r="BD3" s="43">
        <f>Table2[[#This Row],[GF_W]]-Table2[[#This Row],[GF_L]]</f>
        <v>4</v>
      </c>
      <c r="BE3" s="43">
        <f>Table2[[#This Row],[GF_A]]+Table2[[#This Row],[GF_H]]</f>
        <v>4</v>
      </c>
      <c r="BF3" s="43">
        <f>Table2[[#This Row],[GA_A]]+Table2[[#This Row],[GA_H]]</f>
        <v>3</v>
      </c>
      <c r="BG3" s="43">
        <f>Table2[[#This Row],[GF]]-Table2[[#This Row],[GA]]</f>
        <v>1</v>
      </c>
      <c r="BH3" s="43">
        <f>Table2[[#This Row],[GF]]/Table2[[#This Row],[GP]]</f>
        <v>4</v>
      </c>
      <c r="BI3" s="43">
        <f>Table2[[#This Row],[GA]]/Table2[[#This Row],[GP]]</f>
        <v>3</v>
      </c>
      <c r="BJ3" s="43">
        <f>Table2[[#This Row],[GFPG]]-Table2[[#This Row],[GAPG]]</f>
        <v>1</v>
      </c>
      <c r="BK3" s="43" t="str">
        <f>_xlfn.CONCAT(TEXT(Table2[[#This Row],[W_A]], "0"), "-", TEXT(Table2[[#This Row],[RL_A]],"0"), "-", TEXT(Table2[[#This Row],[OTL_A]]+Table2[[#This Row],[SOL_A]], "0"))</f>
        <v>1-0-0</v>
      </c>
      <c r="BL3" s="43" t="str">
        <f>_xlfn.CONCAT(TEXT(Table2[[#This Row],[W_H]], "0"), "-", TEXT(Table2[[#This Row],[RL_H]],"0"), "-", TEXT(Table2[[#This Row],[OTL_H]]+Table2[[#This Row],[SOL_H]], "0"))</f>
        <v>0-0-0</v>
      </c>
    </row>
    <row r="4" spans="1:64" x14ac:dyDescent="0.25">
      <c r="A4" t="s">
        <v>38</v>
      </c>
      <c r="B4" t="s">
        <v>63</v>
      </c>
      <c r="C4" t="s">
        <v>67</v>
      </c>
      <c r="D4">
        <f>COUNTIFS(Table1[AwayTeam],Table2[[#This Row],[Team]],Table1[GameIsOver], 1, Table1[WatchedGame],1) + COUNTIFS(Table1[HomeTeam],Table2[[#This Row],[Team]],Table1[GameIsOver],1,Table1[WatchedGame],1)</f>
        <v>0</v>
      </c>
      <c r="F4">
        <f>COUNTIFS(Table1[AwayTeam],Table2[[#This Row],[Team]], Table1[GameIsOver],1)</f>
        <v>0</v>
      </c>
      <c r="G4">
        <f>COUNTIFS(Table1[HomeTeam],Table2[[#This Row],[Team]], Table1[GameIsOver],1)</f>
        <v>2</v>
      </c>
      <c r="H4">
        <f>Table2[[#This Row],[GP_A]]+Table2[[#This Row],[GP_H]]</f>
        <v>2</v>
      </c>
      <c r="I4">
        <f>84-Table2[[#This Row],[GP]]</f>
        <v>82</v>
      </c>
      <c r="J4">
        <f>COUNTIFS(Table1[AwayTeam], Table2[[#This Row],[Team]], Table1[GameIsOver], 1, Table1[AwayWon],1)</f>
        <v>0</v>
      </c>
      <c r="K4">
        <f>COUNTIFS(Table1[AwayTeam], Table2[[#This Row],[Team]], Table1[GameIsOver], 1, Table1[AwayWon],1, Table1[ActualResult], "REG")</f>
        <v>0</v>
      </c>
      <c r="L4">
        <f>COUNTIFS(Table1[AwayTeam], Table2[[#This Row],[Team]], Table1[GameIsOver], 1, Table1[AwayWon],1, Table1[ActualResult], "OT")</f>
        <v>0</v>
      </c>
      <c r="M4">
        <f>COUNTIFS(Table1[AwayTeam], Table2[[#This Row],[Team]], Table1[GameIsOver], 1, Table1[AwayWon],1, Table1[ActualResult], "SO")</f>
        <v>0</v>
      </c>
      <c r="N4">
        <f>COUNTIFS(Table1[AwayTeam], Table2[[#This Row],[Team]], Table1[GameIsOver], 1, Table1[AwayWon],0)</f>
        <v>0</v>
      </c>
      <c r="O4">
        <f>COUNTIFS(Table1[AwayTeam], Table2[[#This Row],[Team]], Table1[GameIsOver], 1, Table1[AwayWon],0, Table1[ActualResult], "REG")</f>
        <v>0</v>
      </c>
      <c r="P4">
        <f>COUNTIFS(Table1[AwayTeam], Table2[[#This Row],[Team]], Table1[GameIsOver], 1, Table1[AwayWon],0, Table1[ActualResult], "OT")</f>
        <v>0</v>
      </c>
      <c r="Q4">
        <f>COUNTIFS(Table1[AwayTeam], Table2[[#This Row],[Team]], Table1[GameIsOver], 1, Table1[AwayWon],0, Table1[ActualResult], "SO")</f>
        <v>0</v>
      </c>
      <c r="R4">
        <f>COUNTIFS(Table1[HomeTeam], Table2[[#This Row],[Team]], Table1[GameIsOver], 1, Table1[HomeWon],1)</f>
        <v>2</v>
      </c>
      <c r="S4">
        <f>COUNTIFS(Table1[HomeTeam], Table2[[#This Row],[Team]], Table1[GameIsOver], 1, Table1[HomeWon],1, Table1[ActualResult], "REG")</f>
        <v>0</v>
      </c>
      <c r="T4">
        <f>COUNTIFS(Table1[HomeTeam], Table2[[#This Row],[Team]], Table1[GameIsOver], 1, Table1[HomeWon],1, Table1[ActualResult], "OT")</f>
        <v>1</v>
      </c>
      <c r="U4">
        <f>COUNTIFS(Table1[HomeTeam], Table2[[#This Row],[Team]], Table1[GameIsOver], 1, Table1[HomeWon],1, Table1[ActualResult], "SO")</f>
        <v>1</v>
      </c>
      <c r="V4">
        <f>COUNTIFS(Table1[HomeTeam], Table2[[#This Row],[Team]], Table1[GameIsOver], 1, Table1[HomeWon],0)</f>
        <v>0</v>
      </c>
      <c r="W4">
        <f>COUNTIFS(Table1[HomeTeam], Table2[[#This Row],[Team]], Table1[GameIsOver], 1, Table1[HomeWon],0, Table1[ActualResult], "REG")</f>
        <v>0</v>
      </c>
      <c r="X4">
        <f>COUNTIFS(Table1[HomeTeam], Table2[[#This Row],[Team]], Table1[GameIsOver], 1, Table1[HomeWon],0, Table1[ActualResult], "OT")</f>
        <v>0</v>
      </c>
      <c r="Y4">
        <f>COUNTIFS(Table1[HomeTeam], Table2[[#This Row],[Team]], Table1[GameIsOver], 1, Table1[HomeWon],0, Table1[ActualResult], "SO")</f>
        <v>0</v>
      </c>
      <c r="Z4" s="50">
        <f>Table2[[#This Row],[W]]/MAX(1,Table2[[#This Row],[W]]+Table2[[#This Row],[L]])</f>
        <v>1</v>
      </c>
      <c r="AA4" s="43">
        <f>Table2[[#This Row],[W_A]]+Table2[[#This Row],[W_H]]</f>
        <v>2</v>
      </c>
      <c r="AB4" s="43">
        <f>Table2[[#This Row],[L_A]]+Table2[[#This Row],[L_H]]</f>
        <v>0</v>
      </c>
      <c r="AC4" s="43">
        <f>Table2[RW_A]+Table2[RW_H]</f>
        <v>0</v>
      </c>
      <c r="AD4" s="43">
        <f>Table2[RL_A]+Table2[RL_H]</f>
        <v>0</v>
      </c>
      <c r="AE4" s="43">
        <f>Table2[OTW_A]+Table2[OTW_H]</f>
        <v>1</v>
      </c>
      <c r="AF4" s="43">
        <f>Table2[OTL_A]+Table2[OTL_H]</f>
        <v>0</v>
      </c>
      <c r="AG4" s="43">
        <f>Table2[SOW_A]+Table2[SOW_H]</f>
        <v>1</v>
      </c>
      <c r="AH4" s="43">
        <f>Table2[SOL_A]+Table2[SOL_H]</f>
        <v>0</v>
      </c>
      <c r="AI4" s="43" t="str">
        <f>_xlfn.CONCAT(TEXT(Table2[[#This Row],[OTW]]+Table2[[#This Row],[SOW]], "0"), "-", TEXT(Table2[[#This Row],[OTL]]+Table2[[#This Row],[SOL]],"0"))</f>
        <v>2-0</v>
      </c>
      <c r="AJ4" s="43">
        <f>SUM(Table2[[#This Row],[OTW]],Table2[[#This Row],[OTL]],Table2[[#This Row],[SOW]],Table2[[#This Row],[SOL]])</f>
        <v>2</v>
      </c>
      <c r="AK4" s="50">
        <f>(Table2[[#This Row],[OTW]]+Table2[[#This Row],[SOW]])/IF(Table2[[#This Row],[Total_ExtraTimes]]=0,1,Table2[[#This Row],[Total_ExtraTimes]])</f>
        <v>1</v>
      </c>
      <c r="AL4" s="50">
        <f>Table2[[#This Row],[Total_ExtraTimes]]/MAX(1,Table2[[#This Row],[GP]])</f>
        <v>1</v>
      </c>
      <c r="AM4" s="43">
        <f>(2*(Table2[[#This Row],[W_A]]+Table2[[#This Row],[W_H]]))+Table2[[#This Row],[OTL_A]]+Table2[[#This Row],[SOL_A]]+Table2[[#This Row],[OTL_H]]+Table2[[#This Row],[SOL_H]]</f>
        <v>4</v>
      </c>
      <c r="AN4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4</v>
      </c>
      <c r="AO4" s="43">
        <f>Table2[[#This Row],[PTS]]/(2*Table2[[#This Row],[GP]])</f>
        <v>1</v>
      </c>
      <c r="AP4" s="43">
        <f>Table2[[#This Row],[PTS]]/(3*Table2[[#This Row],[GP]])</f>
        <v>0.66666666666666663</v>
      </c>
      <c r="AQ4" s="43">
        <f>(2*Table2[[#This Row],[GR]])+Table2[[#This Row],[PTS]]</f>
        <v>168</v>
      </c>
      <c r="AR4" s="43">
        <f>(3*Table2[[#This Row],[GR]])+Table2[[#This Row],[PTS]]</f>
        <v>250</v>
      </c>
      <c r="AS4" s="43">
        <f>Table2[[#This Row],[PTS]]+(2 * Table2[[#This Row],[GR]] * Table2[[#This Row],[PTS%]])</f>
        <v>168</v>
      </c>
      <c r="AT4" s="43">
        <f>Table2[[#This Row],[PTS]]+(3 * Table2[[#This Row],[GR]] * Table2[[#This Row],[PTS%]])</f>
        <v>250</v>
      </c>
      <c r="AU4" s="43" t="str">
        <f>_xlfn.CONCAT(TEXT(Table2[[#This Row],[W]], "0"), "-", TEXT(Table2[[#This Row],[RL]],"0"), "-", TEXT(Table2[[#This Row],[OTL]]+Table2[[#This Row],[SOL]], "0"))</f>
        <v>2-0-0</v>
      </c>
      <c r="AV4" s="43">
        <f>SUMIF(Table1[AwayTeam], Table2[[#This Row],[Team]], Table1[ActualAwayScore])</f>
        <v>0</v>
      </c>
      <c r="AW4" s="43">
        <f>SUMIF(Table1[AwayTeam], Table2[[#This Row],[Team]], Table1[ActualHomeScore])</f>
        <v>0</v>
      </c>
      <c r="AX4" s="43">
        <f>Table2[[#This Row],[GF_A]]-Table2[[#This Row],[GA_A]]</f>
        <v>0</v>
      </c>
      <c r="AY4" s="43">
        <f>SUMIF(Table1[HomeTeam], Table2[[#This Row],[Team]], Table1[ActualHomeScore])</f>
        <v>6</v>
      </c>
      <c r="AZ4" s="43">
        <f>SUMIF(Table1[HomeTeam], Table2[[#This Row],[Team]], Table1[ActualAwayScore])</f>
        <v>4</v>
      </c>
      <c r="BA4" s="43">
        <f>Table2[[#This Row],[GF_H]]-Table2[[#This Row],[GA_H]]</f>
        <v>2</v>
      </c>
      <c r="BB4" s="43">
        <f>SUMIFS(Table1[ActualAwayScore], Table1[AwayTeam], Table2[[#This Row],[Team]], Table1[AwayWon],1)+SUMIFS(Table1[ActualHomeScore], Table1[HomeTeam], Table2[[#This Row],[Team]], Table1[HomeWon],1)</f>
        <v>6</v>
      </c>
      <c r="BC4" s="43">
        <f>SUMIFS(Table1[ActualAwayScore], Table1[AwayTeam], Table2[[#This Row],[Team]], Table1[AwayWon],0) + SUMIFS(Table1[ActualHomeScore], Table1[HomeTeam], Table2[[#This Row],[Team]], Table1[HomeWon],0)</f>
        <v>0</v>
      </c>
      <c r="BD4" s="43">
        <f>Table2[[#This Row],[GF_W]]-Table2[[#This Row],[GF_L]]</f>
        <v>6</v>
      </c>
      <c r="BE4" s="43">
        <f>Table2[[#This Row],[GF_A]]+Table2[[#This Row],[GF_H]]</f>
        <v>6</v>
      </c>
      <c r="BF4" s="43">
        <f>Table2[[#This Row],[GA_A]]+Table2[[#This Row],[GA_H]]</f>
        <v>4</v>
      </c>
      <c r="BG4" s="43">
        <f>Table2[[#This Row],[GF]]-Table2[[#This Row],[GA]]</f>
        <v>2</v>
      </c>
      <c r="BH4" s="43">
        <f>Table2[[#This Row],[GF]]/Table2[[#This Row],[GP]]</f>
        <v>3</v>
      </c>
      <c r="BI4" s="43">
        <f>Table2[[#This Row],[GA]]/Table2[[#This Row],[GP]]</f>
        <v>2</v>
      </c>
      <c r="BJ4" s="43">
        <f>Table2[[#This Row],[GFPG]]-Table2[[#This Row],[GAPG]]</f>
        <v>1</v>
      </c>
      <c r="BK4" s="43" t="str">
        <f>_xlfn.CONCAT(TEXT(Table2[[#This Row],[W_A]], "0"), "-", TEXT(Table2[[#This Row],[RL_A]],"0"), "-", TEXT(Table2[[#This Row],[OTL_A]]+Table2[[#This Row],[SOL_A]], "0"))</f>
        <v>0-0-0</v>
      </c>
      <c r="BL4" s="43" t="str">
        <f>_xlfn.CONCAT(TEXT(Table2[[#This Row],[W_H]], "0"), "-", TEXT(Table2[[#This Row],[RL_H]],"0"), "-", TEXT(Table2[[#This Row],[OTL_H]]+Table2[[#This Row],[SOL_H]], "0"))</f>
        <v>2-0-0</v>
      </c>
    </row>
    <row r="5" spans="1:64" x14ac:dyDescent="0.25">
      <c r="A5" t="s">
        <v>39</v>
      </c>
      <c r="B5" t="s">
        <v>62</v>
      </c>
      <c r="C5" t="s">
        <v>66</v>
      </c>
      <c r="D5">
        <f>COUNTIFS(Table1[AwayTeam],Table2[[#This Row],[Team]],Table1[GameIsOver], 1, Table1[WatchedGame],1) + COUNTIFS(Table1[HomeTeam],Table2[[#This Row],[Team]],Table1[GameIsOver],1,Table1[WatchedGame],1)</f>
        <v>0</v>
      </c>
      <c r="F5">
        <f>COUNTIFS(Table1[AwayTeam],Table2[[#This Row],[Team]], Table1[GameIsOver],1)</f>
        <v>3</v>
      </c>
      <c r="G5">
        <f>COUNTIFS(Table1[HomeTeam],Table2[[#This Row],[Team]], Table1[GameIsOver],1)</f>
        <v>1</v>
      </c>
      <c r="H5">
        <f>Table2[[#This Row],[GP_A]]+Table2[[#This Row],[GP_H]]</f>
        <v>4</v>
      </c>
      <c r="I5">
        <f>84-Table2[[#This Row],[GP]]</f>
        <v>80</v>
      </c>
      <c r="J5">
        <f>COUNTIFS(Table1[AwayTeam], Table2[[#This Row],[Team]], Table1[GameIsOver], 1, Table1[AwayWon],1)</f>
        <v>1</v>
      </c>
      <c r="K5">
        <f>COUNTIFS(Table1[AwayTeam], Table2[[#This Row],[Team]], Table1[GameIsOver], 1, Table1[AwayWon],1, Table1[ActualResult], "REG")</f>
        <v>0</v>
      </c>
      <c r="L5">
        <f>COUNTIFS(Table1[AwayTeam], Table2[[#This Row],[Team]], Table1[GameIsOver], 1, Table1[AwayWon],1, Table1[ActualResult], "OT")</f>
        <v>1</v>
      </c>
      <c r="M5">
        <f>COUNTIFS(Table1[AwayTeam], Table2[[#This Row],[Team]], Table1[GameIsOver], 1, Table1[AwayWon],1, Table1[ActualResult], "SO")</f>
        <v>0</v>
      </c>
      <c r="N5">
        <f>COUNTIFS(Table1[AwayTeam], Table2[[#This Row],[Team]], Table1[GameIsOver], 1, Table1[AwayWon],0)</f>
        <v>2</v>
      </c>
      <c r="O5">
        <f>COUNTIFS(Table1[AwayTeam], Table2[[#This Row],[Team]], Table1[GameIsOver], 1, Table1[AwayWon],0, Table1[ActualResult], "REG")</f>
        <v>0</v>
      </c>
      <c r="P5">
        <f>COUNTIFS(Table1[AwayTeam], Table2[[#This Row],[Team]], Table1[GameIsOver], 1, Table1[AwayWon],0, Table1[ActualResult], "OT")</f>
        <v>1</v>
      </c>
      <c r="Q5">
        <f>COUNTIFS(Table1[AwayTeam], Table2[[#This Row],[Team]], Table1[GameIsOver], 1, Table1[AwayWon],0, Table1[ActualResult], "SO")</f>
        <v>1</v>
      </c>
      <c r="R5">
        <f>COUNTIFS(Table1[HomeTeam], Table2[[#This Row],[Team]], Table1[GameIsOver], 1, Table1[HomeWon],1)</f>
        <v>1</v>
      </c>
      <c r="S5">
        <f>COUNTIFS(Table1[HomeTeam], Table2[[#This Row],[Team]], Table1[GameIsOver], 1, Table1[HomeWon],1, Table1[ActualResult], "REG")</f>
        <v>1</v>
      </c>
      <c r="T5">
        <f>COUNTIFS(Table1[HomeTeam], Table2[[#This Row],[Team]], Table1[GameIsOver], 1, Table1[HomeWon],1, Table1[ActualResult], "OT")</f>
        <v>0</v>
      </c>
      <c r="U5">
        <f>COUNTIFS(Table1[HomeTeam], Table2[[#This Row],[Team]], Table1[GameIsOver], 1, Table1[HomeWon],1, Table1[ActualResult], "SO")</f>
        <v>0</v>
      </c>
      <c r="V5">
        <f>COUNTIFS(Table1[HomeTeam], Table2[[#This Row],[Team]], Table1[GameIsOver], 1, Table1[HomeWon],0)</f>
        <v>0</v>
      </c>
      <c r="W5">
        <f>COUNTIFS(Table1[HomeTeam], Table2[[#This Row],[Team]], Table1[GameIsOver], 1, Table1[HomeWon],0, Table1[ActualResult], "REG")</f>
        <v>0</v>
      </c>
      <c r="X5">
        <f>COUNTIFS(Table1[HomeTeam], Table2[[#This Row],[Team]], Table1[GameIsOver], 1, Table1[HomeWon],0, Table1[ActualResult], "OT")</f>
        <v>0</v>
      </c>
      <c r="Y5">
        <f>COUNTIFS(Table1[HomeTeam], Table2[[#This Row],[Team]], Table1[GameIsOver], 1, Table1[HomeWon],0, Table1[ActualResult], "SO")</f>
        <v>0</v>
      </c>
      <c r="Z5" s="50">
        <f>Table2[[#This Row],[W]]/MAX(1,Table2[[#This Row],[W]]+Table2[[#This Row],[L]])</f>
        <v>0.5</v>
      </c>
      <c r="AA5" s="43">
        <f>Table2[[#This Row],[W_A]]+Table2[[#This Row],[W_H]]</f>
        <v>2</v>
      </c>
      <c r="AB5" s="43">
        <f>Table2[[#This Row],[L_A]]+Table2[[#This Row],[L_H]]</f>
        <v>2</v>
      </c>
      <c r="AC5" s="43">
        <f>Table2[RW_A]+Table2[RW_H]</f>
        <v>1</v>
      </c>
      <c r="AD5" s="43">
        <f>Table2[RL_A]+Table2[RL_H]</f>
        <v>0</v>
      </c>
      <c r="AE5" s="43">
        <f>Table2[OTW_A]+Table2[OTW_H]</f>
        <v>1</v>
      </c>
      <c r="AF5" s="43">
        <f>Table2[OTL_A]+Table2[OTL_H]</f>
        <v>1</v>
      </c>
      <c r="AG5" s="43">
        <f>Table2[SOW_A]+Table2[SOW_H]</f>
        <v>0</v>
      </c>
      <c r="AH5" s="43">
        <f>Table2[SOL_A]+Table2[SOL_H]</f>
        <v>1</v>
      </c>
      <c r="AI5" s="43" t="str">
        <f>_xlfn.CONCAT(TEXT(Table2[[#This Row],[OTW]]+Table2[[#This Row],[SOW]], "0"), "-", TEXT(Table2[[#This Row],[OTL]]+Table2[[#This Row],[SOL]],"0"))</f>
        <v>1-2</v>
      </c>
      <c r="AJ5" s="43">
        <f>SUM(Table2[[#This Row],[OTW]],Table2[[#This Row],[OTL]],Table2[[#This Row],[SOW]],Table2[[#This Row],[SOL]])</f>
        <v>3</v>
      </c>
      <c r="AK5" s="50">
        <f>(Table2[[#This Row],[OTW]]+Table2[[#This Row],[SOW]])/IF(Table2[[#This Row],[Total_ExtraTimes]]=0,1,Table2[[#This Row],[Total_ExtraTimes]])</f>
        <v>0.33333333333333331</v>
      </c>
      <c r="AL5" s="50">
        <f>Table2[[#This Row],[Total_ExtraTimes]]/MAX(1,Table2[[#This Row],[GP]])</f>
        <v>0.75</v>
      </c>
      <c r="AM5" s="43">
        <f>(2*(Table2[[#This Row],[W_A]]+Table2[[#This Row],[W_H]]))+Table2[[#This Row],[OTL_A]]+Table2[[#This Row],[SOL_A]]+Table2[[#This Row],[OTL_H]]+Table2[[#This Row],[SOL_H]]</f>
        <v>6</v>
      </c>
      <c r="AN5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7</v>
      </c>
      <c r="AO5" s="43">
        <f>Table2[[#This Row],[PTS]]/(2*Table2[[#This Row],[GP]])</f>
        <v>0.75</v>
      </c>
      <c r="AP5" s="43">
        <f>Table2[[#This Row],[PTS]]/(3*Table2[[#This Row],[GP]])</f>
        <v>0.5</v>
      </c>
      <c r="AQ5" s="43">
        <f>(2*Table2[[#This Row],[GR]])+Table2[[#This Row],[PTS]]</f>
        <v>166</v>
      </c>
      <c r="AR5" s="43">
        <f>(3*Table2[[#This Row],[GR]])+Table2[[#This Row],[PTS]]</f>
        <v>246</v>
      </c>
      <c r="AS5" s="43">
        <f>Table2[[#This Row],[PTS]]+(2 * Table2[[#This Row],[GR]] * Table2[[#This Row],[PTS%]])</f>
        <v>126</v>
      </c>
      <c r="AT5" s="43">
        <f>Table2[[#This Row],[PTS]]+(3 * Table2[[#This Row],[GR]] * Table2[[#This Row],[PTS%]])</f>
        <v>186</v>
      </c>
      <c r="AU5" s="43" t="str">
        <f>_xlfn.CONCAT(TEXT(Table2[[#This Row],[W]], "0"), "-", TEXT(Table2[[#This Row],[RL]],"0"), "-", TEXT(Table2[[#This Row],[OTL]]+Table2[[#This Row],[SOL]], "0"))</f>
        <v>2-0-2</v>
      </c>
      <c r="AV5" s="43">
        <f>SUMIF(Table1[AwayTeam], Table2[[#This Row],[Team]], Table1[ActualAwayScore])</f>
        <v>11</v>
      </c>
      <c r="AW5" s="43">
        <f>SUMIF(Table1[AwayTeam], Table2[[#This Row],[Team]], Table1[ActualHomeScore])</f>
        <v>12</v>
      </c>
      <c r="AX5" s="43">
        <f>Table2[[#This Row],[GF_A]]-Table2[[#This Row],[GA_A]]</f>
        <v>-1</v>
      </c>
      <c r="AY5" s="43">
        <f>SUMIF(Table1[HomeTeam], Table2[[#This Row],[Team]], Table1[ActualHomeScore])</f>
        <v>4</v>
      </c>
      <c r="AZ5" s="43">
        <f>SUMIF(Table1[HomeTeam], Table2[[#This Row],[Team]], Table1[ActualAwayScore])</f>
        <v>3</v>
      </c>
      <c r="BA5" s="43">
        <f>Table2[[#This Row],[GF_H]]-Table2[[#This Row],[GA_H]]</f>
        <v>1</v>
      </c>
      <c r="BB5" s="43">
        <f>SUMIFS(Table1[ActualAwayScore], Table1[AwayTeam], Table2[[#This Row],[Team]], Table1[AwayWon],1)+SUMIFS(Table1[ActualHomeScore], Table1[HomeTeam], Table2[[#This Row],[Team]], Table1[HomeWon],1)</f>
        <v>8</v>
      </c>
      <c r="BC5" s="43">
        <f>SUMIFS(Table1[ActualAwayScore], Table1[AwayTeam], Table2[[#This Row],[Team]], Table1[AwayWon],0) + SUMIFS(Table1[ActualHomeScore], Table1[HomeTeam], Table2[[#This Row],[Team]], Table1[HomeWon],0)</f>
        <v>7</v>
      </c>
      <c r="BD5" s="43">
        <f>Table2[[#This Row],[GF_W]]-Table2[[#This Row],[GF_L]]</f>
        <v>1</v>
      </c>
      <c r="BE5" s="43">
        <f>Table2[[#This Row],[GF_A]]+Table2[[#This Row],[GF_H]]</f>
        <v>15</v>
      </c>
      <c r="BF5" s="43">
        <f>Table2[[#This Row],[GA_A]]+Table2[[#This Row],[GA_H]]</f>
        <v>15</v>
      </c>
      <c r="BG5" s="43">
        <f>Table2[[#This Row],[GF]]-Table2[[#This Row],[GA]]</f>
        <v>0</v>
      </c>
      <c r="BH5" s="43">
        <f>Table2[[#This Row],[GF]]/Table2[[#This Row],[GP]]</f>
        <v>3.75</v>
      </c>
      <c r="BI5" s="43">
        <f>Table2[[#This Row],[GA]]/Table2[[#This Row],[GP]]</f>
        <v>3.75</v>
      </c>
      <c r="BJ5" s="43">
        <f>Table2[[#This Row],[GFPG]]-Table2[[#This Row],[GAPG]]</f>
        <v>0</v>
      </c>
      <c r="BK5" s="43" t="str">
        <f>_xlfn.CONCAT(TEXT(Table2[[#This Row],[W_A]], "0"), "-", TEXT(Table2[[#This Row],[RL_A]],"0"), "-", TEXT(Table2[[#This Row],[OTL_A]]+Table2[[#This Row],[SOL_A]], "0"))</f>
        <v>1-0-2</v>
      </c>
      <c r="BL5" s="43" t="str">
        <f>_xlfn.CONCAT(TEXT(Table2[[#This Row],[W_H]], "0"), "-", TEXT(Table2[[#This Row],[RL_H]],"0"), "-", TEXT(Table2[[#This Row],[OTL_H]]+Table2[[#This Row],[SOL_H]], "0"))</f>
        <v>1-0-0</v>
      </c>
    </row>
    <row r="6" spans="1:64" x14ac:dyDescent="0.25">
      <c r="A6" t="s">
        <v>40</v>
      </c>
      <c r="B6" t="s">
        <v>63</v>
      </c>
      <c r="C6" t="s">
        <v>65</v>
      </c>
      <c r="D6">
        <f>COUNTIFS(Table1[AwayTeam],Table2[[#This Row],[Team]],Table1[GameIsOver], 1, Table1[WatchedGame],1) + COUNTIFS(Table1[HomeTeam],Table2[[#This Row],[Team]],Table1[GameIsOver],1,Table1[WatchedGame],1)</f>
        <v>0</v>
      </c>
      <c r="F6">
        <f>COUNTIFS(Table1[AwayTeam],Table2[[#This Row],[Team]], Table1[GameIsOver],1)</f>
        <v>0</v>
      </c>
      <c r="G6">
        <f>COUNTIFS(Table1[HomeTeam],Table2[[#This Row],[Team]], Table1[GameIsOver],1)</f>
        <v>1</v>
      </c>
      <c r="H6">
        <f>Table2[[#This Row],[GP_A]]+Table2[[#This Row],[GP_H]]</f>
        <v>1</v>
      </c>
      <c r="I6">
        <f>84-Table2[[#This Row],[GP]]</f>
        <v>83</v>
      </c>
      <c r="J6">
        <f>COUNTIFS(Table1[AwayTeam], Table2[[#This Row],[Team]], Table1[GameIsOver], 1, Table1[AwayWon],1)</f>
        <v>0</v>
      </c>
      <c r="K6">
        <f>COUNTIFS(Table1[AwayTeam], Table2[[#This Row],[Team]], Table1[GameIsOver], 1, Table1[AwayWon],1, Table1[ActualResult], "REG")</f>
        <v>0</v>
      </c>
      <c r="L6">
        <f>COUNTIFS(Table1[AwayTeam], Table2[[#This Row],[Team]], Table1[GameIsOver], 1, Table1[AwayWon],1, Table1[ActualResult], "OT")</f>
        <v>0</v>
      </c>
      <c r="M6">
        <f>COUNTIFS(Table1[AwayTeam], Table2[[#This Row],[Team]], Table1[GameIsOver], 1, Table1[AwayWon],1, Table1[ActualResult], "SO")</f>
        <v>0</v>
      </c>
      <c r="N6">
        <f>COUNTIFS(Table1[AwayTeam], Table2[[#This Row],[Team]], Table1[GameIsOver], 1, Table1[AwayWon],0)</f>
        <v>0</v>
      </c>
      <c r="O6">
        <f>COUNTIFS(Table1[AwayTeam], Table2[[#This Row],[Team]], Table1[GameIsOver], 1, Table1[AwayWon],0, Table1[ActualResult], "REG")</f>
        <v>0</v>
      </c>
      <c r="P6">
        <f>COUNTIFS(Table1[AwayTeam], Table2[[#This Row],[Team]], Table1[GameIsOver], 1, Table1[AwayWon],0, Table1[ActualResult], "OT")</f>
        <v>0</v>
      </c>
      <c r="Q6">
        <f>COUNTIFS(Table1[AwayTeam], Table2[[#This Row],[Team]], Table1[GameIsOver], 1, Table1[AwayWon],0, Table1[ActualResult], "SO")</f>
        <v>0</v>
      </c>
      <c r="R6">
        <f>COUNTIFS(Table1[HomeTeam], Table2[[#This Row],[Team]], Table1[GameIsOver], 1, Table1[HomeWon],1)</f>
        <v>1</v>
      </c>
      <c r="S6">
        <f>COUNTIFS(Table1[HomeTeam], Table2[[#This Row],[Team]], Table1[GameIsOver], 1, Table1[HomeWon],1, Table1[ActualResult], "REG")</f>
        <v>0</v>
      </c>
      <c r="T6">
        <f>COUNTIFS(Table1[HomeTeam], Table2[[#This Row],[Team]], Table1[GameIsOver], 1, Table1[HomeWon],1, Table1[ActualResult], "OT")</f>
        <v>0</v>
      </c>
      <c r="U6">
        <f>COUNTIFS(Table1[HomeTeam], Table2[[#This Row],[Team]], Table1[GameIsOver], 1, Table1[HomeWon],1, Table1[ActualResult], "SO")</f>
        <v>1</v>
      </c>
      <c r="V6">
        <f>COUNTIFS(Table1[HomeTeam], Table2[[#This Row],[Team]], Table1[GameIsOver], 1, Table1[HomeWon],0)</f>
        <v>0</v>
      </c>
      <c r="W6">
        <f>COUNTIFS(Table1[HomeTeam], Table2[[#This Row],[Team]], Table1[GameIsOver], 1, Table1[HomeWon],0, Table1[ActualResult], "REG")</f>
        <v>0</v>
      </c>
      <c r="X6">
        <f>COUNTIFS(Table1[HomeTeam], Table2[[#This Row],[Team]], Table1[GameIsOver], 1, Table1[HomeWon],0, Table1[ActualResult], "OT")</f>
        <v>0</v>
      </c>
      <c r="Y6">
        <f>COUNTIFS(Table1[HomeTeam], Table2[[#This Row],[Team]], Table1[GameIsOver], 1, Table1[HomeWon],0, Table1[ActualResult], "SO")</f>
        <v>0</v>
      </c>
      <c r="Z6" s="50">
        <f>Table2[[#This Row],[W]]/MAX(1,Table2[[#This Row],[W]]+Table2[[#This Row],[L]])</f>
        <v>1</v>
      </c>
      <c r="AA6" s="43">
        <f>Table2[[#This Row],[W_A]]+Table2[[#This Row],[W_H]]</f>
        <v>1</v>
      </c>
      <c r="AB6" s="43">
        <f>Table2[[#This Row],[L_A]]+Table2[[#This Row],[L_H]]</f>
        <v>0</v>
      </c>
      <c r="AC6" s="43">
        <f>Table2[RW_A]+Table2[RW_H]</f>
        <v>0</v>
      </c>
      <c r="AD6" s="43">
        <f>Table2[RL_A]+Table2[RL_H]</f>
        <v>0</v>
      </c>
      <c r="AE6" s="43">
        <f>Table2[OTW_A]+Table2[OTW_H]</f>
        <v>0</v>
      </c>
      <c r="AF6" s="43">
        <f>Table2[OTL_A]+Table2[OTL_H]</f>
        <v>0</v>
      </c>
      <c r="AG6" s="43">
        <f>Table2[SOW_A]+Table2[SOW_H]</f>
        <v>1</v>
      </c>
      <c r="AH6" s="43">
        <f>Table2[SOL_A]+Table2[SOL_H]</f>
        <v>0</v>
      </c>
      <c r="AI6" s="43" t="str">
        <f>_xlfn.CONCAT(TEXT(Table2[[#This Row],[OTW]]+Table2[[#This Row],[SOW]], "0"), "-", TEXT(Table2[[#This Row],[OTL]]+Table2[[#This Row],[SOL]],"0"))</f>
        <v>1-0</v>
      </c>
      <c r="AJ6" s="43">
        <f>SUM(Table2[[#This Row],[OTW]],Table2[[#This Row],[OTL]],Table2[[#This Row],[SOW]],Table2[[#This Row],[SOL]])</f>
        <v>1</v>
      </c>
      <c r="AK6" s="50">
        <f>(Table2[[#This Row],[OTW]]+Table2[[#This Row],[SOW]])/IF(Table2[[#This Row],[Total_ExtraTimes]]=0,1,Table2[[#This Row],[Total_ExtraTimes]])</f>
        <v>1</v>
      </c>
      <c r="AL6" s="50">
        <f>Table2[[#This Row],[Total_ExtraTimes]]/MAX(1,Table2[[#This Row],[GP]])</f>
        <v>1</v>
      </c>
      <c r="AM6" s="43">
        <f>(2*(Table2[[#This Row],[W_A]]+Table2[[#This Row],[W_H]]))+Table2[[#This Row],[OTL_A]]+Table2[[#This Row],[SOL_A]]+Table2[[#This Row],[OTL_H]]+Table2[[#This Row],[SOL_H]]</f>
        <v>2</v>
      </c>
      <c r="AN6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6" s="43">
        <f>Table2[[#This Row],[PTS]]/(2*Table2[[#This Row],[GP]])</f>
        <v>1</v>
      </c>
      <c r="AP6" s="43">
        <f>Table2[[#This Row],[PTS]]/(3*Table2[[#This Row],[GP]])</f>
        <v>0.66666666666666663</v>
      </c>
      <c r="AQ6" s="43">
        <f>(2*Table2[[#This Row],[GR]])+Table2[[#This Row],[PTS]]</f>
        <v>168</v>
      </c>
      <c r="AR6" s="43">
        <f>(3*Table2[[#This Row],[GR]])+Table2[[#This Row],[PTS]]</f>
        <v>251</v>
      </c>
      <c r="AS6" s="43">
        <f>Table2[[#This Row],[PTS]]+(2 * Table2[[#This Row],[GR]] * Table2[[#This Row],[PTS%]])</f>
        <v>168</v>
      </c>
      <c r="AT6" s="43">
        <f>Table2[[#This Row],[PTS]]+(3 * Table2[[#This Row],[GR]] * Table2[[#This Row],[PTS%]])</f>
        <v>251</v>
      </c>
      <c r="AU6" s="43" t="str">
        <f>_xlfn.CONCAT(TEXT(Table2[[#This Row],[W]], "0"), "-", TEXT(Table2[[#This Row],[RL]],"0"), "-", TEXT(Table2[[#This Row],[OTL]]+Table2[[#This Row],[SOL]], "0"))</f>
        <v>1-0-0</v>
      </c>
      <c r="AV6" s="43">
        <f>SUMIF(Table1[AwayTeam], Table2[[#This Row],[Team]], Table1[ActualAwayScore])</f>
        <v>0</v>
      </c>
      <c r="AW6" s="43">
        <f>SUMIF(Table1[AwayTeam], Table2[[#This Row],[Team]], Table1[ActualHomeScore])</f>
        <v>0</v>
      </c>
      <c r="AX6" s="43">
        <f>Table2[[#This Row],[GF_A]]-Table2[[#This Row],[GA_A]]</f>
        <v>0</v>
      </c>
      <c r="AY6" s="43">
        <f>SUMIF(Table1[HomeTeam], Table2[[#This Row],[Team]], Table1[ActualHomeScore])</f>
        <v>3</v>
      </c>
      <c r="AZ6" s="43">
        <f>SUMIF(Table1[HomeTeam], Table2[[#This Row],[Team]], Table1[ActualAwayScore])</f>
        <v>2</v>
      </c>
      <c r="BA6" s="43">
        <f>Table2[[#This Row],[GF_H]]-Table2[[#This Row],[GA_H]]</f>
        <v>1</v>
      </c>
      <c r="BB6" s="43">
        <f>SUMIFS(Table1[ActualAwayScore], Table1[AwayTeam], Table2[[#This Row],[Team]], Table1[AwayWon],1)+SUMIFS(Table1[ActualHomeScore], Table1[HomeTeam], Table2[[#This Row],[Team]], Table1[HomeWon],1)</f>
        <v>3</v>
      </c>
      <c r="BC6" s="43">
        <f>SUMIFS(Table1[ActualAwayScore], Table1[AwayTeam], Table2[[#This Row],[Team]], Table1[AwayWon],0) + SUMIFS(Table1[ActualHomeScore], Table1[HomeTeam], Table2[[#This Row],[Team]], Table1[HomeWon],0)</f>
        <v>0</v>
      </c>
      <c r="BD6" s="43">
        <f>Table2[[#This Row],[GF_W]]-Table2[[#This Row],[GF_L]]</f>
        <v>3</v>
      </c>
      <c r="BE6" s="43">
        <f>Table2[[#This Row],[GF_A]]+Table2[[#This Row],[GF_H]]</f>
        <v>3</v>
      </c>
      <c r="BF6" s="43">
        <f>Table2[[#This Row],[GA_A]]+Table2[[#This Row],[GA_H]]</f>
        <v>2</v>
      </c>
      <c r="BG6" s="43">
        <f>Table2[[#This Row],[GF]]-Table2[[#This Row],[GA]]</f>
        <v>1</v>
      </c>
      <c r="BH6" s="43">
        <f>Table2[[#This Row],[GF]]/Table2[[#This Row],[GP]]</f>
        <v>3</v>
      </c>
      <c r="BI6" s="43">
        <f>Table2[[#This Row],[GA]]/Table2[[#This Row],[GP]]</f>
        <v>2</v>
      </c>
      <c r="BJ6" s="43">
        <f>Table2[[#This Row],[GFPG]]-Table2[[#This Row],[GAPG]]</f>
        <v>1</v>
      </c>
      <c r="BK6" s="43" t="str">
        <f>_xlfn.CONCAT(TEXT(Table2[[#This Row],[W_A]], "0"), "-", TEXT(Table2[[#This Row],[RL_A]],"0"), "-", TEXT(Table2[[#This Row],[OTL_A]]+Table2[[#This Row],[SOL_A]], "0"))</f>
        <v>0-0-0</v>
      </c>
      <c r="BL6" s="43" t="str">
        <f>_xlfn.CONCAT(TEXT(Table2[[#This Row],[W_H]], "0"), "-", TEXT(Table2[[#This Row],[RL_H]],"0"), "-", TEXT(Table2[[#This Row],[OTL_H]]+Table2[[#This Row],[SOL_H]], "0"))</f>
        <v>1-0-0</v>
      </c>
    </row>
    <row r="7" spans="1:64" x14ac:dyDescent="0.25">
      <c r="A7" t="s">
        <v>16</v>
      </c>
      <c r="B7" t="s">
        <v>62</v>
      </c>
      <c r="C7" t="s">
        <v>64</v>
      </c>
      <c r="D7">
        <f>COUNTIFS(Table1[AwayTeam],Table2[[#This Row],[Team]],Table1[GameIsOver], 1, Table1[WatchedGame],1) + COUNTIFS(Table1[HomeTeam],Table2[[#This Row],[Team]],Table1[GameIsOver],1,Table1[WatchedGame],1)</f>
        <v>1</v>
      </c>
      <c r="F7">
        <f>COUNTIFS(Table1[AwayTeam],Table2[[#This Row],[Team]], Table1[GameIsOver],1)</f>
        <v>1</v>
      </c>
      <c r="G7">
        <f>COUNTIFS(Table1[HomeTeam],Table2[[#This Row],[Team]], Table1[GameIsOver],1)</f>
        <v>0</v>
      </c>
      <c r="H7">
        <f>Table2[[#This Row],[GP_A]]+Table2[[#This Row],[GP_H]]</f>
        <v>1</v>
      </c>
      <c r="I7">
        <f>84-Table2[[#This Row],[GP]]</f>
        <v>83</v>
      </c>
      <c r="J7">
        <f>COUNTIFS(Table1[AwayTeam], Table2[[#This Row],[Team]], Table1[GameIsOver], 1, Table1[AwayWon],1)</f>
        <v>1</v>
      </c>
      <c r="K7">
        <f>COUNTIFS(Table1[AwayTeam], Table2[[#This Row],[Team]], Table1[GameIsOver], 1, Table1[AwayWon],1, Table1[ActualResult], "REG")</f>
        <v>1</v>
      </c>
      <c r="L7">
        <f>COUNTIFS(Table1[AwayTeam], Table2[[#This Row],[Team]], Table1[GameIsOver], 1, Table1[AwayWon],1, Table1[ActualResult], "OT")</f>
        <v>0</v>
      </c>
      <c r="M7">
        <f>COUNTIFS(Table1[AwayTeam], Table2[[#This Row],[Team]], Table1[GameIsOver], 1, Table1[AwayWon],1, Table1[ActualResult], "SO")</f>
        <v>0</v>
      </c>
      <c r="N7">
        <f>COUNTIFS(Table1[AwayTeam], Table2[[#This Row],[Team]], Table1[GameIsOver], 1, Table1[AwayWon],0)</f>
        <v>0</v>
      </c>
      <c r="O7">
        <f>COUNTIFS(Table1[AwayTeam], Table2[[#This Row],[Team]], Table1[GameIsOver], 1, Table1[AwayWon],0, Table1[ActualResult], "REG")</f>
        <v>0</v>
      </c>
      <c r="P7">
        <f>COUNTIFS(Table1[AwayTeam], Table2[[#This Row],[Team]], Table1[GameIsOver], 1, Table1[AwayWon],0, Table1[ActualResult], "OT")</f>
        <v>0</v>
      </c>
      <c r="Q7">
        <f>COUNTIFS(Table1[AwayTeam], Table2[[#This Row],[Team]], Table1[GameIsOver], 1, Table1[AwayWon],0, Table1[ActualResult], "SO")</f>
        <v>0</v>
      </c>
      <c r="R7">
        <f>COUNTIFS(Table1[HomeTeam], Table2[[#This Row],[Team]], Table1[GameIsOver], 1, Table1[HomeWon],1)</f>
        <v>0</v>
      </c>
      <c r="S7">
        <f>COUNTIFS(Table1[HomeTeam], Table2[[#This Row],[Team]], Table1[GameIsOver], 1, Table1[HomeWon],1, Table1[ActualResult], "REG")</f>
        <v>0</v>
      </c>
      <c r="T7">
        <f>COUNTIFS(Table1[HomeTeam], Table2[[#This Row],[Team]], Table1[GameIsOver], 1, Table1[HomeWon],1, Table1[ActualResult], "OT")</f>
        <v>0</v>
      </c>
      <c r="U7">
        <f>COUNTIFS(Table1[HomeTeam], Table2[[#This Row],[Team]], Table1[GameIsOver], 1, Table1[HomeWon],1, Table1[ActualResult], "SO")</f>
        <v>0</v>
      </c>
      <c r="V7">
        <f>COUNTIFS(Table1[HomeTeam], Table2[[#This Row],[Team]], Table1[GameIsOver], 1, Table1[HomeWon],0)</f>
        <v>0</v>
      </c>
      <c r="W7">
        <f>COUNTIFS(Table1[HomeTeam], Table2[[#This Row],[Team]], Table1[GameIsOver], 1, Table1[HomeWon],0, Table1[ActualResult], "REG")</f>
        <v>0</v>
      </c>
      <c r="X7">
        <f>COUNTIFS(Table1[HomeTeam], Table2[[#This Row],[Team]], Table1[GameIsOver], 1, Table1[HomeWon],0, Table1[ActualResult], "OT")</f>
        <v>0</v>
      </c>
      <c r="Y7">
        <f>COUNTIFS(Table1[HomeTeam], Table2[[#This Row],[Team]], Table1[GameIsOver], 1, Table1[HomeWon],0, Table1[ActualResult], "SO")</f>
        <v>0</v>
      </c>
      <c r="Z7" s="50">
        <f>Table2[[#This Row],[W]]/MAX(1,Table2[[#This Row],[W]]+Table2[[#This Row],[L]])</f>
        <v>1</v>
      </c>
      <c r="AA7" s="43">
        <f>Table2[[#This Row],[W_A]]+Table2[[#This Row],[W_H]]</f>
        <v>1</v>
      </c>
      <c r="AB7" s="43">
        <f>Table2[[#This Row],[L_A]]+Table2[[#This Row],[L_H]]</f>
        <v>0</v>
      </c>
      <c r="AC7" s="43">
        <f>Table2[RW_A]+Table2[RW_H]</f>
        <v>1</v>
      </c>
      <c r="AD7" s="43">
        <f>Table2[RL_A]+Table2[RL_H]</f>
        <v>0</v>
      </c>
      <c r="AE7" s="43">
        <f>Table2[OTW_A]+Table2[OTW_H]</f>
        <v>0</v>
      </c>
      <c r="AF7" s="43">
        <f>Table2[OTL_A]+Table2[OTL_H]</f>
        <v>0</v>
      </c>
      <c r="AG7" s="43">
        <f>Table2[SOW_A]+Table2[SOW_H]</f>
        <v>0</v>
      </c>
      <c r="AH7" s="43">
        <f>Table2[SOL_A]+Table2[SOL_H]</f>
        <v>0</v>
      </c>
      <c r="AI7" s="43" t="str">
        <f>_xlfn.CONCAT(TEXT(Table2[[#This Row],[OTW]]+Table2[[#This Row],[SOW]], "0"), "-", TEXT(Table2[[#This Row],[OTL]]+Table2[[#This Row],[SOL]],"0"))</f>
        <v>0-0</v>
      </c>
      <c r="AJ7" s="43">
        <f>SUM(Table2[[#This Row],[OTW]],Table2[[#This Row],[OTL]],Table2[[#This Row],[SOW]],Table2[[#This Row],[SOL]])</f>
        <v>0</v>
      </c>
      <c r="AK7" s="50">
        <f>(Table2[[#This Row],[OTW]]+Table2[[#This Row],[SOW]])/IF(Table2[[#This Row],[Total_ExtraTimes]]=0,1,Table2[[#This Row],[Total_ExtraTimes]])</f>
        <v>0</v>
      </c>
      <c r="AL7" s="50">
        <f>Table2[[#This Row],[Total_ExtraTimes]]/MAX(1,Table2[[#This Row],[GP]])</f>
        <v>0</v>
      </c>
      <c r="AM7" s="43">
        <f>(2*(Table2[[#This Row],[W_A]]+Table2[[#This Row],[W_H]]))+Table2[[#This Row],[OTL_A]]+Table2[[#This Row],[SOL_A]]+Table2[[#This Row],[OTL_H]]+Table2[[#This Row],[SOL_H]]</f>
        <v>2</v>
      </c>
      <c r="AN7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7" s="43">
        <f>Table2[[#This Row],[PTS]]/(2*Table2[[#This Row],[GP]])</f>
        <v>1</v>
      </c>
      <c r="AP7" s="43">
        <f>Table2[[#This Row],[PTS]]/(3*Table2[[#This Row],[GP]])</f>
        <v>0.66666666666666663</v>
      </c>
      <c r="AQ7" s="43">
        <f>(2*Table2[[#This Row],[GR]])+Table2[[#This Row],[PTS]]</f>
        <v>168</v>
      </c>
      <c r="AR7" s="43">
        <f>(3*Table2[[#This Row],[GR]])+Table2[[#This Row],[PTS]]</f>
        <v>251</v>
      </c>
      <c r="AS7" s="43">
        <f>Table2[[#This Row],[PTS]]+(2 * Table2[[#This Row],[GR]] * Table2[[#This Row],[PTS%]])</f>
        <v>168</v>
      </c>
      <c r="AT7" s="43">
        <f>Table2[[#This Row],[PTS]]+(3 * Table2[[#This Row],[GR]] * Table2[[#This Row],[PTS%]])</f>
        <v>251</v>
      </c>
      <c r="AU7" s="43" t="str">
        <f>_xlfn.CONCAT(TEXT(Table2[[#This Row],[W]], "0"), "-", TEXT(Table2[[#This Row],[RL]],"0"), "-", TEXT(Table2[[#This Row],[OTL]]+Table2[[#This Row],[SOL]], "0"))</f>
        <v>1-0-0</v>
      </c>
      <c r="AV7" s="43">
        <f>SUMIF(Table1[AwayTeam], Table2[[#This Row],[Team]], Table1[ActualAwayScore])</f>
        <v>6</v>
      </c>
      <c r="AW7" s="43">
        <f>SUMIF(Table1[AwayTeam], Table2[[#This Row],[Team]], Table1[ActualHomeScore])</f>
        <v>3</v>
      </c>
      <c r="AX7" s="43">
        <f>Table2[[#This Row],[GF_A]]-Table2[[#This Row],[GA_A]]</f>
        <v>3</v>
      </c>
      <c r="AY7" s="43">
        <f>SUMIF(Table1[HomeTeam], Table2[[#This Row],[Team]], Table1[ActualHomeScore])</f>
        <v>0</v>
      </c>
      <c r="AZ7" s="43">
        <f>SUMIF(Table1[HomeTeam], Table2[[#This Row],[Team]], Table1[ActualAwayScore])</f>
        <v>0</v>
      </c>
      <c r="BA7" s="43">
        <f>Table2[[#This Row],[GF_H]]-Table2[[#This Row],[GA_H]]</f>
        <v>0</v>
      </c>
      <c r="BB7" s="43">
        <f>SUMIFS(Table1[ActualAwayScore], Table1[AwayTeam], Table2[[#This Row],[Team]], Table1[AwayWon],1)+SUMIFS(Table1[ActualHomeScore], Table1[HomeTeam], Table2[[#This Row],[Team]], Table1[HomeWon],1)</f>
        <v>6</v>
      </c>
      <c r="BC7" s="43">
        <f>SUMIFS(Table1[ActualAwayScore], Table1[AwayTeam], Table2[[#This Row],[Team]], Table1[AwayWon],0) + SUMIFS(Table1[ActualHomeScore], Table1[HomeTeam], Table2[[#This Row],[Team]], Table1[HomeWon],0)</f>
        <v>0</v>
      </c>
      <c r="BD7" s="43">
        <f>Table2[[#This Row],[GF_W]]-Table2[[#This Row],[GF_L]]</f>
        <v>6</v>
      </c>
      <c r="BE7" s="43">
        <f>Table2[[#This Row],[GF_A]]+Table2[[#This Row],[GF_H]]</f>
        <v>6</v>
      </c>
      <c r="BF7" s="43">
        <f>Table2[[#This Row],[GA_A]]+Table2[[#This Row],[GA_H]]</f>
        <v>3</v>
      </c>
      <c r="BG7" s="43">
        <f>Table2[[#This Row],[GF]]-Table2[[#This Row],[GA]]</f>
        <v>3</v>
      </c>
      <c r="BH7" s="43">
        <f>Table2[[#This Row],[GF]]/Table2[[#This Row],[GP]]</f>
        <v>6</v>
      </c>
      <c r="BI7" s="43">
        <f>Table2[[#This Row],[GA]]/Table2[[#This Row],[GP]]</f>
        <v>3</v>
      </c>
      <c r="BJ7" s="43">
        <f>Table2[[#This Row],[GFPG]]-Table2[[#This Row],[GAPG]]</f>
        <v>3</v>
      </c>
      <c r="BK7" s="43" t="str">
        <f>_xlfn.CONCAT(TEXT(Table2[[#This Row],[W_A]], "0"), "-", TEXT(Table2[[#This Row],[RL_A]],"0"), "-", TEXT(Table2[[#This Row],[OTL_A]]+Table2[[#This Row],[SOL_A]], "0"))</f>
        <v>1-0-0</v>
      </c>
      <c r="BL7" s="43" t="str">
        <f>_xlfn.CONCAT(TEXT(Table2[[#This Row],[W_H]], "0"), "-", TEXT(Table2[[#This Row],[RL_H]],"0"), "-", TEXT(Table2[[#This Row],[OTL_H]]+Table2[[#This Row],[SOL_H]], "0"))</f>
        <v>0-0-0</v>
      </c>
    </row>
    <row r="8" spans="1:64" x14ac:dyDescent="0.25">
      <c r="A8" t="s">
        <v>41</v>
      </c>
      <c r="B8" t="s">
        <v>62</v>
      </c>
      <c r="C8" t="s">
        <v>64</v>
      </c>
      <c r="D8">
        <f>COUNTIFS(Table1[AwayTeam],Table2[[#This Row],[Team]],Table1[GameIsOver], 1, Table1[WatchedGame],1) + COUNTIFS(Table1[HomeTeam],Table2[[#This Row],[Team]],Table1[GameIsOver],1,Table1[WatchedGame],1)</f>
        <v>0</v>
      </c>
      <c r="F8">
        <f>COUNTIFS(Table1[AwayTeam],Table2[[#This Row],[Team]], Table1[GameIsOver],1)</f>
        <v>0</v>
      </c>
      <c r="G8">
        <f>COUNTIFS(Table1[HomeTeam],Table2[[#This Row],[Team]], Table1[GameIsOver],1)</f>
        <v>1</v>
      </c>
      <c r="H8">
        <f>Table2[[#This Row],[GP_A]]+Table2[[#This Row],[GP_H]]</f>
        <v>1</v>
      </c>
      <c r="I8">
        <f>84-Table2[[#This Row],[GP]]</f>
        <v>83</v>
      </c>
      <c r="J8">
        <f>COUNTIFS(Table1[AwayTeam], Table2[[#This Row],[Team]], Table1[GameIsOver], 1, Table1[AwayWon],1)</f>
        <v>0</v>
      </c>
      <c r="K8">
        <f>COUNTIFS(Table1[AwayTeam], Table2[[#This Row],[Team]], Table1[GameIsOver], 1, Table1[AwayWon],1, Table1[ActualResult], "REG")</f>
        <v>0</v>
      </c>
      <c r="L8">
        <f>COUNTIFS(Table1[AwayTeam], Table2[[#This Row],[Team]], Table1[GameIsOver], 1, Table1[AwayWon],1, Table1[ActualResult], "OT")</f>
        <v>0</v>
      </c>
      <c r="M8">
        <f>COUNTIFS(Table1[AwayTeam], Table2[[#This Row],[Team]], Table1[GameIsOver], 1, Table1[AwayWon],1, Table1[ActualResult], "SO")</f>
        <v>0</v>
      </c>
      <c r="N8">
        <f>COUNTIFS(Table1[AwayTeam], Table2[[#This Row],[Team]], Table1[GameIsOver], 1, Table1[AwayWon],0)</f>
        <v>0</v>
      </c>
      <c r="O8">
        <f>COUNTIFS(Table1[AwayTeam], Table2[[#This Row],[Team]], Table1[GameIsOver], 1, Table1[AwayWon],0, Table1[ActualResult], "REG")</f>
        <v>0</v>
      </c>
      <c r="P8">
        <f>COUNTIFS(Table1[AwayTeam], Table2[[#This Row],[Team]], Table1[GameIsOver], 1, Table1[AwayWon],0, Table1[ActualResult], "OT")</f>
        <v>0</v>
      </c>
      <c r="Q8">
        <f>COUNTIFS(Table1[AwayTeam], Table2[[#This Row],[Team]], Table1[GameIsOver], 1, Table1[AwayWon],0, Table1[ActualResult], "SO")</f>
        <v>0</v>
      </c>
      <c r="R8">
        <f>COUNTIFS(Table1[HomeTeam], Table2[[#This Row],[Team]], Table1[GameIsOver], 1, Table1[HomeWon],1)</f>
        <v>0</v>
      </c>
      <c r="S8">
        <f>COUNTIFS(Table1[HomeTeam], Table2[[#This Row],[Team]], Table1[GameIsOver], 1, Table1[HomeWon],1, Table1[ActualResult], "REG")</f>
        <v>0</v>
      </c>
      <c r="T8">
        <f>COUNTIFS(Table1[HomeTeam], Table2[[#This Row],[Team]], Table1[GameIsOver], 1, Table1[HomeWon],1, Table1[ActualResult], "OT")</f>
        <v>0</v>
      </c>
      <c r="U8">
        <f>COUNTIFS(Table1[HomeTeam], Table2[[#This Row],[Team]], Table1[GameIsOver], 1, Table1[HomeWon],1, Table1[ActualResult], "SO")</f>
        <v>0</v>
      </c>
      <c r="V8">
        <f>COUNTIFS(Table1[HomeTeam], Table2[[#This Row],[Team]], Table1[GameIsOver], 1, Table1[HomeWon],0)</f>
        <v>1</v>
      </c>
      <c r="W8">
        <f>COUNTIFS(Table1[HomeTeam], Table2[[#This Row],[Team]], Table1[GameIsOver], 1, Table1[HomeWon],0, Table1[ActualResult], "REG")</f>
        <v>0</v>
      </c>
      <c r="X8">
        <f>COUNTIFS(Table1[HomeTeam], Table2[[#This Row],[Team]], Table1[GameIsOver], 1, Table1[HomeWon],0, Table1[ActualResult], "OT")</f>
        <v>0</v>
      </c>
      <c r="Y8">
        <f>COUNTIFS(Table1[HomeTeam], Table2[[#This Row],[Team]], Table1[GameIsOver], 1, Table1[HomeWon],0, Table1[ActualResult], "SO")</f>
        <v>1</v>
      </c>
      <c r="Z8" s="50">
        <f>Table2[[#This Row],[W]]/MAX(1,Table2[[#This Row],[W]]+Table2[[#This Row],[L]])</f>
        <v>0</v>
      </c>
      <c r="AA8" s="43">
        <f>Table2[[#This Row],[W_A]]+Table2[[#This Row],[W_H]]</f>
        <v>0</v>
      </c>
      <c r="AB8" s="43">
        <f>Table2[[#This Row],[L_A]]+Table2[[#This Row],[L_H]]</f>
        <v>1</v>
      </c>
      <c r="AC8" s="43">
        <f>Table2[RW_A]+Table2[RW_H]</f>
        <v>0</v>
      </c>
      <c r="AD8" s="43">
        <f>Table2[RL_A]+Table2[RL_H]</f>
        <v>0</v>
      </c>
      <c r="AE8" s="43">
        <f>Table2[OTW_A]+Table2[OTW_H]</f>
        <v>0</v>
      </c>
      <c r="AF8" s="43">
        <f>Table2[OTL_A]+Table2[OTL_H]</f>
        <v>0</v>
      </c>
      <c r="AG8" s="43">
        <f>Table2[SOW_A]+Table2[SOW_H]</f>
        <v>0</v>
      </c>
      <c r="AH8" s="43">
        <f>Table2[SOL_A]+Table2[SOL_H]</f>
        <v>1</v>
      </c>
      <c r="AI8" s="43" t="str">
        <f>_xlfn.CONCAT(TEXT(Table2[[#This Row],[OTW]]+Table2[[#This Row],[SOW]], "0"), "-", TEXT(Table2[[#This Row],[OTL]]+Table2[[#This Row],[SOL]],"0"))</f>
        <v>0-1</v>
      </c>
      <c r="AJ8" s="43">
        <f>SUM(Table2[[#This Row],[OTW]],Table2[[#This Row],[OTL]],Table2[[#This Row],[SOW]],Table2[[#This Row],[SOL]])</f>
        <v>1</v>
      </c>
      <c r="AK8" s="50">
        <f>(Table2[[#This Row],[OTW]]+Table2[[#This Row],[SOW]])/IF(Table2[[#This Row],[Total_ExtraTimes]]=0,1,Table2[[#This Row],[Total_ExtraTimes]])</f>
        <v>0</v>
      </c>
      <c r="AL8" s="50">
        <f>Table2[[#This Row],[Total_ExtraTimes]]/MAX(1,Table2[[#This Row],[GP]])</f>
        <v>1</v>
      </c>
      <c r="AM8" s="43">
        <f>(2*(Table2[[#This Row],[W_A]]+Table2[[#This Row],[W_H]]))+Table2[[#This Row],[OTL_A]]+Table2[[#This Row],[SOL_A]]+Table2[[#This Row],[OTL_H]]+Table2[[#This Row],[SOL_H]]</f>
        <v>1</v>
      </c>
      <c r="AN8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8" s="43">
        <f>Table2[[#This Row],[PTS]]/(2*Table2[[#This Row],[GP]])</f>
        <v>0.5</v>
      </c>
      <c r="AP8" s="43">
        <f>Table2[[#This Row],[PTS]]/(3*Table2[[#This Row],[GP]])</f>
        <v>0.33333333333333331</v>
      </c>
      <c r="AQ8" s="43">
        <f>(2*Table2[[#This Row],[GR]])+Table2[[#This Row],[PTS]]</f>
        <v>167</v>
      </c>
      <c r="AR8" s="43">
        <f>(3*Table2[[#This Row],[GR]])+Table2[[#This Row],[PTS]]</f>
        <v>250</v>
      </c>
      <c r="AS8" s="43">
        <f>Table2[[#This Row],[PTS]]+(2 * Table2[[#This Row],[GR]] * Table2[[#This Row],[PTS%]])</f>
        <v>84</v>
      </c>
      <c r="AT8" s="43">
        <f>Table2[[#This Row],[PTS]]+(3 * Table2[[#This Row],[GR]] * Table2[[#This Row],[PTS%]])</f>
        <v>125.5</v>
      </c>
      <c r="AU8" s="43" t="str">
        <f>_xlfn.CONCAT(TEXT(Table2[[#This Row],[W]], "0"), "-", TEXT(Table2[[#This Row],[RL]],"0"), "-", TEXT(Table2[[#This Row],[OTL]]+Table2[[#This Row],[SOL]], "0"))</f>
        <v>0-0-1</v>
      </c>
      <c r="AV8" s="43">
        <f>SUMIF(Table1[AwayTeam], Table2[[#This Row],[Team]], Table1[ActualAwayScore])</f>
        <v>0</v>
      </c>
      <c r="AW8" s="43">
        <f>SUMIF(Table1[AwayTeam], Table2[[#This Row],[Team]], Table1[ActualHomeScore])</f>
        <v>0</v>
      </c>
      <c r="AX8" s="43">
        <f>Table2[[#This Row],[GF_A]]-Table2[[#This Row],[GA_A]]</f>
        <v>0</v>
      </c>
      <c r="AY8" s="43">
        <f>SUMIF(Table1[HomeTeam], Table2[[#This Row],[Team]], Table1[ActualHomeScore])</f>
        <v>3</v>
      </c>
      <c r="AZ8" s="43">
        <f>SUMIF(Table1[HomeTeam], Table2[[#This Row],[Team]], Table1[ActualAwayScore])</f>
        <v>4</v>
      </c>
      <c r="BA8" s="43">
        <f>Table2[[#This Row],[GF_H]]-Table2[[#This Row],[GA_H]]</f>
        <v>-1</v>
      </c>
      <c r="BB8" s="43">
        <f>SUMIFS(Table1[ActualAwayScore], Table1[AwayTeam], Table2[[#This Row],[Team]], Table1[AwayWon],1)+SUMIFS(Table1[ActualHomeScore], Table1[HomeTeam], Table2[[#This Row],[Team]], Table1[HomeWon],1)</f>
        <v>0</v>
      </c>
      <c r="BC8" s="43">
        <f>SUMIFS(Table1[ActualAwayScore], Table1[AwayTeam], Table2[[#This Row],[Team]], Table1[AwayWon],0) + SUMIFS(Table1[ActualHomeScore], Table1[HomeTeam], Table2[[#This Row],[Team]], Table1[HomeWon],0)</f>
        <v>3</v>
      </c>
      <c r="BD8" s="43">
        <f>Table2[[#This Row],[GF_W]]-Table2[[#This Row],[GF_L]]</f>
        <v>-3</v>
      </c>
      <c r="BE8" s="43">
        <f>Table2[[#This Row],[GF_A]]+Table2[[#This Row],[GF_H]]</f>
        <v>3</v>
      </c>
      <c r="BF8" s="43">
        <f>Table2[[#This Row],[GA_A]]+Table2[[#This Row],[GA_H]]</f>
        <v>4</v>
      </c>
      <c r="BG8" s="43">
        <f>Table2[[#This Row],[GF]]-Table2[[#This Row],[GA]]</f>
        <v>-1</v>
      </c>
      <c r="BH8" s="43">
        <f>Table2[[#This Row],[GF]]/Table2[[#This Row],[GP]]</f>
        <v>3</v>
      </c>
      <c r="BI8" s="43">
        <f>Table2[[#This Row],[GA]]/Table2[[#This Row],[GP]]</f>
        <v>4</v>
      </c>
      <c r="BJ8" s="43">
        <f>Table2[[#This Row],[GFPG]]-Table2[[#This Row],[GAPG]]</f>
        <v>-1</v>
      </c>
      <c r="BK8" s="43" t="str">
        <f>_xlfn.CONCAT(TEXT(Table2[[#This Row],[W_A]], "0"), "-", TEXT(Table2[[#This Row],[RL_A]],"0"), "-", TEXT(Table2[[#This Row],[OTL_A]]+Table2[[#This Row],[SOL_A]], "0"))</f>
        <v>0-0-0</v>
      </c>
      <c r="BL8" s="43" t="str">
        <f>_xlfn.CONCAT(TEXT(Table2[[#This Row],[W_H]], "0"), "-", TEXT(Table2[[#This Row],[RL_H]],"0"), "-", TEXT(Table2[[#This Row],[OTL_H]]+Table2[[#This Row],[SOL_H]], "0"))</f>
        <v>0-0-1</v>
      </c>
    </row>
    <row r="9" spans="1:64" x14ac:dyDescent="0.25">
      <c r="A9" t="s">
        <v>42</v>
      </c>
      <c r="B9" t="s">
        <v>63</v>
      </c>
      <c r="C9" t="s">
        <v>65</v>
      </c>
      <c r="D9">
        <f>COUNTIFS(Table1[AwayTeam],Table2[[#This Row],[Team]],Table1[GameIsOver], 1, Table1[WatchedGame],1) + COUNTIFS(Table1[HomeTeam],Table2[[#This Row],[Team]],Table1[GameIsOver],1,Table1[WatchedGame],1)</f>
        <v>0</v>
      </c>
      <c r="F9">
        <f>COUNTIFS(Table1[AwayTeam],Table2[[#This Row],[Team]], Table1[GameIsOver],1)</f>
        <v>1</v>
      </c>
      <c r="G9">
        <f>COUNTIFS(Table1[HomeTeam],Table2[[#This Row],[Team]], Table1[GameIsOver],1)</f>
        <v>0</v>
      </c>
      <c r="H9">
        <f>Table2[[#This Row],[GP_A]]+Table2[[#This Row],[GP_H]]</f>
        <v>1</v>
      </c>
      <c r="I9">
        <f>84-Table2[[#This Row],[GP]]</f>
        <v>83</v>
      </c>
      <c r="J9">
        <f>COUNTIFS(Table1[AwayTeam], Table2[[#This Row],[Team]], Table1[GameIsOver], 1, Table1[AwayWon],1)</f>
        <v>1</v>
      </c>
      <c r="K9">
        <f>COUNTIFS(Table1[AwayTeam], Table2[[#This Row],[Team]], Table1[GameIsOver], 1, Table1[AwayWon],1, Table1[ActualResult], "REG")</f>
        <v>1</v>
      </c>
      <c r="L9">
        <f>COUNTIFS(Table1[AwayTeam], Table2[[#This Row],[Team]], Table1[GameIsOver], 1, Table1[AwayWon],1, Table1[ActualResult], "OT")</f>
        <v>0</v>
      </c>
      <c r="M9">
        <f>COUNTIFS(Table1[AwayTeam], Table2[[#This Row],[Team]], Table1[GameIsOver], 1, Table1[AwayWon],1, Table1[ActualResult], "SO")</f>
        <v>0</v>
      </c>
      <c r="N9">
        <f>COUNTIFS(Table1[AwayTeam], Table2[[#This Row],[Team]], Table1[GameIsOver], 1, Table1[AwayWon],0)</f>
        <v>0</v>
      </c>
      <c r="O9">
        <f>COUNTIFS(Table1[AwayTeam], Table2[[#This Row],[Team]], Table1[GameIsOver], 1, Table1[AwayWon],0, Table1[ActualResult], "REG")</f>
        <v>0</v>
      </c>
      <c r="P9">
        <f>COUNTIFS(Table1[AwayTeam], Table2[[#This Row],[Team]], Table1[GameIsOver], 1, Table1[AwayWon],0, Table1[ActualResult], "OT")</f>
        <v>0</v>
      </c>
      <c r="Q9">
        <f>COUNTIFS(Table1[AwayTeam], Table2[[#This Row],[Team]], Table1[GameIsOver], 1, Table1[AwayWon],0, Table1[ActualResult], "SO")</f>
        <v>0</v>
      </c>
      <c r="R9">
        <f>COUNTIFS(Table1[HomeTeam], Table2[[#This Row],[Team]], Table1[GameIsOver], 1, Table1[HomeWon],1)</f>
        <v>0</v>
      </c>
      <c r="S9">
        <f>COUNTIFS(Table1[HomeTeam], Table2[[#This Row],[Team]], Table1[GameIsOver], 1, Table1[HomeWon],1, Table1[ActualResult], "REG")</f>
        <v>0</v>
      </c>
      <c r="T9">
        <f>COUNTIFS(Table1[HomeTeam], Table2[[#This Row],[Team]], Table1[GameIsOver], 1, Table1[HomeWon],1, Table1[ActualResult], "OT")</f>
        <v>0</v>
      </c>
      <c r="U9">
        <f>COUNTIFS(Table1[HomeTeam], Table2[[#This Row],[Team]], Table1[GameIsOver], 1, Table1[HomeWon],1, Table1[ActualResult], "SO")</f>
        <v>0</v>
      </c>
      <c r="V9">
        <f>COUNTIFS(Table1[HomeTeam], Table2[[#This Row],[Team]], Table1[GameIsOver], 1, Table1[HomeWon],0)</f>
        <v>0</v>
      </c>
      <c r="W9">
        <f>COUNTIFS(Table1[HomeTeam], Table2[[#This Row],[Team]], Table1[GameIsOver], 1, Table1[HomeWon],0, Table1[ActualResult], "REG")</f>
        <v>0</v>
      </c>
      <c r="X9">
        <f>COUNTIFS(Table1[HomeTeam], Table2[[#This Row],[Team]], Table1[GameIsOver], 1, Table1[HomeWon],0, Table1[ActualResult], "OT")</f>
        <v>0</v>
      </c>
      <c r="Y9">
        <f>COUNTIFS(Table1[HomeTeam], Table2[[#This Row],[Team]], Table1[GameIsOver], 1, Table1[HomeWon],0, Table1[ActualResult], "SO")</f>
        <v>0</v>
      </c>
      <c r="Z9" s="50">
        <f>Table2[[#This Row],[W]]/MAX(1,Table2[[#This Row],[W]]+Table2[[#This Row],[L]])</f>
        <v>1</v>
      </c>
      <c r="AA9" s="43">
        <f>Table2[[#This Row],[W_A]]+Table2[[#This Row],[W_H]]</f>
        <v>1</v>
      </c>
      <c r="AB9" s="43">
        <f>Table2[[#This Row],[L_A]]+Table2[[#This Row],[L_H]]</f>
        <v>0</v>
      </c>
      <c r="AC9" s="43">
        <f>Table2[RW_A]+Table2[RW_H]</f>
        <v>1</v>
      </c>
      <c r="AD9" s="43">
        <f>Table2[RL_A]+Table2[RL_H]</f>
        <v>0</v>
      </c>
      <c r="AE9" s="43">
        <f>Table2[OTW_A]+Table2[OTW_H]</f>
        <v>0</v>
      </c>
      <c r="AF9" s="43">
        <f>Table2[OTL_A]+Table2[OTL_H]</f>
        <v>0</v>
      </c>
      <c r="AG9" s="43">
        <f>Table2[SOW_A]+Table2[SOW_H]</f>
        <v>0</v>
      </c>
      <c r="AH9" s="43">
        <f>Table2[SOL_A]+Table2[SOL_H]</f>
        <v>0</v>
      </c>
      <c r="AI9" s="43" t="str">
        <f>_xlfn.CONCAT(TEXT(Table2[[#This Row],[OTW]]+Table2[[#This Row],[SOW]], "0"), "-", TEXT(Table2[[#This Row],[OTL]]+Table2[[#This Row],[SOL]],"0"))</f>
        <v>0-0</v>
      </c>
      <c r="AJ9" s="43">
        <f>SUM(Table2[[#This Row],[OTW]],Table2[[#This Row],[OTL]],Table2[[#This Row],[SOW]],Table2[[#This Row],[SOL]])</f>
        <v>0</v>
      </c>
      <c r="AK9" s="50">
        <f>(Table2[[#This Row],[OTW]]+Table2[[#This Row],[SOW]])/IF(Table2[[#This Row],[Total_ExtraTimes]]=0,1,Table2[[#This Row],[Total_ExtraTimes]])</f>
        <v>0</v>
      </c>
      <c r="AL9" s="50">
        <f>Table2[[#This Row],[Total_ExtraTimes]]/MAX(1,Table2[[#This Row],[GP]])</f>
        <v>0</v>
      </c>
      <c r="AM9" s="43">
        <f>(2*(Table2[[#This Row],[W_A]]+Table2[[#This Row],[W_H]]))+Table2[[#This Row],[OTL_A]]+Table2[[#This Row],[SOL_A]]+Table2[[#This Row],[OTL_H]]+Table2[[#This Row],[SOL_H]]</f>
        <v>2</v>
      </c>
      <c r="AN9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9" s="43">
        <f>Table2[[#This Row],[PTS]]/(2*Table2[[#This Row],[GP]])</f>
        <v>1</v>
      </c>
      <c r="AP9" s="43">
        <f>Table2[[#This Row],[PTS]]/(3*Table2[[#This Row],[GP]])</f>
        <v>0.66666666666666663</v>
      </c>
      <c r="AQ9" s="43">
        <f>(2*Table2[[#This Row],[GR]])+Table2[[#This Row],[PTS]]</f>
        <v>168</v>
      </c>
      <c r="AR9" s="43">
        <f>(3*Table2[[#This Row],[GR]])+Table2[[#This Row],[PTS]]</f>
        <v>251</v>
      </c>
      <c r="AS9" s="43">
        <f>Table2[[#This Row],[PTS]]+(2 * Table2[[#This Row],[GR]] * Table2[[#This Row],[PTS%]])</f>
        <v>168</v>
      </c>
      <c r="AT9" s="43">
        <f>Table2[[#This Row],[PTS]]+(3 * Table2[[#This Row],[GR]] * Table2[[#This Row],[PTS%]])</f>
        <v>251</v>
      </c>
      <c r="AU9" s="43" t="str">
        <f>_xlfn.CONCAT(TEXT(Table2[[#This Row],[W]], "0"), "-", TEXT(Table2[[#This Row],[RL]],"0"), "-", TEXT(Table2[[#This Row],[OTL]]+Table2[[#This Row],[SOL]], "0"))</f>
        <v>1-0-0</v>
      </c>
      <c r="AV9" s="43">
        <f>SUMIF(Table1[AwayTeam], Table2[[#This Row],[Team]], Table1[ActualAwayScore])</f>
        <v>4</v>
      </c>
      <c r="AW9" s="43">
        <f>SUMIF(Table1[AwayTeam], Table2[[#This Row],[Team]], Table1[ActualHomeScore])</f>
        <v>3</v>
      </c>
      <c r="AX9" s="43">
        <f>Table2[[#This Row],[GF_A]]-Table2[[#This Row],[GA_A]]</f>
        <v>1</v>
      </c>
      <c r="AY9" s="43">
        <f>SUMIF(Table1[HomeTeam], Table2[[#This Row],[Team]], Table1[ActualHomeScore])</f>
        <v>0</v>
      </c>
      <c r="AZ9" s="43">
        <f>SUMIF(Table1[HomeTeam], Table2[[#This Row],[Team]], Table1[ActualAwayScore])</f>
        <v>0</v>
      </c>
      <c r="BA9" s="43">
        <f>Table2[[#This Row],[GF_H]]-Table2[[#This Row],[GA_H]]</f>
        <v>0</v>
      </c>
      <c r="BB9" s="43">
        <f>SUMIFS(Table1[ActualAwayScore], Table1[AwayTeam], Table2[[#This Row],[Team]], Table1[AwayWon],1)+SUMIFS(Table1[ActualHomeScore], Table1[HomeTeam], Table2[[#This Row],[Team]], Table1[HomeWon],1)</f>
        <v>4</v>
      </c>
      <c r="BC9" s="43">
        <f>SUMIFS(Table1[ActualAwayScore], Table1[AwayTeam], Table2[[#This Row],[Team]], Table1[AwayWon],0) + SUMIFS(Table1[ActualHomeScore], Table1[HomeTeam], Table2[[#This Row],[Team]], Table1[HomeWon],0)</f>
        <v>0</v>
      </c>
      <c r="BD9" s="43">
        <f>Table2[[#This Row],[GF_W]]-Table2[[#This Row],[GF_L]]</f>
        <v>4</v>
      </c>
      <c r="BE9" s="43">
        <f>Table2[[#This Row],[GF_A]]+Table2[[#This Row],[GF_H]]</f>
        <v>4</v>
      </c>
      <c r="BF9" s="43">
        <f>Table2[[#This Row],[GA_A]]+Table2[[#This Row],[GA_H]]</f>
        <v>3</v>
      </c>
      <c r="BG9" s="43">
        <f>Table2[[#This Row],[GF]]-Table2[[#This Row],[GA]]</f>
        <v>1</v>
      </c>
      <c r="BH9" s="43">
        <f>Table2[[#This Row],[GF]]/Table2[[#This Row],[GP]]</f>
        <v>4</v>
      </c>
      <c r="BI9" s="43">
        <f>Table2[[#This Row],[GA]]/Table2[[#This Row],[GP]]</f>
        <v>3</v>
      </c>
      <c r="BJ9" s="43">
        <f>Table2[[#This Row],[GFPG]]-Table2[[#This Row],[GAPG]]</f>
        <v>1</v>
      </c>
      <c r="BK9" s="43" t="str">
        <f>_xlfn.CONCAT(TEXT(Table2[[#This Row],[W_A]], "0"), "-", TEXT(Table2[[#This Row],[RL_A]],"0"), "-", TEXT(Table2[[#This Row],[OTL_A]]+Table2[[#This Row],[SOL_A]], "0"))</f>
        <v>1-0-0</v>
      </c>
      <c r="BL9" s="43" t="str">
        <f>_xlfn.CONCAT(TEXT(Table2[[#This Row],[W_H]], "0"), "-", TEXT(Table2[[#This Row],[RL_H]],"0"), "-", TEXT(Table2[[#This Row],[OTL_H]]+Table2[[#This Row],[SOL_H]], "0"))</f>
        <v>0-0-0</v>
      </c>
    </row>
    <row r="10" spans="1:64" x14ac:dyDescent="0.25">
      <c r="A10" t="s">
        <v>43</v>
      </c>
      <c r="B10" t="s">
        <v>62</v>
      </c>
      <c r="C10" t="s">
        <v>64</v>
      </c>
      <c r="D10">
        <f>COUNTIFS(Table1[AwayTeam],Table2[[#This Row],[Team]],Table1[GameIsOver], 1, Table1[WatchedGame],1) + COUNTIFS(Table1[HomeTeam],Table2[[#This Row],[Team]],Table1[GameIsOver],1,Table1[WatchedGame],1)</f>
        <v>0</v>
      </c>
      <c r="F10">
        <f>COUNTIFS(Table1[AwayTeam],Table2[[#This Row],[Team]], Table1[GameIsOver],1)</f>
        <v>1</v>
      </c>
      <c r="G10">
        <f>COUNTIFS(Table1[HomeTeam],Table2[[#This Row],[Team]], Table1[GameIsOver],1)</f>
        <v>0</v>
      </c>
      <c r="H10">
        <f>Table2[[#This Row],[GP_A]]+Table2[[#This Row],[GP_H]]</f>
        <v>1</v>
      </c>
      <c r="I10">
        <f>84-Table2[[#This Row],[GP]]</f>
        <v>83</v>
      </c>
      <c r="J10">
        <f>COUNTIFS(Table1[AwayTeam], Table2[[#This Row],[Team]], Table1[GameIsOver], 1, Table1[AwayWon],1)</f>
        <v>0</v>
      </c>
      <c r="K10">
        <f>COUNTIFS(Table1[AwayTeam], Table2[[#This Row],[Team]], Table1[GameIsOver], 1, Table1[AwayWon],1, Table1[ActualResult], "REG")</f>
        <v>0</v>
      </c>
      <c r="L10">
        <f>COUNTIFS(Table1[AwayTeam], Table2[[#This Row],[Team]], Table1[GameIsOver], 1, Table1[AwayWon],1, Table1[ActualResult], "OT")</f>
        <v>0</v>
      </c>
      <c r="M10">
        <f>COUNTIFS(Table1[AwayTeam], Table2[[#This Row],[Team]], Table1[GameIsOver], 1, Table1[AwayWon],1, Table1[ActualResult], "SO")</f>
        <v>0</v>
      </c>
      <c r="N10">
        <f>COUNTIFS(Table1[AwayTeam], Table2[[#This Row],[Team]], Table1[GameIsOver], 1, Table1[AwayWon],0)</f>
        <v>1</v>
      </c>
      <c r="O10">
        <f>COUNTIFS(Table1[AwayTeam], Table2[[#This Row],[Team]], Table1[GameIsOver], 1, Table1[AwayWon],0, Table1[ActualResult], "REG")</f>
        <v>1</v>
      </c>
      <c r="P10">
        <f>COUNTIFS(Table1[AwayTeam], Table2[[#This Row],[Team]], Table1[GameIsOver], 1, Table1[AwayWon],0, Table1[ActualResult], "OT")</f>
        <v>0</v>
      </c>
      <c r="Q10">
        <f>COUNTIFS(Table1[AwayTeam], Table2[[#This Row],[Team]], Table1[GameIsOver], 1, Table1[AwayWon],0, Table1[ActualResult], "SO")</f>
        <v>0</v>
      </c>
      <c r="R10">
        <f>COUNTIFS(Table1[HomeTeam], Table2[[#This Row],[Team]], Table1[GameIsOver], 1, Table1[HomeWon],1)</f>
        <v>0</v>
      </c>
      <c r="S10">
        <f>COUNTIFS(Table1[HomeTeam], Table2[[#This Row],[Team]], Table1[GameIsOver], 1, Table1[HomeWon],1, Table1[ActualResult], "REG")</f>
        <v>0</v>
      </c>
      <c r="T10">
        <f>COUNTIFS(Table1[HomeTeam], Table2[[#This Row],[Team]], Table1[GameIsOver], 1, Table1[HomeWon],1, Table1[ActualResult], "OT")</f>
        <v>0</v>
      </c>
      <c r="U10">
        <f>COUNTIFS(Table1[HomeTeam], Table2[[#This Row],[Team]], Table1[GameIsOver], 1, Table1[HomeWon],1, Table1[ActualResult], "SO")</f>
        <v>0</v>
      </c>
      <c r="V10">
        <f>COUNTIFS(Table1[HomeTeam], Table2[[#This Row],[Team]], Table1[GameIsOver], 1, Table1[HomeWon],0)</f>
        <v>0</v>
      </c>
      <c r="W10">
        <f>COUNTIFS(Table1[HomeTeam], Table2[[#This Row],[Team]], Table1[GameIsOver], 1, Table1[HomeWon],0, Table1[ActualResult], "REG")</f>
        <v>0</v>
      </c>
      <c r="X10">
        <f>COUNTIFS(Table1[HomeTeam], Table2[[#This Row],[Team]], Table1[GameIsOver], 1, Table1[HomeWon],0, Table1[ActualResult], "OT")</f>
        <v>0</v>
      </c>
      <c r="Y10">
        <f>COUNTIFS(Table1[HomeTeam], Table2[[#This Row],[Team]], Table1[GameIsOver], 1, Table1[HomeWon],0, Table1[ActualResult], "SO")</f>
        <v>0</v>
      </c>
      <c r="Z10" s="50">
        <f>Table2[[#This Row],[W]]/MAX(1,Table2[[#This Row],[W]]+Table2[[#This Row],[L]])</f>
        <v>0</v>
      </c>
      <c r="AA10" s="43">
        <f>Table2[[#This Row],[W_A]]+Table2[[#This Row],[W_H]]</f>
        <v>0</v>
      </c>
      <c r="AB10" s="43">
        <f>Table2[[#This Row],[L_A]]+Table2[[#This Row],[L_H]]</f>
        <v>1</v>
      </c>
      <c r="AC10" s="43">
        <f>Table2[RW_A]+Table2[RW_H]</f>
        <v>0</v>
      </c>
      <c r="AD10" s="43">
        <f>Table2[RL_A]+Table2[RL_H]</f>
        <v>1</v>
      </c>
      <c r="AE10" s="43">
        <f>Table2[OTW_A]+Table2[OTW_H]</f>
        <v>0</v>
      </c>
      <c r="AF10" s="43">
        <f>Table2[OTL_A]+Table2[OTL_H]</f>
        <v>0</v>
      </c>
      <c r="AG10" s="43">
        <f>Table2[SOW_A]+Table2[SOW_H]</f>
        <v>0</v>
      </c>
      <c r="AH10" s="43">
        <f>Table2[SOL_A]+Table2[SOL_H]</f>
        <v>0</v>
      </c>
      <c r="AI10" s="43" t="str">
        <f>_xlfn.CONCAT(TEXT(Table2[[#This Row],[OTW]]+Table2[[#This Row],[SOW]], "0"), "-", TEXT(Table2[[#This Row],[OTL]]+Table2[[#This Row],[SOL]],"0"))</f>
        <v>0-0</v>
      </c>
      <c r="AJ10" s="43">
        <f>SUM(Table2[[#This Row],[OTW]],Table2[[#This Row],[OTL]],Table2[[#This Row],[SOW]],Table2[[#This Row],[SOL]])</f>
        <v>0</v>
      </c>
      <c r="AK10" s="50">
        <f>(Table2[[#This Row],[OTW]]+Table2[[#This Row],[SOW]])/IF(Table2[[#This Row],[Total_ExtraTimes]]=0,1,Table2[[#This Row],[Total_ExtraTimes]])</f>
        <v>0</v>
      </c>
      <c r="AL10" s="50">
        <f>Table2[[#This Row],[Total_ExtraTimes]]/MAX(1,Table2[[#This Row],[GP]])</f>
        <v>0</v>
      </c>
      <c r="AM10" s="43">
        <f>(2*(Table2[[#This Row],[W_A]]+Table2[[#This Row],[W_H]]))+Table2[[#This Row],[OTL_A]]+Table2[[#This Row],[SOL_A]]+Table2[[#This Row],[OTL_H]]+Table2[[#This Row],[SOL_H]]</f>
        <v>0</v>
      </c>
      <c r="AN10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10" s="43">
        <f>Table2[[#This Row],[PTS]]/(2*Table2[[#This Row],[GP]])</f>
        <v>0</v>
      </c>
      <c r="AP10" s="43">
        <f>Table2[[#This Row],[PTS]]/(3*Table2[[#This Row],[GP]])</f>
        <v>0</v>
      </c>
      <c r="AQ10" s="43">
        <f>(2*Table2[[#This Row],[GR]])+Table2[[#This Row],[PTS]]</f>
        <v>166</v>
      </c>
      <c r="AR10" s="43">
        <f>(3*Table2[[#This Row],[GR]])+Table2[[#This Row],[PTS]]</f>
        <v>249</v>
      </c>
      <c r="AS10" s="43">
        <f>Table2[[#This Row],[PTS]]+(2 * Table2[[#This Row],[GR]] * Table2[[#This Row],[PTS%]])</f>
        <v>0</v>
      </c>
      <c r="AT10" s="43">
        <f>Table2[[#This Row],[PTS]]+(3 * Table2[[#This Row],[GR]] * Table2[[#This Row],[PTS%]])</f>
        <v>0</v>
      </c>
      <c r="AU10" s="43" t="str">
        <f>_xlfn.CONCAT(TEXT(Table2[[#This Row],[W]], "0"), "-", TEXT(Table2[[#This Row],[RL]],"0"), "-", TEXT(Table2[[#This Row],[OTL]]+Table2[[#This Row],[SOL]], "0"))</f>
        <v>0-1-0</v>
      </c>
      <c r="AV10" s="43">
        <f>SUMIF(Table1[AwayTeam], Table2[[#This Row],[Team]], Table1[ActualAwayScore])</f>
        <v>3</v>
      </c>
      <c r="AW10" s="43">
        <f>SUMIF(Table1[AwayTeam], Table2[[#This Row],[Team]], Table1[ActualHomeScore])</f>
        <v>4</v>
      </c>
      <c r="AX10" s="43">
        <f>Table2[[#This Row],[GF_A]]-Table2[[#This Row],[GA_A]]</f>
        <v>-1</v>
      </c>
      <c r="AY10" s="43">
        <f>SUMIF(Table1[HomeTeam], Table2[[#This Row],[Team]], Table1[ActualHomeScore])</f>
        <v>0</v>
      </c>
      <c r="AZ10" s="43">
        <f>SUMIF(Table1[HomeTeam], Table2[[#This Row],[Team]], Table1[ActualAwayScore])</f>
        <v>0</v>
      </c>
      <c r="BA10" s="43">
        <f>Table2[[#This Row],[GF_H]]-Table2[[#This Row],[GA_H]]</f>
        <v>0</v>
      </c>
      <c r="BB10" s="43">
        <f>SUMIFS(Table1[ActualAwayScore], Table1[AwayTeam], Table2[[#This Row],[Team]], Table1[AwayWon],1)+SUMIFS(Table1[ActualHomeScore], Table1[HomeTeam], Table2[[#This Row],[Team]], Table1[HomeWon],1)</f>
        <v>0</v>
      </c>
      <c r="BC10" s="43">
        <f>SUMIFS(Table1[ActualAwayScore], Table1[AwayTeam], Table2[[#This Row],[Team]], Table1[AwayWon],0) + SUMIFS(Table1[ActualHomeScore], Table1[HomeTeam], Table2[[#This Row],[Team]], Table1[HomeWon],0)</f>
        <v>3</v>
      </c>
      <c r="BD10" s="43">
        <f>Table2[[#This Row],[GF_W]]-Table2[[#This Row],[GF_L]]</f>
        <v>-3</v>
      </c>
      <c r="BE10" s="43">
        <f>Table2[[#This Row],[GF_A]]+Table2[[#This Row],[GF_H]]</f>
        <v>3</v>
      </c>
      <c r="BF10" s="43">
        <f>Table2[[#This Row],[GA_A]]+Table2[[#This Row],[GA_H]]</f>
        <v>4</v>
      </c>
      <c r="BG10" s="43">
        <f>Table2[[#This Row],[GF]]-Table2[[#This Row],[GA]]</f>
        <v>-1</v>
      </c>
      <c r="BH10" s="43">
        <f>Table2[[#This Row],[GF]]/Table2[[#This Row],[GP]]</f>
        <v>3</v>
      </c>
      <c r="BI10" s="43">
        <f>Table2[[#This Row],[GA]]/Table2[[#This Row],[GP]]</f>
        <v>4</v>
      </c>
      <c r="BJ10" s="43">
        <f>Table2[[#This Row],[GFPG]]-Table2[[#This Row],[GAPG]]</f>
        <v>-1</v>
      </c>
      <c r="BK10" s="43" t="str">
        <f>_xlfn.CONCAT(TEXT(Table2[[#This Row],[W_A]], "0"), "-", TEXT(Table2[[#This Row],[RL_A]],"0"), "-", TEXT(Table2[[#This Row],[OTL_A]]+Table2[[#This Row],[SOL_A]], "0"))</f>
        <v>0-1-0</v>
      </c>
      <c r="BL10" s="43" t="str">
        <f>_xlfn.CONCAT(TEXT(Table2[[#This Row],[W_H]], "0"), "-", TEXT(Table2[[#This Row],[RL_H]],"0"), "-", TEXT(Table2[[#This Row],[OTL_H]]+Table2[[#This Row],[SOL_H]], "0"))</f>
        <v>0-0-0</v>
      </c>
    </row>
    <row r="11" spans="1:64" x14ac:dyDescent="0.25">
      <c r="A11" t="s">
        <v>44</v>
      </c>
      <c r="B11" t="s">
        <v>63</v>
      </c>
      <c r="C11" t="s">
        <v>67</v>
      </c>
      <c r="D11">
        <f>COUNTIFS(Table1[AwayTeam],Table2[[#This Row],[Team]],Table1[GameIsOver], 1, Table1[WatchedGame],1) + COUNTIFS(Table1[HomeTeam],Table2[[#This Row],[Team]],Table1[GameIsOver],1,Table1[WatchedGame],1)</f>
        <v>0</v>
      </c>
      <c r="F11">
        <f>COUNTIFS(Table1[AwayTeam],Table2[[#This Row],[Team]], Table1[GameIsOver],1)</f>
        <v>1</v>
      </c>
      <c r="G11">
        <f>COUNTIFS(Table1[HomeTeam],Table2[[#This Row],[Team]], Table1[GameIsOver],1)</f>
        <v>0</v>
      </c>
      <c r="H11">
        <f>Table2[[#This Row],[GP_A]]+Table2[[#This Row],[GP_H]]</f>
        <v>1</v>
      </c>
      <c r="I11">
        <f>84-Table2[[#This Row],[GP]]</f>
        <v>83</v>
      </c>
      <c r="J11">
        <f>COUNTIFS(Table1[AwayTeam], Table2[[#This Row],[Team]], Table1[GameIsOver], 1, Table1[AwayWon],1)</f>
        <v>1</v>
      </c>
      <c r="K11">
        <f>COUNTIFS(Table1[AwayTeam], Table2[[#This Row],[Team]], Table1[GameIsOver], 1, Table1[AwayWon],1, Table1[ActualResult], "REG")</f>
        <v>1</v>
      </c>
      <c r="L11">
        <f>COUNTIFS(Table1[AwayTeam], Table2[[#This Row],[Team]], Table1[GameIsOver], 1, Table1[AwayWon],1, Table1[ActualResult], "OT")</f>
        <v>0</v>
      </c>
      <c r="M11">
        <f>COUNTIFS(Table1[AwayTeam], Table2[[#This Row],[Team]], Table1[GameIsOver], 1, Table1[AwayWon],1, Table1[ActualResult], "SO")</f>
        <v>0</v>
      </c>
      <c r="N11">
        <f>COUNTIFS(Table1[AwayTeam], Table2[[#This Row],[Team]], Table1[GameIsOver], 1, Table1[AwayWon],0)</f>
        <v>0</v>
      </c>
      <c r="O11">
        <f>COUNTIFS(Table1[AwayTeam], Table2[[#This Row],[Team]], Table1[GameIsOver], 1, Table1[AwayWon],0, Table1[ActualResult], "REG")</f>
        <v>0</v>
      </c>
      <c r="P11">
        <f>COUNTIFS(Table1[AwayTeam], Table2[[#This Row],[Team]], Table1[GameIsOver], 1, Table1[AwayWon],0, Table1[ActualResult], "OT")</f>
        <v>0</v>
      </c>
      <c r="Q11">
        <f>COUNTIFS(Table1[AwayTeam], Table2[[#This Row],[Team]], Table1[GameIsOver], 1, Table1[AwayWon],0, Table1[ActualResult], "SO")</f>
        <v>0</v>
      </c>
      <c r="R11">
        <f>COUNTIFS(Table1[HomeTeam], Table2[[#This Row],[Team]], Table1[GameIsOver], 1, Table1[HomeWon],1)</f>
        <v>0</v>
      </c>
      <c r="S11">
        <f>COUNTIFS(Table1[HomeTeam], Table2[[#This Row],[Team]], Table1[GameIsOver], 1, Table1[HomeWon],1, Table1[ActualResult], "REG")</f>
        <v>0</v>
      </c>
      <c r="T11">
        <f>COUNTIFS(Table1[HomeTeam], Table2[[#This Row],[Team]], Table1[GameIsOver], 1, Table1[HomeWon],1, Table1[ActualResult], "OT")</f>
        <v>0</v>
      </c>
      <c r="U11">
        <f>COUNTIFS(Table1[HomeTeam], Table2[[#This Row],[Team]], Table1[GameIsOver], 1, Table1[HomeWon],1, Table1[ActualResult], "SO")</f>
        <v>0</v>
      </c>
      <c r="V11">
        <f>COUNTIFS(Table1[HomeTeam], Table2[[#This Row],[Team]], Table1[GameIsOver], 1, Table1[HomeWon],0)</f>
        <v>0</v>
      </c>
      <c r="W11">
        <f>COUNTIFS(Table1[HomeTeam], Table2[[#This Row],[Team]], Table1[GameIsOver], 1, Table1[HomeWon],0, Table1[ActualResult], "REG")</f>
        <v>0</v>
      </c>
      <c r="X11">
        <f>COUNTIFS(Table1[HomeTeam], Table2[[#This Row],[Team]], Table1[GameIsOver], 1, Table1[HomeWon],0, Table1[ActualResult], "OT")</f>
        <v>0</v>
      </c>
      <c r="Y11">
        <f>COUNTIFS(Table1[HomeTeam], Table2[[#This Row],[Team]], Table1[GameIsOver], 1, Table1[HomeWon],0, Table1[ActualResult], "SO")</f>
        <v>0</v>
      </c>
      <c r="Z11" s="50">
        <f>Table2[[#This Row],[W]]/MAX(1,Table2[[#This Row],[W]]+Table2[[#This Row],[L]])</f>
        <v>1</v>
      </c>
      <c r="AA11" s="43">
        <f>Table2[[#This Row],[W_A]]+Table2[[#This Row],[W_H]]</f>
        <v>1</v>
      </c>
      <c r="AB11" s="43">
        <f>Table2[[#This Row],[L_A]]+Table2[[#This Row],[L_H]]</f>
        <v>0</v>
      </c>
      <c r="AC11" s="43">
        <f>Table2[RW_A]+Table2[RW_H]</f>
        <v>1</v>
      </c>
      <c r="AD11" s="43">
        <f>Table2[RL_A]+Table2[RL_H]</f>
        <v>0</v>
      </c>
      <c r="AE11" s="43">
        <f>Table2[OTW_A]+Table2[OTW_H]</f>
        <v>0</v>
      </c>
      <c r="AF11" s="43">
        <f>Table2[OTL_A]+Table2[OTL_H]</f>
        <v>0</v>
      </c>
      <c r="AG11" s="43">
        <f>Table2[SOW_A]+Table2[SOW_H]</f>
        <v>0</v>
      </c>
      <c r="AH11" s="43">
        <f>Table2[SOL_A]+Table2[SOL_H]</f>
        <v>0</v>
      </c>
      <c r="AI11" s="43" t="str">
        <f>_xlfn.CONCAT(TEXT(Table2[[#This Row],[OTW]]+Table2[[#This Row],[SOW]], "0"), "-", TEXT(Table2[[#This Row],[OTL]]+Table2[[#This Row],[SOL]],"0"))</f>
        <v>0-0</v>
      </c>
      <c r="AJ11" s="43">
        <f>SUM(Table2[[#This Row],[OTW]],Table2[[#This Row],[OTL]],Table2[[#This Row],[SOW]],Table2[[#This Row],[SOL]])</f>
        <v>0</v>
      </c>
      <c r="AK11" s="50">
        <f>(Table2[[#This Row],[OTW]]+Table2[[#This Row],[SOW]])/IF(Table2[[#This Row],[Total_ExtraTimes]]=0,1,Table2[[#This Row],[Total_ExtraTimes]])</f>
        <v>0</v>
      </c>
      <c r="AL11" s="50">
        <f>Table2[[#This Row],[Total_ExtraTimes]]/MAX(1,Table2[[#This Row],[GP]])</f>
        <v>0</v>
      </c>
      <c r="AM11" s="43">
        <f>(2*(Table2[[#This Row],[W_A]]+Table2[[#This Row],[W_H]]))+Table2[[#This Row],[OTL_A]]+Table2[[#This Row],[SOL_A]]+Table2[[#This Row],[OTL_H]]+Table2[[#This Row],[SOL_H]]</f>
        <v>2</v>
      </c>
      <c r="AN11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11" s="43">
        <f>Table2[[#This Row],[PTS]]/(2*Table2[[#This Row],[GP]])</f>
        <v>1</v>
      </c>
      <c r="AP11" s="43">
        <f>Table2[[#This Row],[PTS]]/(3*Table2[[#This Row],[GP]])</f>
        <v>0.66666666666666663</v>
      </c>
      <c r="AQ11" s="43">
        <f>(2*Table2[[#This Row],[GR]])+Table2[[#This Row],[PTS]]</f>
        <v>168</v>
      </c>
      <c r="AR11" s="43">
        <f>(3*Table2[[#This Row],[GR]])+Table2[[#This Row],[PTS]]</f>
        <v>251</v>
      </c>
      <c r="AS11" s="43">
        <f>Table2[[#This Row],[PTS]]+(2 * Table2[[#This Row],[GR]] * Table2[[#This Row],[PTS%]])</f>
        <v>168</v>
      </c>
      <c r="AT11" s="43">
        <f>Table2[[#This Row],[PTS]]+(3 * Table2[[#This Row],[GR]] * Table2[[#This Row],[PTS%]])</f>
        <v>251</v>
      </c>
      <c r="AU11" s="43" t="str">
        <f>_xlfn.CONCAT(TEXT(Table2[[#This Row],[W]], "0"), "-", TEXT(Table2[[#This Row],[RL]],"0"), "-", TEXT(Table2[[#This Row],[OTL]]+Table2[[#This Row],[SOL]], "0"))</f>
        <v>1-0-0</v>
      </c>
      <c r="AV11" s="43">
        <f>SUMIF(Table1[AwayTeam], Table2[[#This Row],[Team]], Table1[ActualAwayScore])</f>
        <v>3</v>
      </c>
      <c r="AW11" s="43">
        <f>SUMIF(Table1[AwayTeam], Table2[[#This Row],[Team]], Table1[ActualHomeScore])</f>
        <v>1</v>
      </c>
      <c r="AX11" s="43">
        <f>Table2[[#This Row],[GF_A]]-Table2[[#This Row],[GA_A]]</f>
        <v>2</v>
      </c>
      <c r="AY11" s="43">
        <f>SUMIF(Table1[HomeTeam], Table2[[#This Row],[Team]], Table1[ActualHomeScore])</f>
        <v>0</v>
      </c>
      <c r="AZ11" s="43">
        <f>SUMIF(Table1[HomeTeam], Table2[[#This Row],[Team]], Table1[ActualAwayScore])</f>
        <v>0</v>
      </c>
      <c r="BA11" s="43">
        <f>Table2[[#This Row],[GF_H]]-Table2[[#This Row],[GA_H]]</f>
        <v>0</v>
      </c>
      <c r="BB11" s="43">
        <f>SUMIFS(Table1[ActualAwayScore], Table1[AwayTeam], Table2[[#This Row],[Team]], Table1[AwayWon],1)+SUMIFS(Table1[ActualHomeScore], Table1[HomeTeam], Table2[[#This Row],[Team]], Table1[HomeWon],1)</f>
        <v>3</v>
      </c>
      <c r="BC11" s="43">
        <f>SUMIFS(Table1[ActualAwayScore], Table1[AwayTeam], Table2[[#This Row],[Team]], Table1[AwayWon],0) + SUMIFS(Table1[ActualHomeScore], Table1[HomeTeam], Table2[[#This Row],[Team]], Table1[HomeWon],0)</f>
        <v>0</v>
      </c>
      <c r="BD11" s="43">
        <f>Table2[[#This Row],[GF_W]]-Table2[[#This Row],[GF_L]]</f>
        <v>3</v>
      </c>
      <c r="BE11" s="43">
        <f>Table2[[#This Row],[GF_A]]+Table2[[#This Row],[GF_H]]</f>
        <v>3</v>
      </c>
      <c r="BF11" s="43">
        <f>Table2[[#This Row],[GA_A]]+Table2[[#This Row],[GA_H]]</f>
        <v>1</v>
      </c>
      <c r="BG11" s="43">
        <f>Table2[[#This Row],[GF]]-Table2[[#This Row],[GA]]</f>
        <v>2</v>
      </c>
      <c r="BH11" s="43">
        <f>Table2[[#This Row],[GF]]/Table2[[#This Row],[GP]]</f>
        <v>3</v>
      </c>
      <c r="BI11" s="43">
        <f>Table2[[#This Row],[GA]]/Table2[[#This Row],[GP]]</f>
        <v>1</v>
      </c>
      <c r="BJ11" s="43">
        <f>Table2[[#This Row],[GFPG]]-Table2[[#This Row],[GAPG]]</f>
        <v>2</v>
      </c>
      <c r="BK11" s="43" t="str">
        <f>_xlfn.CONCAT(TEXT(Table2[[#This Row],[W_A]], "0"), "-", TEXT(Table2[[#This Row],[RL_A]],"0"), "-", TEXT(Table2[[#This Row],[OTL_A]]+Table2[[#This Row],[SOL_A]], "0"))</f>
        <v>1-0-0</v>
      </c>
      <c r="BL11" s="43" t="str">
        <f>_xlfn.CONCAT(TEXT(Table2[[#This Row],[W_H]], "0"), "-", TEXT(Table2[[#This Row],[RL_H]],"0"), "-", TEXT(Table2[[#This Row],[OTL_H]]+Table2[[#This Row],[SOL_H]], "0"))</f>
        <v>0-0-0</v>
      </c>
    </row>
    <row r="12" spans="1:64" x14ac:dyDescent="0.25">
      <c r="A12" t="s">
        <v>45</v>
      </c>
      <c r="B12" t="s">
        <v>62</v>
      </c>
      <c r="C12" t="s">
        <v>66</v>
      </c>
      <c r="D12">
        <f>COUNTIFS(Table1[AwayTeam],Table2[[#This Row],[Team]],Table1[GameIsOver], 1, Table1[WatchedGame],1) + COUNTIFS(Table1[HomeTeam],Table2[[#This Row],[Team]],Table1[GameIsOver],1,Table1[WatchedGame],1)</f>
        <v>0</v>
      </c>
      <c r="F12">
        <f>COUNTIFS(Table1[AwayTeam],Table2[[#This Row],[Team]], Table1[GameIsOver],1)</f>
        <v>0</v>
      </c>
      <c r="G12">
        <f>COUNTIFS(Table1[HomeTeam],Table2[[#This Row],[Team]], Table1[GameIsOver],1)</f>
        <v>1</v>
      </c>
      <c r="H12">
        <f>Table2[[#This Row],[GP_A]]+Table2[[#This Row],[GP_H]]</f>
        <v>1</v>
      </c>
      <c r="I12">
        <f>84-Table2[[#This Row],[GP]]</f>
        <v>83</v>
      </c>
      <c r="J12">
        <f>COUNTIFS(Table1[AwayTeam], Table2[[#This Row],[Team]], Table1[GameIsOver], 1, Table1[AwayWon],1)</f>
        <v>0</v>
      </c>
      <c r="K12">
        <f>COUNTIFS(Table1[AwayTeam], Table2[[#This Row],[Team]], Table1[GameIsOver], 1, Table1[AwayWon],1, Table1[ActualResult], "REG")</f>
        <v>0</v>
      </c>
      <c r="L12">
        <f>COUNTIFS(Table1[AwayTeam], Table2[[#This Row],[Team]], Table1[GameIsOver], 1, Table1[AwayWon],1, Table1[ActualResult], "OT")</f>
        <v>0</v>
      </c>
      <c r="M12">
        <f>COUNTIFS(Table1[AwayTeam], Table2[[#This Row],[Team]], Table1[GameIsOver], 1, Table1[AwayWon],1, Table1[ActualResult], "SO")</f>
        <v>0</v>
      </c>
      <c r="N12">
        <f>COUNTIFS(Table1[AwayTeam], Table2[[#This Row],[Team]], Table1[GameIsOver], 1, Table1[AwayWon],0)</f>
        <v>0</v>
      </c>
      <c r="O12">
        <f>COUNTIFS(Table1[AwayTeam], Table2[[#This Row],[Team]], Table1[GameIsOver], 1, Table1[AwayWon],0, Table1[ActualResult], "REG")</f>
        <v>0</v>
      </c>
      <c r="P12">
        <f>COUNTIFS(Table1[AwayTeam], Table2[[#This Row],[Team]], Table1[GameIsOver], 1, Table1[AwayWon],0, Table1[ActualResult], "OT")</f>
        <v>0</v>
      </c>
      <c r="Q12">
        <f>COUNTIFS(Table1[AwayTeam], Table2[[#This Row],[Team]], Table1[GameIsOver], 1, Table1[AwayWon],0, Table1[ActualResult], "SO")</f>
        <v>0</v>
      </c>
      <c r="R12">
        <f>COUNTIFS(Table1[HomeTeam], Table2[[#This Row],[Team]], Table1[GameIsOver], 1, Table1[HomeWon],1)</f>
        <v>1</v>
      </c>
      <c r="S12">
        <f>COUNTIFS(Table1[HomeTeam], Table2[[#This Row],[Team]], Table1[GameIsOver], 1, Table1[HomeWon],1, Table1[ActualResult], "REG")</f>
        <v>0</v>
      </c>
      <c r="T12">
        <f>COUNTIFS(Table1[HomeTeam], Table2[[#This Row],[Team]], Table1[GameIsOver], 1, Table1[HomeWon],1, Table1[ActualResult], "OT")</f>
        <v>0</v>
      </c>
      <c r="U12">
        <f>COUNTIFS(Table1[HomeTeam], Table2[[#This Row],[Team]], Table1[GameIsOver], 1, Table1[HomeWon],1, Table1[ActualResult], "SO")</f>
        <v>1</v>
      </c>
      <c r="V12">
        <f>COUNTIFS(Table1[HomeTeam], Table2[[#This Row],[Team]], Table1[GameIsOver], 1, Table1[HomeWon],0)</f>
        <v>0</v>
      </c>
      <c r="W12">
        <f>COUNTIFS(Table1[HomeTeam], Table2[[#This Row],[Team]], Table1[GameIsOver], 1, Table1[HomeWon],0, Table1[ActualResult], "REG")</f>
        <v>0</v>
      </c>
      <c r="X12">
        <f>COUNTIFS(Table1[HomeTeam], Table2[[#This Row],[Team]], Table1[GameIsOver], 1, Table1[HomeWon],0, Table1[ActualResult], "OT")</f>
        <v>0</v>
      </c>
      <c r="Y12">
        <f>COUNTIFS(Table1[HomeTeam], Table2[[#This Row],[Team]], Table1[GameIsOver], 1, Table1[HomeWon],0, Table1[ActualResult], "SO")</f>
        <v>0</v>
      </c>
      <c r="Z12" s="50">
        <f>Table2[[#This Row],[W]]/MAX(1,Table2[[#This Row],[W]]+Table2[[#This Row],[L]])</f>
        <v>1</v>
      </c>
      <c r="AA12" s="43">
        <f>Table2[[#This Row],[W_A]]+Table2[[#This Row],[W_H]]</f>
        <v>1</v>
      </c>
      <c r="AB12" s="43">
        <f>Table2[[#This Row],[L_A]]+Table2[[#This Row],[L_H]]</f>
        <v>0</v>
      </c>
      <c r="AC12" s="43">
        <f>Table2[RW_A]+Table2[RW_H]</f>
        <v>0</v>
      </c>
      <c r="AD12" s="43">
        <f>Table2[RL_A]+Table2[RL_H]</f>
        <v>0</v>
      </c>
      <c r="AE12" s="43">
        <f>Table2[OTW_A]+Table2[OTW_H]</f>
        <v>0</v>
      </c>
      <c r="AF12" s="43">
        <f>Table2[OTL_A]+Table2[OTL_H]</f>
        <v>0</v>
      </c>
      <c r="AG12" s="43">
        <f>Table2[SOW_A]+Table2[SOW_H]</f>
        <v>1</v>
      </c>
      <c r="AH12" s="43">
        <f>Table2[SOL_A]+Table2[SOL_H]</f>
        <v>0</v>
      </c>
      <c r="AI12" s="43" t="str">
        <f>_xlfn.CONCAT(TEXT(Table2[[#This Row],[OTW]]+Table2[[#This Row],[SOW]], "0"), "-", TEXT(Table2[[#This Row],[OTL]]+Table2[[#This Row],[SOL]],"0"))</f>
        <v>1-0</v>
      </c>
      <c r="AJ12" s="43">
        <f>SUM(Table2[[#This Row],[OTW]],Table2[[#This Row],[OTL]],Table2[[#This Row],[SOW]],Table2[[#This Row],[SOL]])</f>
        <v>1</v>
      </c>
      <c r="AK12" s="50">
        <f>(Table2[[#This Row],[OTW]]+Table2[[#This Row],[SOW]])/IF(Table2[[#This Row],[Total_ExtraTimes]]=0,1,Table2[[#This Row],[Total_ExtraTimes]])</f>
        <v>1</v>
      </c>
      <c r="AL12" s="50">
        <f>Table2[[#This Row],[Total_ExtraTimes]]/MAX(1,Table2[[#This Row],[GP]])</f>
        <v>1</v>
      </c>
      <c r="AM12" s="43">
        <f>(2*(Table2[[#This Row],[W_A]]+Table2[[#This Row],[W_H]]))+Table2[[#This Row],[OTL_A]]+Table2[[#This Row],[SOL_A]]+Table2[[#This Row],[OTL_H]]+Table2[[#This Row],[SOL_H]]</f>
        <v>2</v>
      </c>
      <c r="AN12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12" s="43">
        <f>Table2[[#This Row],[PTS]]/(2*Table2[[#This Row],[GP]])</f>
        <v>1</v>
      </c>
      <c r="AP12" s="43">
        <f>Table2[[#This Row],[PTS]]/(3*Table2[[#This Row],[GP]])</f>
        <v>0.66666666666666663</v>
      </c>
      <c r="AQ12" s="43">
        <f>(2*Table2[[#This Row],[GR]])+Table2[[#This Row],[PTS]]</f>
        <v>168</v>
      </c>
      <c r="AR12" s="43">
        <f>(3*Table2[[#This Row],[GR]])+Table2[[#This Row],[PTS]]</f>
        <v>251</v>
      </c>
      <c r="AS12" s="43">
        <f>Table2[[#This Row],[PTS]]+(2 * Table2[[#This Row],[GR]] * Table2[[#This Row],[PTS%]])</f>
        <v>168</v>
      </c>
      <c r="AT12" s="43">
        <f>Table2[[#This Row],[PTS]]+(3 * Table2[[#This Row],[GR]] * Table2[[#This Row],[PTS%]])</f>
        <v>251</v>
      </c>
      <c r="AU12" s="43" t="str">
        <f>_xlfn.CONCAT(TEXT(Table2[[#This Row],[W]], "0"), "-", TEXT(Table2[[#This Row],[RL]],"0"), "-", TEXT(Table2[[#This Row],[OTL]]+Table2[[#This Row],[SOL]], "0"))</f>
        <v>1-0-0</v>
      </c>
      <c r="AV12" s="43">
        <f>SUMIF(Table1[AwayTeam], Table2[[#This Row],[Team]], Table1[ActualAwayScore])</f>
        <v>0</v>
      </c>
      <c r="AW12" s="43">
        <f>SUMIF(Table1[AwayTeam], Table2[[#This Row],[Team]], Table1[ActualHomeScore])</f>
        <v>0</v>
      </c>
      <c r="AX12" s="43">
        <f>Table2[[#This Row],[GF_A]]-Table2[[#This Row],[GA_A]]</f>
        <v>0</v>
      </c>
      <c r="AY12" s="43">
        <f>SUMIF(Table1[HomeTeam], Table2[[#This Row],[Team]], Table1[ActualHomeScore])</f>
        <v>3</v>
      </c>
      <c r="AZ12" s="43">
        <f>SUMIF(Table1[HomeTeam], Table2[[#This Row],[Team]], Table1[ActualAwayScore])</f>
        <v>2</v>
      </c>
      <c r="BA12" s="43">
        <f>Table2[[#This Row],[GF_H]]-Table2[[#This Row],[GA_H]]</f>
        <v>1</v>
      </c>
      <c r="BB12" s="43">
        <f>SUMIFS(Table1[ActualAwayScore], Table1[AwayTeam], Table2[[#This Row],[Team]], Table1[AwayWon],1)+SUMIFS(Table1[ActualHomeScore], Table1[HomeTeam], Table2[[#This Row],[Team]], Table1[HomeWon],1)</f>
        <v>3</v>
      </c>
      <c r="BC12" s="43">
        <f>SUMIFS(Table1[ActualAwayScore], Table1[AwayTeam], Table2[[#This Row],[Team]], Table1[AwayWon],0) + SUMIFS(Table1[ActualHomeScore], Table1[HomeTeam], Table2[[#This Row],[Team]], Table1[HomeWon],0)</f>
        <v>0</v>
      </c>
      <c r="BD12" s="43">
        <f>Table2[[#This Row],[GF_W]]-Table2[[#This Row],[GF_L]]</f>
        <v>3</v>
      </c>
      <c r="BE12" s="43">
        <f>Table2[[#This Row],[GF_A]]+Table2[[#This Row],[GF_H]]</f>
        <v>3</v>
      </c>
      <c r="BF12" s="43">
        <f>Table2[[#This Row],[GA_A]]+Table2[[#This Row],[GA_H]]</f>
        <v>2</v>
      </c>
      <c r="BG12" s="43">
        <f>Table2[[#This Row],[GF]]-Table2[[#This Row],[GA]]</f>
        <v>1</v>
      </c>
      <c r="BH12" s="43">
        <f>Table2[[#This Row],[GF]]/Table2[[#This Row],[GP]]</f>
        <v>3</v>
      </c>
      <c r="BI12" s="43">
        <f>Table2[[#This Row],[GA]]/Table2[[#This Row],[GP]]</f>
        <v>2</v>
      </c>
      <c r="BJ12" s="43">
        <f>Table2[[#This Row],[GFPG]]-Table2[[#This Row],[GAPG]]</f>
        <v>1</v>
      </c>
      <c r="BK12" s="43" t="str">
        <f>_xlfn.CONCAT(TEXT(Table2[[#This Row],[W_A]], "0"), "-", TEXT(Table2[[#This Row],[RL_A]],"0"), "-", TEXT(Table2[[#This Row],[OTL_A]]+Table2[[#This Row],[SOL_A]], "0"))</f>
        <v>0-0-0</v>
      </c>
      <c r="BL12" s="43" t="str">
        <f>_xlfn.CONCAT(TEXT(Table2[[#This Row],[W_H]], "0"), "-", TEXT(Table2[[#This Row],[RL_H]],"0"), "-", TEXT(Table2[[#This Row],[OTL_H]]+Table2[[#This Row],[SOL_H]], "0"))</f>
        <v>1-0-0</v>
      </c>
    </row>
    <row r="13" spans="1:64" x14ac:dyDescent="0.25">
      <c r="A13" t="s">
        <v>17</v>
      </c>
      <c r="B13" t="s">
        <v>63</v>
      </c>
      <c r="C13" t="s">
        <v>67</v>
      </c>
      <c r="D13">
        <f>COUNTIFS(Table1[AwayTeam],Table2[[#This Row],[Team]],Table1[GameIsOver], 1, Table1[WatchedGame],1) + COUNTIFS(Table1[HomeTeam],Table2[[#This Row],[Team]],Table1[GameIsOver],1,Table1[WatchedGame],1)</f>
        <v>1</v>
      </c>
      <c r="F13">
        <f>COUNTIFS(Table1[AwayTeam],Table2[[#This Row],[Team]], Table1[GameIsOver],1)</f>
        <v>0</v>
      </c>
      <c r="G13">
        <f>COUNTIFS(Table1[HomeTeam],Table2[[#This Row],[Team]], Table1[GameIsOver],1)</f>
        <v>1</v>
      </c>
      <c r="H13">
        <f>Table2[[#This Row],[GP_A]]+Table2[[#This Row],[GP_H]]</f>
        <v>1</v>
      </c>
      <c r="I13">
        <f>84-Table2[[#This Row],[GP]]</f>
        <v>83</v>
      </c>
      <c r="J13">
        <f>COUNTIFS(Table1[AwayTeam], Table2[[#This Row],[Team]], Table1[GameIsOver], 1, Table1[AwayWon],1)</f>
        <v>0</v>
      </c>
      <c r="K13">
        <f>COUNTIFS(Table1[AwayTeam], Table2[[#This Row],[Team]], Table1[GameIsOver], 1, Table1[AwayWon],1, Table1[ActualResult], "REG")</f>
        <v>0</v>
      </c>
      <c r="L13">
        <f>COUNTIFS(Table1[AwayTeam], Table2[[#This Row],[Team]], Table1[GameIsOver], 1, Table1[AwayWon],1, Table1[ActualResult], "OT")</f>
        <v>0</v>
      </c>
      <c r="M13">
        <f>COUNTIFS(Table1[AwayTeam], Table2[[#This Row],[Team]], Table1[GameIsOver], 1, Table1[AwayWon],1, Table1[ActualResult], "SO")</f>
        <v>0</v>
      </c>
      <c r="N13">
        <f>COUNTIFS(Table1[AwayTeam], Table2[[#This Row],[Team]], Table1[GameIsOver], 1, Table1[AwayWon],0)</f>
        <v>0</v>
      </c>
      <c r="O13">
        <f>COUNTIFS(Table1[AwayTeam], Table2[[#This Row],[Team]], Table1[GameIsOver], 1, Table1[AwayWon],0, Table1[ActualResult], "REG")</f>
        <v>0</v>
      </c>
      <c r="P13">
        <f>COUNTIFS(Table1[AwayTeam], Table2[[#This Row],[Team]], Table1[GameIsOver], 1, Table1[AwayWon],0, Table1[ActualResult], "OT")</f>
        <v>0</v>
      </c>
      <c r="Q13">
        <f>COUNTIFS(Table1[AwayTeam], Table2[[#This Row],[Team]], Table1[GameIsOver], 1, Table1[AwayWon],0, Table1[ActualResult], "SO")</f>
        <v>0</v>
      </c>
      <c r="R13">
        <f>COUNTIFS(Table1[HomeTeam], Table2[[#This Row],[Team]], Table1[GameIsOver], 1, Table1[HomeWon],1)</f>
        <v>0</v>
      </c>
      <c r="S13">
        <f>COUNTIFS(Table1[HomeTeam], Table2[[#This Row],[Team]], Table1[GameIsOver], 1, Table1[HomeWon],1, Table1[ActualResult], "REG")</f>
        <v>0</v>
      </c>
      <c r="T13">
        <f>COUNTIFS(Table1[HomeTeam], Table2[[#This Row],[Team]], Table1[GameIsOver], 1, Table1[HomeWon],1, Table1[ActualResult], "OT")</f>
        <v>0</v>
      </c>
      <c r="U13">
        <f>COUNTIFS(Table1[HomeTeam], Table2[[#This Row],[Team]], Table1[GameIsOver], 1, Table1[HomeWon],1, Table1[ActualResult], "SO")</f>
        <v>0</v>
      </c>
      <c r="V13">
        <f>COUNTIFS(Table1[HomeTeam], Table2[[#This Row],[Team]], Table1[GameIsOver], 1, Table1[HomeWon],0)</f>
        <v>1</v>
      </c>
      <c r="W13">
        <f>COUNTIFS(Table1[HomeTeam], Table2[[#This Row],[Team]], Table1[GameIsOver], 1, Table1[HomeWon],0, Table1[ActualResult], "REG")</f>
        <v>1</v>
      </c>
      <c r="X13">
        <f>COUNTIFS(Table1[HomeTeam], Table2[[#This Row],[Team]], Table1[GameIsOver], 1, Table1[HomeWon],0, Table1[ActualResult], "OT")</f>
        <v>0</v>
      </c>
      <c r="Y13">
        <f>COUNTIFS(Table1[HomeTeam], Table2[[#This Row],[Team]], Table1[GameIsOver], 1, Table1[HomeWon],0, Table1[ActualResult], "SO")</f>
        <v>0</v>
      </c>
      <c r="Z13" s="50">
        <f>Table2[[#This Row],[W]]/MAX(1,Table2[[#This Row],[W]]+Table2[[#This Row],[L]])</f>
        <v>0</v>
      </c>
      <c r="AA13" s="43">
        <f>Table2[[#This Row],[W_A]]+Table2[[#This Row],[W_H]]</f>
        <v>0</v>
      </c>
      <c r="AB13" s="43">
        <f>Table2[[#This Row],[L_A]]+Table2[[#This Row],[L_H]]</f>
        <v>1</v>
      </c>
      <c r="AC13" s="43">
        <f>Table2[RW_A]+Table2[RW_H]</f>
        <v>0</v>
      </c>
      <c r="AD13" s="43">
        <f>Table2[RL_A]+Table2[RL_H]</f>
        <v>1</v>
      </c>
      <c r="AE13" s="43">
        <f>Table2[OTW_A]+Table2[OTW_H]</f>
        <v>0</v>
      </c>
      <c r="AF13" s="43">
        <f>Table2[OTL_A]+Table2[OTL_H]</f>
        <v>0</v>
      </c>
      <c r="AG13" s="43">
        <f>Table2[SOW_A]+Table2[SOW_H]</f>
        <v>0</v>
      </c>
      <c r="AH13" s="43">
        <f>Table2[SOL_A]+Table2[SOL_H]</f>
        <v>0</v>
      </c>
      <c r="AI13" s="43" t="str">
        <f>_xlfn.CONCAT(TEXT(Table2[[#This Row],[OTW]]+Table2[[#This Row],[SOW]], "0"), "-", TEXT(Table2[[#This Row],[OTL]]+Table2[[#This Row],[SOL]],"0"))</f>
        <v>0-0</v>
      </c>
      <c r="AJ13" s="43">
        <f>SUM(Table2[[#This Row],[OTW]],Table2[[#This Row],[OTL]],Table2[[#This Row],[SOW]],Table2[[#This Row],[SOL]])</f>
        <v>0</v>
      </c>
      <c r="AK13" s="50">
        <f>(Table2[[#This Row],[OTW]]+Table2[[#This Row],[SOW]])/IF(Table2[[#This Row],[Total_ExtraTimes]]=0,1,Table2[[#This Row],[Total_ExtraTimes]])</f>
        <v>0</v>
      </c>
      <c r="AL13" s="50">
        <f>Table2[[#This Row],[Total_ExtraTimes]]/MAX(1,Table2[[#This Row],[GP]])</f>
        <v>0</v>
      </c>
      <c r="AM13" s="43">
        <f>(2*(Table2[[#This Row],[W_A]]+Table2[[#This Row],[W_H]]))+Table2[[#This Row],[OTL_A]]+Table2[[#This Row],[SOL_A]]+Table2[[#This Row],[OTL_H]]+Table2[[#This Row],[SOL_H]]</f>
        <v>0</v>
      </c>
      <c r="AN13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13" s="43">
        <f>Table2[[#This Row],[PTS]]/(2*Table2[[#This Row],[GP]])</f>
        <v>0</v>
      </c>
      <c r="AP13" s="43">
        <f>Table2[[#This Row],[PTS]]/(3*Table2[[#This Row],[GP]])</f>
        <v>0</v>
      </c>
      <c r="AQ13" s="43">
        <f>(2*Table2[[#This Row],[GR]])+Table2[[#This Row],[PTS]]</f>
        <v>166</v>
      </c>
      <c r="AR13" s="43">
        <f>(3*Table2[[#This Row],[GR]])+Table2[[#This Row],[PTS]]</f>
        <v>249</v>
      </c>
      <c r="AS13" s="43">
        <f>Table2[[#This Row],[PTS]]+(2 * Table2[[#This Row],[GR]] * Table2[[#This Row],[PTS%]])</f>
        <v>0</v>
      </c>
      <c r="AT13" s="43">
        <f>Table2[[#This Row],[PTS]]+(3 * Table2[[#This Row],[GR]] * Table2[[#This Row],[PTS%]])</f>
        <v>0</v>
      </c>
      <c r="AU13" s="43" t="str">
        <f>_xlfn.CONCAT(TEXT(Table2[[#This Row],[W]], "0"), "-", TEXT(Table2[[#This Row],[RL]],"0"), "-", TEXT(Table2[[#This Row],[OTL]]+Table2[[#This Row],[SOL]], "0"))</f>
        <v>0-1-0</v>
      </c>
      <c r="AV13" s="43">
        <f>SUMIF(Table1[AwayTeam], Table2[[#This Row],[Team]], Table1[ActualAwayScore])</f>
        <v>0</v>
      </c>
      <c r="AW13" s="43">
        <f>SUMIF(Table1[AwayTeam], Table2[[#This Row],[Team]], Table1[ActualHomeScore])</f>
        <v>0</v>
      </c>
      <c r="AX13" s="43">
        <f>Table2[[#This Row],[GF_A]]-Table2[[#This Row],[GA_A]]</f>
        <v>0</v>
      </c>
      <c r="AY13" s="43">
        <f>SUMIF(Table1[HomeTeam], Table2[[#This Row],[Team]], Table1[ActualHomeScore])</f>
        <v>3</v>
      </c>
      <c r="AZ13" s="43">
        <f>SUMIF(Table1[HomeTeam], Table2[[#This Row],[Team]], Table1[ActualAwayScore])</f>
        <v>6</v>
      </c>
      <c r="BA13" s="43">
        <f>Table2[[#This Row],[GF_H]]-Table2[[#This Row],[GA_H]]</f>
        <v>-3</v>
      </c>
      <c r="BB13" s="43">
        <f>SUMIFS(Table1[ActualAwayScore], Table1[AwayTeam], Table2[[#This Row],[Team]], Table1[AwayWon],1)+SUMIFS(Table1[ActualHomeScore], Table1[HomeTeam], Table2[[#This Row],[Team]], Table1[HomeWon],1)</f>
        <v>0</v>
      </c>
      <c r="BC13" s="43">
        <f>SUMIFS(Table1[ActualAwayScore], Table1[AwayTeam], Table2[[#This Row],[Team]], Table1[AwayWon],0) + SUMIFS(Table1[ActualHomeScore], Table1[HomeTeam], Table2[[#This Row],[Team]], Table1[HomeWon],0)</f>
        <v>3</v>
      </c>
      <c r="BD13" s="43">
        <f>Table2[[#This Row],[GF_W]]-Table2[[#This Row],[GF_L]]</f>
        <v>-3</v>
      </c>
      <c r="BE13" s="43">
        <f>Table2[[#This Row],[GF_A]]+Table2[[#This Row],[GF_H]]</f>
        <v>3</v>
      </c>
      <c r="BF13" s="43">
        <f>Table2[[#This Row],[GA_A]]+Table2[[#This Row],[GA_H]]</f>
        <v>6</v>
      </c>
      <c r="BG13" s="43">
        <f>Table2[[#This Row],[GF]]-Table2[[#This Row],[GA]]</f>
        <v>-3</v>
      </c>
      <c r="BH13" s="43">
        <f>Table2[[#This Row],[GF]]/Table2[[#This Row],[GP]]</f>
        <v>3</v>
      </c>
      <c r="BI13" s="43">
        <f>Table2[[#This Row],[GA]]/Table2[[#This Row],[GP]]</f>
        <v>6</v>
      </c>
      <c r="BJ13" s="43">
        <f>Table2[[#This Row],[GFPG]]-Table2[[#This Row],[GAPG]]</f>
        <v>-3</v>
      </c>
      <c r="BK13" s="43" t="str">
        <f>_xlfn.CONCAT(TEXT(Table2[[#This Row],[W_A]], "0"), "-", TEXT(Table2[[#This Row],[RL_A]],"0"), "-", TEXT(Table2[[#This Row],[OTL_A]]+Table2[[#This Row],[SOL_A]], "0"))</f>
        <v>0-0-0</v>
      </c>
      <c r="BL13" s="43" t="str">
        <f>_xlfn.CONCAT(TEXT(Table2[[#This Row],[W_H]], "0"), "-", TEXT(Table2[[#This Row],[RL_H]],"0"), "-", TEXT(Table2[[#This Row],[OTL_H]]+Table2[[#This Row],[SOL_H]], "0"))</f>
        <v>0-1-0</v>
      </c>
    </row>
    <row r="14" spans="1:64" x14ac:dyDescent="0.25">
      <c r="A14" t="s">
        <v>46</v>
      </c>
      <c r="B14" t="s">
        <v>62</v>
      </c>
      <c r="C14" t="s">
        <v>66</v>
      </c>
      <c r="D14">
        <f>COUNTIFS(Table1[AwayTeam],Table2[[#This Row],[Team]],Table1[GameIsOver], 1, Table1[WatchedGame],1) + COUNTIFS(Table1[HomeTeam],Table2[[#This Row],[Team]],Table1[GameIsOver],1,Table1[WatchedGame],1)</f>
        <v>0</v>
      </c>
      <c r="F14">
        <f>COUNTIFS(Table1[AwayTeam],Table2[[#This Row],[Team]], Table1[GameIsOver],1)</f>
        <v>1</v>
      </c>
      <c r="G14">
        <f>COUNTIFS(Table1[HomeTeam],Table2[[#This Row],[Team]], Table1[GameIsOver],1)</f>
        <v>0</v>
      </c>
      <c r="H14">
        <f>Table2[[#This Row],[GP_A]]+Table2[[#This Row],[GP_H]]</f>
        <v>1</v>
      </c>
      <c r="I14">
        <f>84-Table2[[#This Row],[GP]]</f>
        <v>83</v>
      </c>
      <c r="J14">
        <f>COUNTIFS(Table1[AwayTeam], Table2[[#This Row],[Team]], Table1[GameIsOver], 1, Table1[AwayWon],1)</f>
        <v>0</v>
      </c>
      <c r="K14">
        <f>COUNTIFS(Table1[AwayTeam], Table2[[#This Row],[Team]], Table1[GameIsOver], 1, Table1[AwayWon],1, Table1[ActualResult], "REG")</f>
        <v>0</v>
      </c>
      <c r="L14">
        <f>COUNTIFS(Table1[AwayTeam], Table2[[#This Row],[Team]], Table1[GameIsOver], 1, Table1[AwayWon],1, Table1[ActualResult], "OT")</f>
        <v>0</v>
      </c>
      <c r="M14">
        <f>COUNTIFS(Table1[AwayTeam], Table2[[#This Row],[Team]], Table1[GameIsOver], 1, Table1[AwayWon],1, Table1[ActualResult], "SO")</f>
        <v>0</v>
      </c>
      <c r="N14">
        <f>COUNTIFS(Table1[AwayTeam], Table2[[#This Row],[Team]], Table1[GameIsOver], 1, Table1[AwayWon],0)</f>
        <v>1</v>
      </c>
      <c r="O14">
        <f>COUNTIFS(Table1[AwayTeam], Table2[[#This Row],[Team]], Table1[GameIsOver], 1, Table1[AwayWon],0, Table1[ActualResult], "REG")</f>
        <v>0</v>
      </c>
      <c r="P14">
        <f>COUNTIFS(Table1[AwayTeam], Table2[[#This Row],[Team]], Table1[GameIsOver], 1, Table1[AwayWon],0, Table1[ActualResult], "OT")</f>
        <v>0</v>
      </c>
      <c r="Q14">
        <f>COUNTIFS(Table1[AwayTeam], Table2[[#This Row],[Team]], Table1[GameIsOver], 1, Table1[AwayWon],0, Table1[ActualResult], "SO")</f>
        <v>1</v>
      </c>
      <c r="R14">
        <f>COUNTIFS(Table1[HomeTeam], Table2[[#This Row],[Team]], Table1[GameIsOver], 1, Table1[HomeWon],1)</f>
        <v>0</v>
      </c>
      <c r="S14">
        <f>COUNTIFS(Table1[HomeTeam], Table2[[#This Row],[Team]], Table1[GameIsOver], 1, Table1[HomeWon],1, Table1[ActualResult], "REG")</f>
        <v>0</v>
      </c>
      <c r="T14">
        <f>COUNTIFS(Table1[HomeTeam], Table2[[#This Row],[Team]], Table1[GameIsOver], 1, Table1[HomeWon],1, Table1[ActualResult], "OT")</f>
        <v>0</v>
      </c>
      <c r="U14">
        <f>COUNTIFS(Table1[HomeTeam], Table2[[#This Row],[Team]], Table1[GameIsOver], 1, Table1[HomeWon],1, Table1[ActualResult], "SO")</f>
        <v>0</v>
      </c>
      <c r="V14">
        <f>COUNTIFS(Table1[HomeTeam], Table2[[#This Row],[Team]], Table1[GameIsOver], 1, Table1[HomeWon],0)</f>
        <v>0</v>
      </c>
      <c r="W14">
        <f>COUNTIFS(Table1[HomeTeam], Table2[[#This Row],[Team]], Table1[GameIsOver], 1, Table1[HomeWon],0, Table1[ActualResult], "REG")</f>
        <v>0</v>
      </c>
      <c r="X14">
        <f>COUNTIFS(Table1[HomeTeam], Table2[[#This Row],[Team]], Table1[GameIsOver], 1, Table1[HomeWon],0, Table1[ActualResult], "OT")</f>
        <v>0</v>
      </c>
      <c r="Y14">
        <f>COUNTIFS(Table1[HomeTeam], Table2[[#This Row],[Team]], Table1[GameIsOver], 1, Table1[HomeWon],0, Table1[ActualResult], "SO")</f>
        <v>0</v>
      </c>
      <c r="Z14" s="50">
        <f>Table2[[#This Row],[W]]/MAX(1,Table2[[#This Row],[W]]+Table2[[#This Row],[L]])</f>
        <v>0</v>
      </c>
      <c r="AA14" s="43">
        <f>Table2[[#This Row],[W_A]]+Table2[[#This Row],[W_H]]</f>
        <v>0</v>
      </c>
      <c r="AB14" s="43">
        <f>Table2[[#This Row],[L_A]]+Table2[[#This Row],[L_H]]</f>
        <v>1</v>
      </c>
      <c r="AC14" s="43">
        <f>Table2[RW_A]+Table2[RW_H]</f>
        <v>0</v>
      </c>
      <c r="AD14" s="43">
        <f>Table2[RL_A]+Table2[RL_H]</f>
        <v>0</v>
      </c>
      <c r="AE14" s="43">
        <f>Table2[OTW_A]+Table2[OTW_H]</f>
        <v>0</v>
      </c>
      <c r="AF14" s="43">
        <f>Table2[OTL_A]+Table2[OTL_H]</f>
        <v>0</v>
      </c>
      <c r="AG14" s="43">
        <f>Table2[SOW_A]+Table2[SOW_H]</f>
        <v>0</v>
      </c>
      <c r="AH14" s="43">
        <f>Table2[SOL_A]+Table2[SOL_H]</f>
        <v>1</v>
      </c>
      <c r="AI14" s="43" t="str">
        <f>_xlfn.CONCAT(TEXT(Table2[[#This Row],[OTW]]+Table2[[#This Row],[SOW]], "0"), "-", TEXT(Table2[[#This Row],[OTL]]+Table2[[#This Row],[SOL]],"0"))</f>
        <v>0-1</v>
      </c>
      <c r="AJ14" s="43">
        <f>SUM(Table2[[#This Row],[OTW]],Table2[[#This Row],[OTL]],Table2[[#This Row],[SOW]],Table2[[#This Row],[SOL]])</f>
        <v>1</v>
      </c>
      <c r="AK14" s="50">
        <f>(Table2[[#This Row],[OTW]]+Table2[[#This Row],[SOW]])/IF(Table2[[#This Row],[Total_ExtraTimes]]=0,1,Table2[[#This Row],[Total_ExtraTimes]])</f>
        <v>0</v>
      </c>
      <c r="AL14" s="50">
        <f>Table2[[#This Row],[Total_ExtraTimes]]/MAX(1,Table2[[#This Row],[GP]])</f>
        <v>1</v>
      </c>
      <c r="AM14" s="43">
        <f>(2*(Table2[[#This Row],[W_A]]+Table2[[#This Row],[W_H]]))+Table2[[#This Row],[OTL_A]]+Table2[[#This Row],[SOL_A]]+Table2[[#This Row],[OTL_H]]+Table2[[#This Row],[SOL_H]]</f>
        <v>1</v>
      </c>
      <c r="AN14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14" s="43">
        <f>Table2[[#This Row],[PTS]]/(2*Table2[[#This Row],[GP]])</f>
        <v>0.5</v>
      </c>
      <c r="AP14" s="43">
        <f>Table2[[#This Row],[PTS]]/(3*Table2[[#This Row],[GP]])</f>
        <v>0.33333333333333331</v>
      </c>
      <c r="AQ14" s="43">
        <f>(2*Table2[[#This Row],[GR]])+Table2[[#This Row],[PTS]]</f>
        <v>167</v>
      </c>
      <c r="AR14" s="43">
        <f>(3*Table2[[#This Row],[GR]])+Table2[[#This Row],[PTS]]</f>
        <v>250</v>
      </c>
      <c r="AS14" s="43">
        <f>Table2[[#This Row],[PTS]]+(2 * Table2[[#This Row],[GR]] * Table2[[#This Row],[PTS%]])</f>
        <v>84</v>
      </c>
      <c r="AT14" s="43">
        <f>Table2[[#This Row],[PTS]]+(3 * Table2[[#This Row],[GR]] * Table2[[#This Row],[PTS%]])</f>
        <v>125.5</v>
      </c>
      <c r="AU14" s="43" t="str">
        <f>_xlfn.CONCAT(TEXT(Table2[[#This Row],[W]], "0"), "-", TEXT(Table2[[#This Row],[RL]],"0"), "-", TEXT(Table2[[#This Row],[OTL]]+Table2[[#This Row],[SOL]], "0"))</f>
        <v>0-0-1</v>
      </c>
      <c r="AV14" s="43">
        <f>SUMIF(Table1[AwayTeam], Table2[[#This Row],[Team]], Table1[ActualAwayScore])</f>
        <v>2</v>
      </c>
      <c r="AW14" s="43">
        <f>SUMIF(Table1[AwayTeam], Table2[[#This Row],[Team]], Table1[ActualHomeScore])</f>
        <v>3</v>
      </c>
      <c r="AX14" s="43">
        <f>Table2[[#This Row],[GF_A]]-Table2[[#This Row],[GA_A]]</f>
        <v>-1</v>
      </c>
      <c r="AY14" s="43">
        <f>SUMIF(Table1[HomeTeam], Table2[[#This Row],[Team]], Table1[ActualHomeScore])</f>
        <v>0</v>
      </c>
      <c r="AZ14" s="43">
        <f>SUMIF(Table1[HomeTeam], Table2[[#This Row],[Team]], Table1[ActualAwayScore])</f>
        <v>0</v>
      </c>
      <c r="BA14" s="43">
        <f>Table2[[#This Row],[GF_H]]-Table2[[#This Row],[GA_H]]</f>
        <v>0</v>
      </c>
      <c r="BB14" s="43">
        <f>SUMIFS(Table1[ActualAwayScore], Table1[AwayTeam], Table2[[#This Row],[Team]], Table1[AwayWon],1)+SUMIFS(Table1[ActualHomeScore], Table1[HomeTeam], Table2[[#This Row],[Team]], Table1[HomeWon],1)</f>
        <v>0</v>
      </c>
      <c r="BC14" s="43">
        <f>SUMIFS(Table1[ActualAwayScore], Table1[AwayTeam], Table2[[#This Row],[Team]], Table1[AwayWon],0) + SUMIFS(Table1[ActualHomeScore], Table1[HomeTeam], Table2[[#This Row],[Team]], Table1[HomeWon],0)</f>
        <v>2</v>
      </c>
      <c r="BD14" s="43">
        <f>Table2[[#This Row],[GF_W]]-Table2[[#This Row],[GF_L]]</f>
        <v>-2</v>
      </c>
      <c r="BE14" s="43">
        <f>Table2[[#This Row],[GF_A]]+Table2[[#This Row],[GF_H]]</f>
        <v>2</v>
      </c>
      <c r="BF14" s="43">
        <f>Table2[[#This Row],[GA_A]]+Table2[[#This Row],[GA_H]]</f>
        <v>3</v>
      </c>
      <c r="BG14" s="43">
        <f>Table2[[#This Row],[GF]]-Table2[[#This Row],[GA]]</f>
        <v>-1</v>
      </c>
      <c r="BH14" s="43">
        <f>Table2[[#This Row],[GF]]/Table2[[#This Row],[GP]]</f>
        <v>2</v>
      </c>
      <c r="BI14" s="43">
        <f>Table2[[#This Row],[GA]]/Table2[[#This Row],[GP]]</f>
        <v>3</v>
      </c>
      <c r="BJ14" s="43">
        <f>Table2[[#This Row],[GFPG]]-Table2[[#This Row],[GAPG]]</f>
        <v>-1</v>
      </c>
      <c r="BK14" s="43" t="str">
        <f>_xlfn.CONCAT(TEXT(Table2[[#This Row],[W_A]], "0"), "-", TEXT(Table2[[#This Row],[RL_A]],"0"), "-", TEXT(Table2[[#This Row],[OTL_A]]+Table2[[#This Row],[SOL_A]], "0"))</f>
        <v>0-0-1</v>
      </c>
      <c r="BL14" s="43" t="str">
        <f>_xlfn.CONCAT(TEXT(Table2[[#This Row],[W_H]], "0"), "-", TEXT(Table2[[#This Row],[RL_H]],"0"), "-", TEXT(Table2[[#This Row],[OTL_H]]+Table2[[#This Row],[SOL_H]], "0"))</f>
        <v>0-0-0</v>
      </c>
    </row>
    <row r="15" spans="1:64" x14ac:dyDescent="0.25">
      <c r="A15" t="s">
        <v>22</v>
      </c>
      <c r="B15" t="s">
        <v>62</v>
      </c>
      <c r="C15" t="s">
        <v>64</v>
      </c>
      <c r="D15">
        <f>COUNTIFS(Table1[AwayTeam],Table2[[#This Row],[Team]],Table1[GameIsOver], 1, Table1[WatchedGame],1) + COUNTIFS(Table1[HomeTeam],Table2[[#This Row],[Team]],Table1[GameIsOver],1,Table1[WatchedGame],1)</f>
        <v>0</v>
      </c>
      <c r="F15">
        <f>COUNTIFS(Table1[AwayTeam],Table2[[#This Row],[Team]], Table1[GameIsOver],1)</f>
        <v>0</v>
      </c>
      <c r="G15">
        <f>COUNTIFS(Table1[HomeTeam],Table2[[#This Row],[Team]], Table1[GameIsOver],1)</f>
        <v>1</v>
      </c>
      <c r="H15">
        <f>Table2[[#This Row],[GP_A]]+Table2[[#This Row],[GP_H]]</f>
        <v>1</v>
      </c>
      <c r="I15">
        <f>84-Table2[[#This Row],[GP]]</f>
        <v>83</v>
      </c>
      <c r="J15">
        <f>COUNTIFS(Table1[AwayTeam], Table2[[#This Row],[Team]], Table1[GameIsOver], 1, Table1[AwayWon],1)</f>
        <v>0</v>
      </c>
      <c r="K15">
        <f>COUNTIFS(Table1[AwayTeam], Table2[[#This Row],[Team]], Table1[GameIsOver], 1, Table1[AwayWon],1, Table1[ActualResult], "REG")</f>
        <v>0</v>
      </c>
      <c r="L15">
        <f>COUNTIFS(Table1[AwayTeam], Table2[[#This Row],[Team]], Table1[GameIsOver], 1, Table1[AwayWon],1, Table1[ActualResult], "OT")</f>
        <v>0</v>
      </c>
      <c r="M15">
        <f>COUNTIFS(Table1[AwayTeam], Table2[[#This Row],[Team]], Table1[GameIsOver], 1, Table1[AwayWon],1, Table1[ActualResult], "SO")</f>
        <v>0</v>
      </c>
      <c r="N15">
        <f>COUNTIFS(Table1[AwayTeam], Table2[[#This Row],[Team]], Table1[GameIsOver], 1, Table1[AwayWon],0)</f>
        <v>0</v>
      </c>
      <c r="O15">
        <f>COUNTIFS(Table1[AwayTeam], Table2[[#This Row],[Team]], Table1[GameIsOver], 1, Table1[AwayWon],0, Table1[ActualResult], "REG")</f>
        <v>0</v>
      </c>
      <c r="P15">
        <f>COUNTIFS(Table1[AwayTeam], Table2[[#This Row],[Team]], Table1[GameIsOver], 1, Table1[AwayWon],0, Table1[ActualResult], "OT")</f>
        <v>0</v>
      </c>
      <c r="Q15">
        <f>COUNTIFS(Table1[AwayTeam], Table2[[#This Row],[Team]], Table1[GameIsOver], 1, Table1[AwayWon],0, Table1[ActualResult], "SO")</f>
        <v>0</v>
      </c>
      <c r="R15">
        <f>COUNTIFS(Table1[HomeTeam], Table2[[#This Row],[Team]], Table1[GameIsOver], 1, Table1[HomeWon],1)</f>
        <v>0</v>
      </c>
      <c r="S15">
        <f>COUNTIFS(Table1[HomeTeam], Table2[[#This Row],[Team]], Table1[GameIsOver], 1, Table1[HomeWon],1, Table1[ActualResult], "REG")</f>
        <v>0</v>
      </c>
      <c r="T15">
        <f>COUNTIFS(Table1[HomeTeam], Table2[[#This Row],[Team]], Table1[GameIsOver], 1, Table1[HomeWon],1, Table1[ActualResult], "OT")</f>
        <v>0</v>
      </c>
      <c r="U15">
        <f>COUNTIFS(Table1[HomeTeam], Table2[[#This Row],[Team]], Table1[GameIsOver], 1, Table1[HomeWon],1, Table1[ActualResult], "SO")</f>
        <v>0</v>
      </c>
      <c r="V15">
        <f>COUNTIFS(Table1[HomeTeam], Table2[[#This Row],[Team]], Table1[GameIsOver], 1, Table1[HomeWon],0)</f>
        <v>1</v>
      </c>
      <c r="W15">
        <f>COUNTIFS(Table1[HomeTeam], Table2[[#This Row],[Team]], Table1[GameIsOver], 1, Table1[HomeWon],0, Table1[ActualResult], "REG")</f>
        <v>1</v>
      </c>
      <c r="X15">
        <f>COUNTIFS(Table1[HomeTeam], Table2[[#This Row],[Team]], Table1[GameIsOver], 1, Table1[HomeWon],0, Table1[ActualResult], "OT")</f>
        <v>0</v>
      </c>
      <c r="Y15">
        <f>COUNTIFS(Table1[HomeTeam], Table2[[#This Row],[Team]], Table1[GameIsOver], 1, Table1[HomeWon],0, Table1[ActualResult], "SO")</f>
        <v>0</v>
      </c>
      <c r="Z15" s="50">
        <f>Table2[[#This Row],[W]]/MAX(1,Table2[[#This Row],[W]]+Table2[[#This Row],[L]])</f>
        <v>0</v>
      </c>
      <c r="AA15" s="43">
        <f>Table2[[#This Row],[W_A]]+Table2[[#This Row],[W_H]]</f>
        <v>0</v>
      </c>
      <c r="AB15" s="43">
        <f>Table2[[#This Row],[L_A]]+Table2[[#This Row],[L_H]]</f>
        <v>1</v>
      </c>
      <c r="AC15" s="43">
        <f>Table2[RW_A]+Table2[RW_H]</f>
        <v>0</v>
      </c>
      <c r="AD15" s="43">
        <f>Table2[RL_A]+Table2[RL_H]</f>
        <v>1</v>
      </c>
      <c r="AE15" s="43">
        <f>Table2[OTW_A]+Table2[OTW_H]</f>
        <v>0</v>
      </c>
      <c r="AF15" s="43">
        <f>Table2[OTL_A]+Table2[OTL_H]</f>
        <v>0</v>
      </c>
      <c r="AG15" s="43">
        <f>Table2[SOW_A]+Table2[SOW_H]</f>
        <v>0</v>
      </c>
      <c r="AH15" s="43">
        <f>Table2[SOL_A]+Table2[SOL_H]</f>
        <v>0</v>
      </c>
      <c r="AI15" s="43" t="str">
        <f>_xlfn.CONCAT(TEXT(Table2[[#This Row],[OTW]]+Table2[[#This Row],[SOW]], "0"), "-", TEXT(Table2[[#This Row],[OTL]]+Table2[[#This Row],[SOL]],"0"))</f>
        <v>0-0</v>
      </c>
      <c r="AJ15" s="43">
        <f>SUM(Table2[[#This Row],[OTW]],Table2[[#This Row],[OTL]],Table2[[#This Row],[SOW]],Table2[[#This Row],[SOL]])</f>
        <v>0</v>
      </c>
      <c r="AK15" s="50">
        <f>(Table2[[#This Row],[OTW]]+Table2[[#This Row],[SOW]])/IF(Table2[[#This Row],[Total_ExtraTimes]]=0,1,Table2[[#This Row],[Total_ExtraTimes]])</f>
        <v>0</v>
      </c>
      <c r="AL15" s="50">
        <f>Table2[[#This Row],[Total_ExtraTimes]]/MAX(1,Table2[[#This Row],[GP]])</f>
        <v>0</v>
      </c>
      <c r="AM15" s="43">
        <f>(2*(Table2[[#This Row],[W_A]]+Table2[[#This Row],[W_H]]))+Table2[[#This Row],[OTL_A]]+Table2[[#This Row],[SOL_A]]+Table2[[#This Row],[OTL_H]]+Table2[[#This Row],[SOL_H]]</f>
        <v>0</v>
      </c>
      <c r="AN15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15" s="43">
        <f>Table2[[#This Row],[PTS]]/(2*Table2[[#This Row],[GP]])</f>
        <v>0</v>
      </c>
      <c r="AP15" s="43">
        <f>Table2[[#This Row],[PTS]]/(3*Table2[[#This Row],[GP]])</f>
        <v>0</v>
      </c>
      <c r="AQ15" s="43">
        <f>(2*Table2[[#This Row],[GR]])+Table2[[#This Row],[PTS]]</f>
        <v>166</v>
      </c>
      <c r="AR15" s="43">
        <f>(3*Table2[[#This Row],[GR]])+Table2[[#This Row],[PTS]]</f>
        <v>249</v>
      </c>
      <c r="AS15" s="43">
        <f>Table2[[#This Row],[PTS]]+(2 * Table2[[#This Row],[GR]] * Table2[[#This Row],[PTS%]])</f>
        <v>0</v>
      </c>
      <c r="AT15" s="43">
        <f>Table2[[#This Row],[PTS]]+(3 * Table2[[#This Row],[GR]] * Table2[[#This Row],[PTS%]])</f>
        <v>0</v>
      </c>
      <c r="AU15" s="43" t="str">
        <f>_xlfn.CONCAT(TEXT(Table2[[#This Row],[W]], "0"), "-", TEXT(Table2[[#This Row],[RL]],"0"), "-", TEXT(Table2[[#This Row],[OTL]]+Table2[[#This Row],[SOL]], "0"))</f>
        <v>0-1-0</v>
      </c>
      <c r="AV15" s="43">
        <f>SUMIF(Table1[AwayTeam], Table2[[#This Row],[Team]], Table1[ActualAwayScore])</f>
        <v>0</v>
      </c>
      <c r="AW15" s="43">
        <f>SUMIF(Table1[AwayTeam], Table2[[#This Row],[Team]], Table1[ActualHomeScore])</f>
        <v>0</v>
      </c>
      <c r="AX15" s="43">
        <f>Table2[[#This Row],[GF_A]]-Table2[[#This Row],[GA_A]]</f>
        <v>0</v>
      </c>
      <c r="AY15" s="43">
        <f>SUMIF(Table1[HomeTeam], Table2[[#This Row],[Team]], Table1[ActualHomeScore])</f>
        <v>3</v>
      </c>
      <c r="AZ15" s="43">
        <f>SUMIF(Table1[HomeTeam], Table2[[#This Row],[Team]], Table1[ActualAwayScore])</f>
        <v>4</v>
      </c>
      <c r="BA15" s="43">
        <f>Table2[[#This Row],[GF_H]]-Table2[[#This Row],[GA_H]]</f>
        <v>-1</v>
      </c>
      <c r="BB15" s="43">
        <f>SUMIFS(Table1[ActualAwayScore], Table1[AwayTeam], Table2[[#This Row],[Team]], Table1[AwayWon],1)+SUMIFS(Table1[ActualHomeScore], Table1[HomeTeam], Table2[[#This Row],[Team]], Table1[HomeWon],1)</f>
        <v>0</v>
      </c>
      <c r="BC15" s="43">
        <f>SUMIFS(Table1[ActualAwayScore], Table1[AwayTeam], Table2[[#This Row],[Team]], Table1[AwayWon],0) + SUMIFS(Table1[ActualHomeScore], Table1[HomeTeam], Table2[[#This Row],[Team]], Table1[HomeWon],0)</f>
        <v>3</v>
      </c>
      <c r="BD15" s="43">
        <f>Table2[[#This Row],[GF_W]]-Table2[[#This Row],[GF_L]]</f>
        <v>-3</v>
      </c>
      <c r="BE15" s="43">
        <f>Table2[[#This Row],[GF_A]]+Table2[[#This Row],[GF_H]]</f>
        <v>3</v>
      </c>
      <c r="BF15" s="43">
        <f>Table2[[#This Row],[GA_A]]+Table2[[#This Row],[GA_H]]</f>
        <v>4</v>
      </c>
      <c r="BG15" s="43">
        <f>Table2[[#This Row],[GF]]-Table2[[#This Row],[GA]]</f>
        <v>-1</v>
      </c>
      <c r="BH15" s="43">
        <f>Table2[[#This Row],[GF]]/Table2[[#This Row],[GP]]</f>
        <v>3</v>
      </c>
      <c r="BI15" s="43">
        <f>Table2[[#This Row],[GA]]/Table2[[#This Row],[GP]]</f>
        <v>4</v>
      </c>
      <c r="BJ15" s="43">
        <f>Table2[[#This Row],[GFPG]]-Table2[[#This Row],[GAPG]]</f>
        <v>-1</v>
      </c>
      <c r="BK15" s="43" t="str">
        <f>_xlfn.CONCAT(TEXT(Table2[[#This Row],[W_A]], "0"), "-", TEXT(Table2[[#This Row],[RL_A]],"0"), "-", TEXT(Table2[[#This Row],[OTL_A]]+Table2[[#This Row],[SOL_A]], "0"))</f>
        <v>0-0-0</v>
      </c>
      <c r="BL15" s="43" t="str">
        <f>_xlfn.CONCAT(TEXT(Table2[[#This Row],[W_H]], "0"), "-", TEXT(Table2[[#This Row],[RL_H]],"0"), "-", TEXT(Table2[[#This Row],[OTL_H]]+Table2[[#This Row],[SOL_H]], "0"))</f>
        <v>0-1-0</v>
      </c>
    </row>
    <row r="16" spans="1:64" x14ac:dyDescent="0.25">
      <c r="A16" t="s">
        <v>47</v>
      </c>
      <c r="B16" t="s">
        <v>63</v>
      </c>
      <c r="C16" t="s">
        <v>67</v>
      </c>
      <c r="D16">
        <f>COUNTIFS(Table1[AwayTeam],Table2[[#This Row],[Team]],Table1[GameIsOver], 1, Table1[WatchedGame],1) + COUNTIFS(Table1[HomeTeam],Table2[[#This Row],[Team]],Table1[GameIsOver],1,Table1[WatchedGame],1)</f>
        <v>0</v>
      </c>
      <c r="F16">
        <f>COUNTIFS(Table1[AwayTeam],Table2[[#This Row],[Team]], Table1[GameIsOver],1)</f>
        <v>1</v>
      </c>
      <c r="G16">
        <f>COUNTIFS(Table1[HomeTeam],Table2[[#This Row],[Team]], Table1[GameIsOver],1)</f>
        <v>0</v>
      </c>
      <c r="H16">
        <f>Table2[[#This Row],[GP_A]]+Table2[[#This Row],[GP_H]]</f>
        <v>1</v>
      </c>
      <c r="I16">
        <f>84-Table2[[#This Row],[GP]]</f>
        <v>83</v>
      </c>
      <c r="J16">
        <f>COUNTIFS(Table1[AwayTeam], Table2[[#This Row],[Team]], Table1[GameIsOver], 1, Table1[AwayWon],1)</f>
        <v>0</v>
      </c>
      <c r="K16">
        <f>COUNTIFS(Table1[AwayTeam], Table2[[#This Row],[Team]], Table1[GameIsOver], 1, Table1[AwayWon],1, Table1[ActualResult], "REG")</f>
        <v>0</v>
      </c>
      <c r="L16">
        <f>COUNTIFS(Table1[AwayTeam], Table2[[#This Row],[Team]], Table1[GameIsOver], 1, Table1[AwayWon],1, Table1[ActualResult], "OT")</f>
        <v>0</v>
      </c>
      <c r="M16">
        <f>COUNTIFS(Table1[AwayTeam], Table2[[#This Row],[Team]], Table1[GameIsOver], 1, Table1[AwayWon],1, Table1[ActualResult], "SO")</f>
        <v>0</v>
      </c>
      <c r="N16">
        <f>COUNTIFS(Table1[AwayTeam], Table2[[#This Row],[Team]], Table1[GameIsOver], 1, Table1[AwayWon],0)</f>
        <v>1</v>
      </c>
      <c r="O16">
        <f>COUNTIFS(Table1[AwayTeam], Table2[[#This Row],[Team]], Table1[GameIsOver], 1, Table1[AwayWon],0, Table1[ActualResult], "REG")</f>
        <v>0</v>
      </c>
      <c r="P16">
        <f>COUNTIFS(Table1[AwayTeam], Table2[[#This Row],[Team]], Table1[GameIsOver], 1, Table1[AwayWon],0, Table1[ActualResult], "OT")</f>
        <v>0</v>
      </c>
      <c r="Q16">
        <f>COUNTIFS(Table1[AwayTeam], Table2[[#This Row],[Team]], Table1[GameIsOver], 1, Table1[AwayWon],0, Table1[ActualResult], "SO")</f>
        <v>1</v>
      </c>
      <c r="R16">
        <f>COUNTIFS(Table1[HomeTeam], Table2[[#This Row],[Team]], Table1[GameIsOver], 1, Table1[HomeWon],1)</f>
        <v>0</v>
      </c>
      <c r="S16">
        <f>COUNTIFS(Table1[HomeTeam], Table2[[#This Row],[Team]], Table1[GameIsOver], 1, Table1[HomeWon],1, Table1[ActualResult], "REG")</f>
        <v>0</v>
      </c>
      <c r="T16">
        <f>COUNTIFS(Table1[HomeTeam], Table2[[#This Row],[Team]], Table1[GameIsOver], 1, Table1[HomeWon],1, Table1[ActualResult], "OT")</f>
        <v>0</v>
      </c>
      <c r="U16">
        <f>COUNTIFS(Table1[HomeTeam], Table2[[#This Row],[Team]], Table1[GameIsOver], 1, Table1[HomeWon],1, Table1[ActualResult], "SO")</f>
        <v>0</v>
      </c>
      <c r="V16">
        <f>COUNTIFS(Table1[HomeTeam], Table2[[#This Row],[Team]], Table1[GameIsOver], 1, Table1[HomeWon],0)</f>
        <v>0</v>
      </c>
      <c r="W16">
        <f>COUNTIFS(Table1[HomeTeam], Table2[[#This Row],[Team]], Table1[GameIsOver], 1, Table1[HomeWon],0, Table1[ActualResult], "REG")</f>
        <v>0</v>
      </c>
      <c r="X16">
        <f>COUNTIFS(Table1[HomeTeam], Table2[[#This Row],[Team]], Table1[GameIsOver], 1, Table1[HomeWon],0, Table1[ActualResult], "OT")</f>
        <v>0</v>
      </c>
      <c r="Y16">
        <f>COUNTIFS(Table1[HomeTeam], Table2[[#This Row],[Team]], Table1[GameIsOver], 1, Table1[HomeWon],0, Table1[ActualResult], "SO")</f>
        <v>0</v>
      </c>
      <c r="Z16" s="50">
        <f>Table2[[#This Row],[W]]/MAX(1,Table2[[#This Row],[W]]+Table2[[#This Row],[L]])</f>
        <v>0</v>
      </c>
      <c r="AA16" s="43">
        <f>Table2[[#This Row],[W_A]]+Table2[[#This Row],[W_H]]</f>
        <v>0</v>
      </c>
      <c r="AB16" s="43">
        <f>Table2[[#This Row],[L_A]]+Table2[[#This Row],[L_H]]</f>
        <v>1</v>
      </c>
      <c r="AC16" s="43">
        <f>Table2[RW_A]+Table2[RW_H]</f>
        <v>0</v>
      </c>
      <c r="AD16" s="43">
        <f>Table2[RL_A]+Table2[RL_H]</f>
        <v>0</v>
      </c>
      <c r="AE16" s="43">
        <f>Table2[OTW_A]+Table2[OTW_H]</f>
        <v>0</v>
      </c>
      <c r="AF16" s="43">
        <f>Table2[OTL_A]+Table2[OTL_H]</f>
        <v>0</v>
      </c>
      <c r="AG16" s="43">
        <f>Table2[SOW_A]+Table2[SOW_H]</f>
        <v>0</v>
      </c>
      <c r="AH16" s="43">
        <f>Table2[SOL_A]+Table2[SOL_H]</f>
        <v>1</v>
      </c>
      <c r="AI16" s="43" t="str">
        <f>_xlfn.CONCAT(TEXT(Table2[[#This Row],[OTW]]+Table2[[#This Row],[SOW]], "0"), "-", TEXT(Table2[[#This Row],[OTL]]+Table2[[#This Row],[SOL]],"0"))</f>
        <v>0-1</v>
      </c>
      <c r="AJ16" s="43">
        <f>SUM(Table2[[#This Row],[OTW]],Table2[[#This Row],[OTL]],Table2[[#This Row],[SOW]],Table2[[#This Row],[SOL]])</f>
        <v>1</v>
      </c>
      <c r="AK16" s="50">
        <f>(Table2[[#This Row],[OTW]]+Table2[[#This Row],[SOW]])/IF(Table2[[#This Row],[Total_ExtraTimes]]=0,1,Table2[[#This Row],[Total_ExtraTimes]])</f>
        <v>0</v>
      </c>
      <c r="AL16" s="50">
        <f>Table2[[#This Row],[Total_ExtraTimes]]/MAX(1,Table2[[#This Row],[GP]])</f>
        <v>1</v>
      </c>
      <c r="AM16" s="43">
        <f>(2*(Table2[[#This Row],[W_A]]+Table2[[#This Row],[W_H]]))+Table2[[#This Row],[OTL_A]]+Table2[[#This Row],[SOL_A]]+Table2[[#This Row],[OTL_H]]+Table2[[#This Row],[SOL_H]]</f>
        <v>1</v>
      </c>
      <c r="AN16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16" s="43">
        <f>Table2[[#This Row],[PTS]]/(2*Table2[[#This Row],[GP]])</f>
        <v>0.5</v>
      </c>
      <c r="AP16" s="43">
        <f>Table2[[#This Row],[PTS]]/(3*Table2[[#This Row],[GP]])</f>
        <v>0.33333333333333331</v>
      </c>
      <c r="AQ16" s="43">
        <f>(2*Table2[[#This Row],[GR]])+Table2[[#This Row],[PTS]]</f>
        <v>167</v>
      </c>
      <c r="AR16" s="43">
        <f>(3*Table2[[#This Row],[GR]])+Table2[[#This Row],[PTS]]</f>
        <v>250</v>
      </c>
      <c r="AS16" s="43">
        <f>Table2[[#This Row],[PTS]]+(2 * Table2[[#This Row],[GR]] * Table2[[#This Row],[PTS%]])</f>
        <v>84</v>
      </c>
      <c r="AT16" s="43">
        <f>Table2[[#This Row],[PTS]]+(3 * Table2[[#This Row],[GR]] * Table2[[#This Row],[PTS%]])</f>
        <v>125.5</v>
      </c>
      <c r="AU16" s="43" t="str">
        <f>_xlfn.CONCAT(TEXT(Table2[[#This Row],[W]], "0"), "-", TEXT(Table2[[#This Row],[RL]],"0"), "-", TEXT(Table2[[#This Row],[OTL]]+Table2[[#This Row],[SOL]], "0"))</f>
        <v>0-0-1</v>
      </c>
      <c r="AV16" s="43">
        <f>SUMIF(Table1[AwayTeam], Table2[[#This Row],[Team]], Table1[ActualAwayScore])</f>
        <v>2</v>
      </c>
      <c r="AW16" s="43">
        <f>SUMIF(Table1[AwayTeam], Table2[[#This Row],[Team]], Table1[ActualHomeScore])</f>
        <v>3</v>
      </c>
      <c r="AX16" s="43">
        <f>Table2[[#This Row],[GF_A]]-Table2[[#This Row],[GA_A]]</f>
        <v>-1</v>
      </c>
      <c r="AY16" s="43">
        <f>SUMIF(Table1[HomeTeam], Table2[[#This Row],[Team]], Table1[ActualHomeScore])</f>
        <v>0</v>
      </c>
      <c r="AZ16" s="43">
        <f>SUMIF(Table1[HomeTeam], Table2[[#This Row],[Team]], Table1[ActualAwayScore])</f>
        <v>0</v>
      </c>
      <c r="BA16" s="43">
        <f>Table2[[#This Row],[GF_H]]-Table2[[#This Row],[GA_H]]</f>
        <v>0</v>
      </c>
      <c r="BB16" s="43">
        <f>SUMIFS(Table1[ActualAwayScore], Table1[AwayTeam], Table2[[#This Row],[Team]], Table1[AwayWon],1)+SUMIFS(Table1[ActualHomeScore], Table1[HomeTeam], Table2[[#This Row],[Team]], Table1[HomeWon],1)</f>
        <v>0</v>
      </c>
      <c r="BC16" s="43">
        <f>SUMIFS(Table1[ActualAwayScore], Table1[AwayTeam], Table2[[#This Row],[Team]], Table1[AwayWon],0) + SUMIFS(Table1[ActualHomeScore], Table1[HomeTeam], Table2[[#This Row],[Team]], Table1[HomeWon],0)</f>
        <v>2</v>
      </c>
      <c r="BD16" s="43">
        <f>Table2[[#This Row],[GF_W]]-Table2[[#This Row],[GF_L]]</f>
        <v>-2</v>
      </c>
      <c r="BE16" s="43">
        <f>Table2[[#This Row],[GF_A]]+Table2[[#This Row],[GF_H]]</f>
        <v>2</v>
      </c>
      <c r="BF16" s="43">
        <f>Table2[[#This Row],[GA_A]]+Table2[[#This Row],[GA_H]]</f>
        <v>3</v>
      </c>
      <c r="BG16" s="43">
        <f>Table2[[#This Row],[GF]]-Table2[[#This Row],[GA]]</f>
        <v>-1</v>
      </c>
      <c r="BH16" s="43">
        <f>Table2[[#This Row],[GF]]/Table2[[#This Row],[GP]]</f>
        <v>2</v>
      </c>
      <c r="BI16" s="43">
        <f>Table2[[#This Row],[GA]]/Table2[[#This Row],[GP]]</f>
        <v>3</v>
      </c>
      <c r="BJ16" s="43">
        <f>Table2[[#This Row],[GFPG]]-Table2[[#This Row],[GAPG]]</f>
        <v>-1</v>
      </c>
      <c r="BK16" s="43" t="str">
        <f>_xlfn.CONCAT(TEXT(Table2[[#This Row],[W_A]], "0"), "-", TEXT(Table2[[#This Row],[RL_A]],"0"), "-", TEXT(Table2[[#This Row],[OTL_A]]+Table2[[#This Row],[SOL_A]], "0"))</f>
        <v>0-0-1</v>
      </c>
      <c r="BL16" s="43" t="str">
        <f>_xlfn.CONCAT(TEXT(Table2[[#This Row],[W_H]], "0"), "-", TEXT(Table2[[#This Row],[RL_H]],"0"), "-", TEXT(Table2[[#This Row],[OTL_H]]+Table2[[#This Row],[SOL_H]], "0"))</f>
        <v>0-0-0</v>
      </c>
    </row>
    <row r="17" spans="1:64" x14ac:dyDescent="0.25">
      <c r="A17" t="s">
        <v>48</v>
      </c>
      <c r="B17" t="s">
        <v>62</v>
      </c>
      <c r="C17" t="s">
        <v>64</v>
      </c>
      <c r="D17">
        <f>COUNTIFS(Table1[AwayTeam],Table2[[#This Row],[Team]],Table1[GameIsOver], 1, Table1[WatchedGame],1) + COUNTIFS(Table1[HomeTeam],Table2[[#This Row],[Team]],Table1[GameIsOver],1,Table1[WatchedGame],1)</f>
        <v>0</v>
      </c>
      <c r="F17">
        <f>COUNTIFS(Table1[AwayTeam],Table2[[#This Row],[Team]], Table1[GameIsOver],1)</f>
        <v>0</v>
      </c>
      <c r="G17">
        <f>COUNTIFS(Table1[HomeTeam],Table2[[#This Row],[Team]], Table1[GameIsOver],1)</f>
        <v>1</v>
      </c>
      <c r="H17">
        <f>Table2[[#This Row],[GP_A]]+Table2[[#This Row],[GP_H]]</f>
        <v>1</v>
      </c>
      <c r="I17">
        <f>84-Table2[[#This Row],[GP]]</f>
        <v>83</v>
      </c>
      <c r="J17">
        <f>COUNTIFS(Table1[AwayTeam], Table2[[#This Row],[Team]], Table1[GameIsOver], 1, Table1[AwayWon],1)</f>
        <v>0</v>
      </c>
      <c r="K17">
        <f>COUNTIFS(Table1[AwayTeam], Table2[[#This Row],[Team]], Table1[GameIsOver], 1, Table1[AwayWon],1, Table1[ActualResult], "REG")</f>
        <v>0</v>
      </c>
      <c r="L17">
        <f>COUNTIFS(Table1[AwayTeam], Table2[[#This Row],[Team]], Table1[GameIsOver], 1, Table1[AwayWon],1, Table1[ActualResult], "OT")</f>
        <v>0</v>
      </c>
      <c r="M17">
        <f>COUNTIFS(Table1[AwayTeam], Table2[[#This Row],[Team]], Table1[GameIsOver], 1, Table1[AwayWon],1, Table1[ActualResult], "SO")</f>
        <v>0</v>
      </c>
      <c r="N17">
        <f>COUNTIFS(Table1[AwayTeam], Table2[[#This Row],[Team]], Table1[GameIsOver], 1, Table1[AwayWon],0)</f>
        <v>0</v>
      </c>
      <c r="O17">
        <f>COUNTIFS(Table1[AwayTeam], Table2[[#This Row],[Team]], Table1[GameIsOver], 1, Table1[AwayWon],0, Table1[ActualResult], "REG")</f>
        <v>0</v>
      </c>
      <c r="P17">
        <f>COUNTIFS(Table1[AwayTeam], Table2[[#This Row],[Team]], Table1[GameIsOver], 1, Table1[AwayWon],0, Table1[ActualResult], "OT")</f>
        <v>0</v>
      </c>
      <c r="Q17">
        <f>COUNTIFS(Table1[AwayTeam], Table2[[#This Row],[Team]], Table1[GameIsOver], 1, Table1[AwayWon],0, Table1[ActualResult], "SO")</f>
        <v>0</v>
      </c>
      <c r="R17">
        <f>COUNTIFS(Table1[HomeTeam], Table2[[#This Row],[Team]], Table1[GameIsOver], 1, Table1[HomeWon],1)</f>
        <v>0</v>
      </c>
      <c r="S17">
        <f>COUNTIFS(Table1[HomeTeam], Table2[[#This Row],[Team]], Table1[GameIsOver], 1, Table1[HomeWon],1, Table1[ActualResult], "REG")</f>
        <v>0</v>
      </c>
      <c r="T17">
        <f>COUNTIFS(Table1[HomeTeam], Table2[[#This Row],[Team]], Table1[GameIsOver], 1, Table1[HomeWon],1, Table1[ActualResult], "OT")</f>
        <v>0</v>
      </c>
      <c r="U17">
        <f>COUNTIFS(Table1[HomeTeam], Table2[[#This Row],[Team]], Table1[GameIsOver], 1, Table1[HomeWon],1, Table1[ActualResult], "SO")</f>
        <v>0</v>
      </c>
      <c r="V17">
        <f>COUNTIFS(Table1[HomeTeam], Table2[[#This Row],[Team]], Table1[GameIsOver], 1, Table1[HomeWon],0)</f>
        <v>1</v>
      </c>
      <c r="W17">
        <f>COUNTIFS(Table1[HomeTeam], Table2[[#This Row],[Team]], Table1[GameIsOver], 1, Table1[HomeWon],0, Table1[ActualResult], "REG")</f>
        <v>1</v>
      </c>
      <c r="X17">
        <f>COUNTIFS(Table1[HomeTeam], Table2[[#This Row],[Team]], Table1[GameIsOver], 1, Table1[HomeWon],0, Table1[ActualResult], "OT")</f>
        <v>0</v>
      </c>
      <c r="Y17">
        <f>COUNTIFS(Table1[HomeTeam], Table2[[#This Row],[Team]], Table1[GameIsOver], 1, Table1[HomeWon],0, Table1[ActualResult], "SO")</f>
        <v>0</v>
      </c>
      <c r="Z17" s="50">
        <f>Table2[[#This Row],[W]]/MAX(1,Table2[[#This Row],[W]]+Table2[[#This Row],[L]])</f>
        <v>0</v>
      </c>
      <c r="AA17" s="43">
        <f>Table2[[#This Row],[W_A]]+Table2[[#This Row],[W_H]]</f>
        <v>0</v>
      </c>
      <c r="AB17" s="43">
        <f>Table2[[#This Row],[L_A]]+Table2[[#This Row],[L_H]]</f>
        <v>1</v>
      </c>
      <c r="AC17" s="43">
        <f>Table2[RW_A]+Table2[RW_H]</f>
        <v>0</v>
      </c>
      <c r="AD17" s="43">
        <f>Table2[RL_A]+Table2[RL_H]</f>
        <v>1</v>
      </c>
      <c r="AE17" s="43">
        <f>Table2[OTW_A]+Table2[OTW_H]</f>
        <v>0</v>
      </c>
      <c r="AF17" s="43">
        <f>Table2[OTL_A]+Table2[OTL_H]</f>
        <v>0</v>
      </c>
      <c r="AG17" s="43">
        <f>Table2[SOW_A]+Table2[SOW_H]</f>
        <v>0</v>
      </c>
      <c r="AH17" s="43">
        <f>Table2[SOL_A]+Table2[SOL_H]</f>
        <v>0</v>
      </c>
      <c r="AI17" s="43" t="str">
        <f>_xlfn.CONCAT(TEXT(Table2[[#This Row],[OTW]]+Table2[[#This Row],[SOW]], "0"), "-", TEXT(Table2[[#This Row],[OTL]]+Table2[[#This Row],[SOL]],"0"))</f>
        <v>0-0</v>
      </c>
      <c r="AJ17" s="43">
        <f>SUM(Table2[[#This Row],[OTW]],Table2[[#This Row],[OTL]],Table2[[#This Row],[SOW]],Table2[[#This Row],[SOL]])</f>
        <v>0</v>
      </c>
      <c r="AK17" s="50">
        <f>(Table2[[#This Row],[OTW]]+Table2[[#This Row],[SOW]])/IF(Table2[[#This Row],[Total_ExtraTimes]]=0,1,Table2[[#This Row],[Total_ExtraTimes]])</f>
        <v>0</v>
      </c>
      <c r="AL17" s="50">
        <f>Table2[[#This Row],[Total_ExtraTimes]]/MAX(1,Table2[[#This Row],[GP]])</f>
        <v>0</v>
      </c>
      <c r="AM17" s="43">
        <f>(2*(Table2[[#This Row],[W_A]]+Table2[[#This Row],[W_H]]))+Table2[[#This Row],[OTL_A]]+Table2[[#This Row],[SOL_A]]+Table2[[#This Row],[OTL_H]]+Table2[[#This Row],[SOL_H]]</f>
        <v>0</v>
      </c>
      <c r="AN17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17" s="43">
        <f>Table2[[#This Row],[PTS]]/(2*Table2[[#This Row],[GP]])</f>
        <v>0</v>
      </c>
      <c r="AP17" s="43">
        <f>Table2[[#This Row],[PTS]]/(3*Table2[[#This Row],[GP]])</f>
        <v>0</v>
      </c>
      <c r="AQ17" s="43">
        <f>(2*Table2[[#This Row],[GR]])+Table2[[#This Row],[PTS]]</f>
        <v>166</v>
      </c>
      <c r="AR17" s="43">
        <f>(3*Table2[[#This Row],[GR]])+Table2[[#This Row],[PTS]]</f>
        <v>249</v>
      </c>
      <c r="AS17" s="43">
        <f>Table2[[#This Row],[PTS]]+(2 * Table2[[#This Row],[GR]] * Table2[[#This Row],[PTS%]])</f>
        <v>0</v>
      </c>
      <c r="AT17" s="43">
        <f>Table2[[#This Row],[PTS]]+(3 * Table2[[#This Row],[GR]] * Table2[[#This Row],[PTS%]])</f>
        <v>0</v>
      </c>
      <c r="AU17" s="43" t="str">
        <f>_xlfn.CONCAT(TEXT(Table2[[#This Row],[W]], "0"), "-", TEXT(Table2[[#This Row],[RL]],"0"), "-", TEXT(Table2[[#This Row],[OTL]]+Table2[[#This Row],[SOL]], "0"))</f>
        <v>0-1-0</v>
      </c>
      <c r="AV17" s="43">
        <f>SUMIF(Table1[AwayTeam], Table2[[#This Row],[Team]], Table1[ActualAwayScore])</f>
        <v>0</v>
      </c>
      <c r="AW17" s="43">
        <f>SUMIF(Table1[AwayTeam], Table2[[#This Row],[Team]], Table1[ActualHomeScore])</f>
        <v>0</v>
      </c>
      <c r="AX17" s="43">
        <f>Table2[[#This Row],[GF_A]]-Table2[[#This Row],[GA_A]]</f>
        <v>0</v>
      </c>
      <c r="AY17" s="43">
        <f>SUMIF(Table1[HomeTeam], Table2[[#This Row],[Team]], Table1[ActualHomeScore])</f>
        <v>1</v>
      </c>
      <c r="AZ17" s="43">
        <f>SUMIF(Table1[HomeTeam], Table2[[#This Row],[Team]], Table1[ActualAwayScore])</f>
        <v>3</v>
      </c>
      <c r="BA17" s="43">
        <f>Table2[[#This Row],[GF_H]]-Table2[[#This Row],[GA_H]]</f>
        <v>-2</v>
      </c>
      <c r="BB17" s="43">
        <f>SUMIFS(Table1[ActualAwayScore], Table1[AwayTeam], Table2[[#This Row],[Team]], Table1[AwayWon],1)+SUMIFS(Table1[ActualHomeScore], Table1[HomeTeam], Table2[[#This Row],[Team]], Table1[HomeWon],1)</f>
        <v>0</v>
      </c>
      <c r="BC17" s="43">
        <f>SUMIFS(Table1[ActualAwayScore], Table1[AwayTeam], Table2[[#This Row],[Team]], Table1[AwayWon],0) + SUMIFS(Table1[ActualHomeScore], Table1[HomeTeam], Table2[[#This Row],[Team]], Table1[HomeWon],0)</f>
        <v>1</v>
      </c>
      <c r="BD17" s="43">
        <f>Table2[[#This Row],[GF_W]]-Table2[[#This Row],[GF_L]]</f>
        <v>-1</v>
      </c>
      <c r="BE17" s="43">
        <f>Table2[[#This Row],[GF_A]]+Table2[[#This Row],[GF_H]]</f>
        <v>1</v>
      </c>
      <c r="BF17" s="43">
        <f>Table2[[#This Row],[GA_A]]+Table2[[#This Row],[GA_H]]</f>
        <v>3</v>
      </c>
      <c r="BG17" s="43">
        <f>Table2[[#This Row],[GF]]-Table2[[#This Row],[GA]]</f>
        <v>-2</v>
      </c>
      <c r="BH17" s="43">
        <f>Table2[[#This Row],[GF]]/Table2[[#This Row],[GP]]</f>
        <v>1</v>
      </c>
      <c r="BI17" s="43">
        <f>Table2[[#This Row],[GA]]/Table2[[#This Row],[GP]]</f>
        <v>3</v>
      </c>
      <c r="BJ17" s="43">
        <f>Table2[[#This Row],[GFPG]]-Table2[[#This Row],[GAPG]]</f>
        <v>-2</v>
      </c>
      <c r="BK17" s="43" t="str">
        <f>_xlfn.CONCAT(TEXT(Table2[[#This Row],[W_A]], "0"), "-", TEXT(Table2[[#This Row],[RL_A]],"0"), "-", TEXT(Table2[[#This Row],[OTL_A]]+Table2[[#This Row],[SOL_A]], "0"))</f>
        <v>0-0-0</v>
      </c>
      <c r="BL17" s="43" t="str">
        <f>_xlfn.CONCAT(TEXT(Table2[[#This Row],[W_H]], "0"), "-", TEXT(Table2[[#This Row],[RL_H]],"0"), "-", TEXT(Table2[[#This Row],[OTL_H]]+Table2[[#This Row],[SOL_H]], "0"))</f>
        <v>0-1-0</v>
      </c>
    </row>
    <row r="18" spans="1:64" x14ac:dyDescent="0.25">
      <c r="A18" t="s">
        <v>49</v>
      </c>
      <c r="B18" t="s">
        <v>63</v>
      </c>
      <c r="C18" t="s">
        <v>65</v>
      </c>
      <c r="D18">
        <f>COUNTIFS(Table1[AwayTeam],Table2[[#This Row],[Team]],Table1[GameIsOver], 1, Table1[WatchedGame],1) + COUNTIFS(Table1[HomeTeam],Table2[[#This Row],[Team]],Table1[GameIsOver],1,Table1[WatchedGame],1)</f>
        <v>0</v>
      </c>
      <c r="F18">
        <f>COUNTIFS(Table1[AwayTeam],Table2[[#This Row],[Team]], Table1[GameIsOver],1)</f>
        <v>1</v>
      </c>
      <c r="G18">
        <f>COUNTIFS(Table1[HomeTeam],Table2[[#This Row],[Team]], Table1[GameIsOver],1)</f>
        <v>0</v>
      </c>
      <c r="H18">
        <f>Table2[[#This Row],[GP_A]]+Table2[[#This Row],[GP_H]]</f>
        <v>1</v>
      </c>
      <c r="I18">
        <f>84-Table2[[#This Row],[GP]]</f>
        <v>83</v>
      </c>
      <c r="J18">
        <f>COUNTIFS(Table1[AwayTeam], Table2[[#This Row],[Team]], Table1[GameIsOver], 1, Table1[AwayWon],1)</f>
        <v>1</v>
      </c>
      <c r="K18">
        <f>COUNTIFS(Table1[AwayTeam], Table2[[#This Row],[Team]], Table1[GameIsOver], 1, Table1[AwayWon],1, Table1[ActualResult], "REG")</f>
        <v>0</v>
      </c>
      <c r="L18">
        <f>COUNTIFS(Table1[AwayTeam], Table2[[#This Row],[Team]], Table1[GameIsOver], 1, Table1[AwayWon],1, Table1[ActualResult], "OT")</f>
        <v>1</v>
      </c>
      <c r="M18">
        <f>COUNTIFS(Table1[AwayTeam], Table2[[#This Row],[Team]], Table1[GameIsOver], 1, Table1[AwayWon],1, Table1[ActualResult], "SO")</f>
        <v>0</v>
      </c>
      <c r="N18">
        <f>COUNTIFS(Table1[AwayTeam], Table2[[#This Row],[Team]], Table1[GameIsOver], 1, Table1[AwayWon],0)</f>
        <v>0</v>
      </c>
      <c r="O18">
        <f>COUNTIFS(Table1[AwayTeam], Table2[[#This Row],[Team]], Table1[GameIsOver], 1, Table1[AwayWon],0, Table1[ActualResult], "REG")</f>
        <v>0</v>
      </c>
      <c r="P18">
        <f>COUNTIFS(Table1[AwayTeam], Table2[[#This Row],[Team]], Table1[GameIsOver], 1, Table1[AwayWon],0, Table1[ActualResult], "OT")</f>
        <v>0</v>
      </c>
      <c r="Q18">
        <f>COUNTIFS(Table1[AwayTeam], Table2[[#This Row],[Team]], Table1[GameIsOver], 1, Table1[AwayWon],0, Table1[ActualResult], "SO")</f>
        <v>0</v>
      </c>
      <c r="R18">
        <f>COUNTIFS(Table1[HomeTeam], Table2[[#This Row],[Team]], Table1[GameIsOver], 1, Table1[HomeWon],1)</f>
        <v>0</v>
      </c>
      <c r="S18">
        <f>COUNTIFS(Table1[HomeTeam], Table2[[#This Row],[Team]], Table1[GameIsOver], 1, Table1[HomeWon],1, Table1[ActualResult], "REG")</f>
        <v>0</v>
      </c>
      <c r="T18">
        <f>COUNTIFS(Table1[HomeTeam], Table2[[#This Row],[Team]], Table1[GameIsOver], 1, Table1[HomeWon],1, Table1[ActualResult], "OT")</f>
        <v>0</v>
      </c>
      <c r="U18">
        <f>COUNTIFS(Table1[HomeTeam], Table2[[#This Row],[Team]], Table1[GameIsOver], 1, Table1[HomeWon],1, Table1[ActualResult], "SO")</f>
        <v>0</v>
      </c>
      <c r="V18">
        <f>COUNTIFS(Table1[HomeTeam], Table2[[#This Row],[Team]], Table1[GameIsOver], 1, Table1[HomeWon],0)</f>
        <v>0</v>
      </c>
      <c r="W18">
        <f>COUNTIFS(Table1[HomeTeam], Table2[[#This Row],[Team]], Table1[GameIsOver], 1, Table1[HomeWon],0, Table1[ActualResult], "REG")</f>
        <v>0</v>
      </c>
      <c r="X18">
        <f>COUNTIFS(Table1[HomeTeam], Table2[[#This Row],[Team]], Table1[GameIsOver], 1, Table1[HomeWon],0, Table1[ActualResult], "OT")</f>
        <v>0</v>
      </c>
      <c r="Y18">
        <f>COUNTIFS(Table1[HomeTeam], Table2[[#This Row],[Team]], Table1[GameIsOver], 1, Table1[HomeWon],0, Table1[ActualResult], "SO")</f>
        <v>0</v>
      </c>
      <c r="Z18" s="50">
        <f>Table2[[#This Row],[W]]/MAX(1,Table2[[#This Row],[W]]+Table2[[#This Row],[L]])</f>
        <v>1</v>
      </c>
      <c r="AA18" s="43">
        <f>Table2[[#This Row],[W_A]]+Table2[[#This Row],[W_H]]</f>
        <v>1</v>
      </c>
      <c r="AB18" s="43">
        <f>Table2[[#This Row],[L_A]]+Table2[[#This Row],[L_H]]</f>
        <v>0</v>
      </c>
      <c r="AC18" s="43">
        <f>Table2[RW_A]+Table2[RW_H]</f>
        <v>0</v>
      </c>
      <c r="AD18" s="43">
        <f>Table2[RL_A]+Table2[RL_H]</f>
        <v>0</v>
      </c>
      <c r="AE18" s="43">
        <f>Table2[OTW_A]+Table2[OTW_H]</f>
        <v>1</v>
      </c>
      <c r="AF18" s="43">
        <f>Table2[OTL_A]+Table2[OTL_H]</f>
        <v>0</v>
      </c>
      <c r="AG18" s="43">
        <f>Table2[SOW_A]+Table2[SOW_H]</f>
        <v>0</v>
      </c>
      <c r="AH18" s="43">
        <f>Table2[SOL_A]+Table2[SOL_H]</f>
        <v>0</v>
      </c>
      <c r="AI18" s="43" t="str">
        <f>_xlfn.CONCAT(TEXT(Table2[[#This Row],[OTW]]+Table2[[#This Row],[SOW]], "0"), "-", TEXT(Table2[[#This Row],[OTL]]+Table2[[#This Row],[SOL]],"0"))</f>
        <v>1-0</v>
      </c>
      <c r="AJ18" s="43">
        <f>SUM(Table2[[#This Row],[OTW]],Table2[[#This Row],[OTL]],Table2[[#This Row],[SOW]],Table2[[#This Row],[SOL]])</f>
        <v>1</v>
      </c>
      <c r="AK18" s="50">
        <f>(Table2[[#This Row],[OTW]]+Table2[[#This Row],[SOW]])/IF(Table2[[#This Row],[Total_ExtraTimes]]=0,1,Table2[[#This Row],[Total_ExtraTimes]])</f>
        <v>1</v>
      </c>
      <c r="AL18" s="50">
        <f>Table2[[#This Row],[Total_ExtraTimes]]/MAX(1,Table2[[#This Row],[GP]])</f>
        <v>1</v>
      </c>
      <c r="AM18" s="43">
        <f>(2*(Table2[[#This Row],[W_A]]+Table2[[#This Row],[W_H]]))+Table2[[#This Row],[OTL_A]]+Table2[[#This Row],[SOL_A]]+Table2[[#This Row],[OTL_H]]+Table2[[#This Row],[SOL_H]]</f>
        <v>2</v>
      </c>
      <c r="AN18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18" s="43">
        <f>Table2[[#This Row],[PTS]]/(2*Table2[[#This Row],[GP]])</f>
        <v>1</v>
      </c>
      <c r="AP18" s="43">
        <f>Table2[[#This Row],[PTS]]/(3*Table2[[#This Row],[GP]])</f>
        <v>0.66666666666666663</v>
      </c>
      <c r="AQ18" s="43">
        <f>(2*Table2[[#This Row],[GR]])+Table2[[#This Row],[PTS]]</f>
        <v>168</v>
      </c>
      <c r="AR18" s="43">
        <f>(3*Table2[[#This Row],[GR]])+Table2[[#This Row],[PTS]]</f>
        <v>251</v>
      </c>
      <c r="AS18" s="43">
        <f>Table2[[#This Row],[PTS]]+(2 * Table2[[#This Row],[GR]] * Table2[[#This Row],[PTS%]])</f>
        <v>168</v>
      </c>
      <c r="AT18" s="43">
        <f>Table2[[#This Row],[PTS]]+(3 * Table2[[#This Row],[GR]] * Table2[[#This Row],[PTS%]])</f>
        <v>251</v>
      </c>
      <c r="AU18" s="43" t="str">
        <f>_xlfn.CONCAT(TEXT(Table2[[#This Row],[W]], "0"), "-", TEXT(Table2[[#This Row],[RL]],"0"), "-", TEXT(Table2[[#This Row],[OTL]]+Table2[[#This Row],[SOL]], "0"))</f>
        <v>1-0-0</v>
      </c>
      <c r="AV18" s="43">
        <f>SUMIF(Table1[AwayTeam], Table2[[#This Row],[Team]], Table1[ActualAwayScore])</f>
        <v>2</v>
      </c>
      <c r="AW18" s="43">
        <f>SUMIF(Table1[AwayTeam], Table2[[#This Row],[Team]], Table1[ActualHomeScore])</f>
        <v>1</v>
      </c>
      <c r="AX18" s="43">
        <f>Table2[[#This Row],[GF_A]]-Table2[[#This Row],[GA_A]]</f>
        <v>1</v>
      </c>
      <c r="AY18" s="43">
        <f>SUMIF(Table1[HomeTeam], Table2[[#This Row],[Team]], Table1[ActualHomeScore])</f>
        <v>0</v>
      </c>
      <c r="AZ18" s="43">
        <f>SUMIF(Table1[HomeTeam], Table2[[#This Row],[Team]], Table1[ActualAwayScore])</f>
        <v>0</v>
      </c>
      <c r="BA18" s="43">
        <f>Table2[[#This Row],[GF_H]]-Table2[[#This Row],[GA_H]]</f>
        <v>0</v>
      </c>
      <c r="BB18" s="43">
        <f>SUMIFS(Table1[ActualAwayScore], Table1[AwayTeam], Table2[[#This Row],[Team]], Table1[AwayWon],1)+SUMIFS(Table1[ActualHomeScore], Table1[HomeTeam], Table2[[#This Row],[Team]], Table1[HomeWon],1)</f>
        <v>2</v>
      </c>
      <c r="BC18" s="43">
        <f>SUMIFS(Table1[ActualAwayScore], Table1[AwayTeam], Table2[[#This Row],[Team]], Table1[AwayWon],0) + SUMIFS(Table1[ActualHomeScore], Table1[HomeTeam], Table2[[#This Row],[Team]], Table1[HomeWon],0)</f>
        <v>0</v>
      </c>
      <c r="BD18" s="43">
        <f>Table2[[#This Row],[GF_W]]-Table2[[#This Row],[GF_L]]</f>
        <v>2</v>
      </c>
      <c r="BE18" s="43">
        <f>Table2[[#This Row],[GF_A]]+Table2[[#This Row],[GF_H]]</f>
        <v>2</v>
      </c>
      <c r="BF18" s="43">
        <f>Table2[[#This Row],[GA_A]]+Table2[[#This Row],[GA_H]]</f>
        <v>1</v>
      </c>
      <c r="BG18" s="43">
        <f>Table2[[#This Row],[GF]]-Table2[[#This Row],[GA]]</f>
        <v>1</v>
      </c>
      <c r="BH18" s="43">
        <f>Table2[[#This Row],[GF]]/Table2[[#This Row],[GP]]</f>
        <v>2</v>
      </c>
      <c r="BI18" s="43">
        <f>Table2[[#This Row],[GA]]/Table2[[#This Row],[GP]]</f>
        <v>1</v>
      </c>
      <c r="BJ18" s="43">
        <f>Table2[[#This Row],[GFPG]]-Table2[[#This Row],[GAPG]]</f>
        <v>1</v>
      </c>
      <c r="BK18" s="43" t="str">
        <f>_xlfn.CONCAT(TEXT(Table2[[#This Row],[W_A]], "0"), "-", TEXT(Table2[[#This Row],[RL_A]],"0"), "-", TEXT(Table2[[#This Row],[OTL_A]]+Table2[[#This Row],[SOL_A]], "0"))</f>
        <v>1-0-0</v>
      </c>
      <c r="BL18" s="43" t="str">
        <f>_xlfn.CONCAT(TEXT(Table2[[#This Row],[W_H]], "0"), "-", TEXT(Table2[[#This Row],[RL_H]],"0"), "-", TEXT(Table2[[#This Row],[OTL_H]]+Table2[[#This Row],[SOL_H]], "0"))</f>
        <v>0-0-0</v>
      </c>
    </row>
    <row r="19" spans="1:64" x14ac:dyDescent="0.25">
      <c r="A19" t="s">
        <v>50</v>
      </c>
      <c r="B19" t="s">
        <v>63</v>
      </c>
      <c r="C19" t="s">
        <v>65</v>
      </c>
      <c r="D19">
        <f>COUNTIFS(Table1[AwayTeam],Table2[[#This Row],[Team]],Table1[GameIsOver], 1, Table1[WatchedGame],1) + COUNTIFS(Table1[HomeTeam],Table2[[#This Row],[Team]],Table1[GameIsOver],1,Table1[WatchedGame],1)</f>
        <v>0</v>
      </c>
      <c r="F19">
        <f>COUNTIFS(Table1[AwayTeam],Table2[[#This Row],[Team]], Table1[GameIsOver],1)</f>
        <v>1</v>
      </c>
      <c r="G19">
        <f>COUNTIFS(Table1[HomeTeam],Table2[[#This Row],[Team]], Table1[GameIsOver],1)</f>
        <v>0</v>
      </c>
      <c r="H19">
        <f>Table2[[#This Row],[GP_A]]+Table2[[#This Row],[GP_H]]</f>
        <v>1</v>
      </c>
      <c r="I19">
        <f>84-Table2[[#This Row],[GP]]</f>
        <v>83</v>
      </c>
      <c r="J19">
        <f>COUNTIFS(Table1[AwayTeam], Table2[[#This Row],[Team]], Table1[GameIsOver], 1, Table1[AwayWon],1)</f>
        <v>1</v>
      </c>
      <c r="K19">
        <f>COUNTIFS(Table1[AwayTeam], Table2[[#This Row],[Team]], Table1[GameIsOver], 1, Table1[AwayWon],1, Table1[ActualResult], "REG")</f>
        <v>0</v>
      </c>
      <c r="L19">
        <f>COUNTIFS(Table1[AwayTeam], Table2[[#This Row],[Team]], Table1[GameIsOver], 1, Table1[AwayWon],1, Table1[ActualResult], "OT")</f>
        <v>0</v>
      </c>
      <c r="M19">
        <f>COUNTIFS(Table1[AwayTeam], Table2[[#This Row],[Team]], Table1[GameIsOver], 1, Table1[AwayWon],1, Table1[ActualResult], "SO")</f>
        <v>1</v>
      </c>
      <c r="N19">
        <f>COUNTIFS(Table1[AwayTeam], Table2[[#This Row],[Team]], Table1[GameIsOver], 1, Table1[AwayWon],0)</f>
        <v>0</v>
      </c>
      <c r="O19">
        <f>COUNTIFS(Table1[AwayTeam], Table2[[#This Row],[Team]], Table1[GameIsOver], 1, Table1[AwayWon],0, Table1[ActualResult], "REG")</f>
        <v>0</v>
      </c>
      <c r="P19">
        <f>COUNTIFS(Table1[AwayTeam], Table2[[#This Row],[Team]], Table1[GameIsOver], 1, Table1[AwayWon],0, Table1[ActualResult], "OT")</f>
        <v>0</v>
      </c>
      <c r="Q19">
        <f>COUNTIFS(Table1[AwayTeam], Table2[[#This Row],[Team]], Table1[GameIsOver], 1, Table1[AwayWon],0, Table1[ActualResult], "SO")</f>
        <v>0</v>
      </c>
      <c r="R19">
        <f>COUNTIFS(Table1[HomeTeam], Table2[[#This Row],[Team]], Table1[GameIsOver], 1, Table1[HomeWon],1)</f>
        <v>0</v>
      </c>
      <c r="S19">
        <f>COUNTIFS(Table1[HomeTeam], Table2[[#This Row],[Team]], Table1[GameIsOver], 1, Table1[HomeWon],1, Table1[ActualResult], "REG")</f>
        <v>0</v>
      </c>
      <c r="T19">
        <f>COUNTIFS(Table1[HomeTeam], Table2[[#This Row],[Team]], Table1[GameIsOver], 1, Table1[HomeWon],1, Table1[ActualResult], "OT")</f>
        <v>0</v>
      </c>
      <c r="U19">
        <f>COUNTIFS(Table1[HomeTeam], Table2[[#This Row],[Team]], Table1[GameIsOver], 1, Table1[HomeWon],1, Table1[ActualResult], "SO")</f>
        <v>0</v>
      </c>
      <c r="V19">
        <f>COUNTIFS(Table1[HomeTeam], Table2[[#This Row],[Team]], Table1[GameIsOver], 1, Table1[HomeWon],0)</f>
        <v>0</v>
      </c>
      <c r="W19">
        <f>COUNTIFS(Table1[HomeTeam], Table2[[#This Row],[Team]], Table1[GameIsOver], 1, Table1[HomeWon],0, Table1[ActualResult], "REG")</f>
        <v>0</v>
      </c>
      <c r="X19">
        <f>COUNTIFS(Table1[HomeTeam], Table2[[#This Row],[Team]], Table1[GameIsOver], 1, Table1[HomeWon],0, Table1[ActualResult], "OT")</f>
        <v>0</v>
      </c>
      <c r="Y19">
        <f>COUNTIFS(Table1[HomeTeam], Table2[[#This Row],[Team]], Table1[GameIsOver], 1, Table1[HomeWon],0, Table1[ActualResult], "SO")</f>
        <v>0</v>
      </c>
      <c r="Z19" s="50">
        <f>Table2[[#This Row],[W]]/MAX(1,Table2[[#This Row],[W]]+Table2[[#This Row],[L]])</f>
        <v>1</v>
      </c>
      <c r="AA19" s="43">
        <f>Table2[[#This Row],[W_A]]+Table2[[#This Row],[W_H]]</f>
        <v>1</v>
      </c>
      <c r="AB19" s="43">
        <f>Table2[[#This Row],[L_A]]+Table2[[#This Row],[L_H]]</f>
        <v>0</v>
      </c>
      <c r="AC19" s="43">
        <f>Table2[RW_A]+Table2[RW_H]</f>
        <v>0</v>
      </c>
      <c r="AD19" s="43">
        <f>Table2[RL_A]+Table2[RL_H]</f>
        <v>0</v>
      </c>
      <c r="AE19" s="43">
        <f>Table2[OTW_A]+Table2[OTW_H]</f>
        <v>0</v>
      </c>
      <c r="AF19" s="43">
        <f>Table2[OTL_A]+Table2[OTL_H]</f>
        <v>0</v>
      </c>
      <c r="AG19" s="43">
        <f>Table2[SOW_A]+Table2[SOW_H]</f>
        <v>1</v>
      </c>
      <c r="AH19" s="43">
        <f>Table2[SOL_A]+Table2[SOL_H]</f>
        <v>0</v>
      </c>
      <c r="AI19" s="43" t="str">
        <f>_xlfn.CONCAT(TEXT(Table2[[#This Row],[OTW]]+Table2[[#This Row],[SOW]], "0"), "-", TEXT(Table2[[#This Row],[OTL]]+Table2[[#This Row],[SOL]],"0"))</f>
        <v>1-0</v>
      </c>
      <c r="AJ19" s="43">
        <f>SUM(Table2[[#This Row],[OTW]],Table2[[#This Row],[OTL]],Table2[[#This Row],[SOW]],Table2[[#This Row],[SOL]])</f>
        <v>1</v>
      </c>
      <c r="AK19" s="50">
        <f>(Table2[[#This Row],[OTW]]+Table2[[#This Row],[SOW]])/IF(Table2[[#This Row],[Total_ExtraTimes]]=0,1,Table2[[#This Row],[Total_ExtraTimes]])</f>
        <v>1</v>
      </c>
      <c r="AL19" s="50">
        <f>Table2[[#This Row],[Total_ExtraTimes]]/MAX(1,Table2[[#This Row],[GP]])</f>
        <v>1</v>
      </c>
      <c r="AM19" s="43">
        <f>(2*(Table2[[#This Row],[W_A]]+Table2[[#This Row],[W_H]]))+Table2[[#This Row],[OTL_A]]+Table2[[#This Row],[SOL_A]]+Table2[[#This Row],[OTL_H]]+Table2[[#This Row],[SOL_H]]</f>
        <v>2</v>
      </c>
      <c r="AN19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19" s="43">
        <f>Table2[[#This Row],[PTS]]/(2*Table2[[#This Row],[GP]])</f>
        <v>1</v>
      </c>
      <c r="AP19" s="43">
        <f>Table2[[#This Row],[PTS]]/(3*Table2[[#This Row],[GP]])</f>
        <v>0.66666666666666663</v>
      </c>
      <c r="AQ19" s="43">
        <f>(2*Table2[[#This Row],[GR]])+Table2[[#This Row],[PTS]]</f>
        <v>168</v>
      </c>
      <c r="AR19" s="43">
        <f>(3*Table2[[#This Row],[GR]])+Table2[[#This Row],[PTS]]</f>
        <v>251</v>
      </c>
      <c r="AS19" s="43">
        <f>Table2[[#This Row],[PTS]]+(2 * Table2[[#This Row],[GR]] * Table2[[#This Row],[PTS%]])</f>
        <v>168</v>
      </c>
      <c r="AT19" s="43">
        <f>Table2[[#This Row],[PTS]]+(3 * Table2[[#This Row],[GR]] * Table2[[#This Row],[PTS%]])</f>
        <v>251</v>
      </c>
      <c r="AU19" s="43" t="str">
        <f>_xlfn.CONCAT(TEXT(Table2[[#This Row],[W]], "0"), "-", TEXT(Table2[[#This Row],[RL]],"0"), "-", TEXT(Table2[[#This Row],[OTL]]+Table2[[#This Row],[SOL]], "0"))</f>
        <v>1-0-0</v>
      </c>
      <c r="AV19" s="43">
        <f>SUMIF(Table1[AwayTeam], Table2[[#This Row],[Team]], Table1[ActualAwayScore])</f>
        <v>4</v>
      </c>
      <c r="AW19" s="43">
        <f>SUMIF(Table1[AwayTeam], Table2[[#This Row],[Team]], Table1[ActualHomeScore])</f>
        <v>3</v>
      </c>
      <c r="AX19" s="43">
        <f>Table2[[#This Row],[GF_A]]-Table2[[#This Row],[GA_A]]</f>
        <v>1</v>
      </c>
      <c r="AY19" s="43">
        <f>SUMIF(Table1[HomeTeam], Table2[[#This Row],[Team]], Table1[ActualHomeScore])</f>
        <v>0</v>
      </c>
      <c r="AZ19" s="43">
        <f>SUMIF(Table1[HomeTeam], Table2[[#This Row],[Team]], Table1[ActualAwayScore])</f>
        <v>0</v>
      </c>
      <c r="BA19" s="43">
        <f>Table2[[#This Row],[GF_H]]-Table2[[#This Row],[GA_H]]</f>
        <v>0</v>
      </c>
      <c r="BB19" s="43">
        <f>SUMIFS(Table1[ActualAwayScore], Table1[AwayTeam], Table2[[#This Row],[Team]], Table1[AwayWon],1)+SUMIFS(Table1[ActualHomeScore], Table1[HomeTeam], Table2[[#This Row],[Team]], Table1[HomeWon],1)</f>
        <v>4</v>
      </c>
      <c r="BC19" s="43">
        <f>SUMIFS(Table1[ActualAwayScore], Table1[AwayTeam], Table2[[#This Row],[Team]], Table1[AwayWon],0) + SUMIFS(Table1[ActualHomeScore], Table1[HomeTeam], Table2[[#This Row],[Team]], Table1[HomeWon],0)</f>
        <v>0</v>
      </c>
      <c r="BD19" s="43">
        <f>Table2[[#This Row],[GF_W]]-Table2[[#This Row],[GF_L]]</f>
        <v>4</v>
      </c>
      <c r="BE19" s="43">
        <f>Table2[[#This Row],[GF_A]]+Table2[[#This Row],[GF_H]]</f>
        <v>4</v>
      </c>
      <c r="BF19" s="43">
        <f>Table2[[#This Row],[GA_A]]+Table2[[#This Row],[GA_H]]</f>
        <v>3</v>
      </c>
      <c r="BG19" s="43">
        <f>Table2[[#This Row],[GF]]-Table2[[#This Row],[GA]]</f>
        <v>1</v>
      </c>
      <c r="BH19" s="43">
        <f>Table2[[#This Row],[GF]]/Table2[[#This Row],[GP]]</f>
        <v>4</v>
      </c>
      <c r="BI19" s="43">
        <f>Table2[[#This Row],[GA]]/Table2[[#This Row],[GP]]</f>
        <v>3</v>
      </c>
      <c r="BJ19" s="43">
        <f>Table2[[#This Row],[GFPG]]-Table2[[#This Row],[GAPG]]</f>
        <v>1</v>
      </c>
      <c r="BK19" s="43" t="str">
        <f>_xlfn.CONCAT(TEXT(Table2[[#This Row],[W_A]], "0"), "-", TEXT(Table2[[#This Row],[RL_A]],"0"), "-", TEXT(Table2[[#This Row],[OTL_A]]+Table2[[#This Row],[SOL_A]], "0"))</f>
        <v>1-0-0</v>
      </c>
      <c r="BL19" s="43" t="str">
        <f>_xlfn.CONCAT(TEXT(Table2[[#This Row],[W_H]], "0"), "-", TEXT(Table2[[#This Row],[RL_H]],"0"), "-", TEXT(Table2[[#This Row],[OTL_H]]+Table2[[#This Row],[SOL_H]], "0"))</f>
        <v>0-0-0</v>
      </c>
    </row>
    <row r="20" spans="1:64" x14ac:dyDescent="0.25">
      <c r="A20" t="s">
        <v>51</v>
      </c>
      <c r="B20" t="s">
        <v>63</v>
      </c>
      <c r="C20" t="s">
        <v>65</v>
      </c>
      <c r="D20">
        <f>COUNTIFS(Table1[AwayTeam],Table2[[#This Row],[Team]],Table1[GameIsOver], 1, Table1[WatchedGame],1) + COUNTIFS(Table1[HomeTeam],Table2[[#This Row],[Team]],Table1[GameIsOver],1,Table1[WatchedGame],1)</f>
        <v>0</v>
      </c>
      <c r="F20">
        <f>COUNTIFS(Table1[AwayTeam],Table2[[#This Row],[Team]], Table1[GameIsOver],1)</f>
        <v>1</v>
      </c>
      <c r="G20">
        <f>COUNTIFS(Table1[HomeTeam],Table2[[#This Row],[Team]], Table1[GameIsOver],1)</f>
        <v>0</v>
      </c>
      <c r="H20">
        <f>Table2[[#This Row],[GP_A]]+Table2[[#This Row],[GP_H]]</f>
        <v>1</v>
      </c>
      <c r="I20">
        <f>84-Table2[[#This Row],[GP]]</f>
        <v>83</v>
      </c>
      <c r="J20">
        <f>COUNTIFS(Table1[AwayTeam], Table2[[#This Row],[Team]], Table1[GameIsOver], 1, Table1[AwayWon],1)</f>
        <v>0</v>
      </c>
      <c r="K20">
        <f>COUNTIFS(Table1[AwayTeam], Table2[[#This Row],[Team]], Table1[GameIsOver], 1, Table1[AwayWon],1, Table1[ActualResult], "REG")</f>
        <v>0</v>
      </c>
      <c r="L20">
        <f>COUNTIFS(Table1[AwayTeam], Table2[[#This Row],[Team]], Table1[GameIsOver], 1, Table1[AwayWon],1, Table1[ActualResult], "OT")</f>
        <v>0</v>
      </c>
      <c r="M20">
        <f>COUNTIFS(Table1[AwayTeam], Table2[[#This Row],[Team]], Table1[GameIsOver], 1, Table1[AwayWon],1, Table1[ActualResult], "SO")</f>
        <v>0</v>
      </c>
      <c r="N20">
        <f>COUNTIFS(Table1[AwayTeam], Table2[[#This Row],[Team]], Table1[GameIsOver], 1, Table1[AwayWon],0)</f>
        <v>1</v>
      </c>
      <c r="O20">
        <f>COUNTIFS(Table1[AwayTeam], Table2[[#This Row],[Team]], Table1[GameIsOver], 1, Table1[AwayWon],0, Table1[ActualResult], "REG")</f>
        <v>1</v>
      </c>
      <c r="P20">
        <f>COUNTIFS(Table1[AwayTeam], Table2[[#This Row],[Team]], Table1[GameIsOver], 1, Table1[AwayWon],0, Table1[ActualResult], "OT")</f>
        <v>0</v>
      </c>
      <c r="Q20">
        <f>COUNTIFS(Table1[AwayTeam], Table2[[#This Row],[Team]], Table1[GameIsOver], 1, Table1[AwayWon],0, Table1[ActualResult], "SO")</f>
        <v>0</v>
      </c>
      <c r="R20">
        <f>COUNTIFS(Table1[HomeTeam], Table2[[#This Row],[Team]], Table1[GameIsOver], 1, Table1[HomeWon],1)</f>
        <v>0</v>
      </c>
      <c r="S20">
        <f>COUNTIFS(Table1[HomeTeam], Table2[[#This Row],[Team]], Table1[GameIsOver], 1, Table1[HomeWon],1, Table1[ActualResult], "REG")</f>
        <v>0</v>
      </c>
      <c r="T20">
        <f>COUNTIFS(Table1[HomeTeam], Table2[[#This Row],[Team]], Table1[GameIsOver], 1, Table1[HomeWon],1, Table1[ActualResult], "OT")</f>
        <v>0</v>
      </c>
      <c r="U20">
        <f>COUNTIFS(Table1[HomeTeam], Table2[[#This Row],[Team]], Table1[GameIsOver], 1, Table1[HomeWon],1, Table1[ActualResult], "SO")</f>
        <v>0</v>
      </c>
      <c r="V20">
        <f>COUNTIFS(Table1[HomeTeam], Table2[[#This Row],[Team]], Table1[GameIsOver], 1, Table1[HomeWon],0)</f>
        <v>0</v>
      </c>
      <c r="W20">
        <f>COUNTIFS(Table1[HomeTeam], Table2[[#This Row],[Team]], Table1[GameIsOver], 1, Table1[HomeWon],0, Table1[ActualResult], "REG")</f>
        <v>0</v>
      </c>
      <c r="X20">
        <f>COUNTIFS(Table1[HomeTeam], Table2[[#This Row],[Team]], Table1[GameIsOver], 1, Table1[HomeWon],0, Table1[ActualResult], "OT")</f>
        <v>0</v>
      </c>
      <c r="Y20">
        <f>COUNTIFS(Table1[HomeTeam], Table2[[#This Row],[Team]], Table1[GameIsOver], 1, Table1[HomeWon],0, Table1[ActualResult], "SO")</f>
        <v>0</v>
      </c>
      <c r="Z20" s="50">
        <f>Table2[[#This Row],[W]]/MAX(1,Table2[[#This Row],[W]]+Table2[[#This Row],[L]])</f>
        <v>0</v>
      </c>
      <c r="AA20" s="43">
        <f>Table2[[#This Row],[W_A]]+Table2[[#This Row],[W_H]]</f>
        <v>0</v>
      </c>
      <c r="AB20" s="43">
        <f>Table2[[#This Row],[L_A]]+Table2[[#This Row],[L_H]]</f>
        <v>1</v>
      </c>
      <c r="AC20" s="43">
        <f>Table2[RW_A]+Table2[RW_H]</f>
        <v>0</v>
      </c>
      <c r="AD20" s="43">
        <f>Table2[RL_A]+Table2[RL_H]</f>
        <v>1</v>
      </c>
      <c r="AE20" s="43">
        <f>Table2[OTW_A]+Table2[OTW_H]</f>
        <v>0</v>
      </c>
      <c r="AF20" s="43">
        <f>Table2[OTL_A]+Table2[OTL_H]</f>
        <v>0</v>
      </c>
      <c r="AG20" s="43">
        <f>Table2[SOW_A]+Table2[SOW_H]</f>
        <v>0</v>
      </c>
      <c r="AH20" s="43">
        <f>Table2[SOL_A]+Table2[SOL_H]</f>
        <v>0</v>
      </c>
      <c r="AI20" s="43" t="str">
        <f>_xlfn.CONCAT(TEXT(Table2[[#This Row],[OTW]]+Table2[[#This Row],[SOW]], "0"), "-", TEXT(Table2[[#This Row],[OTL]]+Table2[[#This Row],[SOL]],"0"))</f>
        <v>0-0</v>
      </c>
      <c r="AJ20" s="43">
        <f>SUM(Table2[[#This Row],[OTW]],Table2[[#This Row],[OTL]],Table2[[#This Row],[SOW]],Table2[[#This Row],[SOL]])</f>
        <v>0</v>
      </c>
      <c r="AK20" s="50">
        <f>(Table2[[#This Row],[OTW]]+Table2[[#This Row],[SOW]])/IF(Table2[[#This Row],[Total_ExtraTimes]]=0,1,Table2[[#This Row],[Total_ExtraTimes]])</f>
        <v>0</v>
      </c>
      <c r="AL20" s="50">
        <f>Table2[[#This Row],[Total_ExtraTimes]]/MAX(1,Table2[[#This Row],[GP]])</f>
        <v>0</v>
      </c>
      <c r="AM20" s="43">
        <f>(2*(Table2[[#This Row],[W_A]]+Table2[[#This Row],[W_H]]))+Table2[[#This Row],[OTL_A]]+Table2[[#This Row],[SOL_A]]+Table2[[#This Row],[OTL_H]]+Table2[[#This Row],[SOL_H]]</f>
        <v>0</v>
      </c>
      <c r="AN20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20" s="43">
        <f>Table2[[#This Row],[PTS]]/(2*Table2[[#This Row],[GP]])</f>
        <v>0</v>
      </c>
      <c r="AP20" s="43">
        <f>Table2[[#This Row],[PTS]]/(3*Table2[[#This Row],[GP]])</f>
        <v>0</v>
      </c>
      <c r="AQ20" s="43">
        <f>(2*Table2[[#This Row],[GR]])+Table2[[#This Row],[PTS]]</f>
        <v>166</v>
      </c>
      <c r="AR20" s="43">
        <f>(3*Table2[[#This Row],[GR]])+Table2[[#This Row],[PTS]]</f>
        <v>249</v>
      </c>
      <c r="AS20" s="43">
        <f>Table2[[#This Row],[PTS]]+(2 * Table2[[#This Row],[GR]] * Table2[[#This Row],[PTS%]])</f>
        <v>0</v>
      </c>
      <c r="AT20" s="43">
        <f>Table2[[#This Row],[PTS]]+(3 * Table2[[#This Row],[GR]] * Table2[[#This Row],[PTS%]])</f>
        <v>0</v>
      </c>
      <c r="AU20" s="43" t="str">
        <f>_xlfn.CONCAT(TEXT(Table2[[#This Row],[W]], "0"), "-", TEXT(Table2[[#This Row],[RL]],"0"), "-", TEXT(Table2[[#This Row],[OTL]]+Table2[[#This Row],[SOL]], "0"))</f>
        <v>0-1-0</v>
      </c>
      <c r="AV20" s="43">
        <f>SUMIF(Table1[AwayTeam], Table2[[#This Row],[Team]], Table1[ActualAwayScore])</f>
        <v>3</v>
      </c>
      <c r="AW20" s="43">
        <f>SUMIF(Table1[AwayTeam], Table2[[#This Row],[Team]], Table1[ActualHomeScore])</f>
        <v>5</v>
      </c>
      <c r="AX20" s="43">
        <f>Table2[[#This Row],[GF_A]]-Table2[[#This Row],[GA_A]]</f>
        <v>-2</v>
      </c>
      <c r="AY20" s="43">
        <f>SUMIF(Table1[HomeTeam], Table2[[#This Row],[Team]], Table1[ActualHomeScore])</f>
        <v>0</v>
      </c>
      <c r="AZ20" s="43">
        <f>SUMIF(Table1[HomeTeam], Table2[[#This Row],[Team]], Table1[ActualAwayScore])</f>
        <v>0</v>
      </c>
      <c r="BA20" s="43">
        <f>Table2[[#This Row],[GF_H]]-Table2[[#This Row],[GA_H]]</f>
        <v>0</v>
      </c>
      <c r="BB20" s="43">
        <f>SUMIFS(Table1[ActualAwayScore], Table1[AwayTeam], Table2[[#This Row],[Team]], Table1[AwayWon],1)+SUMIFS(Table1[ActualHomeScore], Table1[HomeTeam], Table2[[#This Row],[Team]], Table1[HomeWon],1)</f>
        <v>0</v>
      </c>
      <c r="BC20" s="43">
        <f>SUMIFS(Table1[ActualAwayScore], Table1[AwayTeam], Table2[[#This Row],[Team]], Table1[AwayWon],0) + SUMIFS(Table1[ActualHomeScore], Table1[HomeTeam], Table2[[#This Row],[Team]], Table1[HomeWon],0)</f>
        <v>3</v>
      </c>
      <c r="BD20" s="43">
        <f>Table2[[#This Row],[GF_W]]-Table2[[#This Row],[GF_L]]</f>
        <v>-3</v>
      </c>
      <c r="BE20" s="43">
        <f>Table2[[#This Row],[GF_A]]+Table2[[#This Row],[GF_H]]</f>
        <v>3</v>
      </c>
      <c r="BF20" s="43">
        <f>Table2[[#This Row],[GA_A]]+Table2[[#This Row],[GA_H]]</f>
        <v>5</v>
      </c>
      <c r="BG20" s="43">
        <f>Table2[[#This Row],[GF]]-Table2[[#This Row],[GA]]</f>
        <v>-2</v>
      </c>
      <c r="BH20" s="43">
        <f>Table2[[#This Row],[GF]]/Table2[[#This Row],[GP]]</f>
        <v>3</v>
      </c>
      <c r="BI20" s="43">
        <f>Table2[[#This Row],[GA]]/Table2[[#This Row],[GP]]</f>
        <v>5</v>
      </c>
      <c r="BJ20" s="43">
        <f>Table2[[#This Row],[GFPG]]-Table2[[#This Row],[GAPG]]</f>
        <v>-2</v>
      </c>
      <c r="BK20" s="43" t="str">
        <f>_xlfn.CONCAT(TEXT(Table2[[#This Row],[W_A]], "0"), "-", TEXT(Table2[[#This Row],[RL_A]],"0"), "-", TEXT(Table2[[#This Row],[OTL_A]]+Table2[[#This Row],[SOL_A]], "0"))</f>
        <v>0-1-0</v>
      </c>
      <c r="BL20" s="43" t="str">
        <f>_xlfn.CONCAT(TEXT(Table2[[#This Row],[W_H]], "0"), "-", TEXT(Table2[[#This Row],[RL_H]],"0"), "-", TEXT(Table2[[#This Row],[OTL_H]]+Table2[[#This Row],[SOL_H]], "0"))</f>
        <v>0-0-0</v>
      </c>
    </row>
    <row r="21" spans="1:64" x14ac:dyDescent="0.25">
      <c r="A21" t="s">
        <v>52</v>
      </c>
      <c r="B21" t="s">
        <v>63</v>
      </c>
      <c r="C21" t="s">
        <v>67</v>
      </c>
      <c r="D21">
        <f>COUNTIFS(Table1[AwayTeam],Table2[[#This Row],[Team]],Table1[GameIsOver], 1, Table1[WatchedGame],1) + COUNTIFS(Table1[HomeTeam],Table2[[#This Row],[Team]],Table1[GameIsOver],1,Table1[WatchedGame],1)</f>
        <v>0</v>
      </c>
      <c r="F21">
        <f>COUNTIFS(Table1[AwayTeam],Table2[[#This Row],[Team]], Table1[GameIsOver],1)</f>
        <v>2</v>
      </c>
      <c r="G21">
        <f>COUNTIFS(Table1[HomeTeam],Table2[[#This Row],[Team]], Table1[GameIsOver],1)</f>
        <v>0</v>
      </c>
      <c r="H21">
        <f>Table2[[#This Row],[GP_A]]+Table2[[#This Row],[GP_H]]</f>
        <v>2</v>
      </c>
      <c r="I21">
        <f>84-Table2[[#This Row],[GP]]</f>
        <v>82</v>
      </c>
      <c r="J21">
        <f>COUNTIFS(Table1[AwayTeam], Table2[[#This Row],[Team]], Table1[GameIsOver], 1, Table1[AwayWon],1)</f>
        <v>0</v>
      </c>
      <c r="K21">
        <f>COUNTIFS(Table1[AwayTeam], Table2[[#This Row],[Team]], Table1[GameIsOver], 1, Table1[AwayWon],1, Table1[ActualResult], "REG")</f>
        <v>0</v>
      </c>
      <c r="L21">
        <f>COUNTIFS(Table1[AwayTeam], Table2[[#This Row],[Team]], Table1[GameIsOver], 1, Table1[AwayWon],1, Table1[ActualResult], "OT")</f>
        <v>0</v>
      </c>
      <c r="M21">
        <f>COUNTIFS(Table1[AwayTeam], Table2[[#This Row],[Team]], Table1[GameIsOver], 1, Table1[AwayWon],1, Table1[ActualResult], "SO")</f>
        <v>0</v>
      </c>
      <c r="N21">
        <f>COUNTIFS(Table1[AwayTeam], Table2[[#This Row],[Team]], Table1[GameIsOver], 1, Table1[AwayWon],0)</f>
        <v>2</v>
      </c>
      <c r="O21">
        <f>COUNTIFS(Table1[AwayTeam], Table2[[#This Row],[Team]], Table1[GameIsOver], 1, Table1[AwayWon],0, Table1[ActualResult], "REG")</f>
        <v>1</v>
      </c>
      <c r="P21">
        <f>COUNTIFS(Table1[AwayTeam], Table2[[#This Row],[Team]], Table1[GameIsOver], 1, Table1[AwayWon],0, Table1[ActualResult], "OT")</f>
        <v>0</v>
      </c>
      <c r="Q21">
        <f>COUNTIFS(Table1[AwayTeam], Table2[[#This Row],[Team]], Table1[GameIsOver], 1, Table1[AwayWon],0, Table1[ActualResult], "SO")</f>
        <v>1</v>
      </c>
      <c r="R21">
        <f>COUNTIFS(Table1[HomeTeam], Table2[[#This Row],[Team]], Table1[GameIsOver], 1, Table1[HomeWon],1)</f>
        <v>0</v>
      </c>
      <c r="S21">
        <f>COUNTIFS(Table1[HomeTeam], Table2[[#This Row],[Team]], Table1[GameIsOver], 1, Table1[HomeWon],1, Table1[ActualResult], "REG")</f>
        <v>0</v>
      </c>
      <c r="T21">
        <f>COUNTIFS(Table1[HomeTeam], Table2[[#This Row],[Team]], Table1[GameIsOver], 1, Table1[HomeWon],1, Table1[ActualResult], "OT")</f>
        <v>0</v>
      </c>
      <c r="U21">
        <f>COUNTIFS(Table1[HomeTeam], Table2[[#This Row],[Team]], Table1[GameIsOver], 1, Table1[HomeWon],1, Table1[ActualResult], "SO")</f>
        <v>0</v>
      </c>
      <c r="V21">
        <f>COUNTIFS(Table1[HomeTeam], Table2[[#This Row],[Team]], Table1[GameIsOver], 1, Table1[HomeWon],0)</f>
        <v>0</v>
      </c>
      <c r="W21">
        <f>COUNTIFS(Table1[HomeTeam], Table2[[#This Row],[Team]], Table1[GameIsOver], 1, Table1[HomeWon],0, Table1[ActualResult], "REG")</f>
        <v>0</v>
      </c>
      <c r="X21">
        <f>COUNTIFS(Table1[HomeTeam], Table2[[#This Row],[Team]], Table1[GameIsOver], 1, Table1[HomeWon],0, Table1[ActualResult], "OT")</f>
        <v>0</v>
      </c>
      <c r="Y21">
        <f>COUNTIFS(Table1[HomeTeam], Table2[[#This Row],[Team]], Table1[GameIsOver], 1, Table1[HomeWon],0, Table1[ActualResult], "SO")</f>
        <v>0</v>
      </c>
      <c r="Z21" s="50">
        <f>Table2[[#This Row],[W]]/MAX(1,Table2[[#This Row],[W]]+Table2[[#This Row],[L]])</f>
        <v>0</v>
      </c>
      <c r="AA21" s="43">
        <f>Table2[[#This Row],[W_A]]+Table2[[#This Row],[W_H]]</f>
        <v>0</v>
      </c>
      <c r="AB21" s="43">
        <f>Table2[[#This Row],[L_A]]+Table2[[#This Row],[L_H]]</f>
        <v>2</v>
      </c>
      <c r="AC21" s="43">
        <f>Table2[RW_A]+Table2[RW_H]</f>
        <v>0</v>
      </c>
      <c r="AD21" s="43">
        <f>Table2[RL_A]+Table2[RL_H]</f>
        <v>1</v>
      </c>
      <c r="AE21" s="43">
        <f>Table2[OTW_A]+Table2[OTW_H]</f>
        <v>0</v>
      </c>
      <c r="AF21" s="43">
        <f>Table2[OTL_A]+Table2[OTL_H]</f>
        <v>0</v>
      </c>
      <c r="AG21" s="43">
        <f>Table2[SOW_A]+Table2[SOW_H]</f>
        <v>0</v>
      </c>
      <c r="AH21" s="43">
        <f>Table2[SOL_A]+Table2[SOL_H]</f>
        <v>1</v>
      </c>
      <c r="AI21" s="43" t="str">
        <f>_xlfn.CONCAT(TEXT(Table2[[#This Row],[OTW]]+Table2[[#This Row],[SOW]], "0"), "-", TEXT(Table2[[#This Row],[OTL]]+Table2[[#This Row],[SOL]],"0"))</f>
        <v>0-1</v>
      </c>
      <c r="AJ21" s="43">
        <f>SUM(Table2[[#This Row],[OTW]],Table2[[#This Row],[OTL]],Table2[[#This Row],[SOW]],Table2[[#This Row],[SOL]])</f>
        <v>1</v>
      </c>
      <c r="AK21" s="50">
        <f>(Table2[[#This Row],[OTW]]+Table2[[#This Row],[SOW]])/IF(Table2[[#This Row],[Total_ExtraTimes]]=0,1,Table2[[#This Row],[Total_ExtraTimes]])</f>
        <v>0</v>
      </c>
      <c r="AL21" s="50">
        <f>Table2[[#This Row],[Total_ExtraTimes]]/MAX(1,Table2[[#This Row],[GP]])</f>
        <v>0.5</v>
      </c>
      <c r="AM21" s="43">
        <f>(2*(Table2[[#This Row],[W_A]]+Table2[[#This Row],[W_H]]))+Table2[[#This Row],[OTL_A]]+Table2[[#This Row],[SOL_A]]+Table2[[#This Row],[OTL_H]]+Table2[[#This Row],[SOL_H]]</f>
        <v>1</v>
      </c>
      <c r="AN21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21" s="43">
        <f>Table2[[#This Row],[PTS]]/(2*Table2[[#This Row],[GP]])</f>
        <v>0.25</v>
      </c>
      <c r="AP21" s="43">
        <f>Table2[[#This Row],[PTS]]/(3*Table2[[#This Row],[GP]])</f>
        <v>0.16666666666666666</v>
      </c>
      <c r="AQ21" s="43">
        <f>(2*Table2[[#This Row],[GR]])+Table2[[#This Row],[PTS]]</f>
        <v>165</v>
      </c>
      <c r="AR21" s="43">
        <f>(3*Table2[[#This Row],[GR]])+Table2[[#This Row],[PTS]]</f>
        <v>247</v>
      </c>
      <c r="AS21" s="43">
        <f>Table2[[#This Row],[PTS]]+(2 * Table2[[#This Row],[GR]] * Table2[[#This Row],[PTS%]])</f>
        <v>42</v>
      </c>
      <c r="AT21" s="43">
        <f>Table2[[#This Row],[PTS]]+(3 * Table2[[#This Row],[GR]] * Table2[[#This Row],[PTS%]])</f>
        <v>62.5</v>
      </c>
      <c r="AU21" s="43" t="str">
        <f>_xlfn.CONCAT(TEXT(Table2[[#This Row],[W]], "0"), "-", TEXT(Table2[[#This Row],[RL]],"0"), "-", TEXT(Table2[[#This Row],[OTL]]+Table2[[#This Row],[SOL]], "0"))</f>
        <v>0-1-1</v>
      </c>
      <c r="AV21" s="43">
        <f>SUMIF(Table1[AwayTeam], Table2[[#This Row],[Team]], Table1[ActualAwayScore])</f>
        <v>5</v>
      </c>
      <c r="AW21" s="43">
        <f>SUMIF(Table1[AwayTeam], Table2[[#This Row],[Team]], Table1[ActualHomeScore])</f>
        <v>7</v>
      </c>
      <c r="AX21" s="43">
        <f>Table2[[#This Row],[GF_A]]-Table2[[#This Row],[GA_A]]</f>
        <v>-2</v>
      </c>
      <c r="AY21" s="43">
        <f>SUMIF(Table1[HomeTeam], Table2[[#This Row],[Team]], Table1[ActualHomeScore])</f>
        <v>0</v>
      </c>
      <c r="AZ21" s="43">
        <f>SUMIF(Table1[HomeTeam], Table2[[#This Row],[Team]], Table1[ActualAwayScore])</f>
        <v>0</v>
      </c>
      <c r="BA21" s="43">
        <f>Table2[[#This Row],[GF_H]]-Table2[[#This Row],[GA_H]]</f>
        <v>0</v>
      </c>
      <c r="BB21" s="43">
        <f>SUMIFS(Table1[ActualAwayScore], Table1[AwayTeam], Table2[[#This Row],[Team]], Table1[AwayWon],1)+SUMIFS(Table1[ActualHomeScore], Table1[HomeTeam], Table2[[#This Row],[Team]], Table1[HomeWon],1)</f>
        <v>0</v>
      </c>
      <c r="BC21" s="43">
        <f>SUMIFS(Table1[ActualAwayScore], Table1[AwayTeam], Table2[[#This Row],[Team]], Table1[AwayWon],0) + SUMIFS(Table1[ActualHomeScore], Table1[HomeTeam], Table2[[#This Row],[Team]], Table1[HomeWon],0)</f>
        <v>5</v>
      </c>
      <c r="BD21" s="43">
        <f>Table2[[#This Row],[GF_W]]-Table2[[#This Row],[GF_L]]</f>
        <v>-5</v>
      </c>
      <c r="BE21" s="43">
        <f>Table2[[#This Row],[GF_A]]+Table2[[#This Row],[GF_H]]</f>
        <v>5</v>
      </c>
      <c r="BF21" s="43">
        <f>Table2[[#This Row],[GA_A]]+Table2[[#This Row],[GA_H]]</f>
        <v>7</v>
      </c>
      <c r="BG21" s="43">
        <f>Table2[[#This Row],[GF]]-Table2[[#This Row],[GA]]</f>
        <v>-2</v>
      </c>
      <c r="BH21" s="43">
        <f>Table2[[#This Row],[GF]]/Table2[[#This Row],[GP]]</f>
        <v>2.5</v>
      </c>
      <c r="BI21" s="43">
        <f>Table2[[#This Row],[GA]]/Table2[[#This Row],[GP]]</f>
        <v>3.5</v>
      </c>
      <c r="BJ21" s="43">
        <f>Table2[[#This Row],[GFPG]]-Table2[[#This Row],[GAPG]]</f>
        <v>-1</v>
      </c>
      <c r="BK21" s="43" t="str">
        <f>_xlfn.CONCAT(TEXT(Table2[[#This Row],[W_A]], "0"), "-", TEXT(Table2[[#This Row],[RL_A]],"0"), "-", TEXT(Table2[[#This Row],[OTL_A]]+Table2[[#This Row],[SOL_A]], "0"))</f>
        <v>0-1-1</v>
      </c>
      <c r="BL21" s="43" t="str">
        <f>_xlfn.CONCAT(TEXT(Table2[[#This Row],[W_H]], "0"), "-", TEXT(Table2[[#This Row],[RL_H]],"0"), "-", TEXT(Table2[[#This Row],[OTL_H]]+Table2[[#This Row],[SOL_H]], "0"))</f>
        <v>0-0-0</v>
      </c>
    </row>
    <row r="22" spans="1:64" x14ac:dyDescent="0.25">
      <c r="A22" t="s">
        <v>53</v>
      </c>
      <c r="B22" t="s">
        <v>63</v>
      </c>
      <c r="C22" t="s">
        <v>65</v>
      </c>
      <c r="D22">
        <f>COUNTIFS(Table1[AwayTeam],Table2[[#This Row],[Team]],Table1[GameIsOver], 1, Table1[WatchedGame],1) + COUNTIFS(Table1[HomeTeam],Table2[[#This Row],[Team]],Table1[GameIsOver],1,Table1[WatchedGame],1)</f>
        <v>0</v>
      </c>
      <c r="F22">
        <f>COUNTIFS(Table1[AwayTeam],Table2[[#This Row],[Team]], Table1[GameIsOver],1)</f>
        <v>0</v>
      </c>
      <c r="G22">
        <f>COUNTIFS(Table1[HomeTeam],Table2[[#This Row],[Team]], Table1[GameIsOver],1)</f>
        <v>1</v>
      </c>
      <c r="H22">
        <f>Table2[[#This Row],[GP_A]]+Table2[[#This Row],[GP_H]]</f>
        <v>1</v>
      </c>
      <c r="I22">
        <f>84-Table2[[#This Row],[GP]]</f>
        <v>83</v>
      </c>
      <c r="J22">
        <f>COUNTIFS(Table1[AwayTeam], Table2[[#This Row],[Team]], Table1[GameIsOver], 1, Table1[AwayWon],1)</f>
        <v>0</v>
      </c>
      <c r="K22">
        <f>COUNTIFS(Table1[AwayTeam], Table2[[#This Row],[Team]], Table1[GameIsOver], 1, Table1[AwayWon],1, Table1[ActualResult], "REG")</f>
        <v>0</v>
      </c>
      <c r="L22">
        <f>COUNTIFS(Table1[AwayTeam], Table2[[#This Row],[Team]], Table1[GameIsOver], 1, Table1[AwayWon],1, Table1[ActualResult], "OT")</f>
        <v>0</v>
      </c>
      <c r="M22">
        <f>COUNTIFS(Table1[AwayTeam], Table2[[#This Row],[Team]], Table1[GameIsOver], 1, Table1[AwayWon],1, Table1[ActualResult], "SO")</f>
        <v>0</v>
      </c>
      <c r="N22">
        <f>COUNTIFS(Table1[AwayTeam], Table2[[#This Row],[Team]], Table1[GameIsOver], 1, Table1[AwayWon],0)</f>
        <v>0</v>
      </c>
      <c r="O22">
        <f>COUNTIFS(Table1[AwayTeam], Table2[[#This Row],[Team]], Table1[GameIsOver], 1, Table1[AwayWon],0, Table1[ActualResult], "REG")</f>
        <v>0</v>
      </c>
      <c r="P22">
        <f>COUNTIFS(Table1[AwayTeam], Table2[[#This Row],[Team]], Table1[GameIsOver], 1, Table1[AwayWon],0, Table1[ActualResult], "OT")</f>
        <v>0</v>
      </c>
      <c r="Q22">
        <f>COUNTIFS(Table1[AwayTeam], Table2[[#This Row],[Team]], Table1[GameIsOver], 1, Table1[AwayWon],0, Table1[ActualResult], "SO")</f>
        <v>0</v>
      </c>
      <c r="R22">
        <f>COUNTIFS(Table1[HomeTeam], Table2[[#This Row],[Team]], Table1[GameIsOver], 1, Table1[HomeWon],1)</f>
        <v>0</v>
      </c>
      <c r="S22">
        <f>COUNTIFS(Table1[HomeTeam], Table2[[#This Row],[Team]], Table1[GameIsOver], 1, Table1[HomeWon],1, Table1[ActualResult], "REG")</f>
        <v>0</v>
      </c>
      <c r="T22">
        <f>COUNTIFS(Table1[HomeTeam], Table2[[#This Row],[Team]], Table1[GameIsOver], 1, Table1[HomeWon],1, Table1[ActualResult], "OT")</f>
        <v>0</v>
      </c>
      <c r="U22">
        <f>COUNTIFS(Table1[HomeTeam], Table2[[#This Row],[Team]], Table1[GameIsOver], 1, Table1[HomeWon],1, Table1[ActualResult], "SO")</f>
        <v>0</v>
      </c>
      <c r="V22">
        <f>COUNTIFS(Table1[HomeTeam], Table2[[#This Row],[Team]], Table1[GameIsOver], 1, Table1[HomeWon],0)</f>
        <v>1</v>
      </c>
      <c r="W22">
        <f>COUNTIFS(Table1[HomeTeam], Table2[[#This Row],[Team]], Table1[GameIsOver], 1, Table1[HomeWon],0, Table1[ActualResult], "REG")</f>
        <v>1</v>
      </c>
      <c r="X22">
        <f>COUNTIFS(Table1[HomeTeam], Table2[[#This Row],[Team]], Table1[GameIsOver], 1, Table1[HomeWon],0, Table1[ActualResult], "OT")</f>
        <v>0</v>
      </c>
      <c r="Y22">
        <f>COUNTIFS(Table1[HomeTeam], Table2[[#This Row],[Team]], Table1[GameIsOver], 1, Table1[HomeWon],0, Table1[ActualResult], "SO")</f>
        <v>0</v>
      </c>
      <c r="Z22" s="50">
        <f>Table2[[#This Row],[W]]/MAX(1,Table2[[#This Row],[W]]+Table2[[#This Row],[L]])</f>
        <v>0</v>
      </c>
      <c r="AA22" s="43">
        <f>Table2[[#This Row],[W_A]]+Table2[[#This Row],[W_H]]</f>
        <v>0</v>
      </c>
      <c r="AB22" s="43">
        <f>Table2[[#This Row],[L_A]]+Table2[[#This Row],[L_H]]</f>
        <v>1</v>
      </c>
      <c r="AC22" s="43">
        <f>Table2[RW_A]+Table2[RW_H]</f>
        <v>0</v>
      </c>
      <c r="AD22" s="43">
        <f>Table2[RL_A]+Table2[RL_H]</f>
        <v>1</v>
      </c>
      <c r="AE22" s="43">
        <f>Table2[OTW_A]+Table2[OTW_H]</f>
        <v>0</v>
      </c>
      <c r="AF22" s="43">
        <f>Table2[OTL_A]+Table2[OTL_H]</f>
        <v>0</v>
      </c>
      <c r="AG22" s="43">
        <f>Table2[SOW_A]+Table2[SOW_H]</f>
        <v>0</v>
      </c>
      <c r="AH22" s="43">
        <f>Table2[SOL_A]+Table2[SOL_H]</f>
        <v>0</v>
      </c>
      <c r="AI22" s="43" t="str">
        <f>_xlfn.CONCAT(TEXT(Table2[[#This Row],[OTW]]+Table2[[#This Row],[SOW]], "0"), "-", TEXT(Table2[[#This Row],[OTL]]+Table2[[#This Row],[SOL]],"0"))</f>
        <v>0-0</v>
      </c>
      <c r="AJ22" s="43">
        <f>SUM(Table2[[#This Row],[OTW]],Table2[[#This Row],[OTL]],Table2[[#This Row],[SOW]],Table2[[#This Row],[SOL]])</f>
        <v>0</v>
      </c>
      <c r="AK22" s="50">
        <f>(Table2[[#This Row],[OTW]]+Table2[[#This Row],[SOW]])/IF(Table2[[#This Row],[Total_ExtraTimes]]=0,1,Table2[[#This Row],[Total_ExtraTimes]])</f>
        <v>0</v>
      </c>
      <c r="AL22" s="50">
        <f>Table2[[#This Row],[Total_ExtraTimes]]/MAX(1,Table2[[#This Row],[GP]])</f>
        <v>0</v>
      </c>
      <c r="AM22" s="43">
        <f>(2*(Table2[[#This Row],[W_A]]+Table2[[#This Row],[W_H]]))+Table2[[#This Row],[OTL_A]]+Table2[[#This Row],[SOL_A]]+Table2[[#This Row],[OTL_H]]+Table2[[#This Row],[SOL_H]]</f>
        <v>0</v>
      </c>
      <c r="AN22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22" s="43">
        <f>Table2[[#This Row],[PTS]]/(2*Table2[[#This Row],[GP]])</f>
        <v>0</v>
      </c>
      <c r="AP22" s="43">
        <f>Table2[[#This Row],[PTS]]/(3*Table2[[#This Row],[GP]])</f>
        <v>0</v>
      </c>
      <c r="AQ22" s="43">
        <f>(2*Table2[[#This Row],[GR]])+Table2[[#This Row],[PTS]]</f>
        <v>166</v>
      </c>
      <c r="AR22" s="43">
        <f>(3*Table2[[#This Row],[GR]])+Table2[[#This Row],[PTS]]</f>
        <v>249</v>
      </c>
      <c r="AS22" s="43">
        <f>Table2[[#This Row],[PTS]]+(2 * Table2[[#This Row],[GR]] * Table2[[#This Row],[PTS%]])</f>
        <v>0</v>
      </c>
      <c r="AT22" s="43">
        <f>Table2[[#This Row],[PTS]]+(3 * Table2[[#This Row],[GR]] * Table2[[#This Row],[PTS%]])</f>
        <v>0</v>
      </c>
      <c r="AU22" s="43" t="str">
        <f>_xlfn.CONCAT(TEXT(Table2[[#This Row],[W]], "0"), "-", TEXT(Table2[[#This Row],[RL]],"0"), "-", TEXT(Table2[[#This Row],[OTL]]+Table2[[#This Row],[SOL]], "0"))</f>
        <v>0-1-0</v>
      </c>
      <c r="AV22" s="43">
        <f>SUMIF(Table1[AwayTeam], Table2[[#This Row],[Team]], Table1[ActualAwayScore])</f>
        <v>0</v>
      </c>
      <c r="AW22" s="43">
        <f>SUMIF(Table1[AwayTeam], Table2[[#This Row],[Team]], Table1[ActualHomeScore])</f>
        <v>0</v>
      </c>
      <c r="AX22" s="43">
        <f>Table2[[#This Row],[GF_A]]-Table2[[#This Row],[GA_A]]</f>
        <v>0</v>
      </c>
      <c r="AY22" s="43">
        <f>SUMIF(Table1[HomeTeam], Table2[[#This Row],[Team]], Table1[ActualHomeScore])</f>
        <v>3</v>
      </c>
      <c r="AZ22" s="43">
        <f>SUMIF(Table1[HomeTeam], Table2[[#This Row],[Team]], Table1[ActualAwayScore])</f>
        <v>4</v>
      </c>
      <c r="BA22" s="43">
        <f>Table2[[#This Row],[GF_H]]-Table2[[#This Row],[GA_H]]</f>
        <v>-1</v>
      </c>
      <c r="BB22" s="43">
        <f>SUMIFS(Table1[ActualAwayScore], Table1[AwayTeam], Table2[[#This Row],[Team]], Table1[AwayWon],1)+SUMIFS(Table1[ActualHomeScore], Table1[HomeTeam], Table2[[#This Row],[Team]], Table1[HomeWon],1)</f>
        <v>0</v>
      </c>
      <c r="BC22" s="43">
        <f>SUMIFS(Table1[ActualAwayScore], Table1[AwayTeam], Table2[[#This Row],[Team]], Table1[AwayWon],0) + SUMIFS(Table1[ActualHomeScore], Table1[HomeTeam], Table2[[#This Row],[Team]], Table1[HomeWon],0)</f>
        <v>3</v>
      </c>
      <c r="BD22" s="43">
        <f>Table2[[#This Row],[GF_W]]-Table2[[#This Row],[GF_L]]</f>
        <v>-3</v>
      </c>
      <c r="BE22" s="43">
        <f>Table2[[#This Row],[GF_A]]+Table2[[#This Row],[GF_H]]</f>
        <v>3</v>
      </c>
      <c r="BF22" s="43">
        <f>Table2[[#This Row],[GA_A]]+Table2[[#This Row],[GA_H]]</f>
        <v>4</v>
      </c>
      <c r="BG22" s="43">
        <f>Table2[[#This Row],[GF]]-Table2[[#This Row],[GA]]</f>
        <v>-1</v>
      </c>
      <c r="BH22" s="43">
        <f>Table2[[#This Row],[GF]]/Table2[[#This Row],[GP]]</f>
        <v>3</v>
      </c>
      <c r="BI22" s="43">
        <f>Table2[[#This Row],[GA]]/Table2[[#This Row],[GP]]</f>
        <v>4</v>
      </c>
      <c r="BJ22" s="43">
        <f>Table2[[#This Row],[GFPG]]-Table2[[#This Row],[GAPG]]</f>
        <v>-1</v>
      </c>
      <c r="BK22" s="43" t="str">
        <f>_xlfn.CONCAT(TEXT(Table2[[#This Row],[W_A]], "0"), "-", TEXT(Table2[[#This Row],[RL_A]],"0"), "-", TEXT(Table2[[#This Row],[OTL_A]]+Table2[[#This Row],[SOL_A]], "0"))</f>
        <v>0-0-0</v>
      </c>
      <c r="BL22" s="43" t="str">
        <f>_xlfn.CONCAT(TEXT(Table2[[#This Row],[W_H]], "0"), "-", TEXT(Table2[[#This Row],[RL_H]],"0"), "-", TEXT(Table2[[#This Row],[OTL_H]]+Table2[[#This Row],[SOL_H]], "0"))</f>
        <v>0-1-0</v>
      </c>
    </row>
    <row r="23" spans="1:64" x14ac:dyDescent="0.25">
      <c r="A23" t="s">
        <v>54</v>
      </c>
      <c r="B23" t="s">
        <v>63</v>
      </c>
      <c r="C23" t="s">
        <v>65</v>
      </c>
      <c r="D23">
        <f>COUNTIFS(Table1[AwayTeam],Table2[[#This Row],[Team]],Table1[GameIsOver], 1, Table1[WatchedGame],1) + COUNTIFS(Table1[HomeTeam],Table2[[#This Row],[Team]],Table1[GameIsOver],1,Table1[WatchedGame],1)</f>
        <v>0</v>
      </c>
      <c r="F23">
        <f>COUNTIFS(Table1[AwayTeam],Table2[[#This Row],[Team]], Table1[GameIsOver],1)</f>
        <v>1</v>
      </c>
      <c r="G23">
        <f>COUNTIFS(Table1[HomeTeam],Table2[[#This Row],[Team]], Table1[GameIsOver],1)</f>
        <v>0</v>
      </c>
      <c r="H23">
        <f>Table2[[#This Row],[GP_A]]+Table2[[#This Row],[GP_H]]</f>
        <v>1</v>
      </c>
      <c r="I23">
        <f>84-Table2[[#This Row],[GP]]</f>
        <v>83</v>
      </c>
      <c r="J23">
        <f>COUNTIFS(Table1[AwayTeam], Table2[[#This Row],[Team]], Table1[GameIsOver], 1, Table1[AwayWon],1)</f>
        <v>0</v>
      </c>
      <c r="K23">
        <f>COUNTIFS(Table1[AwayTeam], Table2[[#This Row],[Team]], Table1[GameIsOver], 1, Table1[AwayWon],1, Table1[ActualResult], "REG")</f>
        <v>0</v>
      </c>
      <c r="L23">
        <f>COUNTIFS(Table1[AwayTeam], Table2[[#This Row],[Team]], Table1[GameIsOver], 1, Table1[AwayWon],1, Table1[ActualResult], "OT")</f>
        <v>0</v>
      </c>
      <c r="M23">
        <f>COUNTIFS(Table1[AwayTeam], Table2[[#This Row],[Team]], Table1[GameIsOver], 1, Table1[AwayWon],1, Table1[ActualResult], "SO")</f>
        <v>0</v>
      </c>
      <c r="N23">
        <f>COUNTIFS(Table1[AwayTeam], Table2[[#This Row],[Team]], Table1[GameIsOver], 1, Table1[AwayWon],0)</f>
        <v>1</v>
      </c>
      <c r="O23">
        <f>COUNTIFS(Table1[AwayTeam], Table2[[#This Row],[Team]], Table1[GameIsOver], 1, Table1[AwayWon],0, Table1[ActualResult], "REG")</f>
        <v>0</v>
      </c>
      <c r="P23">
        <f>COUNTIFS(Table1[AwayTeam], Table2[[#This Row],[Team]], Table1[GameIsOver], 1, Table1[AwayWon],0, Table1[ActualResult], "OT")</f>
        <v>1</v>
      </c>
      <c r="Q23">
        <f>COUNTIFS(Table1[AwayTeam], Table2[[#This Row],[Team]], Table1[GameIsOver], 1, Table1[AwayWon],0, Table1[ActualResult], "SO")</f>
        <v>0</v>
      </c>
      <c r="R23">
        <f>COUNTIFS(Table1[HomeTeam], Table2[[#This Row],[Team]], Table1[GameIsOver], 1, Table1[HomeWon],1)</f>
        <v>0</v>
      </c>
      <c r="S23">
        <f>COUNTIFS(Table1[HomeTeam], Table2[[#This Row],[Team]], Table1[GameIsOver], 1, Table1[HomeWon],1, Table1[ActualResult], "REG")</f>
        <v>0</v>
      </c>
      <c r="T23">
        <f>COUNTIFS(Table1[HomeTeam], Table2[[#This Row],[Team]], Table1[GameIsOver], 1, Table1[HomeWon],1, Table1[ActualResult], "OT")</f>
        <v>0</v>
      </c>
      <c r="U23">
        <f>COUNTIFS(Table1[HomeTeam], Table2[[#This Row],[Team]], Table1[GameIsOver], 1, Table1[HomeWon],1, Table1[ActualResult], "SO")</f>
        <v>0</v>
      </c>
      <c r="V23">
        <f>COUNTIFS(Table1[HomeTeam], Table2[[#This Row],[Team]], Table1[GameIsOver], 1, Table1[HomeWon],0)</f>
        <v>0</v>
      </c>
      <c r="W23">
        <f>COUNTIFS(Table1[HomeTeam], Table2[[#This Row],[Team]], Table1[GameIsOver], 1, Table1[HomeWon],0, Table1[ActualResult], "REG")</f>
        <v>0</v>
      </c>
      <c r="X23">
        <f>COUNTIFS(Table1[HomeTeam], Table2[[#This Row],[Team]], Table1[GameIsOver], 1, Table1[HomeWon],0, Table1[ActualResult], "OT")</f>
        <v>0</v>
      </c>
      <c r="Y23">
        <f>COUNTIFS(Table1[HomeTeam], Table2[[#This Row],[Team]], Table1[GameIsOver], 1, Table1[HomeWon],0, Table1[ActualResult], "SO")</f>
        <v>0</v>
      </c>
      <c r="Z23" s="50">
        <f>Table2[[#This Row],[W]]/MAX(1,Table2[[#This Row],[W]]+Table2[[#This Row],[L]])</f>
        <v>0</v>
      </c>
      <c r="AA23" s="43">
        <f>Table2[[#This Row],[W_A]]+Table2[[#This Row],[W_H]]</f>
        <v>0</v>
      </c>
      <c r="AB23" s="43">
        <f>Table2[[#This Row],[L_A]]+Table2[[#This Row],[L_H]]</f>
        <v>1</v>
      </c>
      <c r="AC23" s="43">
        <f>Table2[RW_A]+Table2[RW_H]</f>
        <v>0</v>
      </c>
      <c r="AD23" s="43">
        <f>Table2[RL_A]+Table2[RL_H]</f>
        <v>0</v>
      </c>
      <c r="AE23" s="43">
        <f>Table2[OTW_A]+Table2[OTW_H]</f>
        <v>0</v>
      </c>
      <c r="AF23" s="43">
        <f>Table2[OTL_A]+Table2[OTL_H]</f>
        <v>1</v>
      </c>
      <c r="AG23" s="43">
        <f>Table2[SOW_A]+Table2[SOW_H]</f>
        <v>0</v>
      </c>
      <c r="AH23" s="43">
        <f>Table2[SOL_A]+Table2[SOL_H]</f>
        <v>0</v>
      </c>
      <c r="AI23" s="43" t="str">
        <f>_xlfn.CONCAT(TEXT(Table2[[#This Row],[OTW]]+Table2[[#This Row],[SOW]], "0"), "-", TEXT(Table2[[#This Row],[OTL]]+Table2[[#This Row],[SOL]],"0"))</f>
        <v>0-1</v>
      </c>
      <c r="AJ23" s="43">
        <f>SUM(Table2[[#This Row],[OTW]],Table2[[#This Row],[OTL]],Table2[[#This Row],[SOW]],Table2[[#This Row],[SOL]])</f>
        <v>1</v>
      </c>
      <c r="AK23" s="50">
        <f>(Table2[[#This Row],[OTW]]+Table2[[#This Row],[SOW]])/IF(Table2[[#This Row],[Total_ExtraTimes]]=0,1,Table2[[#This Row],[Total_ExtraTimes]])</f>
        <v>0</v>
      </c>
      <c r="AL23" s="50">
        <f>Table2[[#This Row],[Total_ExtraTimes]]/MAX(1,Table2[[#This Row],[GP]])</f>
        <v>1</v>
      </c>
      <c r="AM23" s="43">
        <f>(2*(Table2[[#This Row],[W_A]]+Table2[[#This Row],[W_H]]))+Table2[[#This Row],[OTL_A]]+Table2[[#This Row],[SOL_A]]+Table2[[#This Row],[OTL_H]]+Table2[[#This Row],[SOL_H]]</f>
        <v>1</v>
      </c>
      <c r="AN23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23" s="43">
        <f>Table2[[#This Row],[PTS]]/(2*Table2[[#This Row],[GP]])</f>
        <v>0.5</v>
      </c>
      <c r="AP23" s="43">
        <f>Table2[[#This Row],[PTS]]/(3*Table2[[#This Row],[GP]])</f>
        <v>0.33333333333333331</v>
      </c>
      <c r="AQ23" s="43">
        <f>(2*Table2[[#This Row],[GR]])+Table2[[#This Row],[PTS]]</f>
        <v>167</v>
      </c>
      <c r="AR23" s="43">
        <f>(3*Table2[[#This Row],[GR]])+Table2[[#This Row],[PTS]]</f>
        <v>250</v>
      </c>
      <c r="AS23" s="43">
        <f>Table2[[#This Row],[PTS]]+(2 * Table2[[#This Row],[GR]] * Table2[[#This Row],[PTS%]])</f>
        <v>84</v>
      </c>
      <c r="AT23" s="43">
        <f>Table2[[#This Row],[PTS]]+(3 * Table2[[#This Row],[GR]] * Table2[[#This Row],[PTS%]])</f>
        <v>125.5</v>
      </c>
      <c r="AU23" s="43" t="str">
        <f>_xlfn.CONCAT(TEXT(Table2[[#This Row],[W]], "0"), "-", TEXT(Table2[[#This Row],[RL]],"0"), "-", TEXT(Table2[[#This Row],[OTL]]+Table2[[#This Row],[SOL]], "0"))</f>
        <v>0-0-1</v>
      </c>
      <c r="AV23" s="43">
        <f>SUMIF(Table1[AwayTeam], Table2[[#This Row],[Team]], Table1[ActualAwayScore])</f>
        <v>1</v>
      </c>
      <c r="AW23" s="43">
        <f>SUMIF(Table1[AwayTeam], Table2[[#This Row],[Team]], Table1[ActualHomeScore])</f>
        <v>2</v>
      </c>
      <c r="AX23" s="43">
        <f>Table2[[#This Row],[GF_A]]-Table2[[#This Row],[GA_A]]</f>
        <v>-1</v>
      </c>
      <c r="AY23" s="43">
        <f>SUMIF(Table1[HomeTeam], Table2[[#This Row],[Team]], Table1[ActualHomeScore])</f>
        <v>0</v>
      </c>
      <c r="AZ23" s="43">
        <f>SUMIF(Table1[HomeTeam], Table2[[#This Row],[Team]], Table1[ActualAwayScore])</f>
        <v>0</v>
      </c>
      <c r="BA23" s="43">
        <f>Table2[[#This Row],[GF_H]]-Table2[[#This Row],[GA_H]]</f>
        <v>0</v>
      </c>
      <c r="BB23" s="43">
        <f>SUMIFS(Table1[ActualAwayScore], Table1[AwayTeam], Table2[[#This Row],[Team]], Table1[AwayWon],1)+SUMIFS(Table1[ActualHomeScore], Table1[HomeTeam], Table2[[#This Row],[Team]], Table1[HomeWon],1)</f>
        <v>0</v>
      </c>
      <c r="BC23" s="43">
        <f>SUMIFS(Table1[ActualAwayScore], Table1[AwayTeam], Table2[[#This Row],[Team]], Table1[AwayWon],0) + SUMIFS(Table1[ActualHomeScore], Table1[HomeTeam], Table2[[#This Row],[Team]], Table1[HomeWon],0)</f>
        <v>1</v>
      </c>
      <c r="BD23" s="43">
        <f>Table2[[#This Row],[GF_W]]-Table2[[#This Row],[GF_L]]</f>
        <v>-1</v>
      </c>
      <c r="BE23" s="43">
        <f>Table2[[#This Row],[GF_A]]+Table2[[#This Row],[GF_H]]</f>
        <v>1</v>
      </c>
      <c r="BF23" s="43">
        <f>Table2[[#This Row],[GA_A]]+Table2[[#This Row],[GA_H]]</f>
        <v>2</v>
      </c>
      <c r="BG23" s="43">
        <f>Table2[[#This Row],[GF]]-Table2[[#This Row],[GA]]</f>
        <v>-1</v>
      </c>
      <c r="BH23" s="43">
        <f>Table2[[#This Row],[GF]]/Table2[[#This Row],[GP]]</f>
        <v>1</v>
      </c>
      <c r="BI23" s="43">
        <f>Table2[[#This Row],[GA]]/Table2[[#This Row],[GP]]</f>
        <v>2</v>
      </c>
      <c r="BJ23" s="43">
        <f>Table2[[#This Row],[GFPG]]-Table2[[#This Row],[GAPG]]</f>
        <v>-1</v>
      </c>
      <c r="BK23" s="43" t="str">
        <f>_xlfn.CONCAT(TEXT(Table2[[#This Row],[W_A]], "0"), "-", TEXT(Table2[[#This Row],[RL_A]],"0"), "-", TEXT(Table2[[#This Row],[OTL_A]]+Table2[[#This Row],[SOL_A]], "0"))</f>
        <v>0-0-1</v>
      </c>
      <c r="BL23" s="43" t="str">
        <f>_xlfn.CONCAT(TEXT(Table2[[#This Row],[W_H]], "0"), "-", TEXT(Table2[[#This Row],[RL_H]],"0"), "-", TEXT(Table2[[#This Row],[OTL_H]]+Table2[[#This Row],[SOL_H]], "0"))</f>
        <v>0-0-0</v>
      </c>
    </row>
    <row r="24" spans="1:64" x14ac:dyDescent="0.25">
      <c r="A24" t="s">
        <v>55</v>
      </c>
      <c r="B24" t="s">
        <v>62</v>
      </c>
      <c r="C24" t="s">
        <v>66</v>
      </c>
      <c r="D24">
        <f>COUNTIFS(Table1[AwayTeam],Table2[[#This Row],[Team]],Table1[GameIsOver], 1, Table1[WatchedGame],1) + COUNTIFS(Table1[HomeTeam],Table2[[#This Row],[Team]],Table1[GameIsOver],1,Table1[WatchedGame],1)</f>
        <v>0</v>
      </c>
      <c r="F24">
        <f>COUNTIFS(Table1[AwayTeam],Table2[[#This Row],[Team]], Table1[GameIsOver],1)</f>
        <v>0</v>
      </c>
      <c r="G24">
        <f>COUNTIFS(Table1[HomeTeam],Table2[[#This Row],[Team]], Table1[GameIsOver],1)</f>
        <v>1</v>
      </c>
      <c r="H24">
        <f>Table2[[#This Row],[GP_A]]+Table2[[#This Row],[GP_H]]</f>
        <v>1</v>
      </c>
      <c r="I24">
        <f>84-Table2[[#This Row],[GP]]</f>
        <v>83</v>
      </c>
      <c r="J24">
        <f>COUNTIFS(Table1[AwayTeam], Table2[[#This Row],[Team]], Table1[GameIsOver], 1, Table1[AwayWon],1)</f>
        <v>0</v>
      </c>
      <c r="K24">
        <f>COUNTIFS(Table1[AwayTeam], Table2[[#This Row],[Team]], Table1[GameIsOver], 1, Table1[AwayWon],1, Table1[ActualResult], "REG")</f>
        <v>0</v>
      </c>
      <c r="L24">
        <f>COUNTIFS(Table1[AwayTeam], Table2[[#This Row],[Team]], Table1[GameIsOver], 1, Table1[AwayWon],1, Table1[ActualResult], "OT")</f>
        <v>0</v>
      </c>
      <c r="M24">
        <f>COUNTIFS(Table1[AwayTeam], Table2[[#This Row],[Team]], Table1[GameIsOver], 1, Table1[AwayWon],1, Table1[ActualResult], "SO")</f>
        <v>0</v>
      </c>
      <c r="N24">
        <f>COUNTIFS(Table1[AwayTeam], Table2[[#This Row],[Team]], Table1[GameIsOver], 1, Table1[AwayWon],0)</f>
        <v>0</v>
      </c>
      <c r="O24">
        <f>COUNTIFS(Table1[AwayTeam], Table2[[#This Row],[Team]], Table1[GameIsOver], 1, Table1[AwayWon],0, Table1[ActualResult], "REG")</f>
        <v>0</v>
      </c>
      <c r="P24">
        <f>COUNTIFS(Table1[AwayTeam], Table2[[#This Row],[Team]], Table1[GameIsOver], 1, Table1[AwayWon],0, Table1[ActualResult], "OT")</f>
        <v>0</v>
      </c>
      <c r="Q24">
        <f>COUNTIFS(Table1[AwayTeam], Table2[[#This Row],[Team]], Table1[GameIsOver], 1, Table1[AwayWon],0, Table1[ActualResult], "SO")</f>
        <v>0</v>
      </c>
      <c r="R24">
        <f>COUNTIFS(Table1[HomeTeam], Table2[[#This Row],[Team]], Table1[GameIsOver], 1, Table1[HomeWon],1)</f>
        <v>0</v>
      </c>
      <c r="S24">
        <f>COUNTIFS(Table1[HomeTeam], Table2[[#This Row],[Team]], Table1[GameIsOver], 1, Table1[HomeWon],1, Table1[ActualResult], "REG")</f>
        <v>0</v>
      </c>
      <c r="T24">
        <f>COUNTIFS(Table1[HomeTeam], Table2[[#This Row],[Team]], Table1[GameIsOver], 1, Table1[HomeWon],1, Table1[ActualResult], "OT")</f>
        <v>0</v>
      </c>
      <c r="U24">
        <f>COUNTIFS(Table1[HomeTeam], Table2[[#This Row],[Team]], Table1[GameIsOver], 1, Table1[HomeWon],1, Table1[ActualResult], "SO")</f>
        <v>0</v>
      </c>
      <c r="V24">
        <f>COUNTIFS(Table1[HomeTeam], Table2[[#This Row],[Team]], Table1[GameIsOver], 1, Table1[HomeWon],0)</f>
        <v>1</v>
      </c>
      <c r="W24">
        <f>COUNTIFS(Table1[HomeTeam], Table2[[#This Row],[Team]], Table1[GameIsOver], 1, Table1[HomeWon],0, Table1[ActualResult], "REG")</f>
        <v>0</v>
      </c>
      <c r="X24">
        <f>COUNTIFS(Table1[HomeTeam], Table2[[#This Row],[Team]], Table1[GameIsOver], 1, Table1[HomeWon],0, Table1[ActualResult], "OT")</f>
        <v>1</v>
      </c>
      <c r="Y24">
        <f>COUNTIFS(Table1[HomeTeam], Table2[[#This Row],[Team]], Table1[GameIsOver], 1, Table1[HomeWon],0, Table1[ActualResult], "SO")</f>
        <v>0</v>
      </c>
      <c r="Z24" s="50">
        <f>Table2[[#This Row],[W]]/MAX(1,Table2[[#This Row],[W]]+Table2[[#This Row],[L]])</f>
        <v>0</v>
      </c>
      <c r="AA24" s="43">
        <f>Table2[[#This Row],[W_A]]+Table2[[#This Row],[W_H]]</f>
        <v>0</v>
      </c>
      <c r="AB24" s="43">
        <f>Table2[[#This Row],[L_A]]+Table2[[#This Row],[L_H]]</f>
        <v>1</v>
      </c>
      <c r="AC24" s="43">
        <f>Table2[RW_A]+Table2[RW_H]</f>
        <v>0</v>
      </c>
      <c r="AD24" s="43">
        <f>Table2[RL_A]+Table2[RL_H]</f>
        <v>0</v>
      </c>
      <c r="AE24" s="43">
        <f>Table2[OTW_A]+Table2[OTW_H]</f>
        <v>0</v>
      </c>
      <c r="AF24" s="43">
        <f>Table2[OTL_A]+Table2[OTL_H]</f>
        <v>1</v>
      </c>
      <c r="AG24" s="43">
        <f>Table2[SOW_A]+Table2[SOW_H]</f>
        <v>0</v>
      </c>
      <c r="AH24" s="43">
        <f>Table2[SOL_A]+Table2[SOL_H]</f>
        <v>0</v>
      </c>
      <c r="AI24" s="43" t="str">
        <f>_xlfn.CONCAT(TEXT(Table2[[#This Row],[OTW]]+Table2[[#This Row],[SOW]], "0"), "-", TEXT(Table2[[#This Row],[OTL]]+Table2[[#This Row],[SOL]],"0"))</f>
        <v>0-1</v>
      </c>
      <c r="AJ24" s="43">
        <f>SUM(Table2[[#This Row],[OTW]],Table2[[#This Row],[OTL]],Table2[[#This Row],[SOW]],Table2[[#This Row],[SOL]])</f>
        <v>1</v>
      </c>
      <c r="AK24" s="50">
        <f>(Table2[[#This Row],[OTW]]+Table2[[#This Row],[SOW]])/IF(Table2[[#This Row],[Total_ExtraTimes]]=0,1,Table2[[#This Row],[Total_ExtraTimes]])</f>
        <v>0</v>
      </c>
      <c r="AL24" s="50">
        <f>Table2[[#This Row],[Total_ExtraTimes]]/MAX(1,Table2[[#This Row],[GP]])</f>
        <v>1</v>
      </c>
      <c r="AM24" s="43">
        <f>(2*(Table2[[#This Row],[W_A]]+Table2[[#This Row],[W_H]]))+Table2[[#This Row],[OTL_A]]+Table2[[#This Row],[SOL_A]]+Table2[[#This Row],[OTL_H]]+Table2[[#This Row],[SOL_H]]</f>
        <v>1</v>
      </c>
      <c r="AN24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24" s="43">
        <f>Table2[[#This Row],[PTS]]/(2*Table2[[#This Row],[GP]])</f>
        <v>0.5</v>
      </c>
      <c r="AP24" s="43">
        <f>Table2[[#This Row],[PTS]]/(3*Table2[[#This Row],[GP]])</f>
        <v>0.33333333333333331</v>
      </c>
      <c r="AQ24" s="43">
        <f>(2*Table2[[#This Row],[GR]])+Table2[[#This Row],[PTS]]</f>
        <v>167</v>
      </c>
      <c r="AR24" s="43">
        <f>(3*Table2[[#This Row],[GR]])+Table2[[#This Row],[PTS]]</f>
        <v>250</v>
      </c>
      <c r="AS24" s="43">
        <f>Table2[[#This Row],[PTS]]+(2 * Table2[[#This Row],[GR]] * Table2[[#This Row],[PTS%]])</f>
        <v>84</v>
      </c>
      <c r="AT24" s="43">
        <f>Table2[[#This Row],[PTS]]+(3 * Table2[[#This Row],[GR]] * Table2[[#This Row],[PTS%]])</f>
        <v>125.5</v>
      </c>
      <c r="AU24" s="43" t="str">
        <f>_xlfn.CONCAT(TEXT(Table2[[#This Row],[W]], "0"), "-", TEXT(Table2[[#This Row],[RL]],"0"), "-", TEXT(Table2[[#This Row],[OTL]]+Table2[[#This Row],[SOL]], "0"))</f>
        <v>0-0-1</v>
      </c>
      <c r="AV24" s="43">
        <f>SUMIF(Table1[AwayTeam], Table2[[#This Row],[Team]], Table1[ActualAwayScore])</f>
        <v>0</v>
      </c>
      <c r="AW24" s="43">
        <f>SUMIF(Table1[AwayTeam], Table2[[#This Row],[Team]], Table1[ActualHomeScore])</f>
        <v>0</v>
      </c>
      <c r="AX24" s="43">
        <f>Table2[[#This Row],[GF_A]]-Table2[[#This Row],[GA_A]]</f>
        <v>0</v>
      </c>
      <c r="AY24" s="43">
        <f>SUMIF(Table1[HomeTeam], Table2[[#This Row],[Team]], Table1[ActualHomeScore])</f>
        <v>1</v>
      </c>
      <c r="AZ24" s="43">
        <f>SUMIF(Table1[HomeTeam], Table2[[#This Row],[Team]], Table1[ActualAwayScore])</f>
        <v>2</v>
      </c>
      <c r="BA24" s="43">
        <f>Table2[[#This Row],[GF_H]]-Table2[[#This Row],[GA_H]]</f>
        <v>-1</v>
      </c>
      <c r="BB24" s="43">
        <f>SUMIFS(Table1[ActualAwayScore], Table1[AwayTeam], Table2[[#This Row],[Team]], Table1[AwayWon],1)+SUMIFS(Table1[ActualHomeScore], Table1[HomeTeam], Table2[[#This Row],[Team]], Table1[HomeWon],1)</f>
        <v>0</v>
      </c>
      <c r="BC24" s="43">
        <f>SUMIFS(Table1[ActualAwayScore], Table1[AwayTeam], Table2[[#This Row],[Team]], Table1[AwayWon],0) + SUMIFS(Table1[ActualHomeScore], Table1[HomeTeam], Table2[[#This Row],[Team]], Table1[HomeWon],0)</f>
        <v>1</v>
      </c>
      <c r="BD24" s="43">
        <f>Table2[[#This Row],[GF_W]]-Table2[[#This Row],[GF_L]]</f>
        <v>-1</v>
      </c>
      <c r="BE24" s="43">
        <f>Table2[[#This Row],[GF_A]]+Table2[[#This Row],[GF_H]]</f>
        <v>1</v>
      </c>
      <c r="BF24" s="43">
        <f>Table2[[#This Row],[GA_A]]+Table2[[#This Row],[GA_H]]</f>
        <v>2</v>
      </c>
      <c r="BG24" s="43">
        <f>Table2[[#This Row],[GF]]-Table2[[#This Row],[GA]]</f>
        <v>-1</v>
      </c>
      <c r="BH24" s="43">
        <f>Table2[[#This Row],[GF]]/Table2[[#This Row],[GP]]</f>
        <v>1</v>
      </c>
      <c r="BI24" s="43">
        <f>Table2[[#This Row],[GA]]/Table2[[#This Row],[GP]]</f>
        <v>2</v>
      </c>
      <c r="BJ24" s="43">
        <f>Table2[[#This Row],[GFPG]]-Table2[[#This Row],[GAPG]]</f>
        <v>-1</v>
      </c>
      <c r="BK24" s="43" t="str">
        <f>_xlfn.CONCAT(TEXT(Table2[[#This Row],[W_A]], "0"), "-", TEXT(Table2[[#This Row],[RL_A]],"0"), "-", TEXT(Table2[[#This Row],[OTL_A]]+Table2[[#This Row],[SOL_A]], "0"))</f>
        <v>0-0-0</v>
      </c>
      <c r="BL24" s="43" t="str">
        <f>_xlfn.CONCAT(TEXT(Table2[[#This Row],[W_H]], "0"), "-", TEXT(Table2[[#This Row],[RL_H]],"0"), "-", TEXT(Table2[[#This Row],[OTL_H]]+Table2[[#This Row],[SOL_H]], "0"))</f>
        <v>0-0-1</v>
      </c>
    </row>
    <row r="25" spans="1:64" x14ac:dyDescent="0.25">
      <c r="A25" t="s">
        <v>56</v>
      </c>
      <c r="B25" t="s">
        <v>62</v>
      </c>
      <c r="C25" t="s">
        <v>66</v>
      </c>
      <c r="D25">
        <f>COUNTIFS(Table1[AwayTeam],Table2[[#This Row],[Team]],Table1[GameIsOver], 1, Table1[WatchedGame],1) + COUNTIFS(Table1[HomeTeam],Table2[[#This Row],[Team]],Table1[GameIsOver],1,Table1[WatchedGame],1)</f>
        <v>0</v>
      </c>
      <c r="F25">
        <f>COUNTIFS(Table1[AwayTeam],Table2[[#This Row],[Team]], Table1[GameIsOver],1)</f>
        <v>0</v>
      </c>
      <c r="G25">
        <f>COUNTIFS(Table1[HomeTeam],Table2[[#This Row],[Team]], Table1[GameIsOver],1)</f>
        <v>1</v>
      </c>
      <c r="H25">
        <f>Table2[[#This Row],[GP_A]]+Table2[[#This Row],[GP_H]]</f>
        <v>1</v>
      </c>
      <c r="I25">
        <f>84-Table2[[#This Row],[GP]]</f>
        <v>83</v>
      </c>
      <c r="J25">
        <f>COUNTIFS(Table1[AwayTeam], Table2[[#This Row],[Team]], Table1[GameIsOver], 1, Table1[AwayWon],1)</f>
        <v>0</v>
      </c>
      <c r="K25">
        <f>COUNTIFS(Table1[AwayTeam], Table2[[#This Row],[Team]], Table1[GameIsOver], 1, Table1[AwayWon],1, Table1[ActualResult], "REG")</f>
        <v>0</v>
      </c>
      <c r="L25">
        <f>COUNTIFS(Table1[AwayTeam], Table2[[#This Row],[Team]], Table1[GameIsOver], 1, Table1[AwayWon],1, Table1[ActualResult], "OT")</f>
        <v>0</v>
      </c>
      <c r="M25">
        <f>COUNTIFS(Table1[AwayTeam], Table2[[#This Row],[Team]], Table1[GameIsOver], 1, Table1[AwayWon],1, Table1[ActualResult], "SO")</f>
        <v>0</v>
      </c>
      <c r="N25">
        <f>COUNTIFS(Table1[AwayTeam], Table2[[#This Row],[Team]], Table1[GameIsOver], 1, Table1[AwayWon],0)</f>
        <v>0</v>
      </c>
      <c r="O25">
        <f>COUNTIFS(Table1[AwayTeam], Table2[[#This Row],[Team]], Table1[GameIsOver], 1, Table1[AwayWon],0, Table1[ActualResult], "REG")</f>
        <v>0</v>
      </c>
      <c r="P25">
        <f>COUNTIFS(Table1[AwayTeam], Table2[[#This Row],[Team]], Table1[GameIsOver], 1, Table1[AwayWon],0, Table1[ActualResult], "OT")</f>
        <v>0</v>
      </c>
      <c r="Q25">
        <f>COUNTIFS(Table1[AwayTeam], Table2[[#This Row],[Team]], Table1[GameIsOver], 1, Table1[AwayWon],0, Table1[ActualResult], "SO")</f>
        <v>0</v>
      </c>
      <c r="R25">
        <f>COUNTIFS(Table1[HomeTeam], Table2[[#This Row],[Team]], Table1[GameIsOver], 1, Table1[HomeWon],1)</f>
        <v>1</v>
      </c>
      <c r="S25">
        <f>COUNTIFS(Table1[HomeTeam], Table2[[#This Row],[Team]], Table1[GameIsOver], 1, Table1[HomeWon],1, Table1[ActualResult], "REG")</f>
        <v>1</v>
      </c>
      <c r="T25">
        <f>COUNTIFS(Table1[HomeTeam], Table2[[#This Row],[Team]], Table1[GameIsOver], 1, Table1[HomeWon],1, Table1[ActualResult], "OT")</f>
        <v>0</v>
      </c>
      <c r="U25">
        <f>COUNTIFS(Table1[HomeTeam], Table2[[#This Row],[Team]], Table1[GameIsOver], 1, Table1[HomeWon],1, Table1[ActualResult], "SO")</f>
        <v>0</v>
      </c>
      <c r="V25">
        <f>COUNTIFS(Table1[HomeTeam], Table2[[#This Row],[Team]], Table1[GameIsOver], 1, Table1[HomeWon],0)</f>
        <v>0</v>
      </c>
      <c r="W25">
        <f>COUNTIFS(Table1[HomeTeam], Table2[[#This Row],[Team]], Table1[GameIsOver], 1, Table1[HomeWon],0, Table1[ActualResult], "REG")</f>
        <v>0</v>
      </c>
      <c r="X25">
        <f>COUNTIFS(Table1[HomeTeam], Table2[[#This Row],[Team]], Table1[GameIsOver], 1, Table1[HomeWon],0, Table1[ActualResult], "OT")</f>
        <v>0</v>
      </c>
      <c r="Y25">
        <f>COUNTIFS(Table1[HomeTeam], Table2[[#This Row],[Team]], Table1[GameIsOver], 1, Table1[HomeWon],0, Table1[ActualResult], "SO")</f>
        <v>0</v>
      </c>
      <c r="Z25" s="50">
        <f>Table2[[#This Row],[W]]/MAX(1,Table2[[#This Row],[W]]+Table2[[#This Row],[L]])</f>
        <v>1</v>
      </c>
      <c r="AA25" s="43">
        <f>Table2[[#This Row],[W_A]]+Table2[[#This Row],[W_H]]</f>
        <v>1</v>
      </c>
      <c r="AB25" s="43">
        <f>Table2[[#This Row],[L_A]]+Table2[[#This Row],[L_H]]</f>
        <v>0</v>
      </c>
      <c r="AC25" s="43">
        <f>Table2[RW_A]+Table2[RW_H]</f>
        <v>1</v>
      </c>
      <c r="AD25" s="43">
        <f>Table2[RL_A]+Table2[RL_H]</f>
        <v>0</v>
      </c>
      <c r="AE25" s="43">
        <f>Table2[OTW_A]+Table2[OTW_H]</f>
        <v>0</v>
      </c>
      <c r="AF25" s="43">
        <f>Table2[OTL_A]+Table2[OTL_H]</f>
        <v>0</v>
      </c>
      <c r="AG25" s="43">
        <f>Table2[SOW_A]+Table2[SOW_H]</f>
        <v>0</v>
      </c>
      <c r="AH25" s="43">
        <f>Table2[SOL_A]+Table2[SOL_H]</f>
        <v>0</v>
      </c>
      <c r="AI25" s="43" t="str">
        <f>_xlfn.CONCAT(TEXT(Table2[[#This Row],[OTW]]+Table2[[#This Row],[SOW]], "0"), "-", TEXT(Table2[[#This Row],[OTL]]+Table2[[#This Row],[SOL]],"0"))</f>
        <v>0-0</v>
      </c>
      <c r="AJ25" s="43">
        <f>SUM(Table2[[#This Row],[OTW]],Table2[[#This Row],[OTL]],Table2[[#This Row],[SOW]],Table2[[#This Row],[SOL]])</f>
        <v>0</v>
      </c>
      <c r="AK25" s="50">
        <f>(Table2[[#This Row],[OTW]]+Table2[[#This Row],[SOW]])/IF(Table2[[#This Row],[Total_ExtraTimes]]=0,1,Table2[[#This Row],[Total_ExtraTimes]])</f>
        <v>0</v>
      </c>
      <c r="AL25" s="50">
        <f>Table2[[#This Row],[Total_ExtraTimes]]/MAX(1,Table2[[#This Row],[GP]])</f>
        <v>0</v>
      </c>
      <c r="AM25" s="43">
        <f>(2*(Table2[[#This Row],[W_A]]+Table2[[#This Row],[W_H]]))+Table2[[#This Row],[OTL_A]]+Table2[[#This Row],[SOL_A]]+Table2[[#This Row],[OTL_H]]+Table2[[#This Row],[SOL_H]]</f>
        <v>2</v>
      </c>
      <c r="AN25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25" s="43">
        <f>Table2[[#This Row],[PTS]]/(2*Table2[[#This Row],[GP]])</f>
        <v>1</v>
      </c>
      <c r="AP25" s="43">
        <f>Table2[[#This Row],[PTS]]/(3*Table2[[#This Row],[GP]])</f>
        <v>0.66666666666666663</v>
      </c>
      <c r="AQ25" s="43">
        <f>(2*Table2[[#This Row],[GR]])+Table2[[#This Row],[PTS]]</f>
        <v>168</v>
      </c>
      <c r="AR25" s="43">
        <f>(3*Table2[[#This Row],[GR]])+Table2[[#This Row],[PTS]]</f>
        <v>251</v>
      </c>
      <c r="AS25" s="43">
        <f>Table2[[#This Row],[PTS]]+(2 * Table2[[#This Row],[GR]] * Table2[[#This Row],[PTS%]])</f>
        <v>168</v>
      </c>
      <c r="AT25" s="43">
        <f>Table2[[#This Row],[PTS]]+(3 * Table2[[#This Row],[GR]] * Table2[[#This Row],[PTS%]])</f>
        <v>251</v>
      </c>
      <c r="AU25" s="43" t="str">
        <f>_xlfn.CONCAT(TEXT(Table2[[#This Row],[W]], "0"), "-", TEXT(Table2[[#This Row],[RL]],"0"), "-", TEXT(Table2[[#This Row],[OTL]]+Table2[[#This Row],[SOL]], "0"))</f>
        <v>1-0-0</v>
      </c>
      <c r="AV25" s="43">
        <f>SUMIF(Table1[AwayTeam], Table2[[#This Row],[Team]], Table1[ActualAwayScore])</f>
        <v>0</v>
      </c>
      <c r="AW25" s="43">
        <f>SUMIF(Table1[AwayTeam], Table2[[#This Row],[Team]], Table1[ActualHomeScore])</f>
        <v>0</v>
      </c>
      <c r="AX25" s="43">
        <f>Table2[[#This Row],[GF_A]]-Table2[[#This Row],[GA_A]]</f>
        <v>0</v>
      </c>
      <c r="AY25" s="43">
        <f>SUMIF(Table1[HomeTeam], Table2[[#This Row],[Team]], Table1[ActualHomeScore])</f>
        <v>4</v>
      </c>
      <c r="AZ25" s="43">
        <f>SUMIF(Table1[HomeTeam], Table2[[#This Row],[Team]], Table1[ActualAwayScore])</f>
        <v>3</v>
      </c>
      <c r="BA25" s="43">
        <f>Table2[[#This Row],[GF_H]]-Table2[[#This Row],[GA_H]]</f>
        <v>1</v>
      </c>
      <c r="BB25" s="43">
        <f>SUMIFS(Table1[ActualAwayScore], Table1[AwayTeam], Table2[[#This Row],[Team]], Table1[AwayWon],1)+SUMIFS(Table1[ActualHomeScore], Table1[HomeTeam], Table2[[#This Row],[Team]], Table1[HomeWon],1)</f>
        <v>4</v>
      </c>
      <c r="BC25" s="43">
        <f>SUMIFS(Table1[ActualAwayScore], Table1[AwayTeam], Table2[[#This Row],[Team]], Table1[AwayWon],0) + SUMIFS(Table1[ActualHomeScore], Table1[HomeTeam], Table2[[#This Row],[Team]], Table1[HomeWon],0)</f>
        <v>0</v>
      </c>
      <c r="BD25" s="43">
        <f>Table2[[#This Row],[GF_W]]-Table2[[#This Row],[GF_L]]</f>
        <v>4</v>
      </c>
      <c r="BE25" s="43">
        <f>Table2[[#This Row],[GF_A]]+Table2[[#This Row],[GF_H]]</f>
        <v>4</v>
      </c>
      <c r="BF25" s="43">
        <f>Table2[[#This Row],[GA_A]]+Table2[[#This Row],[GA_H]]</f>
        <v>3</v>
      </c>
      <c r="BG25" s="43">
        <f>Table2[[#This Row],[GF]]-Table2[[#This Row],[GA]]</f>
        <v>1</v>
      </c>
      <c r="BH25" s="43">
        <f>Table2[[#This Row],[GF]]/Table2[[#This Row],[GP]]</f>
        <v>4</v>
      </c>
      <c r="BI25" s="43">
        <f>Table2[[#This Row],[GA]]/Table2[[#This Row],[GP]]</f>
        <v>3</v>
      </c>
      <c r="BJ25" s="43">
        <f>Table2[[#This Row],[GFPG]]-Table2[[#This Row],[GAPG]]</f>
        <v>1</v>
      </c>
      <c r="BK25" s="43" t="str">
        <f>_xlfn.CONCAT(TEXT(Table2[[#This Row],[W_A]], "0"), "-", TEXT(Table2[[#This Row],[RL_A]],"0"), "-", TEXT(Table2[[#This Row],[OTL_A]]+Table2[[#This Row],[SOL_A]], "0"))</f>
        <v>0-0-0</v>
      </c>
      <c r="BL25" s="43" t="str">
        <f>_xlfn.CONCAT(TEXT(Table2[[#This Row],[W_H]], "0"), "-", TEXT(Table2[[#This Row],[RL_H]],"0"), "-", TEXT(Table2[[#This Row],[OTL_H]]+Table2[[#This Row],[SOL_H]], "0"))</f>
        <v>1-0-0</v>
      </c>
    </row>
    <row r="26" spans="1:64" x14ac:dyDescent="0.25">
      <c r="A26" t="s">
        <v>61</v>
      </c>
      <c r="B26" t="s">
        <v>62</v>
      </c>
      <c r="C26" t="s">
        <v>64</v>
      </c>
      <c r="D26">
        <f>COUNTIFS(Table1[AwayTeam],Table2[[#This Row],[Team]],Table1[GameIsOver], 1, Table1[WatchedGame],1) + COUNTIFS(Table1[HomeTeam],Table2[[#This Row],[Team]],Table1[GameIsOver],1,Table1[WatchedGame],1)</f>
        <v>0</v>
      </c>
      <c r="F26">
        <f>COUNTIFS(Table1[AwayTeam],Table2[[#This Row],[Team]], Table1[GameIsOver],1)</f>
        <v>0</v>
      </c>
      <c r="G26">
        <f>COUNTIFS(Table1[HomeTeam],Table2[[#This Row],[Team]], Table1[GameIsOver],1)</f>
        <v>1</v>
      </c>
      <c r="H26">
        <f>Table2[[#This Row],[GP_A]]+Table2[[#This Row],[GP_H]]</f>
        <v>1</v>
      </c>
      <c r="I26">
        <f>84-Table2[[#This Row],[GP]]</f>
        <v>83</v>
      </c>
      <c r="J26">
        <f>COUNTIFS(Table1[AwayTeam], Table2[[#This Row],[Team]], Table1[GameIsOver], 1, Table1[AwayWon],1)</f>
        <v>0</v>
      </c>
      <c r="K26">
        <f>COUNTIFS(Table1[AwayTeam], Table2[[#This Row],[Team]], Table1[GameIsOver], 1, Table1[AwayWon],1, Table1[ActualResult], "REG")</f>
        <v>0</v>
      </c>
      <c r="L26">
        <f>COUNTIFS(Table1[AwayTeam], Table2[[#This Row],[Team]], Table1[GameIsOver], 1, Table1[AwayWon],1, Table1[ActualResult], "OT")</f>
        <v>0</v>
      </c>
      <c r="M26">
        <f>COUNTIFS(Table1[AwayTeam], Table2[[#This Row],[Team]], Table1[GameIsOver], 1, Table1[AwayWon],1, Table1[ActualResult], "SO")</f>
        <v>0</v>
      </c>
      <c r="N26">
        <f>COUNTIFS(Table1[AwayTeam], Table2[[#This Row],[Team]], Table1[GameIsOver], 1, Table1[AwayWon],0)</f>
        <v>0</v>
      </c>
      <c r="O26">
        <f>COUNTIFS(Table1[AwayTeam], Table2[[#This Row],[Team]], Table1[GameIsOver], 1, Table1[AwayWon],0, Table1[ActualResult], "REG")</f>
        <v>0</v>
      </c>
      <c r="P26">
        <f>COUNTIFS(Table1[AwayTeam], Table2[[#This Row],[Team]], Table1[GameIsOver], 1, Table1[AwayWon],0, Table1[ActualResult], "OT")</f>
        <v>0</v>
      </c>
      <c r="Q26">
        <f>COUNTIFS(Table1[AwayTeam], Table2[[#This Row],[Team]], Table1[GameIsOver], 1, Table1[AwayWon],0, Table1[ActualResult], "SO")</f>
        <v>0</v>
      </c>
      <c r="R26">
        <f>COUNTIFS(Table1[HomeTeam], Table2[[#This Row],[Team]], Table1[GameIsOver], 1, Table1[HomeWon],1)</f>
        <v>0</v>
      </c>
      <c r="S26">
        <f>COUNTIFS(Table1[HomeTeam], Table2[[#This Row],[Team]], Table1[GameIsOver], 1, Table1[HomeWon],1, Table1[ActualResult], "REG")</f>
        <v>0</v>
      </c>
      <c r="T26">
        <f>COUNTIFS(Table1[HomeTeam], Table2[[#This Row],[Team]], Table1[GameIsOver], 1, Table1[HomeWon],1, Table1[ActualResult], "OT")</f>
        <v>0</v>
      </c>
      <c r="U26">
        <f>COUNTIFS(Table1[HomeTeam], Table2[[#This Row],[Team]], Table1[GameIsOver], 1, Table1[HomeWon],1, Table1[ActualResult], "SO")</f>
        <v>0</v>
      </c>
      <c r="V26">
        <f>COUNTIFS(Table1[HomeTeam], Table2[[#This Row],[Team]], Table1[GameIsOver], 1, Table1[HomeWon],0)</f>
        <v>1</v>
      </c>
      <c r="W26">
        <f>COUNTIFS(Table1[HomeTeam], Table2[[#This Row],[Team]], Table1[GameIsOver], 1, Table1[HomeWon],0, Table1[ActualResult], "REG")</f>
        <v>0</v>
      </c>
      <c r="X26">
        <f>COUNTIFS(Table1[HomeTeam], Table2[[#This Row],[Team]], Table1[GameIsOver], 1, Table1[HomeWon],0, Table1[ActualResult], "OT")</f>
        <v>0</v>
      </c>
      <c r="Y26">
        <f>COUNTIFS(Table1[HomeTeam], Table2[[#This Row],[Team]], Table1[GameIsOver], 1, Table1[HomeWon],0, Table1[ActualResult], "SO")</f>
        <v>1</v>
      </c>
      <c r="Z26" s="50">
        <f>Table2[[#This Row],[W]]/MAX(1,Table2[[#This Row],[W]]+Table2[[#This Row],[L]])</f>
        <v>0</v>
      </c>
      <c r="AA26" s="43">
        <f>Table2[[#This Row],[W_A]]+Table2[[#This Row],[W_H]]</f>
        <v>0</v>
      </c>
      <c r="AB26" s="43">
        <f>Table2[[#This Row],[L_A]]+Table2[[#This Row],[L_H]]</f>
        <v>1</v>
      </c>
      <c r="AC26" s="43">
        <f>Table2[RW_A]+Table2[RW_H]</f>
        <v>0</v>
      </c>
      <c r="AD26" s="43">
        <f>Table2[RL_A]+Table2[RL_H]</f>
        <v>0</v>
      </c>
      <c r="AE26" s="43">
        <f>Table2[OTW_A]+Table2[OTW_H]</f>
        <v>0</v>
      </c>
      <c r="AF26" s="43">
        <f>Table2[OTL_A]+Table2[OTL_H]</f>
        <v>0</v>
      </c>
      <c r="AG26" s="43">
        <f>Table2[SOW_A]+Table2[SOW_H]</f>
        <v>0</v>
      </c>
      <c r="AH26" s="43">
        <f>Table2[SOL_A]+Table2[SOL_H]</f>
        <v>1</v>
      </c>
      <c r="AI26" s="43" t="str">
        <f>_xlfn.CONCAT(TEXT(Table2[[#This Row],[OTW]]+Table2[[#This Row],[SOW]], "0"), "-", TEXT(Table2[[#This Row],[OTL]]+Table2[[#This Row],[SOL]],"0"))</f>
        <v>0-1</v>
      </c>
      <c r="AJ26" s="43">
        <f>SUM(Table2[[#This Row],[OTW]],Table2[[#This Row],[OTL]],Table2[[#This Row],[SOW]],Table2[[#This Row],[SOL]])</f>
        <v>1</v>
      </c>
      <c r="AK26" s="50">
        <f>(Table2[[#This Row],[OTW]]+Table2[[#This Row],[SOW]])/IF(Table2[[#This Row],[Total_ExtraTimes]]=0,1,Table2[[#This Row],[Total_ExtraTimes]])</f>
        <v>0</v>
      </c>
      <c r="AL26" s="50">
        <f>Table2[[#This Row],[Total_ExtraTimes]]/MAX(1,Table2[[#This Row],[GP]])</f>
        <v>1</v>
      </c>
      <c r="AM26" s="43">
        <f>(2*(Table2[[#This Row],[W_A]]+Table2[[#This Row],[W_H]]))+Table2[[#This Row],[OTL_A]]+Table2[[#This Row],[SOL_A]]+Table2[[#This Row],[OTL_H]]+Table2[[#This Row],[SOL_H]]</f>
        <v>1</v>
      </c>
      <c r="AN26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26" s="43">
        <f>Table2[[#This Row],[PTS]]/(2*Table2[[#This Row],[GP]])</f>
        <v>0.5</v>
      </c>
      <c r="AP26" s="43">
        <f>Table2[[#This Row],[PTS]]/(3*Table2[[#This Row],[GP]])</f>
        <v>0.33333333333333331</v>
      </c>
      <c r="AQ26" s="43">
        <f>(2*Table2[[#This Row],[GR]])+Table2[[#This Row],[PTS]]</f>
        <v>167</v>
      </c>
      <c r="AR26" s="43">
        <f>(3*Table2[[#This Row],[GR]])+Table2[[#This Row],[PTS]]</f>
        <v>250</v>
      </c>
      <c r="AS26" s="43">
        <f>Table2[[#This Row],[PTS]]+(2 * Table2[[#This Row],[GR]] * Table2[[#This Row],[PTS%]])</f>
        <v>84</v>
      </c>
      <c r="AT26" s="43">
        <f>Table2[[#This Row],[PTS]]+(3 * Table2[[#This Row],[GR]] * Table2[[#This Row],[PTS%]])</f>
        <v>125.5</v>
      </c>
      <c r="AU26" s="43" t="str">
        <f>_xlfn.CONCAT(TEXT(Table2[[#This Row],[W]], "0"), "-", TEXT(Table2[[#This Row],[RL]],"0"), "-", TEXT(Table2[[#This Row],[OTL]]+Table2[[#This Row],[SOL]], "0"))</f>
        <v>0-0-1</v>
      </c>
      <c r="AV26" s="43">
        <f>SUMIF(Table1[AwayTeam], Table2[[#This Row],[Team]], Table1[ActualAwayScore])</f>
        <v>0</v>
      </c>
      <c r="AW26" s="43">
        <f>SUMIF(Table1[AwayTeam], Table2[[#This Row],[Team]], Table1[ActualHomeScore])</f>
        <v>0</v>
      </c>
      <c r="AX26" s="43">
        <f>Table2[[#This Row],[GF_A]]-Table2[[#This Row],[GA_A]]</f>
        <v>0</v>
      </c>
      <c r="AY26" s="43">
        <f>SUMIF(Table1[HomeTeam], Table2[[#This Row],[Team]], Table1[ActualHomeScore])</f>
        <v>3</v>
      </c>
      <c r="AZ26" s="43">
        <f>SUMIF(Table1[HomeTeam], Table2[[#This Row],[Team]], Table1[ActualAwayScore])</f>
        <v>4</v>
      </c>
      <c r="BA26" s="43">
        <f>Table2[[#This Row],[GF_H]]-Table2[[#This Row],[GA_H]]</f>
        <v>-1</v>
      </c>
      <c r="BB26" s="43">
        <f>SUMIFS(Table1[ActualAwayScore], Table1[AwayTeam], Table2[[#This Row],[Team]], Table1[AwayWon],1)+SUMIFS(Table1[ActualHomeScore], Table1[HomeTeam], Table2[[#This Row],[Team]], Table1[HomeWon],1)</f>
        <v>0</v>
      </c>
      <c r="BC26" s="43">
        <f>SUMIFS(Table1[ActualAwayScore], Table1[AwayTeam], Table2[[#This Row],[Team]], Table1[AwayWon],0) + SUMIFS(Table1[ActualHomeScore], Table1[HomeTeam], Table2[[#This Row],[Team]], Table1[HomeWon],0)</f>
        <v>3</v>
      </c>
      <c r="BD26" s="43">
        <f>Table2[[#This Row],[GF_W]]-Table2[[#This Row],[GF_L]]</f>
        <v>-3</v>
      </c>
      <c r="BE26" s="43">
        <f>Table2[[#This Row],[GF_A]]+Table2[[#This Row],[GF_H]]</f>
        <v>3</v>
      </c>
      <c r="BF26" s="43">
        <f>Table2[[#This Row],[GA_A]]+Table2[[#This Row],[GA_H]]</f>
        <v>4</v>
      </c>
      <c r="BG26" s="43">
        <f>Table2[[#This Row],[GF]]-Table2[[#This Row],[GA]]</f>
        <v>-1</v>
      </c>
      <c r="BH26" s="43">
        <f>Table2[[#This Row],[GF]]/Table2[[#This Row],[GP]]</f>
        <v>3</v>
      </c>
      <c r="BI26" s="43">
        <f>Table2[[#This Row],[GA]]/Table2[[#This Row],[GP]]</f>
        <v>4</v>
      </c>
      <c r="BJ26" s="43">
        <f>Table2[[#This Row],[GFPG]]-Table2[[#This Row],[GAPG]]</f>
        <v>-1</v>
      </c>
      <c r="BK26" s="43" t="str">
        <f>_xlfn.CONCAT(TEXT(Table2[[#This Row],[W_A]], "0"), "-", TEXT(Table2[[#This Row],[RL_A]],"0"), "-", TEXT(Table2[[#This Row],[OTL_A]]+Table2[[#This Row],[SOL_A]], "0"))</f>
        <v>0-0-0</v>
      </c>
      <c r="BL26" s="43" t="str">
        <f>_xlfn.CONCAT(TEXT(Table2[[#This Row],[W_H]], "0"), "-", TEXT(Table2[[#This Row],[RL_H]],"0"), "-", TEXT(Table2[[#This Row],[OTL_H]]+Table2[[#This Row],[SOL_H]], "0"))</f>
        <v>0-0-1</v>
      </c>
    </row>
    <row r="27" spans="1:64" x14ac:dyDescent="0.25">
      <c r="A27" t="s">
        <v>57</v>
      </c>
      <c r="B27" t="s">
        <v>63</v>
      </c>
      <c r="C27" t="s">
        <v>67</v>
      </c>
      <c r="D27">
        <f>COUNTIFS(Table1[AwayTeam],Table2[[#This Row],[Team]],Table1[GameIsOver], 1, Table1[WatchedGame],1) + COUNTIFS(Table1[HomeTeam],Table2[[#This Row],[Team]],Table1[GameIsOver],1,Table1[WatchedGame],1)</f>
        <v>0</v>
      </c>
      <c r="F27">
        <f>COUNTIFS(Table1[AwayTeam],Table2[[#This Row],[Team]], Table1[GameIsOver],1)</f>
        <v>0</v>
      </c>
      <c r="G27">
        <f>COUNTIFS(Table1[HomeTeam],Table2[[#This Row],[Team]], Table1[GameIsOver],1)</f>
        <v>1</v>
      </c>
      <c r="H27">
        <f>Table2[[#This Row],[GP_A]]+Table2[[#This Row],[GP_H]]</f>
        <v>1</v>
      </c>
      <c r="I27">
        <f>84-Table2[[#This Row],[GP]]</f>
        <v>83</v>
      </c>
      <c r="J27">
        <f>COUNTIFS(Table1[AwayTeam], Table2[[#This Row],[Team]], Table1[GameIsOver], 1, Table1[AwayWon],1)</f>
        <v>0</v>
      </c>
      <c r="K27">
        <f>COUNTIFS(Table1[AwayTeam], Table2[[#This Row],[Team]], Table1[GameIsOver], 1, Table1[AwayWon],1, Table1[ActualResult], "REG")</f>
        <v>0</v>
      </c>
      <c r="L27">
        <f>COUNTIFS(Table1[AwayTeam], Table2[[#This Row],[Team]], Table1[GameIsOver], 1, Table1[AwayWon],1, Table1[ActualResult], "OT")</f>
        <v>0</v>
      </c>
      <c r="M27">
        <f>COUNTIFS(Table1[AwayTeam], Table2[[#This Row],[Team]], Table1[GameIsOver], 1, Table1[AwayWon],1, Table1[ActualResult], "SO")</f>
        <v>0</v>
      </c>
      <c r="N27">
        <f>COUNTIFS(Table1[AwayTeam], Table2[[#This Row],[Team]], Table1[GameIsOver], 1, Table1[AwayWon],0)</f>
        <v>0</v>
      </c>
      <c r="O27">
        <f>COUNTIFS(Table1[AwayTeam], Table2[[#This Row],[Team]], Table1[GameIsOver], 1, Table1[AwayWon],0, Table1[ActualResult], "REG")</f>
        <v>0</v>
      </c>
      <c r="P27">
        <f>COUNTIFS(Table1[AwayTeam], Table2[[#This Row],[Team]], Table1[GameIsOver], 1, Table1[AwayWon],0, Table1[ActualResult], "OT")</f>
        <v>0</v>
      </c>
      <c r="Q27">
        <f>COUNTIFS(Table1[AwayTeam], Table2[[#This Row],[Team]], Table1[GameIsOver], 1, Table1[AwayWon],0, Table1[ActualResult], "SO")</f>
        <v>0</v>
      </c>
      <c r="R27">
        <f>COUNTIFS(Table1[HomeTeam], Table2[[#This Row],[Team]], Table1[GameIsOver], 1, Table1[HomeWon],1)</f>
        <v>1</v>
      </c>
      <c r="S27">
        <f>COUNTIFS(Table1[HomeTeam], Table2[[#This Row],[Team]], Table1[GameIsOver], 1, Table1[HomeWon],1, Table1[ActualResult], "REG")</f>
        <v>1</v>
      </c>
      <c r="T27">
        <f>COUNTIFS(Table1[HomeTeam], Table2[[#This Row],[Team]], Table1[GameIsOver], 1, Table1[HomeWon],1, Table1[ActualResult], "OT")</f>
        <v>0</v>
      </c>
      <c r="U27">
        <f>COUNTIFS(Table1[HomeTeam], Table2[[#This Row],[Team]], Table1[GameIsOver], 1, Table1[HomeWon],1, Table1[ActualResult], "SO")</f>
        <v>0</v>
      </c>
      <c r="V27">
        <f>COUNTIFS(Table1[HomeTeam], Table2[[#This Row],[Team]], Table1[GameIsOver], 1, Table1[HomeWon],0)</f>
        <v>0</v>
      </c>
      <c r="W27">
        <f>COUNTIFS(Table1[HomeTeam], Table2[[#This Row],[Team]], Table1[GameIsOver], 1, Table1[HomeWon],0, Table1[ActualResult], "REG")</f>
        <v>0</v>
      </c>
      <c r="X27">
        <f>COUNTIFS(Table1[HomeTeam], Table2[[#This Row],[Team]], Table1[GameIsOver], 1, Table1[HomeWon],0, Table1[ActualResult], "OT")</f>
        <v>0</v>
      </c>
      <c r="Y27">
        <f>COUNTIFS(Table1[HomeTeam], Table2[[#This Row],[Team]], Table1[GameIsOver], 1, Table1[HomeWon],0, Table1[ActualResult], "SO")</f>
        <v>0</v>
      </c>
      <c r="Z27" s="50">
        <f>Table2[[#This Row],[W]]/MAX(1,Table2[[#This Row],[W]]+Table2[[#This Row],[L]])</f>
        <v>1</v>
      </c>
      <c r="AA27" s="43">
        <f>Table2[[#This Row],[W_A]]+Table2[[#This Row],[W_H]]</f>
        <v>1</v>
      </c>
      <c r="AB27" s="43">
        <f>Table2[[#This Row],[L_A]]+Table2[[#This Row],[L_H]]</f>
        <v>0</v>
      </c>
      <c r="AC27" s="43">
        <f>Table2[RW_A]+Table2[RW_H]</f>
        <v>1</v>
      </c>
      <c r="AD27" s="43">
        <f>Table2[RL_A]+Table2[RL_H]</f>
        <v>0</v>
      </c>
      <c r="AE27" s="43">
        <f>Table2[OTW_A]+Table2[OTW_H]</f>
        <v>0</v>
      </c>
      <c r="AF27" s="43">
        <f>Table2[OTL_A]+Table2[OTL_H]</f>
        <v>0</v>
      </c>
      <c r="AG27" s="43">
        <f>Table2[SOW_A]+Table2[SOW_H]</f>
        <v>0</v>
      </c>
      <c r="AH27" s="43">
        <f>Table2[SOL_A]+Table2[SOL_H]</f>
        <v>0</v>
      </c>
      <c r="AI27" s="43" t="str">
        <f>_xlfn.CONCAT(TEXT(Table2[[#This Row],[OTW]]+Table2[[#This Row],[SOW]], "0"), "-", TEXT(Table2[[#This Row],[OTL]]+Table2[[#This Row],[SOL]],"0"))</f>
        <v>0-0</v>
      </c>
      <c r="AJ27" s="43">
        <f>SUM(Table2[[#This Row],[OTW]],Table2[[#This Row],[OTL]],Table2[[#This Row],[SOW]],Table2[[#This Row],[SOL]])</f>
        <v>0</v>
      </c>
      <c r="AK27" s="50">
        <f>(Table2[[#This Row],[OTW]]+Table2[[#This Row],[SOW]])/IF(Table2[[#This Row],[Total_ExtraTimes]]=0,1,Table2[[#This Row],[Total_ExtraTimes]])</f>
        <v>0</v>
      </c>
      <c r="AL27" s="50">
        <f>Table2[[#This Row],[Total_ExtraTimes]]/MAX(1,Table2[[#This Row],[GP]])</f>
        <v>0</v>
      </c>
      <c r="AM27" s="43">
        <f>(2*(Table2[[#This Row],[W_A]]+Table2[[#This Row],[W_H]]))+Table2[[#This Row],[OTL_A]]+Table2[[#This Row],[SOL_A]]+Table2[[#This Row],[OTL_H]]+Table2[[#This Row],[SOL_H]]</f>
        <v>2</v>
      </c>
      <c r="AN27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27" s="43">
        <f>Table2[[#This Row],[PTS]]/(2*Table2[[#This Row],[GP]])</f>
        <v>1</v>
      </c>
      <c r="AP27" s="43">
        <f>Table2[[#This Row],[PTS]]/(3*Table2[[#This Row],[GP]])</f>
        <v>0.66666666666666663</v>
      </c>
      <c r="AQ27" s="43">
        <f>(2*Table2[[#This Row],[GR]])+Table2[[#This Row],[PTS]]</f>
        <v>168</v>
      </c>
      <c r="AR27" s="43">
        <f>(3*Table2[[#This Row],[GR]])+Table2[[#This Row],[PTS]]</f>
        <v>251</v>
      </c>
      <c r="AS27" s="43">
        <f>Table2[[#This Row],[PTS]]+(2 * Table2[[#This Row],[GR]] * Table2[[#This Row],[PTS%]])</f>
        <v>168</v>
      </c>
      <c r="AT27" s="43">
        <f>Table2[[#This Row],[PTS]]+(3 * Table2[[#This Row],[GR]] * Table2[[#This Row],[PTS%]])</f>
        <v>251</v>
      </c>
      <c r="AU27" s="43" t="str">
        <f>_xlfn.CONCAT(TEXT(Table2[[#This Row],[W]], "0"), "-", TEXT(Table2[[#This Row],[RL]],"0"), "-", TEXT(Table2[[#This Row],[OTL]]+Table2[[#This Row],[SOL]], "0"))</f>
        <v>1-0-0</v>
      </c>
      <c r="AV27" s="43">
        <f>SUMIF(Table1[AwayTeam], Table2[[#This Row],[Team]], Table1[ActualAwayScore])</f>
        <v>0</v>
      </c>
      <c r="AW27" s="43">
        <f>SUMIF(Table1[AwayTeam], Table2[[#This Row],[Team]], Table1[ActualHomeScore])</f>
        <v>0</v>
      </c>
      <c r="AX27" s="43">
        <f>Table2[[#This Row],[GF_A]]-Table2[[#This Row],[GA_A]]</f>
        <v>0</v>
      </c>
      <c r="AY27" s="43">
        <f>SUMIF(Table1[HomeTeam], Table2[[#This Row],[Team]], Table1[ActualHomeScore])</f>
        <v>5</v>
      </c>
      <c r="AZ27" s="43">
        <f>SUMIF(Table1[HomeTeam], Table2[[#This Row],[Team]], Table1[ActualAwayScore])</f>
        <v>3</v>
      </c>
      <c r="BA27" s="43">
        <f>Table2[[#This Row],[GF_H]]-Table2[[#This Row],[GA_H]]</f>
        <v>2</v>
      </c>
      <c r="BB27" s="43">
        <f>SUMIFS(Table1[ActualAwayScore], Table1[AwayTeam], Table2[[#This Row],[Team]], Table1[AwayWon],1)+SUMIFS(Table1[ActualHomeScore], Table1[HomeTeam], Table2[[#This Row],[Team]], Table1[HomeWon],1)</f>
        <v>5</v>
      </c>
      <c r="BC27" s="43">
        <f>SUMIFS(Table1[ActualAwayScore], Table1[AwayTeam], Table2[[#This Row],[Team]], Table1[AwayWon],0) + SUMIFS(Table1[ActualHomeScore], Table1[HomeTeam], Table2[[#This Row],[Team]], Table1[HomeWon],0)</f>
        <v>0</v>
      </c>
      <c r="BD27" s="43">
        <f>Table2[[#This Row],[GF_W]]-Table2[[#This Row],[GF_L]]</f>
        <v>5</v>
      </c>
      <c r="BE27" s="43">
        <f>Table2[[#This Row],[GF_A]]+Table2[[#This Row],[GF_H]]</f>
        <v>5</v>
      </c>
      <c r="BF27" s="43">
        <f>Table2[[#This Row],[GA_A]]+Table2[[#This Row],[GA_H]]</f>
        <v>3</v>
      </c>
      <c r="BG27" s="43">
        <f>Table2[[#This Row],[GF]]-Table2[[#This Row],[GA]]</f>
        <v>2</v>
      </c>
      <c r="BH27" s="43">
        <f>Table2[[#This Row],[GF]]/Table2[[#This Row],[GP]]</f>
        <v>5</v>
      </c>
      <c r="BI27" s="43">
        <f>Table2[[#This Row],[GA]]/Table2[[#This Row],[GP]]</f>
        <v>3</v>
      </c>
      <c r="BJ27" s="43">
        <f>Table2[[#This Row],[GFPG]]-Table2[[#This Row],[GAPG]]</f>
        <v>2</v>
      </c>
      <c r="BK27" s="43" t="str">
        <f>_xlfn.CONCAT(TEXT(Table2[[#This Row],[W_A]], "0"), "-", TEXT(Table2[[#This Row],[RL_A]],"0"), "-", TEXT(Table2[[#This Row],[OTL_A]]+Table2[[#This Row],[SOL_A]], "0"))</f>
        <v>0-0-0</v>
      </c>
      <c r="BL27" s="43" t="str">
        <f>_xlfn.CONCAT(TEXT(Table2[[#This Row],[W_H]], "0"), "-", TEXT(Table2[[#This Row],[RL_H]],"0"), "-", TEXT(Table2[[#This Row],[OTL_H]]+Table2[[#This Row],[SOL_H]], "0"))</f>
        <v>1-0-0</v>
      </c>
    </row>
    <row r="28" spans="1:64" x14ac:dyDescent="0.25">
      <c r="A28" t="s">
        <v>24</v>
      </c>
      <c r="B28" t="s">
        <v>63</v>
      </c>
      <c r="C28" t="s">
        <v>67</v>
      </c>
      <c r="D28">
        <f>COUNTIFS(Table1[AwayTeam],Table2[[#This Row],[Team]],Table1[GameIsOver], 1, Table1[WatchedGame],1) + COUNTIFS(Table1[HomeTeam],Table2[[#This Row],[Team]],Table1[GameIsOver],1,Table1[WatchedGame],1)</f>
        <v>0</v>
      </c>
      <c r="F28">
        <f>COUNTIFS(Table1[AwayTeam],Table2[[#This Row],[Team]], Table1[GameIsOver],1)</f>
        <v>1</v>
      </c>
      <c r="G28">
        <f>COUNTIFS(Table1[HomeTeam],Table2[[#This Row],[Team]], Table1[GameIsOver],1)</f>
        <v>0</v>
      </c>
      <c r="H28">
        <f>Table2[[#This Row],[GP_A]]+Table2[[#This Row],[GP_H]]</f>
        <v>1</v>
      </c>
      <c r="I28">
        <f>84-Table2[[#This Row],[GP]]</f>
        <v>83</v>
      </c>
      <c r="J28">
        <f>COUNTIFS(Table1[AwayTeam], Table2[[#This Row],[Team]], Table1[GameIsOver], 1, Table1[AwayWon],1)</f>
        <v>1</v>
      </c>
      <c r="K28">
        <f>COUNTIFS(Table1[AwayTeam], Table2[[#This Row],[Team]], Table1[GameIsOver], 1, Table1[AwayWon],1, Table1[ActualResult], "REG")</f>
        <v>1</v>
      </c>
      <c r="L28">
        <f>COUNTIFS(Table1[AwayTeam], Table2[[#This Row],[Team]], Table1[GameIsOver], 1, Table1[AwayWon],1, Table1[ActualResult], "OT")</f>
        <v>0</v>
      </c>
      <c r="M28">
        <f>COUNTIFS(Table1[AwayTeam], Table2[[#This Row],[Team]], Table1[GameIsOver], 1, Table1[AwayWon],1, Table1[ActualResult], "SO")</f>
        <v>0</v>
      </c>
      <c r="N28">
        <f>COUNTIFS(Table1[AwayTeam], Table2[[#This Row],[Team]], Table1[GameIsOver], 1, Table1[AwayWon],0)</f>
        <v>0</v>
      </c>
      <c r="O28">
        <f>COUNTIFS(Table1[AwayTeam], Table2[[#This Row],[Team]], Table1[GameIsOver], 1, Table1[AwayWon],0, Table1[ActualResult], "REG")</f>
        <v>0</v>
      </c>
      <c r="P28">
        <f>COUNTIFS(Table1[AwayTeam], Table2[[#This Row],[Team]], Table1[GameIsOver], 1, Table1[AwayWon],0, Table1[ActualResult], "OT")</f>
        <v>0</v>
      </c>
      <c r="Q28">
        <f>COUNTIFS(Table1[AwayTeam], Table2[[#This Row],[Team]], Table1[GameIsOver], 1, Table1[AwayWon],0, Table1[ActualResult], "SO")</f>
        <v>0</v>
      </c>
      <c r="R28">
        <f>COUNTIFS(Table1[HomeTeam], Table2[[#This Row],[Team]], Table1[GameIsOver], 1, Table1[HomeWon],1)</f>
        <v>0</v>
      </c>
      <c r="S28">
        <f>COUNTIFS(Table1[HomeTeam], Table2[[#This Row],[Team]], Table1[GameIsOver], 1, Table1[HomeWon],1, Table1[ActualResult], "REG")</f>
        <v>0</v>
      </c>
      <c r="T28">
        <f>COUNTIFS(Table1[HomeTeam], Table2[[#This Row],[Team]], Table1[GameIsOver], 1, Table1[HomeWon],1, Table1[ActualResult], "OT")</f>
        <v>0</v>
      </c>
      <c r="U28">
        <f>COUNTIFS(Table1[HomeTeam], Table2[[#This Row],[Team]], Table1[GameIsOver], 1, Table1[HomeWon],1, Table1[ActualResult], "SO")</f>
        <v>0</v>
      </c>
      <c r="V28">
        <f>COUNTIFS(Table1[HomeTeam], Table2[[#This Row],[Team]], Table1[GameIsOver], 1, Table1[HomeWon],0)</f>
        <v>0</v>
      </c>
      <c r="W28">
        <f>COUNTIFS(Table1[HomeTeam], Table2[[#This Row],[Team]], Table1[GameIsOver], 1, Table1[HomeWon],0, Table1[ActualResult], "REG")</f>
        <v>0</v>
      </c>
      <c r="X28">
        <f>COUNTIFS(Table1[HomeTeam], Table2[[#This Row],[Team]], Table1[GameIsOver], 1, Table1[HomeWon],0, Table1[ActualResult], "OT")</f>
        <v>0</v>
      </c>
      <c r="Y28">
        <f>COUNTIFS(Table1[HomeTeam], Table2[[#This Row],[Team]], Table1[GameIsOver], 1, Table1[HomeWon],0, Table1[ActualResult], "SO")</f>
        <v>0</v>
      </c>
      <c r="Z28" s="50">
        <f>Table2[[#This Row],[W]]/MAX(1,Table2[[#This Row],[W]]+Table2[[#This Row],[L]])</f>
        <v>1</v>
      </c>
      <c r="AA28" s="43">
        <f>Table2[[#This Row],[W_A]]+Table2[[#This Row],[W_H]]</f>
        <v>1</v>
      </c>
      <c r="AB28" s="43">
        <f>Table2[[#This Row],[L_A]]+Table2[[#This Row],[L_H]]</f>
        <v>0</v>
      </c>
      <c r="AC28" s="43">
        <f>Table2[RW_A]+Table2[RW_H]</f>
        <v>1</v>
      </c>
      <c r="AD28" s="43">
        <f>Table2[RL_A]+Table2[RL_H]</f>
        <v>0</v>
      </c>
      <c r="AE28" s="43">
        <f>Table2[OTW_A]+Table2[OTW_H]</f>
        <v>0</v>
      </c>
      <c r="AF28" s="43">
        <f>Table2[OTL_A]+Table2[OTL_H]</f>
        <v>0</v>
      </c>
      <c r="AG28" s="43">
        <f>Table2[SOW_A]+Table2[SOW_H]</f>
        <v>0</v>
      </c>
      <c r="AH28" s="43">
        <f>Table2[SOL_A]+Table2[SOL_H]</f>
        <v>0</v>
      </c>
      <c r="AI28" s="43" t="str">
        <f>_xlfn.CONCAT(TEXT(Table2[[#This Row],[OTW]]+Table2[[#This Row],[SOW]], "0"), "-", TEXT(Table2[[#This Row],[OTL]]+Table2[[#This Row],[SOL]],"0"))</f>
        <v>0-0</v>
      </c>
      <c r="AJ28" s="43">
        <f>SUM(Table2[[#This Row],[OTW]],Table2[[#This Row],[OTL]],Table2[[#This Row],[SOW]],Table2[[#This Row],[SOL]])</f>
        <v>0</v>
      </c>
      <c r="AK28" s="50">
        <f>(Table2[[#This Row],[OTW]]+Table2[[#This Row],[SOW]])/IF(Table2[[#This Row],[Total_ExtraTimes]]=0,1,Table2[[#This Row],[Total_ExtraTimes]])</f>
        <v>0</v>
      </c>
      <c r="AL28" s="50">
        <f>Table2[[#This Row],[Total_ExtraTimes]]/MAX(1,Table2[[#This Row],[GP]])</f>
        <v>0</v>
      </c>
      <c r="AM28" s="43">
        <f>(2*(Table2[[#This Row],[W_A]]+Table2[[#This Row],[W_H]]))+Table2[[#This Row],[OTL_A]]+Table2[[#This Row],[SOL_A]]+Table2[[#This Row],[OTL_H]]+Table2[[#This Row],[SOL_H]]</f>
        <v>2</v>
      </c>
      <c r="AN28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28" s="43">
        <f>Table2[[#This Row],[PTS]]/(2*Table2[[#This Row],[GP]])</f>
        <v>1</v>
      </c>
      <c r="AP28" s="43">
        <f>Table2[[#This Row],[PTS]]/(3*Table2[[#This Row],[GP]])</f>
        <v>0.66666666666666663</v>
      </c>
      <c r="AQ28" s="43">
        <f>(2*Table2[[#This Row],[GR]])+Table2[[#This Row],[PTS]]</f>
        <v>168</v>
      </c>
      <c r="AR28" s="43">
        <f>(3*Table2[[#This Row],[GR]])+Table2[[#This Row],[PTS]]</f>
        <v>251</v>
      </c>
      <c r="AS28" s="43">
        <f>Table2[[#This Row],[PTS]]+(2 * Table2[[#This Row],[GR]] * Table2[[#This Row],[PTS%]])</f>
        <v>168</v>
      </c>
      <c r="AT28" s="43">
        <f>Table2[[#This Row],[PTS]]+(3 * Table2[[#This Row],[GR]] * Table2[[#This Row],[PTS%]])</f>
        <v>251</v>
      </c>
      <c r="AU28" s="43" t="str">
        <f>_xlfn.CONCAT(TEXT(Table2[[#This Row],[W]], "0"), "-", TEXT(Table2[[#This Row],[RL]],"0"), "-", TEXT(Table2[[#This Row],[OTL]]+Table2[[#This Row],[SOL]], "0"))</f>
        <v>1-0-0</v>
      </c>
      <c r="AV28" s="43">
        <f>SUMIF(Table1[AwayTeam], Table2[[#This Row],[Team]], Table1[ActualAwayScore])</f>
        <v>4</v>
      </c>
      <c r="AW28" s="43">
        <f>SUMIF(Table1[AwayTeam], Table2[[#This Row],[Team]], Table1[ActualHomeScore])</f>
        <v>3</v>
      </c>
      <c r="AX28" s="43">
        <f>Table2[[#This Row],[GF_A]]-Table2[[#This Row],[GA_A]]</f>
        <v>1</v>
      </c>
      <c r="AY28" s="43">
        <f>SUMIF(Table1[HomeTeam], Table2[[#This Row],[Team]], Table1[ActualHomeScore])</f>
        <v>0</v>
      </c>
      <c r="AZ28" s="43">
        <f>SUMIF(Table1[HomeTeam], Table2[[#This Row],[Team]], Table1[ActualAwayScore])</f>
        <v>0</v>
      </c>
      <c r="BA28" s="43">
        <f>Table2[[#This Row],[GF_H]]-Table2[[#This Row],[GA_H]]</f>
        <v>0</v>
      </c>
      <c r="BB28" s="43">
        <f>SUMIFS(Table1[ActualAwayScore], Table1[AwayTeam], Table2[[#This Row],[Team]], Table1[AwayWon],1)+SUMIFS(Table1[ActualHomeScore], Table1[HomeTeam], Table2[[#This Row],[Team]], Table1[HomeWon],1)</f>
        <v>4</v>
      </c>
      <c r="BC28" s="43">
        <f>SUMIFS(Table1[ActualAwayScore], Table1[AwayTeam], Table2[[#This Row],[Team]], Table1[AwayWon],0) + SUMIFS(Table1[ActualHomeScore], Table1[HomeTeam], Table2[[#This Row],[Team]], Table1[HomeWon],0)</f>
        <v>0</v>
      </c>
      <c r="BD28" s="43">
        <f>Table2[[#This Row],[GF_W]]-Table2[[#This Row],[GF_L]]</f>
        <v>4</v>
      </c>
      <c r="BE28" s="43">
        <f>Table2[[#This Row],[GF_A]]+Table2[[#This Row],[GF_H]]</f>
        <v>4</v>
      </c>
      <c r="BF28" s="43">
        <f>Table2[[#This Row],[GA_A]]+Table2[[#This Row],[GA_H]]</f>
        <v>3</v>
      </c>
      <c r="BG28" s="43">
        <f>Table2[[#This Row],[GF]]-Table2[[#This Row],[GA]]</f>
        <v>1</v>
      </c>
      <c r="BH28" s="43">
        <f>Table2[[#This Row],[GF]]/Table2[[#This Row],[GP]]</f>
        <v>4</v>
      </c>
      <c r="BI28" s="43">
        <f>Table2[[#This Row],[GA]]/Table2[[#This Row],[GP]]</f>
        <v>3</v>
      </c>
      <c r="BJ28" s="43">
        <f>Table2[[#This Row],[GFPG]]-Table2[[#This Row],[GAPG]]</f>
        <v>1</v>
      </c>
      <c r="BK28" s="43" t="str">
        <f>_xlfn.CONCAT(TEXT(Table2[[#This Row],[W_A]], "0"), "-", TEXT(Table2[[#This Row],[RL_A]],"0"), "-", TEXT(Table2[[#This Row],[OTL_A]]+Table2[[#This Row],[SOL_A]], "0"))</f>
        <v>1-0-0</v>
      </c>
      <c r="BL28" s="43" t="str">
        <f>_xlfn.CONCAT(TEXT(Table2[[#This Row],[W_H]], "0"), "-", TEXT(Table2[[#This Row],[RL_H]],"0"), "-", TEXT(Table2[[#This Row],[OTL_H]]+Table2[[#This Row],[SOL_H]], "0"))</f>
        <v>0-0-0</v>
      </c>
    </row>
    <row r="29" spans="1:64" x14ac:dyDescent="0.25">
      <c r="A29" t="s">
        <v>58</v>
      </c>
      <c r="B29" t="s">
        <v>62</v>
      </c>
      <c r="C29" t="s">
        <v>64</v>
      </c>
      <c r="D29">
        <f>COUNTIFS(Table1[AwayTeam],Table2[[#This Row],[Team]],Table1[GameIsOver], 1, Table1[WatchedGame],1) + COUNTIFS(Table1[HomeTeam],Table2[[#This Row],[Team]],Table1[GameIsOver],1,Table1[WatchedGame],1)</f>
        <v>0</v>
      </c>
      <c r="F29">
        <f>COUNTIFS(Table1[AwayTeam],Table2[[#This Row],[Team]], Table1[GameIsOver],1)</f>
        <v>0</v>
      </c>
      <c r="G29">
        <f>COUNTIFS(Table1[HomeTeam],Table2[[#This Row],[Team]], Table1[GameIsOver],1)</f>
        <v>1</v>
      </c>
      <c r="H29">
        <f>Table2[[#This Row],[GP_A]]+Table2[[#This Row],[GP_H]]</f>
        <v>1</v>
      </c>
      <c r="I29">
        <f>84-Table2[[#This Row],[GP]]</f>
        <v>83</v>
      </c>
      <c r="J29">
        <f>COUNTIFS(Table1[AwayTeam], Table2[[#This Row],[Team]], Table1[GameIsOver], 1, Table1[AwayWon],1)</f>
        <v>0</v>
      </c>
      <c r="K29">
        <f>COUNTIFS(Table1[AwayTeam], Table2[[#This Row],[Team]], Table1[GameIsOver], 1, Table1[AwayWon],1, Table1[ActualResult], "REG")</f>
        <v>0</v>
      </c>
      <c r="L29">
        <f>COUNTIFS(Table1[AwayTeam], Table2[[#This Row],[Team]], Table1[GameIsOver], 1, Table1[AwayWon],1, Table1[ActualResult], "OT")</f>
        <v>0</v>
      </c>
      <c r="M29">
        <f>COUNTIFS(Table1[AwayTeam], Table2[[#This Row],[Team]], Table1[GameIsOver], 1, Table1[AwayWon],1, Table1[ActualResult], "SO")</f>
        <v>0</v>
      </c>
      <c r="N29">
        <f>COUNTIFS(Table1[AwayTeam], Table2[[#This Row],[Team]], Table1[GameIsOver], 1, Table1[AwayWon],0)</f>
        <v>0</v>
      </c>
      <c r="O29">
        <f>COUNTIFS(Table1[AwayTeam], Table2[[#This Row],[Team]], Table1[GameIsOver], 1, Table1[AwayWon],0, Table1[ActualResult], "REG")</f>
        <v>0</v>
      </c>
      <c r="P29">
        <f>COUNTIFS(Table1[AwayTeam], Table2[[#This Row],[Team]], Table1[GameIsOver], 1, Table1[AwayWon],0, Table1[ActualResult], "OT")</f>
        <v>0</v>
      </c>
      <c r="Q29">
        <f>COUNTIFS(Table1[AwayTeam], Table2[[#This Row],[Team]], Table1[GameIsOver], 1, Table1[AwayWon],0, Table1[ActualResult], "SO")</f>
        <v>0</v>
      </c>
      <c r="R29">
        <f>COUNTIFS(Table1[HomeTeam], Table2[[#This Row],[Team]], Table1[GameIsOver], 1, Table1[HomeWon],1)</f>
        <v>1</v>
      </c>
      <c r="S29">
        <f>COUNTIFS(Table1[HomeTeam], Table2[[#This Row],[Team]], Table1[GameIsOver], 1, Table1[HomeWon],1, Table1[ActualResult], "REG")</f>
        <v>0</v>
      </c>
      <c r="T29">
        <f>COUNTIFS(Table1[HomeTeam], Table2[[#This Row],[Team]], Table1[GameIsOver], 1, Table1[HomeWon],1, Table1[ActualResult], "OT")</f>
        <v>0</v>
      </c>
      <c r="U29">
        <f>COUNTIFS(Table1[HomeTeam], Table2[[#This Row],[Team]], Table1[GameIsOver], 1, Table1[HomeWon],1, Table1[ActualResult], "SO")</f>
        <v>1</v>
      </c>
      <c r="V29">
        <f>COUNTIFS(Table1[HomeTeam], Table2[[#This Row],[Team]], Table1[GameIsOver], 1, Table1[HomeWon],0)</f>
        <v>0</v>
      </c>
      <c r="W29">
        <f>COUNTIFS(Table1[HomeTeam], Table2[[#This Row],[Team]], Table1[GameIsOver], 1, Table1[HomeWon],0, Table1[ActualResult], "REG")</f>
        <v>0</v>
      </c>
      <c r="X29">
        <f>COUNTIFS(Table1[HomeTeam], Table2[[#This Row],[Team]], Table1[GameIsOver], 1, Table1[HomeWon],0, Table1[ActualResult], "OT")</f>
        <v>0</v>
      </c>
      <c r="Y29">
        <f>COUNTIFS(Table1[HomeTeam], Table2[[#This Row],[Team]], Table1[GameIsOver], 1, Table1[HomeWon],0, Table1[ActualResult], "SO")</f>
        <v>0</v>
      </c>
      <c r="Z29" s="50">
        <f>Table2[[#This Row],[W]]/MAX(1,Table2[[#This Row],[W]]+Table2[[#This Row],[L]])</f>
        <v>1</v>
      </c>
      <c r="AA29" s="43">
        <f>Table2[[#This Row],[W_A]]+Table2[[#This Row],[W_H]]</f>
        <v>1</v>
      </c>
      <c r="AB29" s="43">
        <f>Table2[[#This Row],[L_A]]+Table2[[#This Row],[L_H]]</f>
        <v>0</v>
      </c>
      <c r="AC29" s="43">
        <f>Table2[RW_A]+Table2[RW_H]</f>
        <v>0</v>
      </c>
      <c r="AD29" s="43">
        <f>Table2[RL_A]+Table2[RL_H]</f>
        <v>0</v>
      </c>
      <c r="AE29" s="43">
        <f>Table2[OTW_A]+Table2[OTW_H]</f>
        <v>0</v>
      </c>
      <c r="AF29" s="43">
        <f>Table2[OTL_A]+Table2[OTL_H]</f>
        <v>0</v>
      </c>
      <c r="AG29" s="43">
        <f>Table2[SOW_A]+Table2[SOW_H]</f>
        <v>1</v>
      </c>
      <c r="AH29" s="43">
        <f>Table2[SOL_A]+Table2[SOL_H]</f>
        <v>0</v>
      </c>
      <c r="AI29" s="43" t="str">
        <f>_xlfn.CONCAT(TEXT(Table2[[#This Row],[OTW]]+Table2[[#This Row],[SOW]], "0"), "-", TEXT(Table2[[#This Row],[OTL]]+Table2[[#This Row],[SOL]],"0"))</f>
        <v>1-0</v>
      </c>
      <c r="AJ29" s="43">
        <f>SUM(Table2[[#This Row],[OTW]],Table2[[#This Row],[OTL]],Table2[[#This Row],[SOW]],Table2[[#This Row],[SOL]])</f>
        <v>1</v>
      </c>
      <c r="AK29" s="50">
        <f>(Table2[[#This Row],[OTW]]+Table2[[#This Row],[SOW]])/IF(Table2[[#This Row],[Total_ExtraTimes]]=0,1,Table2[[#This Row],[Total_ExtraTimes]])</f>
        <v>1</v>
      </c>
      <c r="AL29" s="50">
        <f>Table2[[#This Row],[Total_ExtraTimes]]/MAX(1,Table2[[#This Row],[GP]])</f>
        <v>1</v>
      </c>
      <c r="AM29" s="43">
        <f>(2*(Table2[[#This Row],[W_A]]+Table2[[#This Row],[W_H]]))+Table2[[#This Row],[OTL_A]]+Table2[[#This Row],[SOL_A]]+Table2[[#This Row],[OTL_H]]+Table2[[#This Row],[SOL_H]]</f>
        <v>2</v>
      </c>
      <c r="AN29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29" s="43">
        <f>Table2[[#This Row],[PTS]]/(2*Table2[[#This Row],[GP]])</f>
        <v>1</v>
      </c>
      <c r="AP29" s="43">
        <f>Table2[[#This Row],[PTS]]/(3*Table2[[#This Row],[GP]])</f>
        <v>0.66666666666666663</v>
      </c>
      <c r="AQ29" s="43">
        <f>(2*Table2[[#This Row],[GR]])+Table2[[#This Row],[PTS]]</f>
        <v>168</v>
      </c>
      <c r="AR29" s="43">
        <f>(3*Table2[[#This Row],[GR]])+Table2[[#This Row],[PTS]]</f>
        <v>251</v>
      </c>
      <c r="AS29" s="43">
        <f>Table2[[#This Row],[PTS]]+(2 * Table2[[#This Row],[GR]] * Table2[[#This Row],[PTS%]])</f>
        <v>168</v>
      </c>
      <c r="AT29" s="43">
        <f>Table2[[#This Row],[PTS]]+(3 * Table2[[#This Row],[GR]] * Table2[[#This Row],[PTS%]])</f>
        <v>251</v>
      </c>
      <c r="AU29" s="43" t="str">
        <f>_xlfn.CONCAT(TEXT(Table2[[#This Row],[W]], "0"), "-", TEXT(Table2[[#This Row],[RL]],"0"), "-", TEXT(Table2[[#This Row],[OTL]]+Table2[[#This Row],[SOL]], "0"))</f>
        <v>1-0-0</v>
      </c>
      <c r="AV29" s="43">
        <f>SUMIF(Table1[AwayTeam], Table2[[#This Row],[Team]], Table1[ActualAwayScore])</f>
        <v>0</v>
      </c>
      <c r="AW29" s="43">
        <f>SUMIF(Table1[AwayTeam], Table2[[#This Row],[Team]], Table1[ActualHomeScore])</f>
        <v>0</v>
      </c>
      <c r="AX29" s="43">
        <f>Table2[[#This Row],[GF_A]]-Table2[[#This Row],[GA_A]]</f>
        <v>0</v>
      </c>
      <c r="AY29" s="43">
        <f>SUMIF(Table1[HomeTeam], Table2[[#This Row],[Team]], Table1[ActualHomeScore])</f>
        <v>3</v>
      </c>
      <c r="AZ29" s="43">
        <f>SUMIF(Table1[HomeTeam], Table2[[#This Row],[Team]], Table1[ActualAwayScore])</f>
        <v>2</v>
      </c>
      <c r="BA29" s="43">
        <f>Table2[[#This Row],[GF_H]]-Table2[[#This Row],[GA_H]]</f>
        <v>1</v>
      </c>
      <c r="BB29" s="43">
        <f>SUMIFS(Table1[ActualAwayScore], Table1[AwayTeam], Table2[[#This Row],[Team]], Table1[AwayWon],1)+SUMIFS(Table1[ActualHomeScore], Table1[HomeTeam], Table2[[#This Row],[Team]], Table1[HomeWon],1)</f>
        <v>3</v>
      </c>
      <c r="BC29" s="43">
        <f>SUMIFS(Table1[ActualAwayScore], Table1[AwayTeam], Table2[[#This Row],[Team]], Table1[AwayWon],0) + SUMIFS(Table1[ActualHomeScore], Table1[HomeTeam], Table2[[#This Row],[Team]], Table1[HomeWon],0)</f>
        <v>0</v>
      </c>
      <c r="BD29" s="43">
        <f>Table2[[#This Row],[GF_W]]-Table2[[#This Row],[GF_L]]</f>
        <v>3</v>
      </c>
      <c r="BE29" s="43">
        <f>Table2[[#This Row],[GF_A]]+Table2[[#This Row],[GF_H]]</f>
        <v>3</v>
      </c>
      <c r="BF29" s="43">
        <f>Table2[[#This Row],[GA_A]]+Table2[[#This Row],[GA_H]]</f>
        <v>2</v>
      </c>
      <c r="BG29" s="43">
        <f>Table2[[#This Row],[GF]]-Table2[[#This Row],[GA]]</f>
        <v>1</v>
      </c>
      <c r="BH29" s="43">
        <f>Table2[[#This Row],[GF]]/Table2[[#This Row],[GP]]</f>
        <v>3</v>
      </c>
      <c r="BI29" s="43">
        <f>Table2[[#This Row],[GA]]/Table2[[#This Row],[GP]]</f>
        <v>2</v>
      </c>
      <c r="BJ29" s="43">
        <f>Table2[[#This Row],[GFPG]]-Table2[[#This Row],[GAPG]]</f>
        <v>1</v>
      </c>
      <c r="BK29" s="43" t="str">
        <f>_xlfn.CONCAT(TEXT(Table2[[#This Row],[W_A]], "0"), "-", TEXT(Table2[[#This Row],[RL_A]],"0"), "-", TEXT(Table2[[#This Row],[OTL_A]]+Table2[[#This Row],[SOL_A]], "0"))</f>
        <v>0-0-0</v>
      </c>
      <c r="BL29" s="43" t="str">
        <f>_xlfn.CONCAT(TEXT(Table2[[#This Row],[W_H]], "0"), "-", TEXT(Table2[[#This Row],[RL_H]],"0"), "-", TEXT(Table2[[#This Row],[OTL_H]]+Table2[[#This Row],[SOL_H]], "0"))</f>
        <v>1-0-0</v>
      </c>
    </row>
    <row r="30" spans="1:64" x14ac:dyDescent="0.25">
      <c r="A30" t="s">
        <v>23</v>
      </c>
      <c r="B30" t="s">
        <v>62</v>
      </c>
      <c r="C30" t="s">
        <v>66</v>
      </c>
      <c r="D30">
        <f>COUNTIFS(Table1[AwayTeam],Table2[[#This Row],[Team]],Table1[GameIsOver], 1, Table1[WatchedGame],1) + COUNTIFS(Table1[HomeTeam],Table2[[#This Row],[Team]],Table1[GameIsOver],1,Table1[WatchedGame],1)</f>
        <v>0</v>
      </c>
      <c r="F30">
        <f>COUNTIFS(Table1[AwayTeam],Table2[[#This Row],[Team]], Table1[GameIsOver],1)</f>
        <v>0</v>
      </c>
      <c r="G30">
        <f>COUNTIFS(Table1[HomeTeam],Table2[[#This Row],[Team]], Table1[GameIsOver],1)</f>
        <v>1</v>
      </c>
      <c r="H30">
        <f>Table2[[#This Row],[GP_A]]+Table2[[#This Row],[GP_H]]</f>
        <v>1</v>
      </c>
      <c r="I30">
        <f>84-Table2[[#This Row],[GP]]</f>
        <v>83</v>
      </c>
      <c r="J30">
        <f>COUNTIFS(Table1[AwayTeam], Table2[[#This Row],[Team]], Table1[GameIsOver], 1, Table1[AwayWon],1)</f>
        <v>0</v>
      </c>
      <c r="K30">
        <f>COUNTIFS(Table1[AwayTeam], Table2[[#This Row],[Team]], Table1[GameIsOver], 1, Table1[AwayWon],1, Table1[ActualResult], "REG")</f>
        <v>0</v>
      </c>
      <c r="L30">
        <f>COUNTIFS(Table1[AwayTeam], Table2[[#This Row],[Team]], Table1[GameIsOver], 1, Table1[AwayWon],1, Table1[ActualResult], "OT")</f>
        <v>0</v>
      </c>
      <c r="M30">
        <f>COUNTIFS(Table1[AwayTeam], Table2[[#This Row],[Team]], Table1[GameIsOver], 1, Table1[AwayWon],1, Table1[ActualResult], "SO")</f>
        <v>0</v>
      </c>
      <c r="N30">
        <f>COUNTIFS(Table1[AwayTeam], Table2[[#This Row],[Team]], Table1[GameIsOver], 1, Table1[AwayWon],0)</f>
        <v>0</v>
      </c>
      <c r="O30">
        <f>COUNTIFS(Table1[AwayTeam], Table2[[#This Row],[Team]], Table1[GameIsOver], 1, Table1[AwayWon],0, Table1[ActualResult], "REG")</f>
        <v>0</v>
      </c>
      <c r="P30">
        <f>COUNTIFS(Table1[AwayTeam], Table2[[#This Row],[Team]], Table1[GameIsOver], 1, Table1[AwayWon],0, Table1[ActualResult], "OT")</f>
        <v>0</v>
      </c>
      <c r="Q30">
        <f>COUNTIFS(Table1[AwayTeam], Table2[[#This Row],[Team]], Table1[GameIsOver], 1, Table1[AwayWon],0, Table1[ActualResult], "SO")</f>
        <v>0</v>
      </c>
      <c r="R30">
        <f>COUNTIFS(Table1[HomeTeam], Table2[[#This Row],[Team]], Table1[GameIsOver], 1, Table1[HomeWon],1)</f>
        <v>0</v>
      </c>
      <c r="S30">
        <f>COUNTIFS(Table1[HomeTeam], Table2[[#This Row],[Team]], Table1[GameIsOver], 1, Table1[HomeWon],1, Table1[ActualResult], "REG")</f>
        <v>0</v>
      </c>
      <c r="T30">
        <f>COUNTIFS(Table1[HomeTeam], Table2[[#This Row],[Team]], Table1[GameIsOver], 1, Table1[HomeWon],1, Table1[ActualResult], "OT")</f>
        <v>0</v>
      </c>
      <c r="U30">
        <f>COUNTIFS(Table1[HomeTeam], Table2[[#This Row],[Team]], Table1[GameIsOver], 1, Table1[HomeWon],1, Table1[ActualResult], "SO")</f>
        <v>0</v>
      </c>
      <c r="V30">
        <f>COUNTIFS(Table1[HomeTeam], Table2[[#This Row],[Team]], Table1[GameIsOver], 1, Table1[HomeWon],0)</f>
        <v>1</v>
      </c>
      <c r="W30">
        <f>COUNTIFS(Table1[HomeTeam], Table2[[#This Row],[Team]], Table1[GameIsOver], 1, Table1[HomeWon],0, Table1[ActualResult], "REG")</f>
        <v>1</v>
      </c>
      <c r="X30">
        <f>COUNTIFS(Table1[HomeTeam], Table2[[#This Row],[Team]], Table1[GameIsOver], 1, Table1[HomeWon],0, Table1[ActualResult], "OT")</f>
        <v>0</v>
      </c>
      <c r="Y30">
        <f>COUNTIFS(Table1[HomeTeam], Table2[[#This Row],[Team]], Table1[GameIsOver], 1, Table1[HomeWon],0, Table1[ActualResult], "SO")</f>
        <v>0</v>
      </c>
      <c r="Z30" s="50">
        <f>Table2[[#This Row],[W]]/MAX(1,Table2[[#This Row],[W]]+Table2[[#This Row],[L]])</f>
        <v>0</v>
      </c>
      <c r="AA30" s="43">
        <f>Table2[[#This Row],[W_A]]+Table2[[#This Row],[W_H]]</f>
        <v>0</v>
      </c>
      <c r="AB30" s="43">
        <f>Table2[[#This Row],[L_A]]+Table2[[#This Row],[L_H]]</f>
        <v>1</v>
      </c>
      <c r="AC30" s="43">
        <f>Table2[RW_A]+Table2[RW_H]</f>
        <v>0</v>
      </c>
      <c r="AD30" s="43">
        <f>Table2[RL_A]+Table2[RL_H]</f>
        <v>1</v>
      </c>
      <c r="AE30" s="43">
        <f>Table2[OTW_A]+Table2[OTW_H]</f>
        <v>0</v>
      </c>
      <c r="AF30" s="43">
        <f>Table2[OTL_A]+Table2[OTL_H]</f>
        <v>0</v>
      </c>
      <c r="AG30" s="43">
        <f>Table2[SOW_A]+Table2[SOW_H]</f>
        <v>0</v>
      </c>
      <c r="AH30" s="43">
        <f>Table2[SOL_A]+Table2[SOL_H]</f>
        <v>0</v>
      </c>
      <c r="AI30" s="43" t="str">
        <f>_xlfn.CONCAT(TEXT(Table2[[#This Row],[OTW]]+Table2[[#This Row],[SOW]], "0"), "-", TEXT(Table2[[#This Row],[OTL]]+Table2[[#This Row],[SOL]],"0"))</f>
        <v>0-0</v>
      </c>
      <c r="AJ30" s="43">
        <f>SUM(Table2[[#This Row],[OTW]],Table2[[#This Row],[OTL]],Table2[[#This Row],[SOW]],Table2[[#This Row],[SOL]])</f>
        <v>0</v>
      </c>
      <c r="AK30" s="50">
        <f>(Table2[[#This Row],[OTW]]+Table2[[#This Row],[SOW]])/IF(Table2[[#This Row],[Total_ExtraTimes]]=0,1,Table2[[#This Row],[Total_ExtraTimes]])</f>
        <v>0</v>
      </c>
      <c r="AL30" s="50">
        <f>Table2[[#This Row],[Total_ExtraTimes]]/MAX(1,Table2[[#This Row],[GP]])</f>
        <v>0</v>
      </c>
      <c r="AM30" s="43">
        <f>(2*(Table2[[#This Row],[W_A]]+Table2[[#This Row],[W_H]]))+Table2[[#This Row],[OTL_A]]+Table2[[#This Row],[SOL_A]]+Table2[[#This Row],[OTL_H]]+Table2[[#This Row],[SOL_H]]</f>
        <v>0</v>
      </c>
      <c r="AN30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0</v>
      </c>
      <c r="AO30" s="43">
        <f>Table2[[#This Row],[PTS]]/(2*Table2[[#This Row],[GP]])</f>
        <v>0</v>
      </c>
      <c r="AP30" s="43">
        <f>Table2[[#This Row],[PTS]]/(3*Table2[[#This Row],[GP]])</f>
        <v>0</v>
      </c>
      <c r="AQ30" s="43">
        <f>(2*Table2[[#This Row],[GR]])+Table2[[#This Row],[PTS]]</f>
        <v>166</v>
      </c>
      <c r="AR30" s="43">
        <f>(3*Table2[[#This Row],[GR]])+Table2[[#This Row],[PTS]]</f>
        <v>249</v>
      </c>
      <c r="AS30" s="43">
        <f>Table2[[#This Row],[PTS]]+(2 * Table2[[#This Row],[GR]] * Table2[[#This Row],[PTS%]])</f>
        <v>0</v>
      </c>
      <c r="AT30" s="43">
        <f>Table2[[#This Row],[PTS]]+(3 * Table2[[#This Row],[GR]] * Table2[[#This Row],[PTS%]])</f>
        <v>0</v>
      </c>
      <c r="AU30" s="43" t="str">
        <f>_xlfn.CONCAT(TEXT(Table2[[#This Row],[W]], "0"), "-", TEXT(Table2[[#This Row],[RL]],"0"), "-", TEXT(Table2[[#This Row],[OTL]]+Table2[[#This Row],[SOL]], "0"))</f>
        <v>0-1-0</v>
      </c>
      <c r="AV30" s="43">
        <f>SUMIF(Table1[AwayTeam], Table2[[#This Row],[Team]], Table1[ActualAwayScore])</f>
        <v>0</v>
      </c>
      <c r="AW30" s="43">
        <f>SUMIF(Table1[AwayTeam], Table2[[#This Row],[Team]], Table1[ActualHomeScore])</f>
        <v>0</v>
      </c>
      <c r="AX30" s="43">
        <f>Table2[[#This Row],[GF_A]]-Table2[[#This Row],[GA_A]]</f>
        <v>0</v>
      </c>
      <c r="AY30" s="43">
        <f>SUMIF(Table1[HomeTeam], Table2[[#This Row],[Team]], Table1[ActualHomeScore])</f>
        <v>0</v>
      </c>
      <c r="AZ30" s="43">
        <f>SUMIF(Table1[HomeTeam], Table2[[#This Row],[Team]], Table1[ActualAwayScore])</f>
        <v>3</v>
      </c>
      <c r="BA30" s="43">
        <f>Table2[[#This Row],[GF_H]]-Table2[[#This Row],[GA_H]]</f>
        <v>-3</v>
      </c>
      <c r="BB30" s="43">
        <f>SUMIFS(Table1[ActualAwayScore], Table1[AwayTeam], Table2[[#This Row],[Team]], Table1[AwayWon],1)+SUMIFS(Table1[ActualHomeScore], Table1[HomeTeam], Table2[[#This Row],[Team]], Table1[HomeWon],1)</f>
        <v>0</v>
      </c>
      <c r="BC30" s="43">
        <f>SUMIFS(Table1[ActualAwayScore], Table1[AwayTeam], Table2[[#This Row],[Team]], Table1[AwayWon],0) + SUMIFS(Table1[ActualHomeScore], Table1[HomeTeam], Table2[[#This Row],[Team]], Table1[HomeWon],0)</f>
        <v>0</v>
      </c>
      <c r="BD30" s="43">
        <f>Table2[[#This Row],[GF_W]]-Table2[[#This Row],[GF_L]]</f>
        <v>0</v>
      </c>
      <c r="BE30" s="43">
        <f>Table2[[#This Row],[GF_A]]+Table2[[#This Row],[GF_H]]</f>
        <v>0</v>
      </c>
      <c r="BF30" s="43">
        <f>Table2[[#This Row],[GA_A]]+Table2[[#This Row],[GA_H]]</f>
        <v>3</v>
      </c>
      <c r="BG30" s="43">
        <f>Table2[[#This Row],[GF]]-Table2[[#This Row],[GA]]</f>
        <v>-3</v>
      </c>
      <c r="BH30" s="43">
        <f>Table2[[#This Row],[GF]]/Table2[[#This Row],[GP]]</f>
        <v>0</v>
      </c>
      <c r="BI30" s="43">
        <f>Table2[[#This Row],[GA]]/Table2[[#This Row],[GP]]</f>
        <v>3</v>
      </c>
      <c r="BJ30" s="43">
        <f>Table2[[#This Row],[GFPG]]-Table2[[#This Row],[GAPG]]</f>
        <v>-3</v>
      </c>
      <c r="BK30" s="43" t="str">
        <f>_xlfn.CONCAT(TEXT(Table2[[#This Row],[W_A]], "0"), "-", TEXT(Table2[[#This Row],[RL_A]],"0"), "-", TEXT(Table2[[#This Row],[OTL_A]]+Table2[[#This Row],[SOL_A]], "0"))</f>
        <v>0-0-0</v>
      </c>
      <c r="BL30" s="43" t="str">
        <f>_xlfn.CONCAT(TEXT(Table2[[#This Row],[W_H]], "0"), "-", TEXT(Table2[[#This Row],[RL_H]],"0"), "-", TEXT(Table2[[#This Row],[OTL_H]]+Table2[[#This Row],[SOL_H]], "0"))</f>
        <v>0-1-0</v>
      </c>
    </row>
    <row r="31" spans="1:64" x14ac:dyDescent="0.25">
      <c r="A31" t="s">
        <v>25</v>
      </c>
      <c r="B31" t="s">
        <v>62</v>
      </c>
      <c r="C31" t="s">
        <v>66</v>
      </c>
      <c r="D31">
        <f>COUNTIFS(Table1[AwayTeam],Table2[[#This Row],[Team]],Table1[GameIsOver], 1, Table1[WatchedGame],1) + COUNTIFS(Table1[HomeTeam],Table2[[#This Row],[Team]],Table1[GameIsOver],1,Table1[WatchedGame],1)</f>
        <v>0</v>
      </c>
      <c r="F31">
        <f>COUNTIFS(Table1[AwayTeam],Table2[[#This Row],[Team]], Table1[GameIsOver],1)</f>
        <v>1</v>
      </c>
      <c r="G31">
        <f>COUNTIFS(Table1[HomeTeam],Table2[[#This Row],[Team]], Table1[GameIsOver],1)</f>
        <v>0</v>
      </c>
      <c r="H31">
        <f>Table2[[#This Row],[GP_A]]+Table2[[#This Row],[GP_H]]</f>
        <v>1</v>
      </c>
      <c r="I31">
        <f>84-Table2[[#This Row],[GP]]</f>
        <v>83</v>
      </c>
      <c r="J31">
        <f>COUNTIFS(Table1[AwayTeam], Table2[[#This Row],[Team]], Table1[GameIsOver], 1, Table1[AwayWon],1)</f>
        <v>1</v>
      </c>
      <c r="K31">
        <f>COUNTIFS(Table1[AwayTeam], Table2[[#This Row],[Team]], Table1[GameIsOver], 1, Table1[AwayWon],1, Table1[ActualResult], "REG")</f>
        <v>1</v>
      </c>
      <c r="L31">
        <f>COUNTIFS(Table1[AwayTeam], Table2[[#This Row],[Team]], Table1[GameIsOver], 1, Table1[AwayWon],1, Table1[ActualResult], "OT")</f>
        <v>0</v>
      </c>
      <c r="M31">
        <f>COUNTIFS(Table1[AwayTeam], Table2[[#This Row],[Team]], Table1[GameIsOver], 1, Table1[AwayWon],1, Table1[ActualResult], "SO")</f>
        <v>0</v>
      </c>
      <c r="N31">
        <f>COUNTIFS(Table1[AwayTeam], Table2[[#This Row],[Team]], Table1[GameIsOver], 1, Table1[AwayWon],0)</f>
        <v>0</v>
      </c>
      <c r="O31">
        <f>COUNTIFS(Table1[AwayTeam], Table2[[#This Row],[Team]], Table1[GameIsOver], 1, Table1[AwayWon],0, Table1[ActualResult], "REG")</f>
        <v>0</v>
      </c>
      <c r="P31">
        <f>COUNTIFS(Table1[AwayTeam], Table2[[#This Row],[Team]], Table1[GameIsOver], 1, Table1[AwayWon],0, Table1[ActualResult], "OT")</f>
        <v>0</v>
      </c>
      <c r="Q31">
        <f>COUNTIFS(Table1[AwayTeam], Table2[[#This Row],[Team]], Table1[GameIsOver], 1, Table1[AwayWon],0, Table1[ActualResult], "SO")</f>
        <v>0</v>
      </c>
      <c r="R31">
        <f>COUNTIFS(Table1[HomeTeam], Table2[[#This Row],[Team]], Table1[GameIsOver], 1, Table1[HomeWon],1)</f>
        <v>0</v>
      </c>
      <c r="S31">
        <f>COUNTIFS(Table1[HomeTeam], Table2[[#This Row],[Team]], Table1[GameIsOver], 1, Table1[HomeWon],1, Table1[ActualResult], "REG")</f>
        <v>0</v>
      </c>
      <c r="T31">
        <f>COUNTIFS(Table1[HomeTeam], Table2[[#This Row],[Team]], Table1[GameIsOver], 1, Table1[HomeWon],1, Table1[ActualResult], "OT")</f>
        <v>0</v>
      </c>
      <c r="U31">
        <f>COUNTIFS(Table1[HomeTeam], Table2[[#This Row],[Team]], Table1[GameIsOver], 1, Table1[HomeWon],1, Table1[ActualResult], "SO")</f>
        <v>0</v>
      </c>
      <c r="V31">
        <f>COUNTIFS(Table1[HomeTeam], Table2[[#This Row],[Team]], Table1[GameIsOver], 1, Table1[HomeWon],0)</f>
        <v>0</v>
      </c>
      <c r="W31">
        <f>COUNTIFS(Table1[HomeTeam], Table2[[#This Row],[Team]], Table1[GameIsOver], 1, Table1[HomeWon],0, Table1[ActualResult], "REG")</f>
        <v>0</v>
      </c>
      <c r="X31">
        <f>COUNTIFS(Table1[HomeTeam], Table2[[#This Row],[Team]], Table1[GameIsOver], 1, Table1[HomeWon],0, Table1[ActualResult], "OT")</f>
        <v>0</v>
      </c>
      <c r="Y31">
        <f>COUNTIFS(Table1[HomeTeam], Table2[[#This Row],[Team]], Table1[GameIsOver], 1, Table1[HomeWon],0, Table1[ActualResult], "SO")</f>
        <v>0</v>
      </c>
      <c r="Z31" s="50">
        <f>Table2[[#This Row],[W]]/MAX(1,Table2[[#This Row],[W]]+Table2[[#This Row],[L]])</f>
        <v>1</v>
      </c>
      <c r="AA31" s="43">
        <f>Table2[[#This Row],[W_A]]+Table2[[#This Row],[W_H]]</f>
        <v>1</v>
      </c>
      <c r="AB31" s="43">
        <f>Table2[[#This Row],[L_A]]+Table2[[#This Row],[L_H]]</f>
        <v>0</v>
      </c>
      <c r="AC31" s="43">
        <f>Table2[RW_A]+Table2[RW_H]</f>
        <v>1</v>
      </c>
      <c r="AD31" s="43">
        <f>Table2[RL_A]+Table2[RL_H]</f>
        <v>0</v>
      </c>
      <c r="AE31" s="43">
        <f>Table2[OTW_A]+Table2[OTW_H]</f>
        <v>0</v>
      </c>
      <c r="AF31" s="43">
        <f>Table2[OTL_A]+Table2[OTL_H]</f>
        <v>0</v>
      </c>
      <c r="AG31" s="43">
        <f>Table2[SOW_A]+Table2[SOW_H]</f>
        <v>0</v>
      </c>
      <c r="AH31" s="43">
        <f>Table2[SOL_A]+Table2[SOL_H]</f>
        <v>0</v>
      </c>
      <c r="AI31" s="43" t="str">
        <f>_xlfn.CONCAT(TEXT(Table2[[#This Row],[OTW]]+Table2[[#This Row],[SOW]], "0"), "-", TEXT(Table2[[#This Row],[OTL]]+Table2[[#This Row],[SOL]],"0"))</f>
        <v>0-0</v>
      </c>
      <c r="AJ31" s="43">
        <f>SUM(Table2[[#This Row],[OTW]],Table2[[#This Row],[OTL]],Table2[[#This Row],[SOW]],Table2[[#This Row],[SOL]])</f>
        <v>0</v>
      </c>
      <c r="AK31" s="50">
        <f>(Table2[[#This Row],[OTW]]+Table2[[#This Row],[SOW]])/IF(Table2[[#This Row],[Total_ExtraTimes]]=0,1,Table2[[#This Row],[Total_ExtraTimes]])</f>
        <v>0</v>
      </c>
      <c r="AL31" s="50">
        <f>Table2[[#This Row],[Total_ExtraTimes]]/MAX(1,Table2[[#This Row],[GP]])</f>
        <v>0</v>
      </c>
      <c r="AM31" s="43">
        <f>(2*(Table2[[#This Row],[W_A]]+Table2[[#This Row],[W_H]]))+Table2[[#This Row],[OTL_A]]+Table2[[#This Row],[SOL_A]]+Table2[[#This Row],[OTL_H]]+Table2[[#This Row],[SOL_H]]</f>
        <v>2</v>
      </c>
      <c r="AN31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3</v>
      </c>
      <c r="AO31" s="43">
        <f>Table2[[#This Row],[PTS]]/(2*Table2[[#This Row],[GP]])</f>
        <v>1</v>
      </c>
      <c r="AP31" s="43">
        <f>Table2[[#This Row],[PTS]]/(3*Table2[[#This Row],[GP]])</f>
        <v>0.66666666666666663</v>
      </c>
      <c r="AQ31" s="43">
        <f>(2*Table2[[#This Row],[GR]])+Table2[[#This Row],[PTS]]</f>
        <v>168</v>
      </c>
      <c r="AR31" s="43">
        <f>(3*Table2[[#This Row],[GR]])+Table2[[#This Row],[PTS]]</f>
        <v>251</v>
      </c>
      <c r="AS31" s="43">
        <f>Table2[[#This Row],[PTS]]+(2 * Table2[[#This Row],[GR]] * Table2[[#This Row],[PTS%]])</f>
        <v>168</v>
      </c>
      <c r="AT31" s="43">
        <f>Table2[[#This Row],[PTS]]+(3 * Table2[[#This Row],[GR]] * Table2[[#This Row],[PTS%]])</f>
        <v>251</v>
      </c>
      <c r="AU31" s="43" t="str">
        <f>_xlfn.CONCAT(TEXT(Table2[[#This Row],[W]], "0"), "-", TEXT(Table2[[#This Row],[RL]],"0"), "-", TEXT(Table2[[#This Row],[OTL]]+Table2[[#This Row],[SOL]], "0"))</f>
        <v>1-0-0</v>
      </c>
      <c r="AV31" s="43">
        <f>SUMIF(Table1[AwayTeam], Table2[[#This Row],[Team]], Table1[ActualAwayScore])</f>
        <v>3</v>
      </c>
      <c r="AW31" s="43">
        <f>SUMIF(Table1[AwayTeam], Table2[[#This Row],[Team]], Table1[ActualHomeScore])</f>
        <v>0</v>
      </c>
      <c r="AX31" s="43">
        <f>Table2[[#This Row],[GF_A]]-Table2[[#This Row],[GA_A]]</f>
        <v>3</v>
      </c>
      <c r="AY31" s="43">
        <f>SUMIF(Table1[HomeTeam], Table2[[#This Row],[Team]], Table1[ActualHomeScore])</f>
        <v>0</v>
      </c>
      <c r="AZ31" s="43">
        <f>SUMIF(Table1[HomeTeam], Table2[[#This Row],[Team]], Table1[ActualAwayScore])</f>
        <v>0</v>
      </c>
      <c r="BA31" s="43">
        <f>Table2[[#This Row],[GF_H]]-Table2[[#This Row],[GA_H]]</f>
        <v>0</v>
      </c>
      <c r="BB31" s="43">
        <f>SUMIFS(Table1[ActualAwayScore], Table1[AwayTeam], Table2[[#This Row],[Team]], Table1[AwayWon],1)+SUMIFS(Table1[ActualHomeScore], Table1[HomeTeam], Table2[[#This Row],[Team]], Table1[HomeWon],1)</f>
        <v>3</v>
      </c>
      <c r="BC31" s="43">
        <f>SUMIFS(Table1[ActualAwayScore], Table1[AwayTeam], Table2[[#This Row],[Team]], Table1[AwayWon],0) + SUMIFS(Table1[ActualHomeScore], Table1[HomeTeam], Table2[[#This Row],[Team]], Table1[HomeWon],0)</f>
        <v>0</v>
      </c>
      <c r="BD31" s="43">
        <f>Table2[[#This Row],[GF_W]]-Table2[[#This Row],[GF_L]]</f>
        <v>3</v>
      </c>
      <c r="BE31" s="43">
        <f>Table2[[#This Row],[GF_A]]+Table2[[#This Row],[GF_H]]</f>
        <v>3</v>
      </c>
      <c r="BF31" s="43">
        <f>Table2[[#This Row],[GA_A]]+Table2[[#This Row],[GA_H]]</f>
        <v>0</v>
      </c>
      <c r="BG31" s="43">
        <f>Table2[[#This Row],[GF]]-Table2[[#This Row],[GA]]</f>
        <v>3</v>
      </c>
      <c r="BH31" s="43">
        <f>Table2[[#This Row],[GF]]/Table2[[#This Row],[GP]]</f>
        <v>3</v>
      </c>
      <c r="BI31" s="43">
        <f>Table2[[#This Row],[GA]]/Table2[[#This Row],[GP]]</f>
        <v>0</v>
      </c>
      <c r="BJ31" s="43">
        <f>Table2[[#This Row],[GFPG]]-Table2[[#This Row],[GAPG]]</f>
        <v>3</v>
      </c>
      <c r="BK31" s="43" t="str">
        <f>_xlfn.CONCAT(TEXT(Table2[[#This Row],[W_A]], "0"), "-", TEXT(Table2[[#This Row],[RL_A]],"0"), "-", TEXT(Table2[[#This Row],[OTL_A]]+Table2[[#This Row],[SOL_A]], "0"))</f>
        <v>1-0-0</v>
      </c>
      <c r="BL31" s="43" t="str">
        <f>_xlfn.CONCAT(TEXT(Table2[[#This Row],[W_H]], "0"), "-", TEXT(Table2[[#This Row],[RL_H]],"0"), "-", TEXT(Table2[[#This Row],[OTL_H]]+Table2[[#This Row],[SOL_H]], "0"))</f>
        <v>0-0-0</v>
      </c>
    </row>
    <row r="32" spans="1:64" x14ac:dyDescent="0.25">
      <c r="A32" t="s">
        <v>59</v>
      </c>
      <c r="B32" t="s">
        <v>63</v>
      </c>
      <c r="C32" t="s">
        <v>65</v>
      </c>
      <c r="D32">
        <f>COUNTIFS(Table1[AwayTeam],Table2[[#This Row],[Team]],Table1[GameIsOver], 1, Table1[WatchedGame],1) + COUNTIFS(Table1[HomeTeam],Table2[[#This Row],[Team]],Table1[GameIsOver],1,Table1[WatchedGame],1)</f>
        <v>0</v>
      </c>
      <c r="F32">
        <f>COUNTIFS(Table1[AwayTeam],Table2[[#This Row],[Team]], Table1[GameIsOver],1)</f>
        <v>1</v>
      </c>
      <c r="G32">
        <f>COUNTIFS(Table1[HomeTeam],Table2[[#This Row],[Team]], Table1[GameIsOver],1)</f>
        <v>0</v>
      </c>
      <c r="H32">
        <f>Table2[[#This Row],[GP_A]]+Table2[[#This Row],[GP_H]]</f>
        <v>1</v>
      </c>
      <c r="I32">
        <f>84-Table2[[#This Row],[GP]]</f>
        <v>83</v>
      </c>
      <c r="J32">
        <f>COUNTIFS(Table1[AwayTeam], Table2[[#This Row],[Team]], Table1[GameIsOver], 1, Table1[AwayWon],1)</f>
        <v>1</v>
      </c>
      <c r="K32">
        <f>COUNTIFS(Table1[AwayTeam], Table2[[#This Row],[Team]], Table1[GameIsOver], 1, Table1[AwayWon],1, Table1[ActualResult], "REG")</f>
        <v>0</v>
      </c>
      <c r="L32">
        <f>COUNTIFS(Table1[AwayTeam], Table2[[#This Row],[Team]], Table1[GameIsOver], 1, Table1[AwayWon],1, Table1[ActualResult], "OT")</f>
        <v>0</v>
      </c>
      <c r="M32">
        <f>COUNTIFS(Table1[AwayTeam], Table2[[#This Row],[Team]], Table1[GameIsOver], 1, Table1[AwayWon],1, Table1[ActualResult], "SO")</f>
        <v>1</v>
      </c>
      <c r="N32">
        <f>COUNTIFS(Table1[AwayTeam], Table2[[#This Row],[Team]], Table1[GameIsOver], 1, Table1[AwayWon],0)</f>
        <v>0</v>
      </c>
      <c r="O32">
        <f>COUNTIFS(Table1[AwayTeam], Table2[[#This Row],[Team]], Table1[GameIsOver], 1, Table1[AwayWon],0, Table1[ActualResult], "REG")</f>
        <v>0</v>
      </c>
      <c r="P32">
        <f>COUNTIFS(Table1[AwayTeam], Table2[[#This Row],[Team]], Table1[GameIsOver], 1, Table1[AwayWon],0, Table1[ActualResult], "OT")</f>
        <v>0</v>
      </c>
      <c r="Q32">
        <f>COUNTIFS(Table1[AwayTeam], Table2[[#This Row],[Team]], Table1[GameIsOver], 1, Table1[AwayWon],0, Table1[ActualResult], "SO")</f>
        <v>0</v>
      </c>
      <c r="R32">
        <f>COUNTIFS(Table1[HomeTeam], Table2[[#This Row],[Team]], Table1[GameIsOver], 1, Table1[HomeWon],1)</f>
        <v>0</v>
      </c>
      <c r="S32">
        <f>COUNTIFS(Table1[HomeTeam], Table2[[#This Row],[Team]], Table1[GameIsOver], 1, Table1[HomeWon],1, Table1[ActualResult], "REG")</f>
        <v>0</v>
      </c>
      <c r="T32">
        <f>COUNTIFS(Table1[HomeTeam], Table2[[#This Row],[Team]], Table1[GameIsOver], 1, Table1[HomeWon],1, Table1[ActualResult], "OT")</f>
        <v>0</v>
      </c>
      <c r="U32">
        <f>COUNTIFS(Table1[HomeTeam], Table2[[#This Row],[Team]], Table1[GameIsOver], 1, Table1[HomeWon],1, Table1[ActualResult], "SO")</f>
        <v>0</v>
      </c>
      <c r="V32">
        <f>COUNTIFS(Table1[HomeTeam], Table2[[#This Row],[Team]], Table1[GameIsOver], 1, Table1[HomeWon],0)</f>
        <v>0</v>
      </c>
      <c r="W32">
        <f>COUNTIFS(Table1[HomeTeam], Table2[[#This Row],[Team]], Table1[GameIsOver], 1, Table1[HomeWon],0, Table1[ActualResult], "REG")</f>
        <v>0</v>
      </c>
      <c r="X32">
        <f>COUNTIFS(Table1[HomeTeam], Table2[[#This Row],[Team]], Table1[GameIsOver], 1, Table1[HomeWon],0, Table1[ActualResult], "OT")</f>
        <v>0</v>
      </c>
      <c r="Y32">
        <f>COUNTIFS(Table1[HomeTeam], Table2[[#This Row],[Team]], Table1[GameIsOver], 1, Table1[HomeWon],0, Table1[ActualResult], "SO")</f>
        <v>0</v>
      </c>
      <c r="Z32" s="50">
        <f>Table2[[#This Row],[W]]/MAX(1,Table2[[#This Row],[W]]+Table2[[#This Row],[L]])</f>
        <v>1</v>
      </c>
      <c r="AA32" s="43">
        <f>Table2[[#This Row],[W_A]]+Table2[[#This Row],[W_H]]</f>
        <v>1</v>
      </c>
      <c r="AB32" s="43">
        <f>Table2[[#This Row],[L_A]]+Table2[[#This Row],[L_H]]</f>
        <v>0</v>
      </c>
      <c r="AC32" s="43">
        <f>Table2[RW_A]+Table2[RW_H]</f>
        <v>0</v>
      </c>
      <c r="AD32" s="43">
        <f>Table2[RL_A]+Table2[RL_H]</f>
        <v>0</v>
      </c>
      <c r="AE32" s="43">
        <f>Table2[OTW_A]+Table2[OTW_H]</f>
        <v>0</v>
      </c>
      <c r="AF32" s="43">
        <f>Table2[OTL_A]+Table2[OTL_H]</f>
        <v>0</v>
      </c>
      <c r="AG32" s="43">
        <f>Table2[SOW_A]+Table2[SOW_H]</f>
        <v>1</v>
      </c>
      <c r="AH32" s="43">
        <f>Table2[SOL_A]+Table2[SOL_H]</f>
        <v>0</v>
      </c>
      <c r="AI32" s="43" t="str">
        <f>_xlfn.CONCAT(TEXT(Table2[[#This Row],[OTW]]+Table2[[#This Row],[SOW]], "0"), "-", TEXT(Table2[[#This Row],[OTL]]+Table2[[#This Row],[SOL]],"0"))</f>
        <v>1-0</v>
      </c>
      <c r="AJ32" s="43">
        <f>SUM(Table2[[#This Row],[OTW]],Table2[[#This Row],[OTL]],Table2[[#This Row],[SOW]],Table2[[#This Row],[SOL]])</f>
        <v>1</v>
      </c>
      <c r="AK32" s="50">
        <f>(Table2[[#This Row],[OTW]]+Table2[[#This Row],[SOW]])/IF(Table2[[#This Row],[Total_ExtraTimes]]=0,1,Table2[[#This Row],[Total_ExtraTimes]])</f>
        <v>1</v>
      </c>
      <c r="AL32" s="50">
        <f>Table2[[#This Row],[Total_ExtraTimes]]/MAX(1,Table2[[#This Row],[GP]])</f>
        <v>1</v>
      </c>
      <c r="AM32" s="43">
        <f>(2*(Table2[[#This Row],[W_A]]+Table2[[#This Row],[W_H]]))+Table2[[#This Row],[OTL_A]]+Table2[[#This Row],[SOL_A]]+Table2[[#This Row],[OTL_H]]+Table2[[#This Row],[SOL_H]]</f>
        <v>2</v>
      </c>
      <c r="AN32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2</v>
      </c>
      <c r="AO32" s="43">
        <f>Table2[[#This Row],[PTS]]/(2*Table2[[#This Row],[GP]])</f>
        <v>1</v>
      </c>
      <c r="AP32" s="43">
        <f>Table2[[#This Row],[PTS]]/(3*Table2[[#This Row],[GP]])</f>
        <v>0.66666666666666663</v>
      </c>
      <c r="AQ32" s="43">
        <f>(2*Table2[[#This Row],[GR]])+Table2[[#This Row],[PTS]]</f>
        <v>168</v>
      </c>
      <c r="AR32" s="43">
        <f>(3*Table2[[#This Row],[GR]])+Table2[[#This Row],[PTS]]</f>
        <v>251</v>
      </c>
      <c r="AS32" s="43">
        <f>Table2[[#This Row],[PTS]]+(2 * Table2[[#This Row],[GR]] * Table2[[#This Row],[PTS%]])</f>
        <v>168</v>
      </c>
      <c r="AT32" s="43">
        <f>Table2[[#This Row],[PTS]]+(3 * Table2[[#This Row],[GR]] * Table2[[#This Row],[PTS%]])</f>
        <v>251</v>
      </c>
      <c r="AU32" s="43" t="str">
        <f>_xlfn.CONCAT(TEXT(Table2[[#This Row],[W]], "0"), "-", TEXT(Table2[[#This Row],[RL]],"0"), "-", TEXT(Table2[[#This Row],[OTL]]+Table2[[#This Row],[SOL]], "0"))</f>
        <v>1-0-0</v>
      </c>
      <c r="AV32" s="43">
        <f>SUMIF(Table1[AwayTeam], Table2[[#This Row],[Team]], Table1[ActualAwayScore])</f>
        <v>4</v>
      </c>
      <c r="AW32" s="43">
        <f>SUMIF(Table1[AwayTeam], Table2[[#This Row],[Team]], Table1[ActualHomeScore])</f>
        <v>3</v>
      </c>
      <c r="AX32" s="43">
        <f>Table2[[#This Row],[GF_A]]-Table2[[#This Row],[GA_A]]</f>
        <v>1</v>
      </c>
      <c r="AY32" s="43">
        <f>SUMIF(Table1[HomeTeam], Table2[[#This Row],[Team]], Table1[ActualHomeScore])</f>
        <v>0</v>
      </c>
      <c r="AZ32" s="43">
        <f>SUMIF(Table1[HomeTeam], Table2[[#This Row],[Team]], Table1[ActualAwayScore])</f>
        <v>0</v>
      </c>
      <c r="BA32" s="43">
        <f>Table2[[#This Row],[GF_H]]-Table2[[#This Row],[GA_H]]</f>
        <v>0</v>
      </c>
      <c r="BB32" s="43">
        <f>SUMIFS(Table1[ActualAwayScore], Table1[AwayTeam], Table2[[#This Row],[Team]], Table1[AwayWon],1)+SUMIFS(Table1[ActualHomeScore], Table1[HomeTeam], Table2[[#This Row],[Team]], Table1[HomeWon],1)</f>
        <v>4</v>
      </c>
      <c r="BC32" s="43">
        <f>SUMIFS(Table1[ActualAwayScore], Table1[AwayTeam], Table2[[#This Row],[Team]], Table1[AwayWon],0) + SUMIFS(Table1[ActualHomeScore], Table1[HomeTeam], Table2[[#This Row],[Team]], Table1[HomeWon],0)</f>
        <v>0</v>
      </c>
      <c r="BD32" s="43">
        <f>Table2[[#This Row],[GF_W]]-Table2[[#This Row],[GF_L]]</f>
        <v>4</v>
      </c>
      <c r="BE32" s="43">
        <f>Table2[[#This Row],[GF_A]]+Table2[[#This Row],[GF_H]]</f>
        <v>4</v>
      </c>
      <c r="BF32" s="43">
        <f>Table2[[#This Row],[GA_A]]+Table2[[#This Row],[GA_H]]</f>
        <v>3</v>
      </c>
      <c r="BG32" s="43">
        <f>Table2[[#This Row],[GF]]-Table2[[#This Row],[GA]]</f>
        <v>1</v>
      </c>
      <c r="BH32" s="43">
        <f>Table2[[#This Row],[GF]]/Table2[[#This Row],[GP]]</f>
        <v>4</v>
      </c>
      <c r="BI32" s="43">
        <f>Table2[[#This Row],[GA]]/Table2[[#This Row],[GP]]</f>
        <v>3</v>
      </c>
      <c r="BJ32" s="43">
        <f>Table2[[#This Row],[GFPG]]-Table2[[#This Row],[GAPG]]</f>
        <v>1</v>
      </c>
      <c r="BK32" s="43" t="str">
        <f>_xlfn.CONCAT(TEXT(Table2[[#This Row],[W_A]], "0"), "-", TEXT(Table2[[#This Row],[RL_A]],"0"), "-", TEXT(Table2[[#This Row],[OTL_A]]+Table2[[#This Row],[SOL_A]], "0"))</f>
        <v>1-0-0</v>
      </c>
      <c r="BL32" s="43" t="str">
        <f>_xlfn.CONCAT(TEXT(Table2[[#This Row],[W_H]], "0"), "-", TEXT(Table2[[#This Row],[RL_H]],"0"), "-", TEXT(Table2[[#This Row],[OTL_H]]+Table2[[#This Row],[SOL_H]], "0"))</f>
        <v>0-0-0</v>
      </c>
    </row>
    <row r="33" spans="1:64" x14ac:dyDescent="0.25">
      <c r="A33" t="s">
        <v>60</v>
      </c>
      <c r="B33" t="s">
        <v>62</v>
      </c>
      <c r="C33" t="s">
        <v>64</v>
      </c>
      <c r="D33">
        <f>COUNTIFS(Table1[AwayTeam],Table2[[#This Row],[Team]],Table1[GameIsOver], 1, Table1[WatchedGame],1) + COUNTIFS(Table1[HomeTeam],Table2[[#This Row],[Team]],Table1[GameIsOver],1,Table1[WatchedGame],1)</f>
        <v>0</v>
      </c>
      <c r="F33">
        <f>COUNTIFS(Table1[AwayTeam],Table2[[#This Row],[Team]], Table1[GameIsOver],1)</f>
        <v>0</v>
      </c>
      <c r="G33">
        <f>COUNTIFS(Table1[HomeTeam],Table2[[#This Row],[Team]], Table1[GameIsOver],1)</f>
        <v>2</v>
      </c>
      <c r="H33">
        <f>Table2[[#This Row],[GP_A]]+Table2[[#This Row],[GP_H]]</f>
        <v>2</v>
      </c>
      <c r="I33">
        <f>84-Table2[[#This Row],[GP]]</f>
        <v>82</v>
      </c>
      <c r="J33">
        <f>COUNTIFS(Table1[AwayTeam], Table2[[#This Row],[Team]], Table1[GameIsOver], 1, Table1[AwayWon],1)</f>
        <v>0</v>
      </c>
      <c r="K33">
        <f>COUNTIFS(Table1[AwayTeam], Table2[[#This Row],[Team]], Table1[GameIsOver], 1, Table1[AwayWon],1, Table1[ActualResult], "REG")</f>
        <v>0</v>
      </c>
      <c r="L33">
        <f>COUNTIFS(Table1[AwayTeam], Table2[[#This Row],[Team]], Table1[GameIsOver], 1, Table1[AwayWon],1, Table1[ActualResult], "OT")</f>
        <v>0</v>
      </c>
      <c r="M33">
        <f>COUNTIFS(Table1[AwayTeam], Table2[[#This Row],[Team]], Table1[GameIsOver], 1, Table1[AwayWon],1, Table1[ActualResult], "SO")</f>
        <v>0</v>
      </c>
      <c r="N33">
        <f>COUNTIFS(Table1[AwayTeam], Table2[[#This Row],[Team]], Table1[GameIsOver], 1, Table1[AwayWon],0)</f>
        <v>0</v>
      </c>
      <c r="O33">
        <f>COUNTIFS(Table1[AwayTeam], Table2[[#This Row],[Team]], Table1[GameIsOver], 1, Table1[AwayWon],0, Table1[ActualResult], "REG")</f>
        <v>0</v>
      </c>
      <c r="P33">
        <f>COUNTIFS(Table1[AwayTeam], Table2[[#This Row],[Team]], Table1[GameIsOver], 1, Table1[AwayWon],0, Table1[ActualResult], "OT")</f>
        <v>0</v>
      </c>
      <c r="Q33">
        <f>COUNTIFS(Table1[AwayTeam], Table2[[#This Row],[Team]], Table1[GameIsOver], 1, Table1[AwayWon],0, Table1[ActualResult], "SO")</f>
        <v>0</v>
      </c>
      <c r="R33">
        <f>COUNTIFS(Table1[HomeTeam], Table2[[#This Row],[Team]], Table1[GameIsOver], 1, Table1[HomeWon],1)</f>
        <v>0</v>
      </c>
      <c r="S33">
        <f>COUNTIFS(Table1[HomeTeam], Table2[[#This Row],[Team]], Table1[GameIsOver], 1, Table1[HomeWon],1, Table1[ActualResult], "REG")</f>
        <v>0</v>
      </c>
      <c r="T33">
        <f>COUNTIFS(Table1[HomeTeam], Table2[[#This Row],[Team]], Table1[GameIsOver], 1, Table1[HomeWon],1, Table1[ActualResult], "OT")</f>
        <v>0</v>
      </c>
      <c r="U33">
        <f>COUNTIFS(Table1[HomeTeam], Table2[[#This Row],[Team]], Table1[GameIsOver], 1, Table1[HomeWon],1, Table1[ActualResult], "SO")</f>
        <v>0</v>
      </c>
      <c r="V33">
        <f>COUNTIFS(Table1[HomeTeam], Table2[[#This Row],[Team]], Table1[GameIsOver], 1, Table1[HomeWon],0)</f>
        <v>2</v>
      </c>
      <c r="W33">
        <f>COUNTIFS(Table1[HomeTeam], Table2[[#This Row],[Team]], Table1[GameIsOver], 1, Table1[HomeWon],0, Table1[ActualResult], "REG")</f>
        <v>1</v>
      </c>
      <c r="X33">
        <f>COUNTIFS(Table1[HomeTeam], Table2[[#This Row],[Team]], Table1[GameIsOver], 1, Table1[HomeWon],0, Table1[ActualResult], "OT")</f>
        <v>1</v>
      </c>
      <c r="Y33">
        <f>COUNTIFS(Table1[HomeTeam], Table2[[#This Row],[Team]], Table1[GameIsOver], 1, Table1[HomeWon],0, Table1[ActualResult], "SO")</f>
        <v>0</v>
      </c>
      <c r="Z33" s="50">
        <f>Table2[[#This Row],[W]]/MAX(1,Table2[[#This Row],[W]]+Table2[[#This Row],[L]])</f>
        <v>0</v>
      </c>
      <c r="AA33" s="43">
        <f>Table2[[#This Row],[W_A]]+Table2[[#This Row],[W_H]]</f>
        <v>0</v>
      </c>
      <c r="AB33" s="43">
        <f>Table2[[#This Row],[L_A]]+Table2[[#This Row],[L_H]]</f>
        <v>2</v>
      </c>
      <c r="AC33" s="43">
        <f>Table2[RW_A]+Table2[RW_H]</f>
        <v>0</v>
      </c>
      <c r="AD33" s="43">
        <f>Table2[RL_A]+Table2[RL_H]</f>
        <v>1</v>
      </c>
      <c r="AE33" s="43">
        <f>Table2[OTW_A]+Table2[OTW_H]</f>
        <v>0</v>
      </c>
      <c r="AF33" s="43">
        <f>Table2[OTL_A]+Table2[OTL_H]</f>
        <v>1</v>
      </c>
      <c r="AG33" s="43">
        <f>Table2[SOW_A]+Table2[SOW_H]</f>
        <v>0</v>
      </c>
      <c r="AH33" s="43">
        <f>Table2[SOL_A]+Table2[SOL_H]</f>
        <v>0</v>
      </c>
      <c r="AI33" s="43" t="str">
        <f>_xlfn.CONCAT(TEXT(Table2[[#This Row],[OTW]]+Table2[[#This Row],[SOW]], "0"), "-", TEXT(Table2[[#This Row],[OTL]]+Table2[[#This Row],[SOL]],"0"))</f>
        <v>0-1</v>
      </c>
      <c r="AJ33" s="43">
        <f>SUM(Table2[[#This Row],[OTW]],Table2[[#This Row],[OTL]],Table2[[#This Row],[SOW]],Table2[[#This Row],[SOL]])</f>
        <v>1</v>
      </c>
      <c r="AK33" s="50">
        <f>(Table2[[#This Row],[OTW]]+Table2[[#This Row],[SOW]])/IF(Table2[[#This Row],[Total_ExtraTimes]]=0,1,Table2[[#This Row],[Total_ExtraTimes]])</f>
        <v>0</v>
      </c>
      <c r="AL33" s="50">
        <f>Table2[[#This Row],[Total_ExtraTimes]]/MAX(1,Table2[[#This Row],[GP]])</f>
        <v>0.5</v>
      </c>
      <c r="AM33" s="43">
        <f>(2*(Table2[[#This Row],[W_A]]+Table2[[#This Row],[W_H]]))+Table2[[#This Row],[OTL_A]]+Table2[[#This Row],[SOL_A]]+Table2[[#This Row],[OTL_H]]+Table2[[#This Row],[SOL_H]]</f>
        <v>1</v>
      </c>
      <c r="AN33" s="43">
        <f>(3*(Table2[[#This Row],[RW_A]]+Table2[[#This Row],[RW_H]]))+(2*(Table2[[#This Row],[OTW_A]]+Table2[[#This Row],[SOW_A]]+Table2[[#This Row],[OTW_H]]+Table2[[#This Row],[SOW_H]]))+Table2[[#This Row],[OTL_A]]+Table2[[#This Row],[SOL_A]]+Table2[[#This Row],[OTL_H]]+Table2[[#This Row],[SOL_H]]</f>
        <v>1</v>
      </c>
      <c r="AO33" s="43">
        <f>Table2[[#This Row],[PTS]]/(2*Table2[[#This Row],[GP]])</f>
        <v>0.25</v>
      </c>
      <c r="AP33" s="43">
        <f>Table2[[#This Row],[PTS]]/(3*Table2[[#This Row],[GP]])</f>
        <v>0.16666666666666666</v>
      </c>
      <c r="AQ33" s="43">
        <f>(2*Table2[[#This Row],[GR]])+Table2[[#This Row],[PTS]]</f>
        <v>165</v>
      </c>
      <c r="AR33" s="43">
        <f>(3*Table2[[#This Row],[GR]])+Table2[[#This Row],[PTS]]</f>
        <v>247</v>
      </c>
      <c r="AS33" s="43">
        <f>Table2[[#This Row],[PTS]]+(2 * Table2[[#This Row],[GR]] * Table2[[#This Row],[PTS%]])</f>
        <v>42</v>
      </c>
      <c r="AT33" s="43">
        <f>Table2[[#This Row],[PTS]]+(3 * Table2[[#This Row],[GR]] * Table2[[#This Row],[PTS%]])</f>
        <v>62.5</v>
      </c>
      <c r="AU33" s="43" t="str">
        <f>_xlfn.CONCAT(TEXT(Table2[[#This Row],[W]], "0"), "-", TEXT(Table2[[#This Row],[RL]],"0"), "-", TEXT(Table2[[#This Row],[OTL]]+Table2[[#This Row],[SOL]], "0"))</f>
        <v>0-1-1</v>
      </c>
      <c r="AV33" s="43">
        <f>SUMIF(Table1[AwayTeam], Table2[[#This Row],[Team]], Table1[ActualAwayScore])</f>
        <v>0</v>
      </c>
      <c r="AW33" s="43">
        <f>SUMIF(Table1[AwayTeam], Table2[[#This Row],[Team]], Table1[ActualHomeScore])</f>
        <v>0</v>
      </c>
      <c r="AX33" s="43">
        <f>Table2[[#This Row],[GF_A]]-Table2[[#This Row],[GA_A]]</f>
        <v>0</v>
      </c>
      <c r="AY33" s="43">
        <f>SUMIF(Table1[HomeTeam], Table2[[#This Row],[Team]], Table1[ActualHomeScore])</f>
        <v>6</v>
      </c>
      <c r="AZ33" s="43">
        <f>SUMIF(Table1[HomeTeam], Table2[[#This Row],[Team]], Table1[ActualAwayScore])</f>
        <v>8</v>
      </c>
      <c r="BA33" s="43">
        <f>Table2[[#This Row],[GF_H]]-Table2[[#This Row],[GA_H]]</f>
        <v>-2</v>
      </c>
      <c r="BB33" s="43">
        <f>SUMIFS(Table1[ActualAwayScore], Table1[AwayTeam], Table2[[#This Row],[Team]], Table1[AwayWon],1)+SUMIFS(Table1[ActualHomeScore], Table1[HomeTeam], Table2[[#This Row],[Team]], Table1[HomeWon],1)</f>
        <v>0</v>
      </c>
      <c r="BC33" s="43">
        <f>SUMIFS(Table1[ActualAwayScore], Table1[AwayTeam], Table2[[#This Row],[Team]], Table1[AwayWon],0) + SUMIFS(Table1[ActualHomeScore], Table1[HomeTeam], Table2[[#This Row],[Team]], Table1[HomeWon],0)</f>
        <v>6</v>
      </c>
      <c r="BD33" s="43">
        <f>Table2[[#This Row],[GF_W]]-Table2[[#This Row],[GF_L]]</f>
        <v>-6</v>
      </c>
      <c r="BE33" s="43">
        <f>Table2[[#This Row],[GF_A]]+Table2[[#This Row],[GF_H]]</f>
        <v>6</v>
      </c>
      <c r="BF33" s="43">
        <f>Table2[[#This Row],[GA_A]]+Table2[[#This Row],[GA_H]]</f>
        <v>8</v>
      </c>
      <c r="BG33" s="43">
        <f>Table2[[#This Row],[GF]]-Table2[[#This Row],[GA]]</f>
        <v>-2</v>
      </c>
      <c r="BH33" s="43">
        <f>Table2[[#This Row],[GF]]/Table2[[#This Row],[GP]]</f>
        <v>3</v>
      </c>
      <c r="BI33" s="43">
        <f>Table2[[#This Row],[GA]]/Table2[[#This Row],[GP]]</f>
        <v>4</v>
      </c>
      <c r="BJ33" s="43">
        <f>Table2[[#This Row],[GFPG]]-Table2[[#This Row],[GAPG]]</f>
        <v>-1</v>
      </c>
      <c r="BK33" s="43" t="str">
        <f>_xlfn.CONCAT(TEXT(Table2[[#This Row],[W_A]], "0"), "-", TEXT(Table2[[#This Row],[RL_A]],"0"), "-", TEXT(Table2[[#This Row],[OTL_A]]+Table2[[#This Row],[SOL_A]], "0"))</f>
        <v>0-0-0</v>
      </c>
      <c r="BL33" s="43" t="str">
        <f>_xlfn.CONCAT(TEXT(Table2[[#This Row],[W_H]], "0"), "-", TEXT(Table2[[#This Row],[RL_H]],"0"), "-", TEXT(Table2[[#This Row],[OTL_H]]+Table2[[#This Row],[SOL_H]], "0"))</f>
        <v>0-1-1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2E84-C0F4-40EB-8073-2251513FF424}">
  <dimension ref="A1:AM69"/>
  <sheetViews>
    <sheetView topLeftCell="A37" workbookViewId="0">
      <selection activeCell="Y11" sqref="Y11"/>
    </sheetView>
  </sheetViews>
  <sheetFormatPr defaultRowHeight="15" x14ac:dyDescent="0.25"/>
  <cols>
    <col min="1" max="1" width="6.85546875" customWidth="1"/>
    <col min="2" max="6" width="5.42578125" bestFit="1" customWidth="1"/>
    <col min="7" max="7" width="5.42578125" customWidth="1"/>
    <col min="8" max="30" width="5.42578125" bestFit="1" customWidth="1"/>
    <col min="31" max="31" width="7.7109375" bestFit="1" customWidth="1"/>
    <col min="32" max="33" width="5.42578125" bestFit="1" customWidth="1"/>
  </cols>
  <sheetData>
    <row r="1" spans="1:33" ht="15.75" thickBot="1" x14ac:dyDescent="0.3">
      <c r="A1" s="29"/>
      <c r="B1" s="45" t="s">
        <v>36</v>
      </c>
      <c r="C1" s="45" t="s">
        <v>39</v>
      </c>
      <c r="D1" s="45" t="s">
        <v>45</v>
      </c>
      <c r="E1" s="45" t="s">
        <v>46</v>
      </c>
      <c r="F1" s="45" t="s">
        <v>56</v>
      </c>
      <c r="G1" s="45" t="s">
        <v>55</v>
      </c>
      <c r="H1" s="45" t="s">
        <v>23</v>
      </c>
      <c r="I1" s="46" t="s">
        <v>25</v>
      </c>
      <c r="J1" s="45" t="s">
        <v>16</v>
      </c>
      <c r="K1" s="45" t="s">
        <v>41</v>
      </c>
      <c r="L1" s="45" t="s">
        <v>43</v>
      </c>
      <c r="M1" s="45" t="s">
        <v>22</v>
      </c>
      <c r="N1" s="45" t="s">
        <v>48</v>
      </c>
      <c r="O1" s="45" t="s">
        <v>61</v>
      </c>
      <c r="P1" s="45" t="s">
        <v>58</v>
      </c>
      <c r="Q1" s="47" t="s">
        <v>60</v>
      </c>
      <c r="R1" s="45" t="s">
        <v>40</v>
      </c>
      <c r="S1" s="45" t="s">
        <v>42</v>
      </c>
      <c r="T1" s="45" t="s">
        <v>49</v>
      </c>
      <c r="U1" s="45" t="s">
        <v>50</v>
      </c>
      <c r="V1" s="45" t="s">
        <v>51</v>
      </c>
      <c r="W1" s="45" t="s">
        <v>53</v>
      </c>
      <c r="X1" s="45" t="s">
        <v>54</v>
      </c>
      <c r="Y1" s="46" t="s">
        <v>59</v>
      </c>
      <c r="Z1" s="45" t="s">
        <v>37</v>
      </c>
      <c r="AA1" s="45" t="s">
        <v>38</v>
      </c>
      <c r="AB1" s="45" t="s">
        <v>44</v>
      </c>
      <c r="AC1" s="45" t="s">
        <v>17</v>
      </c>
      <c r="AD1" s="48" t="s">
        <v>47</v>
      </c>
      <c r="AE1" s="45" t="s">
        <v>52</v>
      </c>
      <c r="AF1" s="45" t="s">
        <v>57</v>
      </c>
      <c r="AG1" s="45" t="s">
        <v>24</v>
      </c>
    </row>
    <row r="2" spans="1:33" ht="15.75" thickTop="1" x14ac:dyDescent="0.25">
      <c r="A2" s="28" t="s">
        <v>36</v>
      </c>
      <c r="B2" s="57" t="str">
        <f>_xlfn.CONCAT(TEXT(SUMIFS(Table1[[AwayWon]:[AwayWon]], Table1[[GameIsOver]:[GameIsOver]],1,Table1[[AwayTeam]:[AwayTeam]],$A2, Table1[[HomeTeam]:[HomeTeam]], B$1) + SUMIFS(Table1[[HomeWon]:[HomeWon]], Table1[[GameIsOver]:[GameIsOver]],1,Table1[[HomeTeam]:[HomeTeam]],$A2, Table1[[AwayTeam]:[AwayTeam]], B$1),0), "-", TEXT(SUMIFS(Table1[[HomeWon]:[HomeWon]], Table1[[GameIsOver]:[GameIsOver]],1,Table1[[AwayTeam]:[AwayTeam]],$A2, Table1[[HomeTeam]:[HomeTeam]], B$1, Table1[[ActualResult]:[ActualResult]], "REG") + SUMIFS(Table1[[AwayWon]:[AwayWon]], Table1[[GameIsOver]:[GameIsOver]],1,Table1[[HomeTeam]:[HomeTeam]],$A2, Table1[[AwayTeam]:[AwayTeam]], B$1, Table1[[ActualResult]:[ActualResult]], "REG"),0), "-", TEXT(SUMIFS(Table1[[HomeWon]:[HomeWon]], Table1[[GameIsOver]:[GameIsOver]],1,Table1[[AwayTeam]:[AwayTeam]],$A2, Table1[[HomeTeam]:[HomeTeam]], B$1, Table1[[ActualResult]:[ActualResult]], "OT") + SUMIFS(Table1[[AwayWon]:[AwayWon]], Table1[[GameIsOver]:[GameIsOver]],1,Table1[[HomeTeam]:[HomeTeam]],$A2, Table1[[AwayTeam]:[AwayTeam]], B$1, Table1[[ActualResult]:[ActualResult]], "OT") + SUMIFS(Table1[[HomeWon]:[HomeWon]], Table1[[GameIsOver]:[GameIsOver]],1,Table1[[AwayTeam]:[AwayTeam]],$A2, Table1[[HomeTeam]:[HomeTeam]], B$1, Table1[[ActualResult]:[ActualResult]], "SO") + SUMIFS(Table1[[AwayWon]:[AwayWon]], Table1[[GameIsOver]:[GameIsOver]],1,Table1[[HomeTeam]:[HomeTeam]],$A2, Table1[[AwayTeam]:[AwayTeam]], B$1, Table1[[ActualResult]:[ActualResult]], "SO"),0))</f>
        <v>0-0-0</v>
      </c>
      <c r="C2" s="57" t="str">
        <f>_xlfn.CONCAT(TEXT(SUMIFS(Table1[[AwayWon]:[AwayWon]], Table1[[GameIsOver]:[GameIsOver]],1,Table1[[AwayTeam]:[AwayTeam]],$A2, Table1[[HomeTeam]:[HomeTeam]], C$1) + SUMIFS(Table1[[HomeWon]:[HomeWon]], Table1[[GameIsOver]:[GameIsOver]],1,Table1[[HomeTeam]:[HomeTeam]],$A2, Table1[[AwayTeam]:[AwayTeam]], C$1),0), "-", TEXT(SUMIFS(Table1[[HomeWon]:[HomeWon]], Table1[[GameIsOver]:[GameIsOver]],1,Table1[[AwayTeam]:[AwayTeam]],$A2, Table1[[HomeTeam]:[HomeTeam]], C$1, Table1[[ActualResult]:[ActualResult]], "REG") + SUMIFS(Table1[[AwayWon]:[AwayWon]], Table1[[GameIsOver]:[GameIsOver]],1,Table1[[HomeTeam]:[HomeTeam]],$A2, Table1[[AwayTeam]:[AwayTeam]], C$1, Table1[[ActualResult]:[ActualResult]], "REG"),0), "-", TEXT(SUMIFS(Table1[[HomeWon]:[HomeWon]], Table1[[GameIsOver]:[GameIsOver]],1,Table1[[AwayTeam]:[AwayTeam]],$A2, Table1[[HomeTeam]:[HomeTeam]], C$1, Table1[[ActualResult]:[ActualResult]], "OT") + SUMIFS(Table1[[AwayWon]:[AwayWon]], Table1[[GameIsOver]:[GameIsOver]],1,Table1[[HomeTeam]:[HomeTeam]],$A2, Table1[[AwayTeam]:[AwayTeam]], C$1, Table1[[ActualResult]:[ActualResult]], "OT") + SUMIFS(Table1[[HomeWon]:[HomeWon]], Table1[[GameIsOver]:[GameIsOver]],1,Table1[[AwayTeam]:[AwayTeam]],$A2, Table1[[HomeTeam]:[HomeTeam]], C$1, Table1[[ActualResult]:[ActualResult]], "SO") + SUMIFS(Table1[[AwayWon]:[AwayWon]], Table1[[GameIsOver]:[GameIsOver]],1,Table1[[HomeTeam]:[HomeTeam]],$A2, Table1[[AwayTeam]:[AwayTeam]], C$1, Table1[[ActualResult]:[ActualResult]], "SO"),0))</f>
        <v>1-0-0</v>
      </c>
      <c r="D2" s="57" t="str">
        <f>_xlfn.CONCAT(TEXT(SUMIFS(Table1[[AwayWon]:[AwayWon]], Table1[[GameIsOver]:[GameIsOver]],1,Table1[[AwayTeam]:[AwayTeam]],$A2, Table1[[HomeTeam]:[HomeTeam]], D$1) + SUMIFS(Table1[[HomeWon]:[HomeWon]], Table1[[GameIsOver]:[GameIsOver]],1,Table1[[HomeTeam]:[HomeTeam]],$A2, Table1[[AwayTeam]:[AwayTeam]], D$1),0), "-", TEXT(SUMIFS(Table1[[HomeWon]:[HomeWon]], Table1[[GameIsOver]:[GameIsOver]],1,Table1[[AwayTeam]:[AwayTeam]],$A2, Table1[[HomeTeam]:[HomeTeam]], D$1, Table1[[ActualResult]:[ActualResult]], "REG") + SUMIFS(Table1[[AwayWon]:[AwayWon]], Table1[[GameIsOver]:[GameIsOver]],1,Table1[[HomeTeam]:[HomeTeam]],$A2, Table1[[AwayTeam]:[AwayTeam]], D$1, Table1[[ActualResult]:[ActualResult]], "REG"),0), "-", TEXT(SUMIFS(Table1[[HomeWon]:[HomeWon]], Table1[[GameIsOver]:[GameIsOver]],1,Table1[[AwayTeam]:[AwayTeam]],$A2, Table1[[HomeTeam]:[HomeTeam]], D$1, Table1[[ActualResult]:[ActualResult]], "OT") + SUMIFS(Table1[[AwayWon]:[AwayWon]], Table1[[GameIsOver]:[GameIsOver]],1,Table1[[HomeTeam]:[HomeTeam]],$A2, Table1[[AwayTeam]:[AwayTeam]], D$1, Table1[[ActualResult]:[ActualResult]], "OT") + SUMIFS(Table1[[HomeWon]:[HomeWon]], Table1[[GameIsOver]:[GameIsOver]],1,Table1[[AwayTeam]:[AwayTeam]],$A2, Table1[[HomeTeam]:[HomeTeam]], D$1, Table1[[ActualResult]:[ActualResult]], "SO") + SUMIFS(Table1[[AwayWon]:[AwayWon]], Table1[[GameIsOver]:[GameIsOver]],1,Table1[[HomeTeam]:[HomeTeam]],$A2, Table1[[AwayTeam]:[AwayTeam]], D$1, Table1[[ActualResult]:[ActualResult]], "SO"),0))</f>
        <v>0-0-0</v>
      </c>
      <c r="E2" s="57" t="str">
        <f>_xlfn.CONCAT(TEXT(SUMIFS(Table1[[AwayWon]:[AwayWon]], Table1[[GameIsOver]:[GameIsOver]],1,Table1[[AwayTeam]:[AwayTeam]],$A2, Table1[[HomeTeam]:[HomeTeam]], E$1) + SUMIFS(Table1[[HomeWon]:[HomeWon]], Table1[[GameIsOver]:[GameIsOver]],1,Table1[[HomeTeam]:[HomeTeam]],$A2, Table1[[AwayTeam]:[AwayTeam]], E$1),0), "-", TEXT(SUMIFS(Table1[[HomeWon]:[HomeWon]], Table1[[GameIsOver]:[GameIsOver]],1,Table1[[AwayTeam]:[AwayTeam]],$A2, Table1[[HomeTeam]:[HomeTeam]], E$1, Table1[[ActualResult]:[ActualResult]], "REG") + SUMIFS(Table1[[AwayWon]:[AwayWon]], Table1[[GameIsOver]:[GameIsOver]],1,Table1[[HomeTeam]:[HomeTeam]],$A2, Table1[[AwayTeam]:[AwayTeam]], E$1, Table1[[ActualResult]:[ActualResult]], "REG"),0), "-", TEXT(SUMIFS(Table1[[HomeWon]:[HomeWon]], Table1[[GameIsOver]:[GameIsOver]],1,Table1[[AwayTeam]:[AwayTeam]],$A2, Table1[[HomeTeam]:[HomeTeam]], E$1, Table1[[ActualResult]:[ActualResult]], "OT") + SUMIFS(Table1[[AwayWon]:[AwayWon]], Table1[[GameIsOver]:[GameIsOver]],1,Table1[[HomeTeam]:[HomeTeam]],$A2, Table1[[AwayTeam]:[AwayTeam]], E$1, Table1[[ActualResult]:[ActualResult]], "OT") + SUMIFS(Table1[[HomeWon]:[HomeWon]], Table1[[GameIsOver]:[GameIsOver]],1,Table1[[AwayTeam]:[AwayTeam]],$A2, Table1[[HomeTeam]:[HomeTeam]], E$1, Table1[[ActualResult]:[ActualResult]], "SO") + SUMIFS(Table1[[AwayWon]:[AwayWon]], Table1[[GameIsOver]:[GameIsOver]],1,Table1[[HomeTeam]:[HomeTeam]],$A2, Table1[[AwayTeam]:[AwayTeam]], E$1, Table1[[ActualResult]:[ActualResult]], "SO"),0))</f>
        <v>0-0-0</v>
      </c>
      <c r="F2" s="57" t="str">
        <f>_xlfn.CONCAT(TEXT(SUMIFS(Table1[[AwayWon]:[AwayWon]], Table1[[GameIsOver]:[GameIsOver]],1,Table1[[AwayTeam]:[AwayTeam]],$A2, Table1[[HomeTeam]:[HomeTeam]], F$1) + SUMIFS(Table1[[HomeWon]:[HomeWon]], Table1[[GameIsOver]:[GameIsOver]],1,Table1[[HomeTeam]:[HomeTeam]],$A2, Table1[[AwayTeam]:[AwayTeam]], F$1),0), "-", TEXT(SUMIFS(Table1[[HomeWon]:[HomeWon]], Table1[[GameIsOver]:[GameIsOver]],1,Table1[[AwayTeam]:[AwayTeam]],$A2, Table1[[HomeTeam]:[HomeTeam]], F$1, Table1[[ActualResult]:[ActualResult]], "REG") + SUMIFS(Table1[[AwayWon]:[AwayWon]], Table1[[GameIsOver]:[GameIsOver]],1,Table1[[HomeTeam]:[HomeTeam]],$A2, Table1[[AwayTeam]:[AwayTeam]], F$1, Table1[[ActualResult]:[ActualResult]], "REG"),0), "-", TEXT(SUMIFS(Table1[[HomeWon]:[HomeWon]], Table1[[GameIsOver]:[GameIsOver]],1,Table1[[AwayTeam]:[AwayTeam]],$A2, Table1[[HomeTeam]:[HomeTeam]], F$1, Table1[[ActualResult]:[ActualResult]], "OT") + SUMIFS(Table1[[AwayWon]:[AwayWon]], Table1[[GameIsOver]:[GameIsOver]],1,Table1[[HomeTeam]:[HomeTeam]],$A2, Table1[[AwayTeam]:[AwayTeam]], F$1, Table1[[ActualResult]:[ActualResult]], "OT") + SUMIFS(Table1[[HomeWon]:[HomeWon]], Table1[[GameIsOver]:[GameIsOver]],1,Table1[[AwayTeam]:[AwayTeam]],$A2, Table1[[HomeTeam]:[HomeTeam]], F$1, Table1[[ActualResult]:[ActualResult]], "SO") + SUMIFS(Table1[[AwayWon]:[AwayWon]], Table1[[GameIsOver]:[GameIsOver]],1,Table1[[HomeTeam]:[HomeTeam]],$A2, Table1[[AwayTeam]:[AwayTeam]], F$1, Table1[[ActualResult]:[ActualResult]], "SO"),0))</f>
        <v>0-0-0</v>
      </c>
      <c r="G2" s="57" t="str">
        <f>_xlfn.CONCAT(TEXT(SUMIFS(Table1[[AwayWon]:[AwayWon]], Table1[[GameIsOver]:[GameIsOver]],1,Table1[[AwayTeam]:[AwayTeam]],$A2, Table1[[HomeTeam]:[HomeTeam]], G$1) + SUMIFS(Table1[[HomeWon]:[HomeWon]], Table1[[GameIsOver]:[GameIsOver]],1,Table1[[HomeTeam]:[HomeTeam]],$A2, Table1[[AwayTeam]:[AwayTeam]], G$1),0), "-", TEXT(SUMIFS(Table1[[HomeWon]:[HomeWon]], Table1[[GameIsOver]:[GameIsOver]],1,Table1[[AwayTeam]:[AwayTeam]],$A2, Table1[[HomeTeam]:[HomeTeam]], G$1, Table1[[ActualResult]:[ActualResult]], "REG") + SUMIFS(Table1[[AwayWon]:[AwayWon]], Table1[[GameIsOver]:[GameIsOver]],1,Table1[[HomeTeam]:[HomeTeam]],$A2, Table1[[AwayTeam]:[AwayTeam]], G$1, Table1[[ActualResult]:[ActualResult]], "REG"),0), "-", TEXT(SUMIFS(Table1[[HomeWon]:[HomeWon]], Table1[[GameIsOver]:[GameIsOver]],1,Table1[[AwayTeam]:[AwayTeam]],$A2, Table1[[HomeTeam]:[HomeTeam]], G$1, Table1[[ActualResult]:[ActualResult]], "OT") + SUMIFS(Table1[[AwayWon]:[AwayWon]], Table1[[GameIsOver]:[GameIsOver]],1,Table1[[HomeTeam]:[HomeTeam]],$A2, Table1[[AwayTeam]:[AwayTeam]], G$1, Table1[[ActualResult]:[ActualResult]], "OT") + SUMIFS(Table1[[HomeWon]:[HomeWon]], Table1[[GameIsOver]:[GameIsOver]],1,Table1[[AwayTeam]:[AwayTeam]],$A2, Table1[[HomeTeam]:[HomeTeam]], G$1, Table1[[ActualResult]:[ActualResult]], "SO") + SUMIFS(Table1[[AwayWon]:[AwayWon]], Table1[[GameIsOver]:[GameIsOver]],1,Table1[[HomeTeam]:[HomeTeam]],$A2, Table1[[AwayTeam]:[AwayTeam]], G$1, Table1[[ActualResult]:[ActualResult]], "SO"),0))</f>
        <v>0-0-0</v>
      </c>
      <c r="H2" s="57" t="str">
        <f>_xlfn.CONCAT(TEXT(SUMIFS(Table1[[AwayWon]:[AwayWon]], Table1[[GameIsOver]:[GameIsOver]],1,Table1[[AwayTeam]:[AwayTeam]],$A2, Table1[[HomeTeam]:[HomeTeam]], H$1) + SUMIFS(Table1[[HomeWon]:[HomeWon]], Table1[[GameIsOver]:[GameIsOver]],1,Table1[[HomeTeam]:[HomeTeam]],$A2, Table1[[AwayTeam]:[AwayTeam]], H$1),0), "-", TEXT(SUMIFS(Table1[[HomeWon]:[HomeWon]], Table1[[GameIsOver]:[GameIsOver]],1,Table1[[AwayTeam]:[AwayTeam]],$A2, Table1[[HomeTeam]:[HomeTeam]], H$1, Table1[[ActualResult]:[ActualResult]], "REG") + SUMIFS(Table1[[AwayWon]:[AwayWon]], Table1[[GameIsOver]:[GameIsOver]],1,Table1[[HomeTeam]:[HomeTeam]],$A2, Table1[[AwayTeam]:[AwayTeam]], H$1, Table1[[ActualResult]:[ActualResult]], "REG"),0), "-", TEXT(SUMIFS(Table1[[HomeWon]:[HomeWon]], Table1[[GameIsOver]:[GameIsOver]],1,Table1[[AwayTeam]:[AwayTeam]],$A2, Table1[[HomeTeam]:[HomeTeam]], H$1, Table1[[ActualResult]:[ActualResult]], "OT") + SUMIFS(Table1[[AwayWon]:[AwayWon]], Table1[[GameIsOver]:[GameIsOver]],1,Table1[[HomeTeam]:[HomeTeam]],$A2, Table1[[AwayTeam]:[AwayTeam]], H$1, Table1[[ActualResult]:[ActualResult]], "OT") + SUMIFS(Table1[[HomeWon]:[HomeWon]], Table1[[GameIsOver]:[GameIsOver]],1,Table1[[AwayTeam]:[AwayTeam]],$A2, Table1[[HomeTeam]:[HomeTeam]], H$1, Table1[[ActualResult]:[ActualResult]], "SO") + SUMIFS(Table1[[AwayWon]:[AwayWon]], Table1[[GameIsOver]:[GameIsOver]],1,Table1[[HomeTeam]:[HomeTeam]],$A2, Table1[[AwayTeam]:[AwayTeam]], H$1, Table1[[ActualResult]:[ActualResult]], "SO"),0))</f>
        <v>0-0-0</v>
      </c>
      <c r="I2" s="58" t="str">
        <f>_xlfn.CONCAT(TEXT(SUMIFS(Table1[[AwayWon]:[AwayWon]], Table1[[GameIsOver]:[GameIsOver]],1,Table1[[AwayTeam]:[AwayTeam]],$A2, Table1[[HomeTeam]:[HomeTeam]], I$1) + SUMIFS(Table1[[HomeWon]:[HomeWon]], Table1[[GameIsOver]:[GameIsOver]],1,Table1[[HomeTeam]:[HomeTeam]],$A2, Table1[[AwayTeam]:[AwayTeam]], I$1),0), "-", TEXT(SUMIFS(Table1[[HomeWon]:[HomeWon]], Table1[[GameIsOver]:[GameIsOver]],1,Table1[[AwayTeam]:[AwayTeam]],$A2, Table1[[HomeTeam]:[HomeTeam]], I$1, Table1[[ActualResult]:[ActualResult]], "REG") + SUMIFS(Table1[[AwayWon]:[AwayWon]], Table1[[GameIsOver]:[GameIsOver]],1,Table1[[HomeTeam]:[HomeTeam]],$A2, Table1[[AwayTeam]:[AwayTeam]], I$1, Table1[[ActualResult]:[ActualResult]], "REG"),0), "-", TEXT(SUMIFS(Table1[[HomeWon]:[HomeWon]], Table1[[GameIsOver]:[GameIsOver]],1,Table1[[AwayTeam]:[AwayTeam]],$A2, Table1[[HomeTeam]:[HomeTeam]], I$1, Table1[[ActualResult]:[ActualResult]], "OT") + SUMIFS(Table1[[AwayWon]:[AwayWon]], Table1[[GameIsOver]:[GameIsOver]],1,Table1[[HomeTeam]:[HomeTeam]],$A2, Table1[[AwayTeam]:[AwayTeam]], I$1, Table1[[ActualResult]:[ActualResult]], "OT") + SUMIFS(Table1[[HomeWon]:[HomeWon]], Table1[[GameIsOver]:[GameIsOver]],1,Table1[[AwayTeam]:[AwayTeam]],$A2, Table1[[HomeTeam]:[HomeTeam]], I$1, Table1[[ActualResult]:[ActualResult]], "SO") + SUMIFS(Table1[[AwayWon]:[AwayWon]], Table1[[GameIsOver]:[GameIsOver]],1,Table1[[HomeTeam]:[HomeTeam]],$A2, Table1[[AwayTeam]:[AwayTeam]], I$1, Table1[[ActualResult]:[ActualResult]], "SO"),0))</f>
        <v>0-0-0</v>
      </c>
      <c r="J2" s="57" t="str">
        <f>_xlfn.CONCAT(TEXT(SUMIFS(Table1[[AwayWon]:[AwayWon]], Table1[[GameIsOver]:[GameIsOver]],1,Table1[[AwayTeam]:[AwayTeam]],$A2, Table1[[HomeTeam]:[HomeTeam]], J$1) + SUMIFS(Table1[[HomeWon]:[HomeWon]], Table1[[GameIsOver]:[GameIsOver]],1,Table1[[HomeTeam]:[HomeTeam]],$A2, Table1[[AwayTeam]:[AwayTeam]], J$1),0), "-", TEXT(SUMIFS(Table1[[HomeWon]:[HomeWon]], Table1[[GameIsOver]:[GameIsOver]],1,Table1[[AwayTeam]:[AwayTeam]],$A2, Table1[[HomeTeam]:[HomeTeam]], J$1, Table1[[ActualResult]:[ActualResult]], "REG") + SUMIFS(Table1[[AwayWon]:[AwayWon]], Table1[[GameIsOver]:[GameIsOver]],1,Table1[[HomeTeam]:[HomeTeam]],$A2, Table1[[AwayTeam]:[AwayTeam]], J$1, Table1[[ActualResult]:[ActualResult]], "REG"),0), "-", TEXT(SUMIFS(Table1[[HomeWon]:[HomeWon]], Table1[[GameIsOver]:[GameIsOver]],1,Table1[[AwayTeam]:[AwayTeam]],$A2, Table1[[HomeTeam]:[HomeTeam]], J$1, Table1[[ActualResult]:[ActualResult]], "OT") + SUMIFS(Table1[[AwayWon]:[AwayWon]], Table1[[GameIsOver]:[GameIsOver]],1,Table1[[HomeTeam]:[HomeTeam]],$A2, Table1[[AwayTeam]:[AwayTeam]], J$1, Table1[[ActualResult]:[ActualResult]], "OT") + SUMIFS(Table1[[HomeWon]:[HomeWon]], Table1[[GameIsOver]:[GameIsOver]],1,Table1[[AwayTeam]:[AwayTeam]],$A2, Table1[[HomeTeam]:[HomeTeam]], J$1, Table1[[ActualResult]:[ActualResult]], "SO") + SUMIFS(Table1[[AwayWon]:[AwayWon]], Table1[[GameIsOver]:[GameIsOver]],1,Table1[[HomeTeam]:[HomeTeam]],$A2, Table1[[AwayTeam]:[AwayTeam]], J$1, Table1[[ActualResult]:[ActualResult]], "SO"),0))</f>
        <v>0-0-0</v>
      </c>
      <c r="K2" s="57" t="str">
        <f>_xlfn.CONCAT(TEXT(SUMIFS(Table1[[AwayWon]:[AwayWon]], Table1[[GameIsOver]:[GameIsOver]],1,Table1[[AwayTeam]:[AwayTeam]],$A2, Table1[[HomeTeam]:[HomeTeam]], K$1) + SUMIFS(Table1[[HomeWon]:[HomeWon]], Table1[[GameIsOver]:[GameIsOver]],1,Table1[[HomeTeam]:[HomeTeam]],$A2, Table1[[AwayTeam]:[AwayTeam]], K$1),0), "-", TEXT(SUMIFS(Table1[[HomeWon]:[HomeWon]], Table1[[GameIsOver]:[GameIsOver]],1,Table1[[AwayTeam]:[AwayTeam]],$A2, Table1[[HomeTeam]:[HomeTeam]], K$1, Table1[[ActualResult]:[ActualResult]], "REG") + SUMIFS(Table1[[AwayWon]:[AwayWon]], Table1[[GameIsOver]:[GameIsOver]],1,Table1[[HomeTeam]:[HomeTeam]],$A2, Table1[[AwayTeam]:[AwayTeam]], K$1, Table1[[ActualResult]:[ActualResult]], "REG"),0), "-", TEXT(SUMIFS(Table1[[HomeWon]:[HomeWon]], Table1[[GameIsOver]:[GameIsOver]],1,Table1[[AwayTeam]:[AwayTeam]],$A2, Table1[[HomeTeam]:[HomeTeam]], K$1, Table1[[ActualResult]:[ActualResult]], "OT") + SUMIFS(Table1[[AwayWon]:[AwayWon]], Table1[[GameIsOver]:[GameIsOver]],1,Table1[[HomeTeam]:[HomeTeam]],$A2, Table1[[AwayTeam]:[AwayTeam]], K$1, Table1[[ActualResult]:[ActualResult]], "OT") + SUMIFS(Table1[[HomeWon]:[HomeWon]], Table1[[GameIsOver]:[GameIsOver]],1,Table1[[AwayTeam]:[AwayTeam]],$A2, Table1[[HomeTeam]:[HomeTeam]], K$1, Table1[[ActualResult]:[ActualResult]], "SO") + SUMIFS(Table1[[AwayWon]:[AwayWon]], Table1[[GameIsOver]:[GameIsOver]],1,Table1[[HomeTeam]:[HomeTeam]],$A2, Table1[[AwayTeam]:[AwayTeam]], K$1, Table1[[ActualResult]:[ActualResult]], "SO"),0))</f>
        <v>0-0-0</v>
      </c>
      <c r="L2" s="57" t="str">
        <f>_xlfn.CONCAT(TEXT(SUMIFS(Table1[[AwayWon]:[AwayWon]], Table1[[GameIsOver]:[GameIsOver]],1,Table1[[AwayTeam]:[AwayTeam]],$A2, Table1[[HomeTeam]:[HomeTeam]], L$1) + SUMIFS(Table1[[HomeWon]:[HomeWon]], Table1[[GameIsOver]:[GameIsOver]],1,Table1[[HomeTeam]:[HomeTeam]],$A2, Table1[[AwayTeam]:[AwayTeam]], L$1),0), "-", TEXT(SUMIFS(Table1[[HomeWon]:[HomeWon]], Table1[[GameIsOver]:[GameIsOver]],1,Table1[[AwayTeam]:[AwayTeam]],$A2, Table1[[HomeTeam]:[HomeTeam]], L$1, Table1[[ActualResult]:[ActualResult]], "REG") + SUMIFS(Table1[[AwayWon]:[AwayWon]], Table1[[GameIsOver]:[GameIsOver]],1,Table1[[HomeTeam]:[HomeTeam]],$A2, Table1[[AwayTeam]:[AwayTeam]], L$1, Table1[[ActualResult]:[ActualResult]], "REG"),0), "-", TEXT(SUMIFS(Table1[[HomeWon]:[HomeWon]], Table1[[GameIsOver]:[GameIsOver]],1,Table1[[AwayTeam]:[AwayTeam]],$A2, Table1[[HomeTeam]:[HomeTeam]], L$1, Table1[[ActualResult]:[ActualResult]], "OT") + SUMIFS(Table1[[AwayWon]:[AwayWon]], Table1[[GameIsOver]:[GameIsOver]],1,Table1[[HomeTeam]:[HomeTeam]],$A2, Table1[[AwayTeam]:[AwayTeam]], L$1, Table1[[ActualResult]:[ActualResult]], "OT") + SUMIFS(Table1[[HomeWon]:[HomeWon]], Table1[[GameIsOver]:[GameIsOver]],1,Table1[[AwayTeam]:[AwayTeam]],$A2, Table1[[HomeTeam]:[HomeTeam]], L$1, Table1[[ActualResult]:[ActualResult]], "SO") + SUMIFS(Table1[[AwayWon]:[AwayWon]], Table1[[GameIsOver]:[GameIsOver]],1,Table1[[HomeTeam]:[HomeTeam]],$A2, Table1[[AwayTeam]:[AwayTeam]], L$1, Table1[[ActualResult]:[ActualResult]], "SO"),0))</f>
        <v>0-0-0</v>
      </c>
      <c r="M2" s="57" t="str">
        <f>_xlfn.CONCAT(TEXT(SUMIFS(Table1[[AwayWon]:[AwayWon]], Table1[[GameIsOver]:[GameIsOver]],1,Table1[[AwayTeam]:[AwayTeam]],$A2, Table1[[HomeTeam]:[HomeTeam]], M$1) + SUMIFS(Table1[[HomeWon]:[HomeWon]], Table1[[GameIsOver]:[GameIsOver]],1,Table1[[HomeTeam]:[HomeTeam]],$A2, Table1[[AwayTeam]:[AwayTeam]], M$1),0), "-", TEXT(SUMIFS(Table1[[HomeWon]:[HomeWon]], Table1[[GameIsOver]:[GameIsOver]],1,Table1[[AwayTeam]:[AwayTeam]],$A2, Table1[[HomeTeam]:[HomeTeam]], M$1, Table1[[ActualResult]:[ActualResult]], "REG") + SUMIFS(Table1[[AwayWon]:[AwayWon]], Table1[[GameIsOver]:[GameIsOver]],1,Table1[[HomeTeam]:[HomeTeam]],$A2, Table1[[AwayTeam]:[AwayTeam]], M$1, Table1[[ActualResult]:[ActualResult]], "REG"),0), "-", TEXT(SUMIFS(Table1[[HomeWon]:[HomeWon]], Table1[[GameIsOver]:[GameIsOver]],1,Table1[[AwayTeam]:[AwayTeam]],$A2, Table1[[HomeTeam]:[HomeTeam]], M$1, Table1[[ActualResult]:[ActualResult]], "OT") + SUMIFS(Table1[[AwayWon]:[AwayWon]], Table1[[GameIsOver]:[GameIsOver]],1,Table1[[HomeTeam]:[HomeTeam]],$A2, Table1[[AwayTeam]:[AwayTeam]], M$1, Table1[[ActualResult]:[ActualResult]], "OT") + SUMIFS(Table1[[HomeWon]:[HomeWon]], Table1[[GameIsOver]:[GameIsOver]],1,Table1[[AwayTeam]:[AwayTeam]],$A2, Table1[[HomeTeam]:[HomeTeam]], M$1, Table1[[ActualResult]:[ActualResult]], "SO") + SUMIFS(Table1[[AwayWon]:[AwayWon]], Table1[[GameIsOver]:[GameIsOver]],1,Table1[[HomeTeam]:[HomeTeam]],$A2, Table1[[AwayTeam]:[AwayTeam]], M$1, Table1[[ActualResult]:[ActualResult]], "SO"),0))</f>
        <v>0-0-0</v>
      </c>
      <c r="N2" s="57" t="str">
        <f>_xlfn.CONCAT(TEXT(SUMIFS(Table1[[AwayWon]:[AwayWon]], Table1[[GameIsOver]:[GameIsOver]],1,Table1[[AwayTeam]:[AwayTeam]],$A2, Table1[[HomeTeam]:[HomeTeam]], N$1) + SUMIFS(Table1[[HomeWon]:[HomeWon]], Table1[[GameIsOver]:[GameIsOver]],1,Table1[[HomeTeam]:[HomeTeam]],$A2, Table1[[AwayTeam]:[AwayTeam]], N$1),0), "-", TEXT(SUMIFS(Table1[[HomeWon]:[HomeWon]], Table1[[GameIsOver]:[GameIsOver]],1,Table1[[AwayTeam]:[AwayTeam]],$A2, Table1[[HomeTeam]:[HomeTeam]], N$1, Table1[[ActualResult]:[ActualResult]], "REG") + SUMIFS(Table1[[AwayWon]:[AwayWon]], Table1[[GameIsOver]:[GameIsOver]],1,Table1[[HomeTeam]:[HomeTeam]],$A2, Table1[[AwayTeam]:[AwayTeam]], N$1, Table1[[ActualResult]:[ActualResult]], "REG"),0), "-", TEXT(SUMIFS(Table1[[HomeWon]:[HomeWon]], Table1[[GameIsOver]:[GameIsOver]],1,Table1[[AwayTeam]:[AwayTeam]],$A2, Table1[[HomeTeam]:[HomeTeam]], N$1, Table1[[ActualResult]:[ActualResult]], "OT") + SUMIFS(Table1[[AwayWon]:[AwayWon]], Table1[[GameIsOver]:[GameIsOver]],1,Table1[[HomeTeam]:[HomeTeam]],$A2, Table1[[AwayTeam]:[AwayTeam]], N$1, Table1[[ActualResult]:[ActualResult]], "OT") + SUMIFS(Table1[[HomeWon]:[HomeWon]], Table1[[GameIsOver]:[GameIsOver]],1,Table1[[AwayTeam]:[AwayTeam]],$A2, Table1[[HomeTeam]:[HomeTeam]], N$1, Table1[[ActualResult]:[ActualResult]], "SO") + SUMIFS(Table1[[AwayWon]:[AwayWon]], Table1[[GameIsOver]:[GameIsOver]],1,Table1[[HomeTeam]:[HomeTeam]],$A2, Table1[[AwayTeam]:[AwayTeam]], N$1, Table1[[ActualResult]:[ActualResult]], "SO"),0))</f>
        <v>0-0-0</v>
      </c>
      <c r="O2" s="57" t="str">
        <f>_xlfn.CONCAT(TEXT(SUMIFS(Table1[[AwayWon]:[AwayWon]], Table1[[GameIsOver]:[GameIsOver]],1,Table1[[AwayTeam]:[AwayTeam]],$A2, Table1[[HomeTeam]:[HomeTeam]], O$1) + SUMIFS(Table1[[HomeWon]:[HomeWon]], Table1[[GameIsOver]:[GameIsOver]],1,Table1[[HomeTeam]:[HomeTeam]],$A2, Table1[[AwayTeam]:[AwayTeam]], O$1),0), "-", TEXT(SUMIFS(Table1[[HomeWon]:[HomeWon]], Table1[[GameIsOver]:[GameIsOver]],1,Table1[[AwayTeam]:[AwayTeam]],$A2, Table1[[HomeTeam]:[HomeTeam]], O$1, Table1[[ActualResult]:[ActualResult]], "REG") + SUMIFS(Table1[[AwayWon]:[AwayWon]], Table1[[GameIsOver]:[GameIsOver]],1,Table1[[HomeTeam]:[HomeTeam]],$A2, Table1[[AwayTeam]:[AwayTeam]], O$1, Table1[[ActualResult]:[ActualResult]], "REG"),0), "-", TEXT(SUMIFS(Table1[[HomeWon]:[HomeWon]], Table1[[GameIsOver]:[GameIsOver]],1,Table1[[AwayTeam]:[AwayTeam]],$A2, Table1[[HomeTeam]:[HomeTeam]], O$1, Table1[[ActualResult]:[ActualResult]], "OT") + SUMIFS(Table1[[AwayWon]:[AwayWon]], Table1[[GameIsOver]:[GameIsOver]],1,Table1[[HomeTeam]:[HomeTeam]],$A2, Table1[[AwayTeam]:[AwayTeam]], O$1, Table1[[ActualResult]:[ActualResult]], "OT") + SUMIFS(Table1[[HomeWon]:[HomeWon]], Table1[[GameIsOver]:[GameIsOver]],1,Table1[[AwayTeam]:[AwayTeam]],$A2, Table1[[HomeTeam]:[HomeTeam]], O$1, Table1[[ActualResult]:[ActualResult]], "SO") + SUMIFS(Table1[[AwayWon]:[AwayWon]], Table1[[GameIsOver]:[GameIsOver]],1,Table1[[HomeTeam]:[HomeTeam]],$A2, Table1[[AwayTeam]:[AwayTeam]], O$1, Table1[[ActualResult]:[ActualResult]], "SO"),0))</f>
        <v>0-0-0</v>
      </c>
      <c r="P2" s="57" t="str">
        <f>_xlfn.CONCAT(TEXT(SUMIFS(Table1[[AwayWon]:[AwayWon]], Table1[[GameIsOver]:[GameIsOver]],1,Table1[[AwayTeam]:[AwayTeam]],$A2, Table1[[HomeTeam]:[HomeTeam]], P$1) + SUMIFS(Table1[[HomeWon]:[HomeWon]], Table1[[GameIsOver]:[GameIsOver]],1,Table1[[HomeTeam]:[HomeTeam]],$A2, Table1[[AwayTeam]:[AwayTeam]], P$1),0), "-", TEXT(SUMIFS(Table1[[HomeWon]:[HomeWon]], Table1[[GameIsOver]:[GameIsOver]],1,Table1[[AwayTeam]:[AwayTeam]],$A2, Table1[[HomeTeam]:[HomeTeam]], P$1, Table1[[ActualResult]:[ActualResult]], "REG") + SUMIFS(Table1[[AwayWon]:[AwayWon]], Table1[[GameIsOver]:[GameIsOver]],1,Table1[[HomeTeam]:[HomeTeam]],$A2, Table1[[AwayTeam]:[AwayTeam]], P$1, Table1[[ActualResult]:[ActualResult]], "REG"),0), "-", TEXT(SUMIFS(Table1[[HomeWon]:[HomeWon]], Table1[[GameIsOver]:[GameIsOver]],1,Table1[[AwayTeam]:[AwayTeam]],$A2, Table1[[HomeTeam]:[HomeTeam]], P$1, Table1[[ActualResult]:[ActualResult]], "OT") + SUMIFS(Table1[[AwayWon]:[AwayWon]], Table1[[GameIsOver]:[GameIsOver]],1,Table1[[HomeTeam]:[HomeTeam]],$A2, Table1[[AwayTeam]:[AwayTeam]], P$1, Table1[[ActualResult]:[ActualResult]], "OT") + SUMIFS(Table1[[HomeWon]:[HomeWon]], Table1[[GameIsOver]:[GameIsOver]],1,Table1[[AwayTeam]:[AwayTeam]],$A2, Table1[[HomeTeam]:[HomeTeam]], P$1, Table1[[ActualResult]:[ActualResult]], "SO") + SUMIFS(Table1[[AwayWon]:[AwayWon]], Table1[[GameIsOver]:[GameIsOver]],1,Table1[[HomeTeam]:[HomeTeam]],$A2, Table1[[AwayTeam]:[AwayTeam]], P$1, Table1[[ActualResult]:[ActualResult]], "SO"),0))</f>
        <v>0-0-0</v>
      </c>
      <c r="Q2" s="58" t="str">
        <f>_xlfn.CONCAT(TEXT(SUMIFS(Table1[[AwayWon]:[AwayWon]], Table1[[GameIsOver]:[GameIsOver]],1,Table1[[AwayTeam]:[AwayTeam]],$A2, Table1[[HomeTeam]:[HomeTeam]], Q$1) + SUMIFS(Table1[[HomeWon]:[HomeWon]], Table1[[GameIsOver]:[GameIsOver]],1,Table1[[HomeTeam]:[HomeTeam]],$A2, Table1[[AwayTeam]:[AwayTeam]], Q$1),0), "-", TEXT(SUMIFS(Table1[[HomeWon]:[HomeWon]], Table1[[GameIsOver]:[GameIsOver]],1,Table1[[AwayTeam]:[AwayTeam]],$A2, Table1[[HomeTeam]:[HomeTeam]], Q$1, Table1[[ActualResult]:[ActualResult]], "REG") + SUMIFS(Table1[[AwayWon]:[AwayWon]], Table1[[GameIsOver]:[GameIsOver]],1,Table1[[HomeTeam]:[HomeTeam]],$A2, Table1[[AwayTeam]:[AwayTeam]], Q$1, Table1[[ActualResult]:[ActualResult]], "REG"),0), "-", TEXT(SUMIFS(Table1[[HomeWon]:[HomeWon]], Table1[[GameIsOver]:[GameIsOver]],1,Table1[[AwayTeam]:[AwayTeam]],$A2, Table1[[HomeTeam]:[HomeTeam]], Q$1, Table1[[ActualResult]:[ActualResult]], "OT") + SUMIFS(Table1[[AwayWon]:[AwayWon]], Table1[[GameIsOver]:[GameIsOver]],1,Table1[[HomeTeam]:[HomeTeam]],$A2, Table1[[AwayTeam]:[AwayTeam]], Q$1, Table1[[ActualResult]:[ActualResult]], "OT") + SUMIFS(Table1[[HomeWon]:[HomeWon]], Table1[[GameIsOver]:[GameIsOver]],1,Table1[[AwayTeam]:[AwayTeam]],$A2, Table1[[HomeTeam]:[HomeTeam]], Q$1, Table1[[ActualResult]:[ActualResult]], "SO") + SUMIFS(Table1[[AwayWon]:[AwayWon]], Table1[[GameIsOver]:[GameIsOver]],1,Table1[[HomeTeam]:[HomeTeam]],$A2, Table1[[AwayTeam]:[AwayTeam]], Q$1, Table1[[ActualResult]:[ActualResult]], "SO"),0))</f>
        <v>0-0-0</v>
      </c>
      <c r="R2" s="57" t="str">
        <f>_xlfn.CONCAT(TEXT(SUMIFS(Table1[[AwayWon]:[AwayWon]], Table1[[GameIsOver]:[GameIsOver]],1,Table1[[AwayTeam]:[AwayTeam]],$A2, Table1[[HomeTeam]:[HomeTeam]], R$1) + SUMIFS(Table1[[HomeWon]:[HomeWon]], Table1[[GameIsOver]:[GameIsOver]],1,Table1[[HomeTeam]:[HomeTeam]],$A2, Table1[[AwayTeam]:[AwayTeam]], R$1),0), "-", TEXT(SUMIFS(Table1[[HomeWon]:[HomeWon]], Table1[[GameIsOver]:[GameIsOver]],1,Table1[[AwayTeam]:[AwayTeam]],$A2, Table1[[HomeTeam]:[HomeTeam]], R$1, Table1[[ActualResult]:[ActualResult]], "REG") + SUMIFS(Table1[[AwayWon]:[AwayWon]], Table1[[GameIsOver]:[GameIsOver]],1,Table1[[HomeTeam]:[HomeTeam]],$A2, Table1[[AwayTeam]:[AwayTeam]], R$1, Table1[[ActualResult]:[ActualResult]], "REG"),0), "-", TEXT(SUMIFS(Table1[[HomeWon]:[HomeWon]], Table1[[GameIsOver]:[GameIsOver]],1,Table1[[AwayTeam]:[AwayTeam]],$A2, Table1[[HomeTeam]:[HomeTeam]], R$1, Table1[[ActualResult]:[ActualResult]], "OT") + SUMIFS(Table1[[AwayWon]:[AwayWon]], Table1[[GameIsOver]:[GameIsOver]],1,Table1[[HomeTeam]:[HomeTeam]],$A2, Table1[[AwayTeam]:[AwayTeam]], R$1, Table1[[ActualResult]:[ActualResult]], "OT") + SUMIFS(Table1[[HomeWon]:[HomeWon]], Table1[[GameIsOver]:[GameIsOver]],1,Table1[[AwayTeam]:[AwayTeam]],$A2, Table1[[HomeTeam]:[HomeTeam]], R$1, Table1[[ActualResult]:[ActualResult]], "SO") + SUMIFS(Table1[[AwayWon]:[AwayWon]], Table1[[GameIsOver]:[GameIsOver]],1,Table1[[HomeTeam]:[HomeTeam]],$A2, Table1[[AwayTeam]:[AwayTeam]], R$1, Table1[[ActualResult]:[ActualResult]], "SO"),0))</f>
        <v>0-0-0</v>
      </c>
      <c r="S2" s="57" t="str">
        <f>_xlfn.CONCAT(TEXT(SUMIFS(Table1[[AwayWon]:[AwayWon]], Table1[[GameIsOver]:[GameIsOver]],1,Table1[[AwayTeam]:[AwayTeam]],$A2, Table1[[HomeTeam]:[HomeTeam]], S$1) + SUMIFS(Table1[[HomeWon]:[HomeWon]], Table1[[GameIsOver]:[GameIsOver]],1,Table1[[HomeTeam]:[HomeTeam]],$A2, Table1[[AwayTeam]:[AwayTeam]], S$1),0), "-", TEXT(SUMIFS(Table1[[HomeWon]:[HomeWon]], Table1[[GameIsOver]:[GameIsOver]],1,Table1[[AwayTeam]:[AwayTeam]],$A2, Table1[[HomeTeam]:[HomeTeam]], S$1, Table1[[ActualResult]:[ActualResult]], "REG") + SUMIFS(Table1[[AwayWon]:[AwayWon]], Table1[[GameIsOver]:[GameIsOver]],1,Table1[[HomeTeam]:[HomeTeam]],$A2, Table1[[AwayTeam]:[AwayTeam]], S$1, Table1[[ActualResult]:[ActualResult]], "REG"),0), "-", TEXT(SUMIFS(Table1[[HomeWon]:[HomeWon]], Table1[[GameIsOver]:[GameIsOver]],1,Table1[[AwayTeam]:[AwayTeam]],$A2, Table1[[HomeTeam]:[HomeTeam]], S$1, Table1[[ActualResult]:[ActualResult]], "OT") + SUMIFS(Table1[[AwayWon]:[AwayWon]], Table1[[GameIsOver]:[GameIsOver]],1,Table1[[HomeTeam]:[HomeTeam]],$A2, Table1[[AwayTeam]:[AwayTeam]], S$1, Table1[[ActualResult]:[ActualResult]], "OT") + SUMIFS(Table1[[HomeWon]:[HomeWon]], Table1[[GameIsOver]:[GameIsOver]],1,Table1[[AwayTeam]:[AwayTeam]],$A2, Table1[[HomeTeam]:[HomeTeam]], S$1, Table1[[ActualResult]:[ActualResult]], "SO") + SUMIFS(Table1[[AwayWon]:[AwayWon]], Table1[[GameIsOver]:[GameIsOver]],1,Table1[[HomeTeam]:[HomeTeam]],$A2, Table1[[AwayTeam]:[AwayTeam]], S$1, Table1[[ActualResult]:[ActualResult]], "SO"),0))</f>
        <v>0-0-0</v>
      </c>
      <c r="T2" s="57" t="str">
        <f>_xlfn.CONCAT(TEXT(SUMIFS(Table1[[AwayWon]:[AwayWon]], Table1[[GameIsOver]:[GameIsOver]],1,Table1[[AwayTeam]:[AwayTeam]],$A2, Table1[[HomeTeam]:[HomeTeam]], T$1) + SUMIFS(Table1[[HomeWon]:[HomeWon]], Table1[[GameIsOver]:[GameIsOver]],1,Table1[[HomeTeam]:[HomeTeam]],$A2, Table1[[AwayTeam]:[AwayTeam]], T$1),0), "-", TEXT(SUMIFS(Table1[[HomeWon]:[HomeWon]], Table1[[GameIsOver]:[GameIsOver]],1,Table1[[AwayTeam]:[AwayTeam]],$A2, Table1[[HomeTeam]:[HomeTeam]], T$1, Table1[[ActualResult]:[ActualResult]], "REG") + SUMIFS(Table1[[AwayWon]:[AwayWon]], Table1[[GameIsOver]:[GameIsOver]],1,Table1[[HomeTeam]:[HomeTeam]],$A2, Table1[[AwayTeam]:[AwayTeam]], T$1, Table1[[ActualResult]:[ActualResult]], "REG"),0), "-", TEXT(SUMIFS(Table1[[HomeWon]:[HomeWon]], Table1[[GameIsOver]:[GameIsOver]],1,Table1[[AwayTeam]:[AwayTeam]],$A2, Table1[[HomeTeam]:[HomeTeam]], T$1, Table1[[ActualResult]:[ActualResult]], "OT") + SUMIFS(Table1[[AwayWon]:[AwayWon]], Table1[[GameIsOver]:[GameIsOver]],1,Table1[[HomeTeam]:[HomeTeam]],$A2, Table1[[AwayTeam]:[AwayTeam]], T$1, Table1[[ActualResult]:[ActualResult]], "OT") + SUMIFS(Table1[[HomeWon]:[HomeWon]], Table1[[GameIsOver]:[GameIsOver]],1,Table1[[AwayTeam]:[AwayTeam]],$A2, Table1[[HomeTeam]:[HomeTeam]], T$1, Table1[[ActualResult]:[ActualResult]], "SO") + SUMIFS(Table1[[AwayWon]:[AwayWon]], Table1[[GameIsOver]:[GameIsOver]],1,Table1[[HomeTeam]:[HomeTeam]],$A2, Table1[[AwayTeam]:[AwayTeam]], T$1, Table1[[ActualResult]:[ActualResult]], "SO"),0))</f>
        <v>0-0-0</v>
      </c>
      <c r="U2" s="57" t="str">
        <f>_xlfn.CONCAT(TEXT(SUMIFS(Table1[[AwayWon]:[AwayWon]], Table1[[GameIsOver]:[GameIsOver]],1,Table1[[AwayTeam]:[AwayTeam]],$A2, Table1[[HomeTeam]:[HomeTeam]], U$1) + SUMIFS(Table1[[HomeWon]:[HomeWon]], Table1[[GameIsOver]:[GameIsOver]],1,Table1[[HomeTeam]:[HomeTeam]],$A2, Table1[[AwayTeam]:[AwayTeam]], U$1),0), "-", TEXT(SUMIFS(Table1[[HomeWon]:[HomeWon]], Table1[[GameIsOver]:[GameIsOver]],1,Table1[[AwayTeam]:[AwayTeam]],$A2, Table1[[HomeTeam]:[HomeTeam]], U$1, Table1[[ActualResult]:[ActualResult]], "REG") + SUMIFS(Table1[[AwayWon]:[AwayWon]], Table1[[GameIsOver]:[GameIsOver]],1,Table1[[HomeTeam]:[HomeTeam]],$A2, Table1[[AwayTeam]:[AwayTeam]], U$1, Table1[[ActualResult]:[ActualResult]], "REG"),0), "-", TEXT(SUMIFS(Table1[[HomeWon]:[HomeWon]], Table1[[GameIsOver]:[GameIsOver]],1,Table1[[AwayTeam]:[AwayTeam]],$A2, Table1[[HomeTeam]:[HomeTeam]], U$1, Table1[[ActualResult]:[ActualResult]], "OT") + SUMIFS(Table1[[AwayWon]:[AwayWon]], Table1[[GameIsOver]:[GameIsOver]],1,Table1[[HomeTeam]:[HomeTeam]],$A2, Table1[[AwayTeam]:[AwayTeam]], U$1, Table1[[ActualResult]:[ActualResult]], "OT") + SUMIFS(Table1[[HomeWon]:[HomeWon]], Table1[[GameIsOver]:[GameIsOver]],1,Table1[[AwayTeam]:[AwayTeam]],$A2, Table1[[HomeTeam]:[HomeTeam]], U$1, Table1[[ActualResult]:[ActualResult]], "SO") + SUMIFS(Table1[[AwayWon]:[AwayWon]], Table1[[GameIsOver]:[GameIsOver]],1,Table1[[HomeTeam]:[HomeTeam]],$A2, Table1[[AwayTeam]:[AwayTeam]], U$1, Table1[[ActualResult]:[ActualResult]], "SO"),0))</f>
        <v>0-0-0</v>
      </c>
      <c r="V2" s="57" t="str">
        <f>_xlfn.CONCAT(TEXT(SUMIFS(Table1[[AwayWon]:[AwayWon]], Table1[[GameIsOver]:[GameIsOver]],1,Table1[[AwayTeam]:[AwayTeam]],$A2, Table1[[HomeTeam]:[HomeTeam]], V$1) + SUMIFS(Table1[[HomeWon]:[HomeWon]], Table1[[GameIsOver]:[GameIsOver]],1,Table1[[HomeTeam]:[HomeTeam]],$A2, Table1[[AwayTeam]:[AwayTeam]], V$1),0), "-", TEXT(SUMIFS(Table1[[HomeWon]:[HomeWon]], Table1[[GameIsOver]:[GameIsOver]],1,Table1[[AwayTeam]:[AwayTeam]],$A2, Table1[[HomeTeam]:[HomeTeam]], V$1, Table1[[ActualResult]:[ActualResult]], "REG") + SUMIFS(Table1[[AwayWon]:[AwayWon]], Table1[[GameIsOver]:[GameIsOver]],1,Table1[[HomeTeam]:[HomeTeam]],$A2, Table1[[AwayTeam]:[AwayTeam]], V$1, Table1[[ActualResult]:[ActualResult]], "REG"),0), "-", TEXT(SUMIFS(Table1[[HomeWon]:[HomeWon]], Table1[[GameIsOver]:[GameIsOver]],1,Table1[[AwayTeam]:[AwayTeam]],$A2, Table1[[HomeTeam]:[HomeTeam]], V$1, Table1[[ActualResult]:[ActualResult]], "OT") + SUMIFS(Table1[[AwayWon]:[AwayWon]], Table1[[GameIsOver]:[GameIsOver]],1,Table1[[HomeTeam]:[HomeTeam]],$A2, Table1[[AwayTeam]:[AwayTeam]], V$1, Table1[[ActualResult]:[ActualResult]], "OT") + SUMIFS(Table1[[HomeWon]:[HomeWon]], Table1[[GameIsOver]:[GameIsOver]],1,Table1[[AwayTeam]:[AwayTeam]],$A2, Table1[[HomeTeam]:[HomeTeam]], V$1, Table1[[ActualResult]:[ActualResult]], "SO") + SUMIFS(Table1[[AwayWon]:[AwayWon]], Table1[[GameIsOver]:[GameIsOver]],1,Table1[[HomeTeam]:[HomeTeam]],$A2, Table1[[AwayTeam]:[AwayTeam]], V$1, Table1[[ActualResult]:[ActualResult]], "SO"),0))</f>
        <v>0-0-0</v>
      </c>
      <c r="W2" s="57" t="str">
        <f>_xlfn.CONCAT(TEXT(SUMIFS(Table1[[AwayWon]:[AwayWon]], Table1[[GameIsOver]:[GameIsOver]],1,Table1[[AwayTeam]:[AwayTeam]],$A2, Table1[[HomeTeam]:[HomeTeam]], W$1) + SUMIFS(Table1[[HomeWon]:[HomeWon]], Table1[[GameIsOver]:[GameIsOver]],1,Table1[[HomeTeam]:[HomeTeam]],$A2, Table1[[AwayTeam]:[AwayTeam]], W$1),0), "-", TEXT(SUMIFS(Table1[[HomeWon]:[HomeWon]], Table1[[GameIsOver]:[GameIsOver]],1,Table1[[AwayTeam]:[AwayTeam]],$A2, Table1[[HomeTeam]:[HomeTeam]], W$1, Table1[[ActualResult]:[ActualResult]], "REG") + SUMIFS(Table1[[AwayWon]:[AwayWon]], Table1[[GameIsOver]:[GameIsOver]],1,Table1[[HomeTeam]:[HomeTeam]],$A2, Table1[[AwayTeam]:[AwayTeam]], W$1, Table1[[ActualResult]:[ActualResult]], "REG"),0), "-", TEXT(SUMIFS(Table1[[HomeWon]:[HomeWon]], Table1[[GameIsOver]:[GameIsOver]],1,Table1[[AwayTeam]:[AwayTeam]],$A2, Table1[[HomeTeam]:[HomeTeam]], W$1, Table1[[ActualResult]:[ActualResult]], "OT") + SUMIFS(Table1[[AwayWon]:[AwayWon]], Table1[[GameIsOver]:[GameIsOver]],1,Table1[[HomeTeam]:[HomeTeam]],$A2, Table1[[AwayTeam]:[AwayTeam]], W$1, Table1[[ActualResult]:[ActualResult]], "OT") + SUMIFS(Table1[[HomeWon]:[HomeWon]], Table1[[GameIsOver]:[GameIsOver]],1,Table1[[AwayTeam]:[AwayTeam]],$A2, Table1[[HomeTeam]:[HomeTeam]], W$1, Table1[[ActualResult]:[ActualResult]], "SO") + SUMIFS(Table1[[AwayWon]:[AwayWon]], Table1[[GameIsOver]:[GameIsOver]],1,Table1[[HomeTeam]:[HomeTeam]],$A2, Table1[[AwayTeam]:[AwayTeam]], W$1, Table1[[ActualResult]:[ActualResult]], "SO"),0))</f>
        <v>0-0-0</v>
      </c>
      <c r="X2" s="57" t="str">
        <f>_xlfn.CONCAT(TEXT(SUMIFS(Table1[[AwayWon]:[AwayWon]], Table1[[GameIsOver]:[GameIsOver]],1,Table1[[AwayTeam]:[AwayTeam]],$A2, Table1[[HomeTeam]:[HomeTeam]], X$1) + SUMIFS(Table1[[HomeWon]:[HomeWon]], Table1[[GameIsOver]:[GameIsOver]],1,Table1[[HomeTeam]:[HomeTeam]],$A2, Table1[[AwayTeam]:[AwayTeam]], X$1),0), "-", TEXT(SUMIFS(Table1[[HomeWon]:[HomeWon]], Table1[[GameIsOver]:[GameIsOver]],1,Table1[[AwayTeam]:[AwayTeam]],$A2, Table1[[HomeTeam]:[HomeTeam]], X$1, Table1[[ActualResult]:[ActualResult]], "REG") + SUMIFS(Table1[[AwayWon]:[AwayWon]], Table1[[GameIsOver]:[GameIsOver]],1,Table1[[HomeTeam]:[HomeTeam]],$A2, Table1[[AwayTeam]:[AwayTeam]], X$1, Table1[[ActualResult]:[ActualResult]], "REG"),0), "-", TEXT(SUMIFS(Table1[[HomeWon]:[HomeWon]], Table1[[GameIsOver]:[GameIsOver]],1,Table1[[AwayTeam]:[AwayTeam]],$A2, Table1[[HomeTeam]:[HomeTeam]], X$1, Table1[[ActualResult]:[ActualResult]], "OT") + SUMIFS(Table1[[AwayWon]:[AwayWon]], Table1[[GameIsOver]:[GameIsOver]],1,Table1[[HomeTeam]:[HomeTeam]],$A2, Table1[[AwayTeam]:[AwayTeam]], X$1, Table1[[ActualResult]:[ActualResult]], "OT") + SUMIFS(Table1[[HomeWon]:[HomeWon]], Table1[[GameIsOver]:[GameIsOver]],1,Table1[[AwayTeam]:[AwayTeam]],$A2, Table1[[HomeTeam]:[HomeTeam]], X$1, Table1[[ActualResult]:[ActualResult]], "SO") + SUMIFS(Table1[[AwayWon]:[AwayWon]], Table1[[GameIsOver]:[GameIsOver]],1,Table1[[HomeTeam]:[HomeTeam]],$A2, Table1[[AwayTeam]:[AwayTeam]], X$1, Table1[[ActualResult]:[ActualResult]], "SO"),0))</f>
        <v>0-0-0</v>
      </c>
      <c r="Y2" s="58" t="str">
        <f>_xlfn.CONCAT(TEXT(SUMIFS(Table1[[AwayWon]:[AwayWon]], Table1[[GameIsOver]:[GameIsOver]],1,Table1[[AwayTeam]:[AwayTeam]],$A2, Table1[[HomeTeam]:[HomeTeam]], Y$1) + SUMIFS(Table1[[HomeWon]:[HomeWon]], Table1[[GameIsOver]:[GameIsOver]],1,Table1[[HomeTeam]:[HomeTeam]],$A2, Table1[[AwayTeam]:[AwayTeam]], Y$1),0), "-", TEXT(SUMIFS(Table1[[HomeWon]:[HomeWon]], Table1[[GameIsOver]:[GameIsOver]],1,Table1[[AwayTeam]:[AwayTeam]],$A2, Table1[[HomeTeam]:[HomeTeam]], Y$1, Table1[[ActualResult]:[ActualResult]], "REG") + SUMIFS(Table1[[AwayWon]:[AwayWon]], Table1[[GameIsOver]:[GameIsOver]],1,Table1[[HomeTeam]:[HomeTeam]],$A2, Table1[[AwayTeam]:[AwayTeam]], Y$1, Table1[[ActualResult]:[ActualResult]], "REG"),0), "-", TEXT(SUMIFS(Table1[[HomeWon]:[HomeWon]], Table1[[GameIsOver]:[GameIsOver]],1,Table1[[AwayTeam]:[AwayTeam]],$A2, Table1[[HomeTeam]:[HomeTeam]], Y$1, Table1[[ActualResult]:[ActualResult]], "OT") + SUMIFS(Table1[[AwayWon]:[AwayWon]], Table1[[GameIsOver]:[GameIsOver]],1,Table1[[HomeTeam]:[HomeTeam]],$A2, Table1[[AwayTeam]:[AwayTeam]], Y$1, Table1[[ActualResult]:[ActualResult]], "OT") + SUMIFS(Table1[[HomeWon]:[HomeWon]], Table1[[GameIsOver]:[GameIsOver]],1,Table1[[AwayTeam]:[AwayTeam]],$A2, Table1[[HomeTeam]:[HomeTeam]], Y$1, Table1[[ActualResult]:[ActualResult]], "SO") + SUMIFS(Table1[[AwayWon]:[AwayWon]], Table1[[GameIsOver]:[GameIsOver]],1,Table1[[HomeTeam]:[HomeTeam]],$A2, Table1[[AwayTeam]:[AwayTeam]], Y$1, Table1[[ActualResult]:[ActualResult]], "SO"),0))</f>
        <v>0-0-0</v>
      </c>
      <c r="Z2" s="57" t="str">
        <f>_xlfn.CONCAT(TEXT(SUMIFS(Table1[[AwayWon]:[AwayWon]], Table1[[GameIsOver]:[GameIsOver]],1,Table1[[AwayTeam]:[AwayTeam]],$A2, Table1[[HomeTeam]:[HomeTeam]], Z$1) + SUMIFS(Table1[[HomeWon]:[HomeWon]], Table1[[GameIsOver]:[GameIsOver]],1,Table1[[HomeTeam]:[HomeTeam]],$A2, Table1[[AwayTeam]:[AwayTeam]], Z$1),0), "-", TEXT(SUMIFS(Table1[[HomeWon]:[HomeWon]], Table1[[GameIsOver]:[GameIsOver]],1,Table1[[AwayTeam]:[AwayTeam]],$A2, Table1[[HomeTeam]:[HomeTeam]], Z$1, Table1[[ActualResult]:[ActualResult]], "REG") + SUMIFS(Table1[[AwayWon]:[AwayWon]], Table1[[GameIsOver]:[GameIsOver]],1,Table1[[HomeTeam]:[HomeTeam]],$A2, Table1[[AwayTeam]:[AwayTeam]], Z$1, Table1[[ActualResult]:[ActualResult]], "REG"),0), "-", TEXT(SUMIFS(Table1[[HomeWon]:[HomeWon]], Table1[[GameIsOver]:[GameIsOver]],1,Table1[[AwayTeam]:[AwayTeam]],$A2, Table1[[HomeTeam]:[HomeTeam]], Z$1, Table1[[ActualResult]:[ActualResult]], "OT") + SUMIFS(Table1[[AwayWon]:[AwayWon]], Table1[[GameIsOver]:[GameIsOver]],1,Table1[[HomeTeam]:[HomeTeam]],$A2, Table1[[AwayTeam]:[AwayTeam]], Z$1, Table1[[ActualResult]:[ActualResult]], "OT") + SUMIFS(Table1[[HomeWon]:[HomeWon]], Table1[[GameIsOver]:[GameIsOver]],1,Table1[[AwayTeam]:[AwayTeam]],$A2, Table1[[HomeTeam]:[HomeTeam]], Z$1, Table1[[ActualResult]:[ActualResult]], "SO") + SUMIFS(Table1[[AwayWon]:[AwayWon]], Table1[[GameIsOver]:[GameIsOver]],1,Table1[[HomeTeam]:[HomeTeam]],$A2, Table1[[AwayTeam]:[AwayTeam]], Z$1, Table1[[ActualResult]:[ActualResult]], "SO"),0))</f>
        <v>0-0-0</v>
      </c>
      <c r="AA2" s="57" t="str">
        <f>_xlfn.CONCAT(TEXT(SUMIFS(Table1[[AwayWon]:[AwayWon]], Table1[[GameIsOver]:[GameIsOver]],1,Table1[[AwayTeam]:[AwayTeam]],$A2, Table1[[HomeTeam]:[HomeTeam]], AA$1) + SUMIFS(Table1[[HomeWon]:[HomeWon]], Table1[[GameIsOver]:[GameIsOver]],1,Table1[[HomeTeam]:[HomeTeam]],$A2, Table1[[AwayTeam]:[AwayTeam]], AA$1),0), "-", TEXT(SUMIFS(Table1[[HomeWon]:[HomeWon]], Table1[[GameIsOver]:[GameIsOver]],1,Table1[[AwayTeam]:[AwayTeam]],$A2, Table1[[HomeTeam]:[HomeTeam]], AA$1, Table1[[ActualResult]:[ActualResult]], "REG") + SUMIFS(Table1[[AwayWon]:[AwayWon]], Table1[[GameIsOver]:[GameIsOver]],1,Table1[[HomeTeam]:[HomeTeam]],$A2, Table1[[AwayTeam]:[AwayTeam]], AA$1, Table1[[ActualResult]:[ActualResult]], "REG"),0), "-", TEXT(SUMIFS(Table1[[HomeWon]:[HomeWon]], Table1[[GameIsOver]:[GameIsOver]],1,Table1[[AwayTeam]:[AwayTeam]],$A2, Table1[[HomeTeam]:[HomeTeam]], AA$1, Table1[[ActualResult]:[ActualResult]], "OT") + SUMIFS(Table1[[AwayWon]:[AwayWon]], Table1[[GameIsOver]:[GameIsOver]],1,Table1[[HomeTeam]:[HomeTeam]],$A2, Table1[[AwayTeam]:[AwayTeam]], AA$1, Table1[[ActualResult]:[ActualResult]], "OT") + SUMIFS(Table1[[HomeWon]:[HomeWon]], Table1[[GameIsOver]:[GameIsOver]],1,Table1[[AwayTeam]:[AwayTeam]],$A2, Table1[[HomeTeam]:[HomeTeam]], AA$1, Table1[[ActualResult]:[ActualResult]], "SO") + SUMIFS(Table1[[AwayWon]:[AwayWon]], Table1[[GameIsOver]:[GameIsOver]],1,Table1[[HomeTeam]:[HomeTeam]],$A2, Table1[[AwayTeam]:[AwayTeam]], AA$1, Table1[[ActualResult]:[ActualResult]], "SO"),0))</f>
        <v>0-0-0</v>
      </c>
      <c r="AB2" s="57" t="str">
        <f>_xlfn.CONCAT(TEXT(SUMIFS(Table1[[AwayWon]:[AwayWon]], Table1[[GameIsOver]:[GameIsOver]],1,Table1[[AwayTeam]:[AwayTeam]],$A2, Table1[[HomeTeam]:[HomeTeam]], AB$1) + SUMIFS(Table1[[HomeWon]:[HomeWon]], Table1[[GameIsOver]:[GameIsOver]],1,Table1[[HomeTeam]:[HomeTeam]],$A2, Table1[[AwayTeam]:[AwayTeam]], AB$1),0), "-", TEXT(SUMIFS(Table1[[HomeWon]:[HomeWon]], Table1[[GameIsOver]:[GameIsOver]],1,Table1[[AwayTeam]:[AwayTeam]],$A2, Table1[[HomeTeam]:[HomeTeam]], AB$1, Table1[[ActualResult]:[ActualResult]], "REG") + SUMIFS(Table1[[AwayWon]:[AwayWon]], Table1[[GameIsOver]:[GameIsOver]],1,Table1[[HomeTeam]:[HomeTeam]],$A2, Table1[[AwayTeam]:[AwayTeam]], AB$1, Table1[[ActualResult]:[ActualResult]], "REG"),0), "-", TEXT(SUMIFS(Table1[[HomeWon]:[HomeWon]], Table1[[GameIsOver]:[GameIsOver]],1,Table1[[AwayTeam]:[AwayTeam]],$A2, Table1[[HomeTeam]:[HomeTeam]], AB$1, Table1[[ActualResult]:[ActualResult]], "OT") + SUMIFS(Table1[[AwayWon]:[AwayWon]], Table1[[GameIsOver]:[GameIsOver]],1,Table1[[HomeTeam]:[HomeTeam]],$A2, Table1[[AwayTeam]:[AwayTeam]], AB$1, Table1[[ActualResult]:[ActualResult]], "OT") + SUMIFS(Table1[[HomeWon]:[HomeWon]], Table1[[GameIsOver]:[GameIsOver]],1,Table1[[AwayTeam]:[AwayTeam]],$A2, Table1[[HomeTeam]:[HomeTeam]], AB$1, Table1[[ActualResult]:[ActualResult]], "SO") + SUMIFS(Table1[[AwayWon]:[AwayWon]], Table1[[GameIsOver]:[GameIsOver]],1,Table1[[HomeTeam]:[HomeTeam]],$A2, Table1[[AwayTeam]:[AwayTeam]], AB$1, Table1[[ActualResult]:[ActualResult]], "SO"),0))</f>
        <v>0-0-0</v>
      </c>
      <c r="AC2" s="57" t="str">
        <f>_xlfn.CONCAT(TEXT(SUMIFS(Table1[[AwayWon]:[AwayWon]], Table1[[GameIsOver]:[GameIsOver]],1,Table1[[AwayTeam]:[AwayTeam]],$A2, Table1[[HomeTeam]:[HomeTeam]], AC$1) + SUMIFS(Table1[[HomeWon]:[HomeWon]], Table1[[GameIsOver]:[GameIsOver]],1,Table1[[HomeTeam]:[HomeTeam]],$A2, Table1[[AwayTeam]:[AwayTeam]], AC$1),0), "-", TEXT(SUMIFS(Table1[[HomeWon]:[HomeWon]], Table1[[GameIsOver]:[GameIsOver]],1,Table1[[AwayTeam]:[AwayTeam]],$A2, Table1[[HomeTeam]:[HomeTeam]], AC$1, Table1[[ActualResult]:[ActualResult]], "REG") + SUMIFS(Table1[[AwayWon]:[AwayWon]], Table1[[GameIsOver]:[GameIsOver]],1,Table1[[HomeTeam]:[HomeTeam]],$A2, Table1[[AwayTeam]:[AwayTeam]], AC$1, Table1[[ActualResult]:[ActualResult]], "REG"),0), "-", TEXT(SUMIFS(Table1[[HomeWon]:[HomeWon]], Table1[[GameIsOver]:[GameIsOver]],1,Table1[[AwayTeam]:[AwayTeam]],$A2, Table1[[HomeTeam]:[HomeTeam]], AC$1, Table1[[ActualResult]:[ActualResult]], "OT") + SUMIFS(Table1[[AwayWon]:[AwayWon]], Table1[[GameIsOver]:[GameIsOver]],1,Table1[[HomeTeam]:[HomeTeam]],$A2, Table1[[AwayTeam]:[AwayTeam]], AC$1, Table1[[ActualResult]:[ActualResult]], "OT") + SUMIFS(Table1[[HomeWon]:[HomeWon]], Table1[[GameIsOver]:[GameIsOver]],1,Table1[[AwayTeam]:[AwayTeam]],$A2, Table1[[HomeTeam]:[HomeTeam]], AC$1, Table1[[ActualResult]:[ActualResult]], "SO") + SUMIFS(Table1[[AwayWon]:[AwayWon]], Table1[[GameIsOver]:[GameIsOver]],1,Table1[[HomeTeam]:[HomeTeam]],$A2, Table1[[AwayTeam]:[AwayTeam]], AC$1, Table1[[ActualResult]:[ActualResult]], "SO"),0))</f>
        <v>0-0-0</v>
      </c>
      <c r="AD2" s="57" t="str">
        <f>_xlfn.CONCAT(TEXT(SUMIFS(Table1[[AwayWon]:[AwayWon]], Table1[[GameIsOver]:[GameIsOver]],1,Table1[[AwayTeam]:[AwayTeam]],$A2, Table1[[HomeTeam]:[HomeTeam]], AD$1) + SUMIFS(Table1[[HomeWon]:[HomeWon]], Table1[[GameIsOver]:[GameIsOver]],1,Table1[[HomeTeam]:[HomeTeam]],$A2, Table1[[AwayTeam]:[AwayTeam]], AD$1),0), "-", TEXT(SUMIFS(Table1[[HomeWon]:[HomeWon]], Table1[[GameIsOver]:[GameIsOver]],1,Table1[[AwayTeam]:[AwayTeam]],$A2, Table1[[HomeTeam]:[HomeTeam]], AD$1, Table1[[ActualResult]:[ActualResult]], "REG") + SUMIFS(Table1[[AwayWon]:[AwayWon]], Table1[[GameIsOver]:[GameIsOver]],1,Table1[[HomeTeam]:[HomeTeam]],$A2, Table1[[AwayTeam]:[AwayTeam]], AD$1, Table1[[ActualResult]:[ActualResult]], "REG"),0), "-", TEXT(SUMIFS(Table1[[HomeWon]:[HomeWon]], Table1[[GameIsOver]:[GameIsOver]],1,Table1[[AwayTeam]:[AwayTeam]],$A2, Table1[[HomeTeam]:[HomeTeam]], AD$1, Table1[[ActualResult]:[ActualResult]], "OT") + SUMIFS(Table1[[AwayWon]:[AwayWon]], Table1[[GameIsOver]:[GameIsOver]],1,Table1[[HomeTeam]:[HomeTeam]],$A2, Table1[[AwayTeam]:[AwayTeam]], AD$1, Table1[[ActualResult]:[ActualResult]], "OT") + SUMIFS(Table1[[HomeWon]:[HomeWon]], Table1[[GameIsOver]:[GameIsOver]],1,Table1[[AwayTeam]:[AwayTeam]],$A2, Table1[[HomeTeam]:[HomeTeam]], AD$1, Table1[[ActualResult]:[ActualResult]], "SO") + SUMIFS(Table1[[AwayWon]:[AwayWon]], Table1[[GameIsOver]:[GameIsOver]],1,Table1[[HomeTeam]:[HomeTeam]],$A2, Table1[[AwayTeam]:[AwayTeam]], AD$1, Table1[[ActualResult]:[ActualResult]], "SO"),0))</f>
        <v>0-0-0</v>
      </c>
      <c r="AE2" s="57" t="str">
        <f>_xlfn.CONCAT(TEXT(SUMIFS(Table1[[AwayWon]:[AwayWon]], Table1[[GameIsOver]:[GameIsOver]],1,Table1[[AwayTeam]:[AwayTeam]],$A2, Table1[[HomeTeam]:[HomeTeam]], AE$1) + SUMIFS(Table1[[HomeWon]:[HomeWon]], Table1[[GameIsOver]:[GameIsOver]],1,Table1[[HomeTeam]:[HomeTeam]],$A2, Table1[[AwayTeam]:[AwayTeam]], AE$1),0), "-", TEXT(SUMIFS(Table1[[HomeWon]:[HomeWon]], Table1[[GameIsOver]:[GameIsOver]],1,Table1[[AwayTeam]:[AwayTeam]],$A2, Table1[[HomeTeam]:[HomeTeam]], AE$1, Table1[[ActualResult]:[ActualResult]], "REG") + SUMIFS(Table1[[AwayWon]:[AwayWon]], Table1[[GameIsOver]:[GameIsOver]],1,Table1[[HomeTeam]:[HomeTeam]],$A2, Table1[[AwayTeam]:[AwayTeam]], AE$1, Table1[[ActualResult]:[ActualResult]], "REG"),0), "-", TEXT(SUMIFS(Table1[[HomeWon]:[HomeWon]], Table1[[GameIsOver]:[GameIsOver]],1,Table1[[AwayTeam]:[AwayTeam]],$A2, Table1[[HomeTeam]:[HomeTeam]], AE$1, Table1[[ActualResult]:[ActualResult]], "OT") + SUMIFS(Table1[[AwayWon]:[AwayWon]], Table1[[GameIsOver]:[GameIsOver]],1,Table1[[HomeTeam]:[HomeTeam]],$A2, Table1[[AwayTeam]:[AwayTeam]], AE$1, Table1[[ActualResult]:[ActualResult]], "OT") + SUMIFS(Table1[[HomeWon]:[HomeWon]], Table1[[GameIsOver]:[GameIsOver]],1,Table1[[AwayTeam]:[AwayTeam]],$A2, Table1[[HomeTeam]:[HomeTeam]], AE$1, Table1[[ActualResult]:[ActualResult]], "SO") + SUMIFS(Table1[[AwayWon]:[AwayWon]], Table1[[GameIsOver]:[GameIsOver]],1,Table1[[HomeTeam]:[HomeTeam]],$A2, Table1[[AwayTeam]:[AwayTeam]], AE$1, Table1[[ActualResult]:[ActualResult]], "SO"),0))</f>
        <v>0-0-0</v>
      </c>
      <c r="AF2" s="57" t="str">
        <f>_xlfn.CONCAT(TEXT(SUMIFS(Table1[[AwayWon]:[AwayWon]], Table1[[GameIsOver]:[GameIsOver]],1,Table1[[AwayTeam]:[AwayTeam]],$A2, Table1[[HomeTeam]:[HomeTeam]], AF$1) + SUMIFS(Table1[[HomeWon]:[HomeWon]], Table1[[GameIsOver]:[GameIsOver]],1,Table1[[HomeTeam]:[HomeTeam]],$A2, Table1[[AwayTeam]:[AwayTeam]], AF$1),0), "-", TEXT(SUMIFS(Table1[[HomeWon]:[HomeWon]], Table1[[GameIsOver]:[GameIsOver]],1,Table1[[AwayTeam]:[AwayTeam]],$A2, Table1[[HomeTeam]:[HomeTeam]], AF$1, Table1[[ActualResult]:[ActualResult]], "REG") + SUMIFS(Table1[[AwayWon]:[AwayWon]], Table1[[GameIsOver]:[GameIsOver]],1,Table1[[HomeTeam]:[HomeTeam]],$A2, Table1[[AwayTeam]:[AwayTeam]], AF$1, Table1[[ActualResult]:[ActualResult]], "REG"),0), "-", TEXT(SUMIFS(Table1[[HomeWon]:[HomeWon]], Table1[[GameIsOver]:[GameIsOver]],1,Table1[[AwayTeam]:[AwayTeam]],$A2, Table1[[HomeTeam]:[HomeTeam]], AF$1, Table1[[ActualResult]:[ActualResult]], "OT") + SUMIFS(Table1[[AwayWon]:[AwayWon]], Table1[[GameIsOver]:[GameIsOver]],1,Table1[[HomeTeam]:[HomeTeam]],$A2, Table1[[AwayTeam]:[AwayTeam]], AF$1, Table1[[ActualResult]:[ActualResult]], "OT") + SUMIFS(Table1[[HomeWon]:[HomeWon]], Table1[[GameIsOver]:[GameIsOver]],1,Table1[[AwayTeam]:[AwayTeam]],$A2, Table1[[HomeTeam]:[HomeTeam]], AF$1, Table1[[ActualResult]:[ActualResult]], "SO") + SUMIFS(Table1[[AwayWon]:[AwayWon]], Table1[[GameIsOver]:[GameIsOver]],1,Table1[[HomeTeam]:[HomeTeam]],$A2, Table1[[AwayTeam]:[AwayTeam]], AF$1, Table1[[ActualResult]:[ActualResult]], "SO"),0))</f>
        <v>0-0-0</v>
      </c>
      <c r="AG2" s="57" t="str">
        <f>_xlfn.CONCAT(TEXT(SUMIFS(Table1[[AwayWon]:[AwayWon]], Table1[[GameIsOver]:[GameIsOver]],1,Table1[[AwayTeam]:[AwayTeam]],$A2, Table1[[HomeTeam]:[HomeTeam]], AG$1) + SUMIFS(Table1[[HomeWon]:[HomeWon]], Table1[[GameIsOver]:[GameIsOver]],1,Table1[[HomeTeam]:[HomeTeam]],$A2, Table1[[AwayTeam]:[AwayTeam]], AG$1),0), "-", TEXT(SUMIFS(Table1[[HomeWon]:[HomeWon]], Table1[[GameIsOver]:[GameIsOver]],1,Table1[[AwayTeam]:[AwayTeam]],$A2, Table1[[HomeTeam]:[HomeTeam]], AG$1, Table1[[ActualResult]:[ActualResult]], "REG") + SUMIFS(Table1[[AwayWon]:[AwayWon]], Table1[[GameIsOver]:[GameIsOver]],1,Table1[[HomeTeam]:[HomeTeam]],$A2, Table1[[AwayTeam]:[AwayTeam]], AG$1, Table1[[ActualResult]:[ActualResult]], "REG"),0), "-", TEXT(SUMIFS(Table1[[HomeWon]:[HomeWon]], Table1[[GameIsOver]:[GameIsOver]],1,Table1[[AwayTeam]:[AwayTeam]],$A2, Table1[[HomeTeam]:[HomeTeam]], AG$1, Table1[[ActualResult]:[ActualResult]], "OT") + SUMIFS(Table1[[AwayWon]:[AwayWon]], Table1[[GameIsOver]:[GameIsOver]],1,Table1[[HomeTeam]:[HomeTeam]],$A2, Table1[[AwayTeam]:[AwayTeam]], AG$1, Table1[[ActualResult]:[ActualResult]], "OT") + SUMIFS(Table1[[HomeWon]:[HomeWon]], Table1[[GameIsOver]:[GameIsOver]],1,Table1[[AwayTeam]:[AwayTeam]],$A2, Table1[[HomeTeam]:[HomeTeam]], AG$1, Table1[[ActualResult]:[ActualResult]], "SO") + SUMIFS(Table1[[AwayWon]:[AwayWon]], Table1[[GameIsOver]:[GameIsOver]],1,Table1[[HomeTeam]:[HomeTeam]],$A2, Table1[[AwayTeam]:[AwayTeam]], AG$1, Table1[[ActualResult]:[ActualResult]], "SO"),0))</f>
        <v>0-0-0</v>
      </c>
    </row>
    <row r="3" spans="1:33" x14ac:dyDescent="0.25">
      <c r="A3" s="28" t="s">
        <v>39</v>
      </c>
      <c r="B3" s="57" t="str">
        <f>_xlfn.CONCAT(TEXT(SUMIFS(Table1[[AwayWon]:[AwayWon]], Table1[[GameIsOver]:[GameIsOver]],1,Table1[[AwayTeam]:[AwayTeam]],$A3, Table1[[HomeTeam]:[HomeTeam]], B$1) + SUMIFS(Table1[[HomeWon]:[HomeWon]], Table1[[GameIsOver]:[GameIsOver]],1,Table1[[HomeTeam]:[HomeTeam]],$A3, Table1[[AwayTeam]:[AwayTeam]], B$1),0), "-", TEXT(SUMIFS(Table1[[HomeWon]:[HomeWon]], Table1[[GameIsOver]:[GameIsOver]],1,Table1[[AwayTeam]:[AwayTeam]],$A3, Table1[[HomeTeam]:[HomeTeam]], B$1, Table1[[ActualResult]:[ActualResult]], "REG") + SUMIFS(Table1[[AwayWon]:[AwayWon]], Table1[[GameIsOver]:[GameIsOver]],1,Table1[[HomeTeam]:[HomeTeam]],$A3, Table1[[AwayTeam]:[AwayTeam]], B$1, Table1[[ActualResult]:[ActualResult]], "REG"),0), "-", TEXT(SUMIFS(Table1[[HomeWon]:[HomeWon]], Table1[[GameIsOver]:[GameIsOver]],1,Table1[[AwayTeam]:[AwayTeam]],$A3, Table1[[HomeTeam]:[HomeTeam]], B$1, Table1[[ActualResult]:[ActualResult]], "OT") + SUMIFS(Table1[[AwayWon]:[AwayWon]], Table1[[GameIsOver]:[GameIsOver]],1,Table1[[HomeTeam]:[HomeTeam]],$A3, Table1[[AwayTeam]:[AwayTeam]], B$1, Table1[[ActualResult]:[ActualResult]], "OT") + SUMIFS(Table1[[HomeWon]:[HomeWon]], Table1[[GameIsOver]:[GameIsOver]],1,Table1[[AwayTeam]:[AwayTeam]],$A3, Table1[[HomeTeam]:[HomeTeam]], B$1, Table1[[ActualResult]:[ActualResult]], "SO") + SUMIFS(Table1[[AwayWon]:[AwayWon]], Table1[[GameIsOver]:[GameIsOver]],1,Table1[[HomeTeam]:[HomeTeam]],$A3, Table1[[AwayTeam]:[AwayTeam]], B$1, Table1[[ActualResult]:[ActualResult]], "SO"),0))</f>
        <v>0-0-1</v>
      </c>
      <c r="C3" s="57" t="str">
        <f>_xlfn.CONCAT(TEXT(SUMIFS(Table1[[AwayWon]:[AwayWon]], Table1[[GameIsOver]:[GameIsOver]],1,Table1[[AwayTeam]:[AwayTeam]],$A3, Table1[[HomeTeam]:[HomeTeam]], C$1) + SUMIFS(Table1[[HomeWon]:[HomeWon]], Table1[[GameIsOver]:[GameIsOver]],1,Table1[[HomeTeam]:[HomeTeam]],$A3, Table1[[AwayTeam]:[AwayTeam]], C$1),0), "-", TEXT(SUMIFS(Table1[[HomeWon]:[HomeWon]], Table1[[GameIsOver]:[GameIsOver]],1,Table1[[AwayTeam]:[AwayTeam]],$A3, Table1[[HomeTeam]:[HomeTeam]], C$1, Table1[[ActualResult]:[ActualResult]], "REG") + SUMIFS(Table1[[AwayWon]:[AwayWon]], Table1[[GameIsOver]:[GameIsOver]],1,Table1[[HomeTeam]:[HomeTeam]],$A3, Table1[[AwayTeam]:[AwayTeam]], C$1, Table1[[ActualResult]:[ActualResult]], "REG"),0), "-", TEXT(SUMIFS(Table1[[HomeWon]:[HomeWon]], Table1[[GameIsOver]:[GameIsOver]],1,Table1[[AwayTeam]:[AwayTeam]],$A3, Table1[[HomeTeam]:[HomeTeam]], C$1, Table1[[ActualResult]:[ActualResult]], "OT") + SUMIFS(Table1[[AwayWon]:[AwayWon]], Table1[[GameIsOver]:[GameIsOver]],1,Table1[[HomeTeam]:[HomeTeam]],$A3, Table1[[AwayTeam]:[AwayTeam]], C$1, Table1[[ActualResult]:[ActualResult]], "OT") + SUMIFS(Table1[[HomeWon]:[HomeWon]], Table1[[GameIsOver]:[GameIsOver]],1,Table1[[AwayTeam]:[AwayTeam]],$A3, Table1[[HomeTeam]:[HomeTeam]], C$1, Table1[[ActualResult]:[ActualResult]], "SO") + SUMIFS(Table1[[AwayWon]:[AwayWon]], Table1[[GameIsOver]:[GameIsOver]],1,Table1[[HomeTeam]:[HomeTeam]],$A3, Table1[[AwayTeam]:[AwayTeam]], C$1, Table1[[ActualResult]:[ActualResult]], "SO"),0))</f>
        <v>0-0-0</v>
      </c>
      <c r="D3" s="57" t="str">
        <f>_xlfn.CONCAT(TEXT(SUMIFS(Table1[[AwayWon]:[AwayWon]], Table1[[GameIsOver]:[GameIsOver]],1,Table1[[AwayTeam]:[AwayTeam]],$A3, Table1[[HomeTeam]:[HomeTeam]], D$1) + SUMIFS(Table1[[HomeWon]:[HomeWon]], Table1[[GameIsOver]:[GameIsOver]],1,Table1[[HomeTeam]:[HomeTeam]],$A3, Table1[[AwayTeam]:[AwayTeam]], D$1),0), "-", TEXT(SUMIFS(Table1[[HomeWon]:[HomeWon]], Table1[[GameIsOver]:[GameIsOver]],1,Table1[[AwayTeam]:[AwayTeam]],$A3, Table1[[HomeTeam]:[HomeTeam]], D$1, Table1[[ActualResult]:[ActualResult]], "REG") + SUMIFS(Table1[[AwayWon]:[AwayWon]], Table1[[GameIsOver]:[GameIsOver]],1,Table1[[HomeTeam]:[HomeTeam]],$A3, Table1[[AwayTeam]:[AwayTeam]], D$1, Table1[[ActualResult]:[ActualResult]], "REG"),0), "-", TEXT(SUMIFS(Table1[[HomeWon]:[HomeWon]], Table1[[GameIsOver]:[GameIsOver]],1,Table1[[AwayTeam]:[AwayTeam]],$A3, Table1[[HomeTeam]:[HomeTeam]], D$1, Table1[[ActualResult]:[ActualResult]], "OT") + SUMIFS(Table1[[AwayWon]:[AwayWon]], Table1[[GameIsOver]:[GameIsOver]],1,Table1[[HomeTeam]:[HomeTeam]],$A3, Table1[[AwayTeam]:[AwayTeam]], D$1, Table1[[ActualResult]:[ActualResult]], "OT") + SUMIFS(Table1[[HomeWon]:[HomeWon]], Table1[[GameIsOver]:[GameIsOver]],1,Table1[[AwayTeam]:[AwayTeam]],$A3, Table1[[HomeTeam]:[HomeTeam]], D$1, Table1[[ActualResult]:[ActualResult]], "SO") + SUMIFS(Table1[[AwayWon]:[AwayWon]], Table1[[GameIsOver]:[GameIsOver]],1,Table1[[HomeTeam]:[HomeTeam]],$A3, Table1[[AwayTeam]:[AwayTeam]], D$1, Table1[[ActualResult]:[ActualResult]], "SO"),0))</f>
        <v>0-0-0</v>
      </c>
      <c r="E3" s="57" t="str">
        <f>_xlfn.CONCAT(TEXT(SUMIFS(Table1[[AwayWon]:[AwayWon]], Table1[[GameIsOver]:[GameIsOver]],1,Table1[[AwayTeam]:[AwayTeam]],$A3, Table1[[HomeTeam]:[HomeTeam]], E$1) + SUMIFS(Table1[[HomeWon]:[HomeWon]], Table1[[GameIsOver]:[GameIsOver]],1,Table1[[HomeTeam]:[HomeTeam]],$A3, Table1[[AwayTeam]:[AwayTeam]], E$1),0), "-", TEXT(SUMIFS(Table1[[HomeWon]:[HomeWon]], Table1[[GameIsOver]:[GameIsOver]],1,Table1[[AwayTeam]:[AwayTeam]],$A3, Table1[[HomeTeam]:[HomeTeam]], E$1, Table1[[ActualResult]:[ActualResult]], "REG") + SUMIFS(Table1[[AwayWon]:[AwayWon]], Table1[[GameIsOver]:[GameIsOver]],1,Table1[[HomeTeam]:[HomeTeam]],$A3, Table1[[AwayTeam]:[AwayTeam]], E$1, Table1[[ActualResult]:[ActualResult]], "REG"),0), "-", TEXT(SUMIFS(Table1[[HomeWon]:[HomeWon]], Table1[[GameIsOver]:[GameIsOver]],1,Table1[[AwayTeam]:[AwayTeam]],$A3, Table1[[HomeTeam]:[HomeTeam]], E$1, Table1[[ActualResult]:[ActualResult]], "OT") + SUMIFS(Table1[[AwayWon]:[AwayWon]], Table1[[GameIsOver]:[GameIsOver]],1,Table1[[HomeTeam]:[HomeTeam]],$A3, Table1[[AwayTeam]:[AwayTeam]], E$1, Table1[[ActualResult]:[ActualResult]], "OT") + SUMIFS(Table1[[HomeWon]:[HomeWon]], Table1[[GameIsOver]:[GameIsOver]],1,Table1[[AwayTeam]:[AwayTeam]],$A3, Table1[[HomeTeam]:[HomeTeam]], E$1, Table1[[ActualResult]:[ActualResult]], "SO") + SUMIFS(Table1[[AwayWon]:[AwayWon]], Table1[[GameIsOver]:[GameIsOver]],1,Table1[[HomeTeam]:[HomeTeam]],$A3, Table1[[AwayTeam]:[AwayTeam]], E$1, Table1[[ActualResult]:[ActualResult]], "SO"),0))</f>
        <v>0-0-0</v>
      </c>
      <c r="F3" s="57" t="str">
        <f>_xlfn.CONCAT(TEXT(SUMIFS(Table1[[AwayWon]:[AwayWon]], Table1[[GameIsOver]:[GameIsOver]],1,Table1[[AwayTeam]:[AwayTeam]],$A3, Table1[[HomeTeam]:[HomeTeam]], F$1) + SUMIFS(Table1[[HomeWon]:[HomeWon]], Table1[[GameIsOver]:[GameIsOver]],1,Table1[[HomeTeam]:[HomeTeam]],$A3, Table1[[AwayTeam]:[AwayTeam]], F$1),0), "-", TEXT(SUMIFS(Table1[[HomeWon]:[HomeWon]], Table1[[GameIsOver]:[GameIsOver]],1,Table1[[AwayTeam]:[AwayTeam]],$A3, Table1[[HomeTeam]:[HomeTeam]], F$1, Table1[[ActualResult]:[ActualResult]], "REG") + SUMIFS(Table1[[AwayWon]:[AwayWon]], Table1[[GameIsOver]:[GameIsOver]],1,Table1[[HomeTeam]:[HomeTeam]],$A3, Table1[[AwayTeam]:[AwayTeam]], F$1, Table1[[ActualResult]:[ActualResult]], "REG"),0), "-", TEXT(SUMIFS(Table1[[HomeWon]:[HomeWon]], Table1[[GameIsOver]:[GameIsOver]],1,Table1[[AwayTeam]:[AwayTeam]],$A3, Table1[[HomeTeam]:[HomeTeam]], F$1, Table1[[ActualResult]:[ActualResult]], "OT") + SUMIFS(Table1[[AwayWon]:[AwayWon]], Table1[[GameIsOver]:[GameIsOver]],1,Table1[[HomeTeam]:[HomeTeam]],$A3, Table1[[AwayTeam]:[AwayTeam]], F$1, Table1[[ActualResult]:[ActualResult]], "OT") + SUMIFS(Table1[[HomeWon]:[HomeWon]], Table1[[GameIsOver]:[GameIsOver]],1,Table1[[AwayTeam]:[AwayTeam]],$A3, Table1[[HomeTeam]:[HomeTeam]], F$1, Table1[[ActualResult]:[ActualResult]], "SO") + SUMIFS(Table1[[AwayWon]:[AwayWon]], Table1[[GameIsOver]:[GameIsOver]],1,Table1[[HomeTeam]:[HomeTeam]],$A3, Table1[[AwayTeam]:[AwayTeam]], F$1, Table1[[ActualResult]:[ActualResult]], "SO"),0))</f>
        <v>0-0-0</v>
      </c>
      <c r="G3" s="57" t="str">
        <f>_xlfn.CONCAT(TEXT(SUMIFS(Table1[[AwayWon]:[AwayWon]], Table1[[GameIsOver]:[GameIsOver]],1,Table1[[AwayTeam]:[AwayTeam]],$A3, Table1[[HomeTeam]:[HomeTeam]], G$1) + SUMIFS(Table1[[HomeWon]:[HomeWon]], Table1[[GameIsOver]:[GameIsOver]],1,Table1[[HomeTeam]:[HomeTeam]],$A3, Table1[[AwayTeam]:[AwayTeam]], G$1),0), "-", TEXT(SUMIFS(Table1[[HomeWon]:[HomeWon]], Table1[[GameIsOver]:[GameIsOver]],1,Table1[[AwayTeam]:[AwayTeam]],$A3, Table1[[HomeTeam]:[HomeTeam]], G$1, Table1[[ActualResult]:[ActualResult]], "REG") + SUMIFS(Table1[[AwayWon]:[AwayWon]], Table1[[GameIsOver]:[GameIsOver]],1,Table1[[HomeTeam]:[HomeTeam]],$A3, Table1[[AwayTeam]:[AwayTeam]], G$1, Table1[[ActualResult]:[ActualResult]], "REG"),0), "-", TEXT(SUMIFS(Table1[[HomeWon]:[HomeWon]], Table1[[GameIsOver]:[GameIsOver]],1,Table1[[AwayTeam]:[AwayTeam]],$A3, Table1[[HomeTeam]:[HomeTeam]], G$1, Table1[[ActualResult]:[ActualResult]], "OT") + SUMIFS(Table1[[AwayWon]:[AwayWon]], Table1[[GameIsOver]:[GameIsOver]],1,Table1[[HomeTeam]:[HomeTeam]],$A3, Table1[[AwayTeam]:[AwayTeam]], G$1, Table1[[ActualResult]:[ActualResult]], "OT") + SUMIFS(Table1[[HomeWon]:[HomeWon]], Table1[[GameIsOver]:[GameIsOver]],1,Table1[[AwayTeam]:[AwayTeam]],$A3, Table1[[HomeTeam]:[HomeTeam]], G$1, Table1[[ActualResult]:[ActualResult]], "SO") + SUMIFS(Table1[[AwayWon]:[AwayWon]], Table1[[GameIsOver]:[GameIsOver]],1,Table1[[HomeTeam]:[HomeTeam]],$A3, Table1[[AwayTeam]:[AwayTeam]], G$1, Table1[[ActualResult]:[ActualResult]], "SO"),0))</f>
        <v>0-0-0</v>
      </c>
      <c r="H3" s="57" t="str">
        <f>_xlfn.CONCAT(TEXT(SUMIFS(Table1[[AwayWon]:[AwayWon]], Table1[[GameIsOver]:[GameIsOver]],1,Table1[[AwayTeam]:[AwayTeam]],$A3, Table1[[HomeTeam]:[HomeTeam]], H$1) + SUMIFS(Table1[[HomeWon]:[HomeWon]], Table1[[GameIsOver]:[GameIsOver]],1,Table1[[HomeTeam]:[HomeTeam]],$A3, Table1[[AwayTeam]:[AwayTeam]], H$1),0), "-", TEXT(SUMIFS(Table1[[HomeWon]:[HomeWon]], Table1[[GameIsOver]:[GameIsOver]],1,Table1[[AwayTeam]:[AwayTeam]],$A3, Table1[[HomeTeam]:[HomeTeam]], H$1, Table1[[ActualResult]:[ActualResult]], "REG") + SUMIFS(Table1[[AwayWon]:[AwayWon]], Table1[[GameIsOver]:[GameIsOver]],1,Table1[[HomeTeam]:[HomeTeam]],$A3, Table1[[AwayTeam]:[AwayTeam]], H$1, Table1[[ActualResult]:[ActualResult]], "REG"),0), "-", TEXT(SUMIFS(Table1[[HomeWon]:[HomeWon]], Table1[[GameIsOver]:[GameIsOver]],1,Table1[[AwayTeam]:[AwayTeam]],$A3, Table1[[HomeTeam]:[HomeTeam]], H$1, Table1[[ActualResult]:[ActualResult]], "OT") + SUMIFS(Table1[[AwayWon]:[AwayWon]], Table1[[GameIsOver]:[GameIsOver]],1,Table1[[HomeTeam]:[HomeTeam]],$A3, Table1[[AwayTeam]:[AwayTeam]], H$1, Table1[[ActualResult]:[ActualResult]], "OT") + SUMIFS(Table1[[HomeWon]:[HomeWon]], Table1[[GameIsOver]:[GameIsOver]],1,Table1[[AwayTeam]:[AwayTeam]],$A3, Table1[[HomeTeam]:[HomeTeam]], H$1, Table1[[ActualResult]:[ActualResult]], "SO") + SUMIFS(Table1[[AwayWon]:[AwayWon]], Table1[[GameIsOver]:[GameIsOver]],1,Table1[[HomeTeam]:[HomeTeam]],$A3, Table1[[AwayTeam]:[AwayTeam]], H$1, Table1[[ActualResult]:[ActualResult]], "SO"),0))</f>
        <v>0-0-0</v>
      </c>
      <c r="I3" s="59" t="str">
        <f>_xlfn.CONCAT(TEXT(SUMIFS(Table1[[AwayWon]:[AwayWon]], Table1[[GameIsOver]:[GameIsOver]],1,Table1[[AwayTeam]:[AwayTeam]],$A3, Table1[[HomeTeam]:[HomeTeam]], I$1) + SUMIFS(Table1[[HomeWon]:[HomeWon]], Table1[[GameIsOver]:[GameIsOver]],1,Table1[[HomeTeam]:[HomeTeam]],$A3, Table1[[AwayTeam]:[AwayTeam]], I$1),0), "-", TEXT(SUMIFS(Table1[[HomeWon]:[HomeWon]], Table1[[GameIsOver]:[GameIsOver]],1,Table1[[AwayTeam]:[AwayTeam]],$A3, Table1[[HomeTeam]:[HomeTeam]], I$1, Table1[[ActualResult]:[ActualResult]], "REG") + SUMIFS(Table1[[AwayWon]:[AwayWon]], Table1[[GameIsOver]:[GameIsOver]],1,Table1[[HomeTeam]:[HomeTeam]],$A3, Table1[[AwayTeam]:[AwayTeam]], I$1, Table1[[ActualResult]:[ActualResult]], "REG"),0), "-", TEXT(SUMIFS(Table1[[HomeWon]:[HomeWon]], Table1[[GameIsOver]:[GameIsOver]],1,Table1[[AwayTeam]:[AwayTeam]],$A3, Table1[[HomeTeam]:[HomeTeam]], I$1, Table1[[ActualResult]:[ActualResult]], "OT") + SUMIFS(Table1[[AwayWon]:[AwayWon]], Table1[[GameIsOver]:[GameIsOver]],1,Table1[[HomeTeam]:[HomeTeam]],$A3, Table1[[AwayTeam]:[AwayTeam]], I$1, Table1[[ActualResult]:[ActualResult]], "OT") + SUMIFS(Table1[[HomeWon]:[HomeWon]], Table1[[GameIsOver]:[GameIsOver]],1,Table1[[AwayTeam]:[AwayTeam]],$A3, Table1[[HomeTeam]:[HomeTeam]], I$1, Table1[[ActualResult]:[ActualResult]], "SO") + SUMIFS(Table1[[AwayWon]:[AwayWon]], Table1[[GameIsOver]:[GameIsOver]],1,Table1[[HomeTeam]:[HomeTeam]],$A3, Table1[[AwayTeam]:[AwayTeam]], I$1, Table1[[ActualResult]:[ActualResult]], "SO"),0))</f>
        <v>0-0-0</v>
      </c>
      <c r="J3" s="57" t="str">
        <f>_xlfn.CONCAT(TEXT(SUMIFS(Table1[[AwayWon]:[AwayWon]], Table1[[GameIsOver]:[GameIsOver]],1,Table1[[AwayTeam]:[AwayTeam]],$A3, Table1[[HomeTeam]:[HomeTeam]], J$1) + SUMIFS(Table1[[HomeWon]:[HomeWon]], Table1[[GameIsOver]:[GameIsOver]],1,Table1[[HomeTeam]:[HomeTeam]],$A3, Table1[[AwayTeam]:[AwayTeam]], J$1),0), "-", TEXT(SUMIFS(Table1[[HomeWon]:[HomeWon]], Table1[[GameIsOver]:[GameIsOver]],1,Table1[[AwayTeam]:[AwayTeam]],$A3, Table1[[HomeTeam]:[HomeTeam]], J$1, Table1[[ActualResult]:[ActualResult]], "REG") + SUMIFS(Table1[[AwayWon]:[AwayWon]], Table1[[GameIsOver]:[GameIsOver]],1,Table1[[HomeTeam]:[HomeTeam]],$A3, Table1[[AwayTeam]:[AwayTeam]], J$1, Table1[[ActualResult]:[ActualResult]], "REG"),0), "-", TEXT(SUMIFS(Table1[[HomeWon]:[HomeWon]], Table1[[GameIsOver]:[GameIsOver]],1,Table1[[AwayTeam]:[AwayTeam]],$A3, Table1[[HomeTeam]:[HomeTeam]], J$1, Table1[[ActualResult]:[ActualResult]], "OT") + SUMIFS(Table1[[AwayWon]:[AwayWon]], Table1[[GameIsOver]:[GameIsOver]],1,Table1[[HomeTeam]:[HomeTeam]],$A3, Table1[[AwayTeam]:[AwayTeam]], J$1, Table1[[ActualResult]:[ActualResult]], "OT") + SUMIFS(Table1[[HomeWon]:[HomeWon]], Table1[[GameIsOver]:[GameIsOver]],1,Table1[[AwayTeam]:[AwayTeam]],$A3, Table1[[HomeTeam]:[HomeTeam]], J$1, Table1[[ActualResult]:[ActualResult]], "SO") + SUMIFS(Table1[[AwayWon]:[AwayWon]], Table1[[GameIsOver]:[GameIsOver]],1,Table1[[HomeTeam]:[HomeTeam]],$A3, Table1[[AwayTeam]:[AwayTeam]], J$1, Table1[[ActualResult]:[ActualResult]], "SO"),0))</f>
        <v>0-0-0</v>
      </c>
      <c r="K3" s="57" t="str">
        <f>_xlfn.CONCAT(TEXT(SUMIFS(Table1[[AwayWon]:[AwayWon]], Table1[[GameIsOver]:[GameIsOver]],1,Table1[[AwayTeam]:[AwayTeam]],$A3, Table1[[HomeTeam]:[HomeTeam]], K$1) + SUMIFS(Table1[[HomeWon]:[HomeWon]], Table1[[GameIsOver]:[GameIsOver]],1,Table1[[HomeTeam]:[HomeTeam]],$A3, Table1[[AwayTeam]:[AwayTeam]], K$1),0), "-", TEXT(SUMIFS(Table1[[HomeWon]:[HomeWon]], Table1[[GameIsOver]:[GameIsOver]],1,Table1[[AwayTeam]:[AwayTeam]],$A3, Table1[[HomeTeam]:[HomeTeam]], K$1, Table1[[ActualResult]:[ActualResult]], "REG") + SUMIFS(Table1[[AwayWon]:[AwayWon]], Table1[[GameIsOver]:[GameIsOver]],1,Table1[[HomeTeam]:[HomeTeam]],$A3, Table1[[AwayTeam]:[AwayTeam]], K$1, Table1[[ActualResult]:[ActualResult]], "REG"),0), "-", TEXT(SUMIFS(Table1[[HomeWon]:[HomeWon]], Table1[[GameIsOver]:[GameIsOver]],1,Table1[[AwayTeam]:[AwayTeam]],$A3, Table1[[HomeTeam]:[HomeTeam]], K$1, Table1[[ActualResult]:[ActualResult]], "OT") + SUMIFS(Table1[[AwayWon]:[AwayWon]], Table1[[GameIsOver]:[GameIsOver]],1,Table1[[HomeTeam]:[HomeTeam]],$A3, Table1[[AwayTeam]:[AwayTeam]], K$1, Table1[[ActualResult]:[ActualResult]], "OT") + SUMIFS(Table1[[HomeWon]:[HomeWon]], Table1[[GameIsOver]:[GameIsOver]],1,Table1[[AwayTeam]:[AwayTeam]],$A3, Table1[[HomeTeam]:[HomeTeam]], K$1, Table1[[ActualResult]:[ActualResult]], "SO") + SUMIFS(Table1[[AwayWon]:[AwayWon]], Table1[[GameIsOver]:[GameIsOver]],1,Table1[[HomeTeam]:[HomeTeam]],$A3, Table1[[AwayTeam]:[AwayTeam]], K$1, Table1[[ActualResult]:[ActualResult]], "SO"),0))</f>
        <v>0-0-0</v>
      </c>
      <c r="L3" s="57" t="str">
        <f>_xlfn.CONCAT(TEXT(SUMIFS(Table1[[AwayWon]:[AwayWon]], Table1[[GameIsOver]:[GameIsOver]],1,Table1[[AwayTeam]:[AwayTeam]],$A3, Table1[[HomeTeam]:[HomeTeam]], L$1) + SUMIFS(Table1[[HomeWon]:[HomeWon]], Table1[[GameIsOver]:[GameIsOver]],1,Table1[[HomeTeam]:[HomeTeam]],$A3, Table1[[AwayTeam]:[AwayTeam]], L$1),0), "-", TEXT(SUMIFS(Table1[[HomeWon]:[HomeWon]], Table1[[GameIsOver]:[GameIsOver]],1,Table1[[AwayTeam]:[AwayTeam]],$A3, Table1[[HomeTeam]:[HomeTeam]], L$1, Table1[[ActualResult]:[ActualResult]], "REG") + SUMIFS(Table1[[AwayWon]:[AwayWon]], Table1[[GameIsOver]:[GameIsOver]],1,Table1[[HomeTeam]:[HomeTeam]],$A3, Table1[[AwayTeam]:[AwayTeam]], L$1, Table1[[ActualResult]:[ActualResult]], "REG"),0), "-", TEXT(SUMIFS(Table1[[HomeWon]:[HomeWon]], Table1[[GameIsOver]:[GameIsOver]],1,Table1[[AwayTeam]:[AwayTeam]],$A3, Table1[[HomeTeam]:[HomeTeam]], L$1, Table1[[ActualResult]:[ActualResult]], "OT") + SUMIFS(Table1[[AwayWon]:[AwayWon]], Table1[[GameIsOver]:[GameIsOver]],1,Table1[[HomeTeam]:[HomeTeam]],$A3, Table1[[AwayTeam]:[AwayTeam]], L$1, Table1[[ActualResult]:[ActualResult]], "OT") + SUMIFS(Table1[[HomeWon]:[HomeWon]], Table1[[GameIsOver]:[GameIsOver]],1,Table1[[AwayTeam]:[AwayTeam]],$A3, Table1[[HomeTeam]:[HomeTeam]], L$1, Table1[[ActualResult]:[ActualResult]], "SO") + SUMIFS(Table1[[AwayWon]:[AwayWon]], Table1[[GameIsOver]:[GameIsOver]],1,Table1[[HomeTeam]:[HomeTeam]],$A3, Table1[[AwayTeam]:[AwayTeam]], L$1, Table1[[ActualResult]:[ActualResult]], "SO"),0))</f>
        <v>0-0-0</v>
      </c>
      <c r="M3" s="57" t="str">
        <f>_xlfn.CONCAT(TEXT(SUMIFS(Table1[[AwayWon]:[AwayWon]], Table1[[GameIsOver]:[GameIsOver]],1,Table1[[AwayTeam]:[AwayTeam]],$A3, Table1[[HomeTeam]:[HomeTeam]], M$1) + SUMIFS(Table1[[HomeWon]:[HomeWon]], Table1[[GameIsOver]:[GameIsOver]],1,Table1[[HomeTeam]:[HomeTeam]],$A3, Table1[[AwayTeam]:[AwayTeam]], M$1),0), "-", TEXT(SUMIFS(Table1[[HomeWon]:[HomeWon]], Table1[[GameIsOver]:[GameIsOver]],1,Table1[[AwayTeam]:[AwayTeam]],$A3, Table1[[HomeTeam]:[HomeTeam]], M$1, Table1[[ActualResult]:[ActualResult]], "REG") + SUMIFS(Table1[[AwayWon]:[AwayWon]], Table1[[GameIsOver]:[GameIsOver]],1,Table1[[HomeTeam]:[HomeTeam]],$A3, Table1[[AwayTeam]:[AwayTeam]], M$1, Table1[[ActualResult]:[ActualResult]], "REG"),0), "-", TEXT(SUMIFS(Table1[[HomeWon]:[HomeWon]], Table1[[GameIsOver]:[GameIsOver]],1,Table1[[AwayTeam]:[AwayTeam]],$A3, Table1[[HomeTeam]:[HomeTeam]], M$1, Table1[[ActualResult]:[ActualResult]], "OT") + SUMIFS(Table1[[AwayWon]:[AwayWon]], Table1[[GameIsOver]:[GameIsOver]],1,Table1[[HomeTeam]:[HomeTeam]],$A3, Table1[[AwayTeam]:[AwayTeam]], M$1, Table1[[ActualResult]:[ActualResult]], "OT") + SUMIFS(Table1[[HomeWon]:[HomeWon]], Table1[[GameIsOver]:[GameIsOver]],1,Table1[[AwayTeam]:[AwayTeam]],$A3, Table1[[HomeTeam]:[HomeTeam]], M$1, Table1[[ActualResult]:[ActualResult]], "SO") + SUMIFS(Table1[[AwayWon]:[AwayWon]], Table1[[GameIsOver]:[GameIsOver]],1,Table1[[HomeTeam]:[HomeTeam]],$A3, Table1[[AwayTeam]:[AwayTeam]], M$1, Table1[[ActualResult]:[ActualResult]], "SO"),0))</f>
        <v>0-0-0</v>
      </c>
      <c r="N3" s="57" t="str">
        <f>_xlfn.CONCAT(TEXT(SUMIFS(Table1[[AwayWon]:[AwayWon]], Table1[[GameIsOver]:[GameIsOver]],1,Table1[[AwayTeam]:[AwayTeam]],$A3, Table1[[HomeTeam]:[HomeTeam]], N$1) + SUMIFS(Table1[[HomeWon]:[HomeWon]], Table1[[GameIsOver]:[GameIsOver]],1,Table1[[HomeTeam]:[HomeTeam]],$A3, Table1[[AwayTeam]:[AwayTeam]], N$1),0), "-", TEXT(SUMIFS(Table1[[HomeWon]:[HomeWon]], Table1[[GameIsOver]:[GameIsOver]],1,Table1[[AwayTeam]:[AwayTeam]],$A3, Table1[[HomeTeam]:[HomeTeam]], N$1, Table1[[ActualResult]:[ActualResult]], "REG") + SUMIFS(Table1[[AwayWon]:[AwayWon]], Table1[[GameIsOver]:[GameIsOver]],1,Table1[[HomeTeam]:[HomeTeam]],$A3, Table1[[AwayTeam]:[AwayTeam]], N$1, Table1[[ActualResult]:[ActualResult]], "REG"),0), "-", TEXT(SUMIFS(Table1[[HomeWon]:[HomeWon]], Table1[[GameIsOver]:[GameIsOver]],1,Table1[[AwayTeam]:[AwayTeam]],$A3, Table1[[HomeTeam]:[HomeTeam]], N$1, Table1[[ActualResult]:[ActualResult]], "OT") + SUMIFS(Table1[[AwayWon]:[AwayWon]], Table1[[GameIsOver]:[GameIsOver]],1,Table1[[HomeTeam]:[HomeTeam]],$A3, Table1[[AwayTeam]:[AwayTeam]], N$1, Table1[[ActualResult]:[ActualResult]], "OT") + SUMIFS(Table1[[HomeWon]:[HomeWon]], Table1[[GameIsOver]:[GameIsOver]],1,Table1[[AwayTeam]:[AwayTeam]],$A3, Table1[[HomeTeam]:[HomeTeam]], N$1, Table1[[ActualResult]:[ActualResult]], "SO") + SUMIFS(Table1[[AwayWon]:[AwayWon]], Table1[[GameIsOver]:[GameIsOver]],1,Table1[[HomeTeam]:[HomeTeam]],$A3, Table1[[AwayTeam]:[AwayTeam]], N$1, Table1[[ActualResult]:[ActualResult]], "SO"),0))</f>
        <v>0-0-0</v>
      </c>
      <c r="O3" s="57" t="str">
        <f>_xlfn.CONCAT(TEXT(SUMIFS(Table1[[AwayWon]:[AwayWon]], Table1[[GameIsOver]:[GameIsOver]],1,Table1[[AwayTeam]:[AwayTeam]],$A3, Table1[[HomeTeam]:[HomeTeam]], O$1) + SUMIFS(Table1[[HomeWon]:[HomeWon]], Table1[[GameIsOver]:[GameIsOver]],1,Table1[[HomeTeam]:[HomeTeam]],$A3, Table1[[AwayTeam]:[AwayTeam]], O$1),0), "-", TEXT(SUMIFS(Table1[[HomeWon]:[HomeWon]], Table1[[GameIsOver]:[GameIsOver]],1,Table1[[AwayTeam]:[AwayTeam]],$A3, Table1[[HomeTeam]:[HomeTeam]], O$1, Table1[[ActualResult]:[ActualResult]], "REG") + SUMIFS(Table1[[AwayWon]:[AwayWon]], Table1[[GameIsOver]:[GameIsOver]],1,Table1[[HomeTeam]:[HomeTeam]],$A3, Table1[[AwayTeam]:[AwayTeam]], O$1, Table1[[ActualResult]:[ActualResult]], "REG"),0), "-", TEXT(SUMIFS(Table1[[HomeWon]:[HomeWon]], Table1[[GameIsOver]:[GameIsOver]],1,Table1[[AwayTeam]:[AwayTeam]],$A3, Table1[[HomeTeam]:[HomeTeam]], O$1, Table1[[ActualResult]:[ActualResult]], "OT") + SUMIFS(Table1[[AwayWon]:[AwayWon]], Table1[[GameIsOver]:[GameIsOver]],1,Table1[[HomeTeam]:[HomeTeam]],$A3, Table1[[AwayTeam]:[AwayTeam]], O$1, Table1[[ActualResult]:[ActualResult]], "OT") + SUMIFS(Table1[[HomeWon]:[HomeWon]], Table1[[GameIsOver]:[GameIsOver]],1,Table1[[AwayTeam]:[AwayTeam]],$A3, Table1[[HomeTeam]:[HomeTeam]], O$1, Table1[[ActualResult]:[ActualResult]], "SO") + SUMIFS(Table1[[AwayWon]:[AwayWon]], Table1[[GameIsOver]:[GameIsOver]],1,Table1[[HomeTeam]:[HomeTeam]],$A3, Table1[[AwayTeam]:[AwayTeam]], O$1, Table1[[ActualResult]:[ActualResult]], "SO"),0))</f>
        <v>0-0-0</v>
      </c>
      <c r="P3" s="57" t="str">
        <f>_xlfn.CONCAT(TEXT(SUMIFS(Table1[[AwayWon]:[AwayWon]], Table1[[GameIsOver]:[GameIsOver]],1,Table1[[AwayTeam]:[AwayTeam]],$A3, Table1[[HomeTeam]:[HomeTeam]], P$1) + SUMIFS(Table1[[HomeWon]:[HomeWon]], Table1[[GameIsOver]:[GameIsOver]],1,Table1[[HomeTeam]:[HomeTeam]],$A3, Table1[[AwayTeam]:[AwayTeam]], P$1),0), "-", TEXT(SUMIFS(Table1[[HomeWon]:[HomeWon]], Table1[[GameIsOver]:[GameIsOver]],1,Table1[[AwayTeam]:[AwayTeam]],$A3, Table1[[HomeTeam]:[HomeTeam]], P$1, Table1[[ActualResult]:[ActualResult]], "REG") + SUMIFS(Table1[[AwayWon]:[AwayWon]], Table1[[GameIsOver]:[GameIsOver]],1,Table1[[HomeTeam]:[HomeTeam]],$A3, Table1[[AwayTeam]:[AwayTeam]], P$1, Table1[[ActualResult]:[ActualResult]], "REG"),0), "-", TEXT(SUMIFS(Table1[[HomeWon]:[HomeWon]], Table1[[GameIsOver]:[GameIsOver]],1,Table1[[AwayTeam]:[AwayTeam]],$A3, Table1[[HomeTeam]:[HomeTeam]], P$1, Table1[[ActualResult]:[ActualResult]], "OT") + SUMIFS(Table1[[AwayWon]:[AwayWon]], Table1[[GameIsOver]:[GameIsOver]],1,Table1[[HomeTeam]:[HomeTeam]],$A3, Table1[[AwayTeam]:[AwayTeam]], P$1, Table1[[ActualResult]:[ActualResult]], "OT") + SUMIFS(Table1[[HomeWon]:[HomeWon]], Table1[[GameIsOver]:[GameIsOver]],1,Table1[[AwayTeam]:[AwayTeam]],$A3, Table1[[HomeTeam]:[HomeTeam]], P$1, Table1[[ActualResult]:[ActualResult]], "SO") + SUMIFS(Table1[[AwayWon]:[AwayWon]], Table1[[GameIsOver]:[GameIsOver]],1,Table1[[HomeTeam]:[HomeTeam]],$A3, Table1[[AwayTeam]:[AwayTeam]], P$1, Table1[[ActualResult]:[ActualResult]], "SO"),0))</f>
        <v>0-0-0</v>
      </c>
      <c r="Q3" s="59" t="str">
        <f>_xlfn.CONCAT(TEXT(SUMIFS(Table1[[AwayWon]:[AwayWon]], Table1[[GameIsOver]:[GameIsOver]],1,Table1[[AwayTeam]:[AwayTeam]],$A3, Table1[[HomeTeam]:[HomeTeam]], Q$1) + SUMIFS(Table1[[HomeWon]:[HomeWon]], Table1[[GameIsOver]:[GameIsOver]],1,Table1[[HomeTeam]:[HomeTeam]],$A3, Table1[[AwayTeam]:[AwayTeam]], Q$1),0), "-", TEXT(SUMIFS(Table1[[HomeWon]:[HomeWon]], Table1[[GameIsOver]:[GameIsOver]],1,Table1[[AwayTeam]:[AwayTeam]],$A3, Table1[[HomeTeam]:[HomeTeam]], Q$1, Table1[[ActualResult]:[ActualResult]], "REG") + SUMIFS(Table1[[AwayWon]:[AwayWon]], Table1[[GameIsOver]:[GameIsOver]],1,Table1[[HomeTeam]:[HomeTeam]],$A3, Table1[[AwayTeam]:[AwayTeam]], Q$1, Table1[[ActualResult]:[ActualResult]], "REG"),0), "-", TEXT(SUMIFS(Table1[[HomeWon]:[HomeWon]], Table1[[GameIsOver]:[GameIsOver]],1,Table1[[AwayTeam]:[AwayTeam]],$A3, Table1[[HomeTeam]:[HomeTeam]], Q$1, Table1[[ActualResult]:[ActualResult]], "OT") + SUMIFS(Table1[[AwayWon]:[AwayWon]], Table1[[GameIsOver]:[GameIsOver]],1,Table1[[HomeTeam]:[HomeTeam]],$A3, Table1[[AwayTeam]:[AwayTeam]], Q$1, Table1[[ActualResult]:[ActualResult]], "OT") + SUMIFS(Table1[[HomeWon]:[HomeWon]], Table1[[GameIsOver]:[GameIsOver]],1,Table1[[AwayTeam]:[AwayTeam]],$A3, Table1[[HomeTeam]:[HomeTeam]], Q$1, Table1[[ActualResult]:[ActualResult]], "SO") + SUMIFS(Table1[[AwayWon]:[AwayWon]], Table1[[GameIsOver]:[GameIsOver]],1,Table1[[HomeTeam]:[HomeTeam]],$A3, Table1[[AwayTeam]:[AwayTeam]], Q$1, Table1[[ActualResult]:[ActualResult]], "SO"),0))</f>
        <v>1-0-0</v>
      </c>
      <c r="R3" s="57" t="str">
        <f>_xlfn.CONCAT(TEXT(SUMIFS(Table1[[AwayWon]:[AwayWon]], Table1[[GameIsOver]:[GameIsOver]],1,Table1[[AwayTeam]:[AwayTeam]],$A3, Table1[[HomeTeam]:[HomeTeam]], R$1) + SUMIFS(Table1[[HomeWon]:[HomeWon]], Table1[[GameIsOver]:[GameIsOver]],1,Table1[[HomeTeam]:[HomeTeam]],$A3, Table1[[AwayTeam]:[AwayTeam]], R$1),0), "-", TEXT(SUMIFS(Table1[[HomeWon]:[HomeWon]], Table1[[GameIsOver]:[GameIsOver]],1,Table1[[AwayTeam]:[AwayTeam]],$A3, Table1[[HomeTeam]:[HomeTeam]], R$1, Table1[[ActualResult]:[ActualResult]], "REG") + SUMIFS(Table1[[AwayWon]:[AwayWon]], Table1[[GameIsOver]:[GameIsOver]],1,Table1[[HomeTeam]:[HomeTeam]],$A3, Table1[[AwayTeam]:[AwayTeam]], R$1, Table1[[ActualResult]:[ActualResult]], "REG"),0), "-", TEXT(SUMIFS(Table1[[HomeWon]:[HomeWon]], Table1[[GameIsOver]:[GameIsOver]],1,Table1[[AwayTeam]:[AwayTeam]],$A3, Table1[[HomeTeam]:[HomeTeam]], R$1, Table1[[ActualResult]:[ActualResult]], "OT") + SUMIFS(Table1[[AwayWon]:[AwayWon]], Table1[[GameIsOver]:[GameIsOver]],1,Table1[[HomeTeam]:[HomeTeam]],$A3, Table1[[AwayTeam]:[AwayTeam]], R$1, Table1[[ActualResult]:[ActualResult]], "OT") + SUMIFS(Table1[[HomeWon]:[HomeWon]], Table1[[GameIsOver]:[GameIsOver]],1,Table1[[AwayTeam]:[AwayTeam]],$A3, Table1[[HomeTeam]:[HomeTeam]], R$1, Table1[[ActualResult]:[ActualResult]], "SO") + SUMIFS(Table1[[AwayWon]:[AwayWon]], Table1[[GameIsOver]:[GameIsOver]],1,Table1[[HomeTeam]:[HomeTeam]],$A3, Table1[[AwayTeam]:[AwayTeam]], R$1, Table1[[ActualResult]:[ActualResult]], "SO"),0))</f>
        <v>0-0-0</v>
      </c>
      <c r="S3" s="57" t="str">
        <f>_xlfn.CONCAT(TEXT(SUMIFS(Table1[[AwayWon]:[AwayWon]], Table1[[GameIsOver]:[GameIsOver]],1,Table1[[AwayTeam]:[AwayTeam]],$A3, Table1[[HomeTeam]:[HomeTeam]], S$1) + SUMIFS(Table1[[HomeWon]:[HomeWon]], Table1[[GameIsOver]:[GameIsOver]],1,Table1[[HomeTeam]:[HomeTeam]],$A3, Table1[[AwayTeam]:[AwayTeam]], S$1),0), "-", TEXT(SUMIFS(Table1[[HomeWon]:[HomeWon]], Table1[[GameIsOver]:[GameIsOver]],1,Table1[[AwayTeam]:[AwayTeam]],$A3, Table1[[HomeTeam]:[HomeTeam]], S$1, Table1[[ActualResult]:[ActualResult]], "REG") + SUMIFS(Table1[[AwayWon]:[AwayWon]], Table1[[GameIsOver]:[GameIsOver]],1,Table1[[HomeTeam]:[HomeTeam]],$A3, Table1[[AwayTeam]:[AwayTeam]], S$1, Table1[[ActualResult]:[ActualResult]], "REG"),0), "-", TEXT(SUMIFS(Table1[[HomeWon]:[HomeWon]], Table1[[GameIsOver]:[GameIsOver]],1,Table1[[AwayTeam]:[AwayTeam]],$A3, Table1[[HomeTeam]:[HomeTeam]], S$1, Table1[[ActualResult]:[ActualResult]], "OT") + SUMIFS(Table1[[AwayWon]:[AwayWon]], Table1[[GameIsOver]:[GameIsOver]],1,Table1[[HomeTeam]:[HomeTeam]],$A3, Table1[[AwayTeam]:[AwayTeam]], S$1, Table1[[ActualResult]:[ActualResult]], "OT") + SUMIFS(Table1[[HomeWon]:[HomeWon]], Table1[[GameIsOver]:[GameIsOver]],1,Table1[[AwayTeam]:[AwayTeam]],$A3, Table1[[HomeTeam]:[HomeTeam]], S$1, Table1[[ActualResult]:[ActualResult]], "SO") + SUMIFS(Table1[[AwayWon]:[AwayWon]], Table1[[GameIsOver]:[GameIsOver]],1,Table1[[HomeTeam]:[HomeTeam]],$A3, Table1[[AwayTeam]:[AwayTeam]], S$1, Table1[[ActualResult]:[ActualResult]], "SO"),0))</f>
        <v>0-0-0</v>
      </c>
      <c r="T3" s="57" t="str">
        <f>_xlfn.CONCAT(TEXT(SUMIFS(Table1[[AwayWon]:[AwayWon]], Table1[[GameIsOver]:[GameIsOver]],1,Table1[[AwayTeam]:[AwayTeam]],$A3, Table1[[HomeTeam]:[HomeTeam]], T$1) + SUMIFS(Table1[[HomeWon]:[HomeWon]], Table1[[GameIsOver]:[GameIsOver]],1,Table1[[HomeTeam]:[HomeTeam]],$A3, Table1[[AwayTeam]:[AwayTeam]], T$1),0), "-", TEXT(SUMIFS(Table1[[HomeWon]:[HomeWon]], Table1[[GameIsOver]:[GameIsOver]],1,Table1[[AwayTeam]:[AwayTeam]],$A3, Table1[[HomeTeam]:[HomeTeam]], T$1, Table1[[ActualResult]:[ActualResult]], "REG") + SUMIFS(Table1[[AwayWon]:[AwayWon]], Table1[[GameIsOver]:[GameIsOver]],1,Table1[[HomeTeam]:[HomeTeam]],$A3, Table1[[AwayTeam]:[AwayTeam]], T$1, Table1[[ActualResult]:[ActualResult]], "REG"),0), "-", TEXT(SUMIFS(Table1[[HomeWon]:[HomeWon]], Table1[[GameIsOver]:[GameIsOver]],1,Table1[[AwayTeam]:[AwayTeam]],$A3, Table1[[HomeTeam]:[HomeTeam]], T$1, Table1[[ActualResult]:[ActualResult]], "OT") + SUMIFS(Table1[[AwayWon]:[AwayWon]], Table1[[GameIsOver]:[GameIsOver]],1,Table1[[HomeTeam]:[HomeTeam]],$A3, Table1[[AwayTeam]:[AwayTeam]], T$1, Table1[[ActualResult]:[ActualResult]], "OT") + SUMIFS(Table1[[HomeWon]:[HomeWon]], Table1[[GameIsOver]:[GameIsOver]],1,Table1[[AwayTeam]:[AwayTeam]],$A3, Table1[[HomeTeam]:[HomeTeam]], T$1, Table1[[ActualResult]:[ActualResult]], "SO") + SUMIFS(Table1[[AwayWon]:[AwayWon]], Table1[[GameIsOver]:[GameIsOver]],1,Table1[[HomeTeam]:[HomeTeam]],$A3, Table1[[AwayTeam]:[AwayTeam]], T$1, Table1[[ActualResult]:[ActualResult]], "SO"),0))</f>
        <v>0-0-0</v>
      </c>
      <c r="U3" s="57" t="str">
        <f>_xlfn.CONCAT(TEXT(SUMIFS(Table1[[AwayWon]:[AwayWon]], Table1[[GameIsOver]:[GameIsOver]],1,Table1[[AwayTeam]:[AwayTeam]],$A3, Table1[[HomeTeam]:[HomeTeam]], U$1) + SUMIFS(Table1[[HomeWon]:[HomeWon]], Table1[[GameIsOver]:[GameIsOver]],1,Table1[[HomeTeam]:[HomeTeam]],$A3, Table1[[AwayTeam]:[AwayTeam]], U$1),0), "-", TEXT(SUMIFS(Table1[[HomeWon]:[HomeWon]], Table1[[GameIsOver]:[GameIsOver]],1,Table1[[AwayTeam]:[AwayTeam]],$A3, Table1[[HomeTeam]:[HomeTeam]], U$1, Table1[[ActualResult]:[ActualResult]], "REG") + SUMIFS(Table1[[AwayWon]:[AwayWon]], Table1[[GameIsOver]:[GameIsOver]],1,Table1[[HomeTeam]:[HomeTeam]],$A3, Table1[[AwayTeam]:[AwayTeam]], U$1, Table1[[ActualResult]:[ActualResult]], "REG"),0), "-", TEXT(SUMIFS(Table1[[HomeWon]:[HomeWon]], Table1[[GameIsOver]:[GameIsOver]],1,Table1[[AwayTeam]:[AwayTeam]],$A3, Table1[[HomeTeam]:[HomeTeam]], U$1, Table1[[ActualResult]:[ActualResult]], "OT") + SUMIFS(Table1[[AwayWon]:[AwayWon]], Table1[[GameIsOver]:[GameIsOver]],1,Table1[[HomeTeam]:[HomeTeam]],$A3, Table1[[AwayTeam]:[AwayTeam]], U$1, Table1[[ActualResult]:[ActualResult]], "OT") + SUMIFS(Table1[[HomeWon]:[HomeWon]], Table1[[GameIsOver]:[GameIsOver]],1,Table1[[AwayTeam]:[AwayTeam]],$A3, Table1[[HomeTeam]:[HomeTeam]], U$1, Table1[[ActualResult]:[ActualResult]], "SO") + SUMIFS(Table1[[AwayWon]:[AwayWon]], Table1[[GameIsOver]:[GameIsOver]],1,Table1[[HomeTeam]:[HomeTeam]],$A3, Table1[[AwayTeam]:[AwayTeam]], U$1, Table1[[ActualResult]:[ActualResult]], "SO"),0))</f>
        <v>0-0-0</v>
      </c>
      <c r="V3" s="57" t="str">
        <f>_xlfn.CONCAT(TEXT(SUMIFS(Table1[[AwayWon]:[AwayWon]], Table1[[GameIsOver]:[GameIsOver]],1,Table1[[AwayTeam]:[AwayTeam]],$A3, Table1[[HomeTeam]:[HomeTeam]], V$1) + SUMIFS(Table1[[HomeWon]:[HomeWon]], Table1[[GameIsOver]:[GameIsOver]],1,Table1[[HomeTeam]:[HomeTeam]],$A3, Table1[[AwayTeam]:[AwayTeam]], V$1),0), "-", TEXT(SUMIFS(Table1[[HomeWon]:[HomeWon]], Table1[[GameIsOver]:[GameIsOver]],1,Table1[[AwayTeam]:[AwayTeam]],$A3, Table1[[HomeTeam]:[HomeTeam]], V$1, Table1[[ActualResult]:[ActualResult]], "REG") + SUMIFS(Table1[[AwayWon]:[AwayWon]], Table1[[GameIsOver]:[GameIsOver]],1,Table1[[HomeTeam]:[HomeTeam]],$A3, Table1[[AwayTeam]:[AwayTeam]], V$1, Table1[[ActualResult]:[ActualResult]], "REG"),0), "-", TEXT(SUMIFS(Table1[[HomeWon]:[HomeWon]], Table1[[GameIsOver]:[GameIsOver]],1,Table1[[AwayTeam]:[AwayTeam]],$A3, Table1[[HomeTeam]:[HomeTeam]], V$1, Table1[[ActualResult]:[ActualResult]], "OT") + SUMIFS(Table1[[AwayWon]:[AwayWon]], Table1[[GameIsOver]:[GameIsOver]],1,Table1[[HomeTeam]:[HomeTeam]],$A3, Table1[[AwayTeam]:[AwayTeam]], V$1, Table1[[ActualResult]:[ActualResult]], "OT") + SUMIFS(Table1[[HomeWon]:[HomeWon]], Table1[[GameIsOver]:[GameIsOver]],1,Table1[[AwayTeam]:[AwayTeam]],$A3, Table1[[HomeTeam]:[HomeTeam]], V$1, Table1[[ActualResult]:[ActualResult]], "SO") + SUMIFS(Table1[[AwayWon]:[AwayWon]], Table1[[GameIsOver]:[GameIsOver]],1,Table1[[HomeTeam]:[HomeTeam]],$A3, Table1[[AwayTeam]:[AwayTeam]], V$1, Table1[[ActualResult]:[ActualResult]], "SO"),0))</f>
        <v>0-0-0</v>
      </c>
      <c r="W3" s="57" t="str">
        <f>_xlfn.CONCAT(TEXT(SUMIFS(Table1[[AwayWon]:[AwayWon]], Table1[[GameIsOver]:[GameIsOver]],1,Table1[[AwayTeam]:[AwayTeam]],$A3, Table1[[HomeTeam]:[HomeTeam]], W$1) + SUMIFS(Table1[[HomeWon]:[HomeWon]], Table1[[GameIsOver]:[GameIsOver]],1,Table1[[HomeTeam]:[HomeTeam]],$A3, Table1[[AwayTeam]:[AwayTeam]], W$1),0), "-", TEXT(SUMIFS(Table1[[HomeWon]:[HomeWon]], Table1[[GameIsOver]:[GameIsOver]],1,Table1[[AwayTeam]:[AwayTeam]],$A3, Table1[[HomeTeam]:[HomeTeam]], W$1, Table1[[ActualResult]:[ActualResult]], "REG") + SUMIFS(Table1[[AwayWon]:[AwayWon]], Table1[[GameIsOver]:[GameIsOver]],1,Table1[[HomeTeam]:[HomeTeam]],$A3, Table1[[AwayTeam]:[AwayTeam]], W$1, Table1[[ActualResult]:[ActualResult]], "REG"),0), "-", TEXT(SUMIFS(Table1[[HomeWon]:[HomeWon]], Table1[[GameIsOver]:[GameIsOver]],1,Table1[[AwayTeam]:[AwayTeam]],$A3, Table1[[HomeTeam]:[HomeTeam]], W$1, Table1[[ActualResult]:[ActualResult]], "OT") + SUMIFS(Table1[[AwayWon]:[AwayWon]], Table1[[GameIsOver]:[GameIsOver]],1,Table1[[HomeTeam]:[HomeTeam]],$A3, Table1[[AwayTeam]:[AwayTeam]], W$1, Table1[[ActualResult]:[ActualResult]], "OT") + SUMIFS(Table1[[HomeWon]:[HomeWon]], Table1[[GameIsOver]:[GameIsOver]],1,Table1[[AwayTeam]:[AwayTeam]],$A3, Table1[[HomeTeam]:[HomeTeam]], W$1, Table1[[ActualResult]:[ActualResult]], "SO") + SUMIFS(Table1[[AwayWon]:[AwayWon]], Table1[[GameIsOver]:[GameIsOver]],1,Table1[[HomeTeam]:[HomeTeam]],$A3, Table1[[AwayTeam]:[AwayTeam]], W$1, Table1[[ActualResult]:[ActualResult]], "SO"),0))</f>
        <v>0-0-0</v>
      </c>
      <c r="X3" s="57" t="str">
        <f>_xlfn.CONCAT(TEXT(SUMIFS(Table1[[AwayWon]:[AwayWon]], Table1[[GameIsOver]:[GameIsOver]],1,Table1[[AwayTeam]:[AwayTeam]],$A3, Table1[[HomeTeam]:[HomeTeam]], X$1) + SUMIFS(Table1[[HomeWon]:[HomeWon]], Table1[[GameIsOver]:[GameIsOver]],1,Table1[[HomeTeam]:[HomeTeam]],$A3, Table1[[AwayTeam]:[AwayTeam]], X$1),0), "-", TEXT(SUMIFS(Table1[[HomeWon]:[HomeWon]], Table1[[GameIsOver]:[GameIsOver]],1,Table1[[AwayTeam]:[AwayTeam]],$A3, Table1[[HomeTeam]:[HomeTeam]], X$1, Table1[[ActualResult]:[ActualResult]], "REG") + SUMIFS(Table1[[AwayWon]:[AwayWon]], Table1[[GameIsOver]:[GameIsOver]],1,Table1[[HomeTeam]:[HomeTeam]],$A3, Table1[[AwayTeam]:[AwayTeam]], X$1, Table1[[ActualResult]:[ActualResult]], "REG"),0), "-", TEXT(SUMIFS(Table1[[HomeWon]:[HomeWon]], Table1[[GameIsOver]:[GameIsOver]],1,Table1[[AwayTeam]:[AwayTeam]],$A3, Table1[[HomeTeam]:[HomeTeam]], X$1, Table1[[ActualResult]:[ActualResult]], "OT") + SUMIFS(Table1[[AwayWon]:[AwayWon]], Table1[[GameIsOver]:[GameIsOver]],1,Table1[[HomeTeam]:[HomeTeam]],$A3, Table1[[AwayTeam]:[AwayTeam]], X$1, Table1[[ActualResult]:[ActualResult]], "OT") + SUMIFS(Table1[[HomeWon]:[HomeWon]], Table1[[GameIsOver]:[GameIsOver]],1,Table1[[AwayTeam]:[AwayTeam]],$A3, Table1[[HomeTeam]:[HomeTeam]], X$1, Table1[[ActualResult]:[ActualResult]], "SO") + SUMIFS(Table1[[AwayWon]:[AwayWon]], Table1[[GameIsOver]:[GameIsOver]],1,Table1[[HomeTeam]:[HomeTeam]],$A3, Table1[[AwayTeam]:[AwayTeam]], X$1, Table1[[ActualResult]:[ActualResult]], "SO"),0))</f>
        <v>0-0-0</v>
      </c>
      <c r="Y3" s="59" t="str">
        <f>_xlfn.CONCAT(TEXT(SUMIFS(Table1[[AwayWon]:[AwayWon]], Table1[[GameIsOver]:[GameIsOver]],1,Table1[[AwayTeam]:[AwayTeam]],$A3, Table1[[HomeTeam]:[HomeTeam]], Y$1) + SUMIFS(Table1[[HomeWon]:[HomeWon]], Table1[[GameIsOver]:[GameIsOver]],1,Table1[[HomeTeam]:[HomeTeam]],$A3, Table1[[AwayTeam]:[AwayTeam]], Y$1),0), "-", TEXT(SUMIFS(Table1[[HomeWon]:[HomeWon]], Table1[[GameIsOver]:[GameIsOver]],1,Table1[[AwayTeam]:[AwayTeam]],$A3, Table1[[HomeTeam]:[HomeTeam]], Y$1, Table1[[ActualResult]:[ActualResult]], "REG") + SUMIFS(Table1[[AwayWon]:[AwayWon]], Table1[[GameIsOver]:[GameIsOver]],1,Table1[[HomeTeam]:[HomeTeam]],$A3, Table1[[AwayTeam]:[AwayTeam]], Y$1, Table1[[ActualResult]:[ActualResult]], "REG"),0), "-", TEXT(SUMIFS(Table1[[HomeWon]:[HomeWon]], Table1[[GameIsOver]:[GameIsOver]],1,Table1[[AwayTeam]:[AwayTeam]],$A3, Table1[[HomeTeam]:[HomeTeam]], Y$1, Table1[[ActualResult]:[ActualResult]], "OT") + SUMIFS(Table1[[AwayWon]:[AwayWon]], Table1[[GameIsOver]:[GameIsOver]],1,Table1[[HomeTeam]:[HomeTeam]],$A3, Table1[[AwayTeam]:[AwayTeam]], Y$1, Table1[[ActualResult]:[ActualResult]], "OT") + SUMIFS(Table1[[HomeWon]:[HomeWon]], Table1[[GameIsOver]:[GameIsOver]],1,Table1[[AwayTeam]:[AwayTeam]],$A3, Table1[[HomeTeam]:[HomeTeam]], Y$1, Table1[[ActualResult]:[ActualResult]], "SO") + SUMIFS(Table1[[AwayWon]:[AwayWon]], Table1[[GameIsOver]:[GameIsOver]],1,Table1[[HomeTeam]:[HomeTeam]],$A3, Table1[[AwayTeam]:[AwayTeam]], Y$1, Table1[[ActualResult]:[ActualResult]], "SO"),0))</f>
        <v>0-0-0</v>
      </c>
      <c r="Z3" s="57" t="str">
        <f>_xlfn.CONCAT(TEXT(SUMIFS(Table1[[AwayWon]:[AwayWon]], Table1[[GameIsOver]:[GameIsOver]],1,Table1[[AwayTeam]:[AwayTeam]],$A3, Table1[[HomeTeam]:[HomeTeam]], Z$1) + SUMIFS(Table1[[HomeWon]:[HomeWon]], Table1[[GameIsOver]:[GameIsOver]],1,Table1[[HomeTeam]:[HomeTeam]],$A3, Table1[[AwayTeam]:[AwayTeam]], Z$1),0), "-", TEXT(SUMIFS(Table1[[HomeWon]:[HomeWon]], Table1[[GameIsOver]:[GameIsOver]],1,Table1[[AwayTeam]:[AwayTeam]],$A3, Table1[[HomeTeam]:[HomeTeam]], Z$1, Table1[[ActualResult]:[ActualResult]], "REG") + SUMIFS(Table1[[AwayWon]:[AwayWon]], Table1[[GameIsOver]:[GameIsOver]],1,Table1[[HomeTeam]:[HomeTeam]],$A3, Table1[[AwayTeam]:[AwayTeam]], Z$1, Table1[[ActualResult]:[ActualResult]], "REG"),0), "-", TEXT(SUMIFS(Table1[[HomeWon]:[HomeWon]], Table1[[GameIsOver]:[GameIsOver]],1,Table1[[AwayTeam]:[AwayTeam]],$A3, Table1[[HomeTeam]:[HomeTeam]], Z$1, Table1[[ActualResult]:[ActualResult]], "OT") + SUMIFS(Table1[[AwayWon]:[AwayWon]], Table1[[GameIsOver]:[GameIsOver]],1,Table1[[HomeTeam]:[HomeTeam]],$A3, Table1[[AwayTeam]:[AwayTeam]], Z$1, Table1[[ActualResult]:[ActualResult]], "OT") + SUMIFS(Table1[[HomeWon]:[HomeWon]], Table1[[GameIsOver]:[GameIsOver]],1,Table1[[AwayTeam]:[AwayTeam]],$A3, Table1[[HomeTeam]:[HomeTeam]], Z$1, Table1[[ActualResult]:[ActualResult]], "SO") + SUMIFS(Table1[[AwayWon]:[AwayWon]], Table1[[GameIsOver]:[GameIsOver]],1,Table1[[HomeTeam]:[HomeTeam]],$A3, Table1[[AwayTeam]:[AwayTeam]], Z$1, Table1[[ActualResult]:[ActualResult]], "SO"),0))</f>
        <v>0-0-0</v>
      </c>
      <c r="AA3" s="57" t="str">
        <f>_xlfn.CONCAT(TEXT(SUMIFS(Table1[[AwayWon]:[AwayWon]], Table1[[GameIsOver]:[GameIsOver]],1,Table1[[AwayTeam]:[AwayTeam]],$A3, Table1[[HomeTeam]:[HomeTeam]], AA$1) + SUMIFS(Table1[[HomeWon]:[HomeWon]], Table1[[GameIsOver]:[GameIsOver]],1,Table1[[HomeTeam]:[HomeTeam]],$A3, Table1[[AwayTeam]:[AwayTeam]], AA$1),0), "-", TEXT(SUMIFS(Table1[[HomeWon]:[HomeWon]], Table1[[GameIsOver]:[GameIsOver]],1,Table1[[AwayTeam]:[AwayTeam]],$A3, Table1[[HomeTeam]:[HomeTeam]], AA$1, Table1[[ActualResult]:[ActualResult]], "REG") + SUMIFS(Table1[[AwayWon]:[AwayWon]], Table1[[GameIsOver]:[GameIsOver]],1,Table1[[HomeTeam]:[HomeTeam]],$A3, Table1[[AwayTeam]:[AwayTeam]], AA$1, Table1[[ActualResult]:[ActualResult]], "REG"),0), "-", TEXT(SUMIFS(Table1[[HomeWon]:[HomeWon]], Table1[[GameIsOver]:[GameIsOver]],1,Table1[[AwayTeam]:[AwayTeam]],$A3, Table1[[HomeTeam]:[HomeTeam]], AA$1, Table1[[ActualResult]:[ActualResult]], "OT") + SUMIFS(Table1[[AwayWon]:[AwayWon]], Table1[[GameIsOver]:[GameIsOver]],1,Table1[[HomeTeam]:[HomeTeam]],$A3, Table1[[AwayTeam]:[AwayTeam]], AA$1, Table1[[ActualResult]:[ActualResult]], "OT") + SUMIFS(Table1[[HomeWon]:[HomeWon]], Table1[[GameIsOver]:[GameIsOver]],1,Table1[[AwayTeam]:[AwayTeam]],$A3, Table1[[HomeTeam]:[HomeTeam]], AA$1, Table1[[ActualResult]:[ActualResult]], "SO") + SUMIFS(Table1[[AwayWon]:[AwayWon]], Table1[[GameIsOver]:[GameIsOver]],1,Table1[[HomeTeam]:[HomeTeam]],$A3, Table1[[AwayTeam]:[AwayTeam]], AA$1, Table1[[ActualResult]:[ActualResult]], "SO"),0))</f>
        <v>0-0-1</v>
      </c>
      <c r="AB3" s="57" t="str">
        <f>_xlfn.CONCAT(TEXT(SUMIFS(Table1[[AwayWon]:[AwayWon]], Table1[[GameIsOver]:[GameIsOver]],1,Table1[[AwayTeam]:[AwayTeam]],$A3, Table1[[HomeTeam]:[HomeTeam]], AB$1) + SUMIFS(Table1[[HomeWon]:[HomeWon]], Table1[[GameIsOver]:[GameIsOver]],1,Table1[[HomeTeam]:[HomeTeam]],$A3, Table1[[AwayTeam]:[AwayTeam]], AB$1),0), "-", TEXT(SUMIFS(Table1[[HomeWon]:[HomeWon]], Table1[[GameIsOver]:[GameIsOver]],1,Table1[[AwayTeam]:[AwayTeam]],$A3, Table1[[HomeTeam]:[HomeTeam]], AB$1, Table1[[ActualResult]:[ActualResult]], "REG") + SUMIFS(Table1[[AwayWon]:[AwayWon]], Table1[[GameIsOver]:[GameIsOver]],1,Table1[[HomeTeam]:[HomeTeam]],$A3, Table1[[AwayTeam]:[AwayTeam]], AB$1, Table1[[ActualResult]:[ActualResult]], "REG"),0), "-", TEXT(SUMIFS(Table1[[HomeWon]:[HomeWon]], Table1[[GameIsOver]:[GameIsOver]],1,Table1[[AwayTeam]:[AwayTeam]],$A3, Table1[[HomeTeam]:[HomeTeam]], AB$1, Table1[[ActualResult]:[ActualResult]], "OT") + SUMIFS(Table1[[AwayWon]:[AwayWon]], Table1[[GameIsOver]:[GameIsOver]],1,Table1[[HomeTeam]:[HomeTeam]],$A3, Table1[[AwayTeam]:[AwayTeam]], AB$1, Table1[[ActualResult]:[ActualResult]], "OT") + SUMIFS(Table1[[HomeWon]:[HomeWon]], Table1[[GameIsOver]:[GameIsOver]],1,Table1[[AwayTeam]:[AwayTeam]],$A3, Table1[[HomeTeam]:[HomeTeam]], AB$1, Table1[[ActualResult]:[ActualResult]], "SO") + SUMIFS(Table1[[AwayWon]:[AwayWon]], Table1[[GameIsOver]:[GameIsOver]],1,Table1[[HomeTeam]:[HomeTeam]],$A3, Table1[[AwayTeam]:[AwayTeam]], AB$1, Table1[[ActualResult]:[ActualResult]], "SO"),0))</f>
        <v>0-0-0</v>
      </c>
      <c r="AC3" s="57" t="str">
        <f>_xlfn.CONCAT(TEXT(SUMIFS(Table1[[AwayWon]:[AwayWon]], Table1[[GameIsOver]:[GameIsOver]],1,Table1[[AwayTeam]:[AwayTeam]],$A3, Table1[[HomeTeam]:[HomeTeam]], AC$1) + SUMIFS(Table1[[HomeWon]:[HomeWon]], Table1[[GameIsOver]:[GameIsOver]],1,Table1[[HomeTeam]:[HomeTeam]],$A3, Table1[[AwayTeam]:[AwayTeam]], AC$1),0), "-", TEXT(SUMIFS(Table1[[HomeWon]:[HomeWon]], Table1[[GameIsOver]:[GameIsOver]],1,Table1[[AwayTeam]:[AwayTeam]],$A3, Table1[[HomeTeam]:[HomeTeam]], AC$1, Table1[[ActualResult]:[ActualResult]], "REG") + SUMIFS(Table1[[AwayWon]:[AwayWon]], Table1[[GameIsOver]:[GameIsOver]],1,Table1[[HomeTeam]:[HomeTeam]],$A3, Table1[[AwayTeam]:[AwayTeam]], AC$1, Table1[[ActualResult]:[ActualResult]], "REG"),0), "-", TEXT(SUMIFS(Table1[[HomeWon]:[HomeWon]], Table1[[GameIsOver]:[GameIsOver]],1,Table1[[AwayTeam]:[AwayTeam]],$A3, Table1[[HomeTeam]:[HomeTeam]], AC$1, Table1[[ActualResult]:[ActualResult]], "OT") + SUMIFS(Table1[[AwayWon]:[AwayWon]], Table1[[GameIsOver]:[GameIsOver]],1,Table1[[HomeTeam]:[HomeTeam]],$A3, Table1[[AwayTeam]:[AwayTeam]], AC$1, Table1[[ActualResult]:[ActualResult]], "OT") + SUMIFS(Table1[[HomeWon]:[HomeWon]], Table1[[GameIsOver]:[GameIsOver]],1,Table1[[AwayTeam]:[AwayTeam]],$A3, Table1[[HomeTeam]:[HomeTeam]], AC$1, Table1[[ActualResult]:[ActualResult]], "SO") + SUMIFS(Table1[[AwayWon]:[AwayWon]], Table1[[GameIsOver]:[GameIsOver]],1,Table1[[HomeTeam]:[HomeTeam]],$A3, Table1[[AwayTeam]:[AwayTeam]], AC$1, Table1[[ActualResult]:[ActualResult]], "SO"),0))</f>
        <v>0-0-0</v>
      </c>
      <c r="AD3" s="57" t="str">
        <f>_xlfn.CONCAT(TEXT(SUMIFS(Table1[[AwayWon]:[AwayWon]], Table1[[GameIsOver]:[GameIsOver]],1,Table1[[AwayTeam]:[AwayTeam]],$A3, Table1[[HomeTeam]:[HomeTeam]], AD$1) + SUMIFS(Table1[[HomeWon]:[HomeWon]], Table1[[GameIsOver]:[GameIsOver]],1,Table1[[HomeTeam]:[HomeTeam]],$A3, Table1[[AwayTeam]:[AwayTeam]], AD$1),0), "-", TEXT(SUMIFS(Table1[[HomeWon]:[HomeWon]], Table1[[GameIsOver]:[GameIsOver]],1,Table1[[AwayTeam]:[AwayTeam]],$A3, Table1[[HomeTeam]:[HomeTeam]], AD$1, Table1[[ActualResult]:[ActualResult]], "REG") + SUMIFS(Table1[[AwayWon]:[AwayWon]], Table1[[GameIsOver]:[GameIsOver]],1,Table1[[HomeTeam]:[HomeTeam]],$A3, Table1[[AwayTeam]:[AwayTeam]], AD$1, Table1[[ActualResult]:[ActualResult]], "REG"),0), "-", TEXT(SUMIFS(Table1[[HomeWon]:[HomeWon]], Table1[[GameIsOver]:[GameIsOver]],1,Table1[[AwayTeam]:[AwayTeam]],$A3, Table1[[HomeTeam]:[HomeTeam]], AD$1, Table1[[ActualResult]:[ActualResult]], "OT") + SUMIFS(Table1[[AwayWon]:[AwayWon]], Table1[[GameIsOver]:[GameIsOver]],1,Table1[[HomeTeam]:[HomeTeam]],$A3, Table1[[AwayTeam]:[AwayTeam]], AD$1, Table1[[ActualResult]:[ActualResult]], "OT") + SUMIFS(Table1[[HomeWon]:[HomeWon]], Table1[[GameIsOver]:[GameIsOver]],1,Table1[[AwayTeam]:[AwayTeam]],$A3, Table1[[HomeTeam]:[HomeTeam]], AD$1, Table1[[ActualResult]:[ActualResult]], "SO") + SUMIFS(Table1[[AwayWon]:[AwayWon]], Table1[[GameIsOver]:[GameIsOver]],1,Table1[[HomeTeam]:[HomeTeam]],$A3, Table1[[AwayTeam]:[AwayTeam]], AD$1, Table1[[ActualResult]:[ActualResult]], "SO"),0))</f>
        <v>0-0-0</v>
      </c>
      <c r="AE3" s="57" t="str">
        <f>_xlfn.CONCAT(TEXT(SUMIFS(Table1[[AwayWon]:[AwayWon]], Table1[[GameIsOver]:[GameIsOver]],1,Table1[[AwayTeam]:[AwayTeam]],$A3, Table1[[HomeTeam]:[HomeTeam]], AE$1) + SUMIFS(Table1[[HomeWon]:[HomeWon]], Table1[[GameIsOver]:[GameIsOver]],1,Table1[[HomeTeam]:[HomeTeam]],$A3, Table1[[AwayTeam]:[AwayTeam]], AE$1),0), "-", TEXT(SUMIFS(Table1[[HomeWon]:[HomeWon]], Table1[[GameIsOver]:[GameIsOver]],1,Table1[[AwayTeam]:[AwayTeam]],$A3, Table1[[HomeTeam]:[HomeTeam]], AE$1, Table1[[ActualResult]:[ActualResult]], "REG") + SUMIFS(Table1[[AwayWon]:[AwayWon]], Table1[[GameIsOver]:[GameIsOver]],1,Table1[[HomeTeam]:[HomeTeam]],$A3, Table1[[AwayTeam]:[AwayTeam]], AE$1, Table1[[ActualResult]:[ActualResult]], "REG"),0), "-", TEXT(SUMIFS(Table1[[HomeWon]:[HomeWon]], Table1[[GameIsOver]:[GameIsOver]],1,Table1[[AwayTeam]:[AwayTeam]],$A3, Table1[[HomeTeam]:[HomeTeam]], AE$1, Table1[[ActualResult]:[ActualResult]], "OT") + SUMIFS(Table1[[AwayWon]:[AwayWon]], Table1[[GameIsOver]:[GameIsOver]],1,Table1[[HomeTeam]:[HomeTeam]],$A3, Table1[[AwayTeam]:[AwayTeam]], AE$1, Table1[[ActualResult]:[ActualResult]], "OT") + SUMIFS(Table1[[HomeWon]:[HomeWon]], Table1[[GameIsOver]:[GameIsOver]],1,Table1[[AwayTeam]:[AwayTeam]],$A3, Table1[[HomeTeam]:[HomeTeam]], AE$1, Table1[[ActualResult]:[ActualResult]], "SO") + SUMIFS(Table1[[AwayWon]:[AwayWon]], Table1[[GameIsOver]:[GameIsOver]],1,Table1[[HomeTeam]:[HomeTeam]],$A3, Table1[[AwayTeam]:[AwayTeam]], AE$1, Table1[[ActualResult]:[ActualResult]], "SO"),0))</f>
        <v>1-0-0</v>
      </c>
      <c r="AF3" s="57" t="str">
        <f>_xlfn.CONCAT(TEXT(SUMIFS(Table1[[AwayWon]:[AwayWon]], Table1[[GameIsOver]:[GameIsOver]],1,Table1[[AwayTeam]:[AwayTeam]],$A3, Table1[[HomeTeam]:[HomeTeam]], AF$1) + SUMIFS(Table1[[HomeWon]:[HomeWon]], Table1[[GameIsOver]:[GameIsOver]],1,Table1[[HomeTeam]:[HomeTeam]],$A3, Table1[[AwayTeam]:[AwayTeam]], AF$1),0), "-", TEXT(SUMIFS(Table1[[HomeWon]:[HomeWon]], Table1[[GameIsOver]:[GameIsOver]],1,Table1[[AwayTeam]:[AwayTeam]],$A3, Table1[[HomeTeam]:[HomeTeam]], AF$1, Table1[[ActualResult]:[ActualResult]], "REG") + SUMIFS(Table1[[AwayWon]:[AwayWon]], Table1[[GameIsOver]:[GameIsOver]],1,Table1[[HomeTeam]:[HomeTeam]],$A3, Table1[[AwayTeam]:[AwayTeam]], AF$1, Table1[[ActualResult]:[ActualResult]], "REG"),0), "-", TEXT(SUMIFS(Table1[[HomeWon]:[HomeWon]], Table1[[GameIsOver]:[GameIsOver]],1,Table1[[AwayTeam]:[AwayTeam]],$A3, Table1[[HomeTeam]:[HomeTeam]], AF$1, Table1[[ActualResult]:[ActualResult]], "OT") + SUMIFS(Table1[[AwayWon]:[AwayWon]], Table1[[GameIsOver]:[GameIsOver]],1,Table1[[HomeTeam]:[HomeTeam]],$A3, Table1[[AwayTeam]:[AwayTeam]], AF$1, Table1[[ActualResult]:[ActualResult]], "OT") + SUMIFS(Table1[[HomeWon]:[HomeWon]], Table1[[GameIsOver]:[GameIsOver]],1,Table1[[AwayTeam]:[AwayTeam]],$A3, Table1[[HomeTeam]:[HomeTeam]], AF$1, Table1[[ActualResult]:[ActualResult]], "SO") + SUMIFS(Table1[[AwayWon]:[AwayWon]], Table1[[GameIsOver]:[GameIsOver]],1,Table1[[HomeTeam]:[HomeTeam]],$A3, Table1[[AwayTeam]:[AwayTeam]], AF$1, Table1[[ActualResult]:[ActualResult]], "SO"),0))</f>
        <v>0-0-0</v>
      </c>
      <c r="AG3" s="57" t="str">
        <f>_xlfn.CONCAT(TEXT(SUMIFS(Table1[[AwayWon]:[AwayWon]], Table1[[GameIsOver]:[GameIsOver]],1,Table1[[AwayTeam]:[AwayTeam]],$A3, Table1[[HomeTeam]:[HomeTeam]], AG$1) + SUMIFS(Table1[[HomeWon]:[HomeWon]], Table1[[GameIsOver]:[GameIsOver]],1,Table1[[HomeTeam]:[HomeTeam]],$A3, Table1[[AwayTeam]:[AwayTeam]], AG$1),0), "-", TEXT(SUMIFS(Table1[[HomeWon]:[HomeWon]], Table1[[GameIsOver]:[GameIsOver]],1,Table1[[AwayTeam]:[AwayTeam]],$A3, Table1[[HomeTeam]:[HomeTeam]], AG$1, Table1[[ActualResult]:[ActualResult]], "REG") + SUMIFS(Table1[[AwayWon]:[AwayWon]], Table1[[GameIsOver]:[GameIsOver]],1,Table1[[HomeTeam]:[HomeTeam]],$A3, Table1[[AwayTeam]:[AwayTeam]], AG$1, Table1[[ActualResult]:[ActualResult]], "REG"),0), "-", TEXT(SUMIFS(Table1[[HomeWon]:[HomeWon]], Table1[[GameIsOver]:[GameIsOver]],1,Table1[[AwayTeam]:[AwayTeam]],$A3, Table1[[HomeTeam]:[HomeTeam]], AG$1, Table1[[ActualResult]:[ActualResult]], "OT") + SUMIFS(Table1[[AwayWon]:[AwayWon]], Table1[[GameIsOver]:[GameIsOver]],1,Table1[[HomeTeam]:[HomeTeam]],$A3, Table1[[AwayTeam]:[AwayTeam]], AG$1, Table1[[ActualResult]:[ActualResult]], "OT") + SUMIFS(Table1[[HomeWon]:[HomeWon]], Table1[[GameIsOver]:[GameIsOver]],1,Table1[[AwayTeam]:[AwayTeam]],$A3, Table1[[HomeTeam]:[HomeTeam]], AG$1, Table1[[ActualResult]:[ActualResult]], "SO") + SUMIFS(Table1[[AwayWon]:[AwayWon]], Table1[[GameIsOver]:[GameIsOver]],1,Table1[[HomeTeam]:[HomeTeam]],$A3, Table1[[AwayTeam]:[AwayTeam]], AG$1, Table1[[ActualResult]:[ActualResult]], "SO"),0))</f>
        <v>0-0-0</v>
      </c>
    </row>
    <row r="4" spans="1:33" x14ac:dyDescent="0.25">
      <c r="A4" s="28" t="s">
        <v>45</v>
      </c>
      <c r="B4" s="57" t="str">
        <f>_xlfn.CONCAT(TEXT(SUMIFS(Table1[[AwayWon]:[AwayWon]], Table1[[GameIsOver]:[GameIsOver]],1,Table1[[AwayTeam]:[AwayTeam]],$A4, Table1[[HomeTeam]:[HomeTeam]], B$1) + SUMIFS(Table1[[HomeWon]:[HomeWon]], Table1[[GameIsOver]:[GameIsOver]],1,Table1[[HomeTeam]:[HomeTeam]],$A4, Table1[[AwayTeam]:[AwayTeam]], B$1),0), "-", TEXT(SUMIFS(Table1[[HomeWon]:[HomeWon]], Table1[[GameIsOver]:[GameIsOver]],1,Table1[[AwayTeam]:[AwayTeam]],$A4, Table1[[HomeTeam]:[HomeTeam]], B$1, Table1[[ActualResult]:[ActualResult]], "REG") + SUMIFS(Table1[[AwayWon]:[AwayWon]], Table1[[GameIsOver]:[GameIsOver]],1,Table1[[HomeTeam]:[HomeTeam]],$A4, Table1[[AwayTeam]:[AwayTeam]], B$1, Table1[[ActualResult]:[ActualResult]], "REG"),0), "-", TEXT(SUMIFS(Table1[[HomeWon]:[HomeWon]], Table1[[GameIsOver]:[GameIsOver]],1,Table1[[AwayTeam]:[AwayTeam]],$A4, Table1[[HomeTeam]:[HomeTeam]], B$1, Table1[[ActualResult]:[ActualResult]], "OT") + SUMIFS(Table1[[AwayWon]:[AwayWon]], Table1[[GameIsOver]:[GameIsOver]],1,Table1[[HomeTeam]:[HomeTeam]],$A4, Table1[[AwayTeam]:[AwayTeam]], B$1, Table1[[ActualResult]:[ActualResult]], "OT") + SUMIFS(Table1[[HomeWon]:[HomeWon]], Table1[[GameIsOver]:[GameIsOver]],1,Table1[[AwayTeam]:[AwayTeam]],$A4, Table1[[HomeTeam]:[HomeTeam]], B$1, Table1[[ActualResult]:[ActualResult]], "SO") + SUMIFS(Table1[[AwayWon]:[AwayWon]], Table1[[GameIsOver]:[GameIsOver]],1,Table1[[HomeTeam]:[HomeTeam]],$A4, Table1[[AwayTeam]:[AwayTeam]], B$1, Table1[[ActualResult]:[ActualResult]], "SO"),0))</f>
        <v>0-0-0</v>
      </c>
      <c r="C4" s="57" t="str">
        <f>_xlfn.CONCAT(TEXT(SUMIFS(Table1[[AwayWon]:[AwayWon]], Table1[[GameIsOver]:[GameIsOver]],1,Table1[[AwayTeam]:[AwayTeam]],$A4, Table1[[HomeTeam]:[HomeTeam]], C$1) + SUMIFS(Table1[[HomeWon]:[HomeWon]], Table1[[GameIsOver]:[GameIsOver]],1,Table1[[HomeTeam]:[HomeTeam]],$A4, Table1[[AwayTeam]:[AwayTeam]], C$1),0), "-", TEXT(SUMIFS(Table1[[HomeWon]:[HomeWon]], Table1[[GameIsOver]:[GameIsOver]],1,Table1[[AwayTeam]:[AwayTeam]],$A4, Table1[[HomeTeam]:[HomeTeam]], C$1, Table1[[ActualResult]:[ActualResult]], "REG") + SUMIFS(Table1[[AwayWon]:[AwayWon]], Table1[[GameIsOver]:[GameIsOver]],1,Table1[[HomeTeam]:[HomeTeam]],$A4, Table1[[AwayTeam]:[AwayTeam]], C$1, Table1[[ActualResult]:[ActualResult]], "REG"),0), "-", TEXT(SUMIFS(Table1[[HomeWon]:[HomeWon]], Table1[[GameIsOver]:[GameIsOver]],1,Table1[[AwayTeam]:[AwayTeam]],$A4, Table1[[HomeTeam]:[HomeTeam]], C$1, Table1[[ActualResult]:[ActualResult]], "OT") + SUMIFS(Table1[[AwayWon]:[AwayWon]], Table1[[GameIsOver]:[GameIsOver]],1,Table1[[HomeTeam]:[HomeTeam]],$A4, Table1[[AwayTeam]:[AwayTeam]], C$1, Table1[[ActualResult]:[ActualResult]], "OT") + SUMIFS(Table1[[HomeWon]:[HomeWon]], Table1[[GameIsOver]:[GameIsOver]],1,Table1[[AwayTeam]:[AwayTeam]],$A4, Table1[[HomeTeam]:[HomeTeam]], C$1, Table1[[ActualResult]:[ActualResult]], "SO") + SUMIFS(Table1[[AwayWon]:[AwayWon]], Table1[[GameIsOver]:[GameIsOver]],1,Table1[[HomeTeam]:[HomeTeam]],$A4, Table1[[AwayTeam]:[AwayTeam]], C$1, Table1[[ActualResult]:[ActualResult]], "SO"),0))</f>
        <v>0-0-0</v>
      </c>
      <c r="D4" s="57" t="str">
        <f>_xlfn.CONCAT(TEXT(SUMIFS(Table1[[AwayWon]:[AwayWon]], Table1[[GameIsOver]:[GameIsOver]],1,Table1[[AwayTeam]:[AwayTeam]],$A4, Table1[[HomeTeam]:[HomeTeam]], D$1) + SUMIFS(Table1[[HomeWon]:[HomeWon]], Table1[[GameIsOver]:[GameIsOver]],1,Table1[[HomeTeam]:[HomeTeam]],$A4, Table1[[AwayTeam]:[AwayTeam]], D$1),0), "-", TEXT(SUMIFS(Table1[[HomeWon]:[HomeWon]], Table1[[GameIsOver]:[GameIsOver]],1,Table1[[AwayTeam]:[AwayTeam]],$A4, Table1[[HomeTeam]:[HomeTeam]], D$1, Table1[[ActualResult]:[ActualResult]], "REG") + SUMIFS(Table1[[AwayWon]:[AwayWon]], Table1[[GameIsOver]:[GameIsOver]],1,Table1[[HomeTeam]:[HomeTeam]],$A4, Table1[[AwayTeam]:[AwayTeam]], D$1, Table1[[ActualResult]:[ActualResult]], "REG"),0), "-", TEXT(SUMIFS(Table1[[HomeWon]:[HomeWon]], Table1[[GameIsOver]:[GameIsOver]],1,Table1[[AwayTeam]:[AwayTeam]],$A4, Table1[[HomeTeam]:[HomeTeam]], D$1, Table1[[ActualResult]:[ActualResult]], "OT") + SUMIFS(Table1[[AwayWon]:[AwayWon]], Table1[[GameIsOver]:[GameIsOver]],1,Table1[[HomeTeam]:[HomeTeam]],$A4, Table1[[AwayTeam]:[AwayTeam]], D$1, Table1[[ActualResult]:[ActualResult]], "OT") + SUMIFS(Table1[[HomeWon]:[HomeWon]], Table1[[GameIsOver]:[GameIsOver]],1,Table1[[AwayTeam]:[AwayTeam]],$A4, Table1[[HomeTeam]:[HomeTeam]], D$1, Table1[[ActualResult]:[ActualResult]], "SO") + SUMIFS(Table1[[AwayWon]:[AwayWon]], Table1[[GameIsOver]:[GameIsOver]],1,Table1[[HomeTeam]:[HomeTeam]],$A4, Table1[[AwayTeam]:[AwayTeam]], D$1, Table1[[ActualResult]:[ActualResult]], "SO"),0))</f>
        <v>0-0-0</v>
      </c>
      <c r="E4" s="57" t="str">
        <f>_xlfn.CONCAT(TEXT(SUMIFS(Table1[[AwayWon]:[AwayWon]], Table1[[GameIsOver]:[GameIsOver]],1,Table1[[AwayTeam]:[AwayTeam]],$A4, Table1[[HomeTeam]:[HomeTeam]], E$1) + SUMIFS(Table1[[HomeWon]:[HomeWon]], Table1[[GameIsOver]:[GameIsOver]],1,Table1[[HomeTeam]:[HomeTeam]],$A4, Table1[[AwayTeam]:[AwayTeam]], E$1),0), "-", TEXT(SUMIFS(Table1[[HomeWon]:[HomeWon]], Table1[[GameIsOver]:[GameIsOver]],1,Table1[[AwayTeam]:[AwayTeam]],$A4, Table1[[HomeTeam]:[HomeTeam]], E$1, Table1[[ActualResult]:[ActualResult]], "REG") + SUMIFS(Table1[[AwayWon]:[AwayWon]], Table1[[GameIsOver]:[GameIsOver]],1,Table1[[HomeTeam]:[HomeTeam]],$A4, Table1[[AwayTeam]:[AwayTeam]], E$1, Table1[[ActualResult]:[ActualResult]], "REG"),0), "-", TEXT(SUMIFS(Table1[[HomeWon]:[HomeWon]], Table1[[GameIsOver]:[GameIsOver]],1,Table1[[AwayTeam]:[AwayTeam]],$A4, Table1[[HomeTeam]:[HomeTeam]], E$1, Table1[[ActualResult]:[ActualResult]], "OT") + SUMIFS(Table1[[AwayWon]:[AwayWon]], Table1[[GameIsOver]:[GameIsOver]],1,Table1[[HomeTeam]:[HomeTeam]],$A4, Table1[[AwayTeam]:[AwayTeam]], E$1, Table1[[ActualResult]:[ActualResult]], "OT") + SUMIFS(Table1[[HomeWon]:[HomeWon]], Table1[[GameIsOver]:[GameIsOver]],1,Table1[[AwayTeam]:[AwayTeam]],$A4, Table1[[HomeTeam]:[HomeTeam]], E$1, Table1[[ActualResult]:[ActualResult]], "SO") + SUMIFS(Table1[[AwayWon]:[AwayWon]], Table1[[GameIsOver]:[GameIsOver]],1,Table1[[HomeTeam]:[HomeTeam]],$A4, Table1[[AwayTeam]:[AwayTeam]], E$1, Table1[[ActualResult]:[ActualResult]], "SO"),0))</f>
        <v>0-0-0</v>
      </c>
      <c r="F4" s="57" t="str">
        <f>_xlfn.CONCAT(TEXT(SUMIFS(Table1[[AwayWon]:[AwayWon]], Table1[[GameIsOver]:[GameIsOver]],1,Table1[[AwayTeam]:[AwayTeam]],$A4, Table1[[HomeTeam]:[HomeTeam]], F$1) + SUMIFS(Table1[[HomeWon]:[HomeWon]], Table1[[GameIsOver]:[GameIsOver]],1,Table1[[HomeTeam]:[HomeTeam]],$A4, Table1[[AwayTeam]:[AwayTeam]], F$1),0), "-", TEXT(SUMIFS(Table1[[HomeWon]:[HomeWon]], Table1[[GameIsOver]:[GameIsOver]],1,Table1[[AwayTeam]:[AwayTeam]],$A4, Table1[[HomeTeam]:[HomeTeam]], F$1, Table1[[ActualResult]:[ActualResult]], "REG") + SUMIFS(Table1[[AwayWon]:[AwayWon]], Table1[[GameIsOver]:[GameIsOver]],1,Table1[[HomeTeam]:[HomeTeam]],$A4, Table1[[AwayTeam]:[AwayTeam]], F$1, Table1[[ActualResult]:[ActualResult]], "REG"),0), "-", TEXT(SUMIFS(Table1[[HomeWon]:[HomeWon]], Table1[[GameIsOver]:[GameIsOver]],1,Table1[[AwayTeam]:[AwayTeam]],$A4, Table1[[HomeTeam]:[HomeTeam]], F$1, Table1[[ActualResult]:[ActualResult]], "OT") + SUMIFS(Table1[[AwayWon]:[AwayWon]], Table1[[GameIsOver]:[GameIsOver]],1,Table1[[HomeTeam]:[HomeTeam]],$A4, Table1[[AwayTeam]:[AwayTeam]], F$1, Table1[[ActualResult]:[ActualResult]], "OT") + SUMIFS(Table1[[HomeWon]:[HomeWon]], Table1[[GameIsOver]:[GameIsOver]],1,Table1[[AwayTeam]:[AwayTeam]],$A4, Table1[[HomeTeam]:[HomeTeam]], F$1, Table1[[ActualResult]:[ActualResult]], "SO") + SUMIFS(Table1[[AwayWon]:[AwayWon]], Table1[[GameIsOver]:[GameIsOver]],1,Table1[[HomeTeam]:[HomeTeam]],$A4, Table1[[AwayTeam]:[AwayTeam]], F$1, Table1[[ActualResult]:[ActualResult]], "SO"),0))</f>
        <v>0-0-0</v>
      </c>
      <c r="G4" s="57" t="str">
        <f>_xlfn.CONCAT(TEXT(SUMIFS(Table1[[AwayWon]:[AwayWon]], Table1[[GameIsOver]:[GameIsOver]],1,Table1[[AwayTeam]:[AwayTeam]],$A4, Table1[[HomeTeam]:[HomeTeam]], G$1) + SUMIFS(Table1[[HomeWon]:[HomeWon]], Table1[[GameIsOver]:[GameIsOver]],1,Table1[[HomeTeam]:[HomeTeam]],$A4, Table1[[AwayTeam]:[AwayTeam]], G$1),0), "-", TEXT(SUMIFS(Table1[[HomeWon]:[HomeWon]], Table1[[GameIsOver]:[GameIsOver]],1,Table1[[AwayTeam]:[AwayTeam]],$A4, Table1[[HomeTeam]:[HomeTeam]], G$1, Table1[[ActualResult]:[ActualResult]], "REG") + SUMIFS(Table1[[AwayWon]:[AwayWon]], Table1[[GameIsOver]:[GameIsOver]],1,Table1[[HomeTeam]:[HomeTeam]],$A4, Table1[[AwayTeam]:[AwayTeam]], G$1, Table1[[ActualResult]:[ActualResult]], "REG"),0), "-", TEXT(SUMIFS(Table1[[HomeWon]:[HomeWon]], Table1[[GameIsOver]:[GameIsOver]],1,Table1[[AwayTeam]:[AwayTeam]],$A4, Table1[[HomeTeam]:[HomeTeam]], G$1, Table1[[ActualResult]:[ActualResult]], "OT") + SUMIFS(Table1[[AwayWon]:[AwayWon]], Table1[[GameIsOver]:[GameIsOver]],1,Table1[[HomeTeam]:[HomeTeam]],$A4, Table1[[AwayTeam]:[AwayTeam]], G$1, Table1[[ActualResult]:[ActualResult]], "OT") + SUMIFS(Table1[[HomeWon]:[HomeWon]], Table1[[GameIsOver]:[GameIsOver]],1,Table1[[AwayTeam]:[AwayTeam]],$A4, Table1[[HomeTeam]:[HomeTeam]], G$1, Table1[[ActualResult]:[ActualResult]], "SO") + SUMIFS(Table1[[AwayWon]:[AwayWon]], Table1[[GameIsOver]:[GameIsOver]],1,Table1[[HomeTeam]:[HomeTeam]],$A4, Table1[[AwayTeam]:[AwayTeam]], G$1, Table1[[ActualResult]:[ActualResult]], "SO"),0))</f>
        <v>0-0-0</v>
      </c>
      <c r="H4" s="57" t="str">
        <f>_xlfn.CONCAT(TEXT(SUMIFS(Table1[[AwayWon]:[AwayWon]], Table1[[GameIsOver]:[GameIsOver]],1,Table1[[AwayTeam]:[AwayTeam]],$A4, Table1[[HomeTeam]:[HomeTeam]], H$1) + SUMIFS(Table1[[HomeWon]:[HomeWon]], Table1[[GameIsOver]:[GameIsOver]],1,Table1[[HomeTeam]:[HomeTeam]],$A4, Table1[[AwayTeam]:[AwayTeam]], H$1),0), "-", TEXT(SUMIFS(Table1[[HomeWon]:[HomeWon]], Table1[[GameIsOver]:[GameIsOver]],1,Table1[[AwayTeam]:[AwayTeam]],$A4, Table1[[HomeTeam]:[HomeTeam]], H$1, Table1[[ActualResult]:[ActualResult]], "REG") + SUMIFS(Table1[[AwayWon]:[AwayWon]], Table1[[GameIsOver]:[GameIsOver]],1,Table1[[HomeTeam]:[HomeTeam]],$A4, Table1[[AwayTeam]:[AwayTeam]], H$1, Table1[[ActualResult]:[ActualResult]], "REG"),0), "-", TEXT(SUMIFS(Table1[[HomeWon]:[HomeWon]], Table1[[GameIsOver]:[GameIsOver]],1,Table1[[AwayTeam]:[AwayTeam]],$A4, Table1[[HomeTeam]:[HomeTeam]], H$1, Table1[[ActualResult]:[ActualResult]], "OT") + SUMIFS(Table1[[AwayWon]:[AwayWon]], Table1[[GameIsOver]:[GameIsOver]],1,Table1[[HomeTeam]:[HomeTeam]],$A4, Table1[[AwayTeam]:[AwayTeam]], H$1, Table1[[ActualResult]:[ActualResult]], "OT") + SUMIFS(Table1[[HomeWon]:[HomeWon]], Table1[[GameIsOver]:[GameIsOver]],1,Table1[[AwayTeam]:[AwayTeam]],$A4, Table1[[HomeTeam]:[HomeTeam]], H$1, Table1[[ActualResult]:[ActualResult]], "SO") + SUMIFS(Table1[[AwayWon]:[AwayWon]], Table1[[GameIsOver]:[GameIsOver]],1,Table1[[HomeTeam]:[HomeTeam]],$A4, Table1[[AwayTeam]:[AwayTeam]], H$1, Table1[[ActualResult]:[ActualResult]], "SO"),0))</f>
        <v>0-0-0</v>
      </c>
      <c r="I4" s="59" t="str">
        <f>_xlfn.CONCAT(TEXT(SUMIFS(Table1[[AwayWon]:[AwayWon]], Table1[[GameIsOver]:[GameIsOver]],1,Table1[[AwayTeam]:[AwayTeam]],$A4, Table1[[HomeTeam]:[HomeTeam]], I$1) + SUMIFS(Table1[[HomeWon]:[HomeWon]], Table1[[GameIsOver]:[GameIsOver]],1,Table1[[HomeTeam]:[HomeTeam]],$A4, Table1[[AwayTeam]:[AwayTeam]], I$1),0), "-", TEXT(SUMIFS(Table1[[HomeWon]:[HomeWon]], Table1[[GameIsOver]:[GameIsOver]],1,Table1[[AwayTeam]:[AwayTeam]],$A4, Table1[[HomeTeam]:[HomeTeam]], I$1, Table1[[ActualResult]:[ActualResult]], "REG") + SUMIFS(Table1[[AwayWon]:[AwayWon]], Table1[[GameIsOver]:[GameIsOver]],1,Table1[[HomeTeam]:[HomeTeam]],$A4, Table1[[AwayTeam]:[AwayTeam]], I$1, Table1[[ActualResult]:[ActualResult]], "REG"),0), "-", TEXT(SUMIFS(Table1[[HomeWon]:[HomeWon]], Table1[[GameIsOver]:[GameIsOver]],1,Table1[[AwayTeam]:[AwayTeam]],$A4, Table1[[HomeTeam]:[HomeTeam]], I$1, Table1[[ActualResult]:[ActualResult]], "OT") + SUMIFS(Table1[[AwayWon]:[AwayWon]], Table1[[GameIsOver]:[GameIsOver]],1,Table1[[HomeTeam]:[HomeTeam]],$A4, Table1[[AwayTeam]:[AwayTeam]], I$1, Table1[[ActualResult]:[ActualResult]], "OT") + SUMIFS(Table1[[HomeWon]:[HomeWon]], Table1[[GameIsOver]:[GameIsOver]],1,Table1[[AwayTeam]:[AwayTeam]],$A4, Table1[[HomeTeam]:[HomeTeam]], I$1, Table1[[ActualResult]:[ActualResult]], "SO") + SUMIFS(Table1[[AwayWon]:[AwayWon]], Table1[[GameIsOver]:[GameIsOver]],1,Table1[[HomeTeam]:[HomeTeam]],$A4, Table1[[AwayTeam]:[AwayTeam]], I$1, Table1[[ActualResult]:[ActualResult]], "SO"),0))</f>
        <v>0-0-0</v>
      </c>
      <c r="J4" s="57" t="str">
        <f>_xlfn.CONCAT(TEXT(SUMIFS(Table1[[AwayWon]:[AwayWon]], Table1[[GameIsOver]:[GameIsOver]],1,Table1[[AwayTeam]:[AwayTeam]],$A4, Table1[[HomeTeam]:[HomeTeam]], J$1) + SUMIFS(Table1[[HomeWon]:[HomeWon]], Table1[[GameIsOver]:[GameIsOver]],1,Table1[[HomeTeam]:[HomeTeam]],$A4, Table1[[AwayTeam]:[AwayTeam]], J$1),0), "-", TEXT(SUMIFS(Table1[[HomeWon]:[HomeWon]], Table1[[GameIsOver]:[GameIsOver]],1,Table1[[AwayTeam]:[AwayTeam]],$A4, Table1[[HomeTeam]:[HomeTeam]], J$1, Table1[[ActualResult]:[ActualResult]], "REG") + SUMIFS(Table1[[AwayWon]:[AwayWon]], Table1[[GameIsOver]:[GameIsOver]],1,Table1[[HomeTeam]:[HomeTeam]],$A4, Table1[[AwayTeam]:[AwayTeam]], J$1, Table1[[ActualResult]:[ActualResult]], "REG"),0), "-", TEXT(SUMIFS(Table1[[HomeWon]:[HomeWon]], Table1[[GameIsOver]:[GameIsOver]],1,Table1[[AwayTeam]:[AwayTeam]],$A4, Table1[[HomeTeam]:[HomeTeam]], J$1, Table1[[ActualResult]:[ActualResult]], "OT") + SUMIFS(Table1[[AwayWon]:[AwayWon]], Table1[[GameIsOver]:[GameIsOver]],1,Table1[[HomeTeam]:[HomeTeam]],$A4, Table1[[AwayTeam]:[AwayTeam]], J$1, Table1[[ActualResult]:[ActualResult]], "OT") + SUMIFS(Table1[[HomeWon]:[HomeWon]], Table1[[GameIsOver]:[GameIsOver]],1,Table1[[AwayTeam]:[AwayTeam]],$A4, Table1[[HomeTeam]:[HomeTeam]], J$1, Table1[[ActualResult]:[ActualResult]], "SO") + SUMIFS(Table1[[AwayWon]:[AwayWon]], Table1[[GameIsOver]:[GameIsOver]],1,Table1[[HomeTeam]:[HomeTeam]],$A4, Table1[[AwayTeam]:[AwayTeam]], J$1, Table1[[ActualResult]:[ActualResult]], "SO"),0))</f>
        <v>0-0-0</v>
      </c>
      <c r="K4" s="57" t="str">
        <f>_xlfn.CONCAT(TEXT(SUMIFS(Table1[[AwayWon]:[AwayWon]], Table1[[GameIsOver]:[GameIsOver]],1,Table1[[AwayTeam]:[AwayTeam]],$A4, Table1[[HomeTeam]:[HomeTeam]], K$1) + SUMIFS(Table1[[HomeWon]:[HomeWon]], Table1[[GameIsOver]:[GameIsOver]],1,Table1[[HomeTeam]:[HomeTeam]],$A4, Table1[[AwayTeam]:[AwayTeam]], K$1),0), "-", TEXT(SUMIFS(Table1[[HomeWon]:[HomeWon]], Table1[[GameIsOver]:[GameIsOver]],1,Table1[[AwayTeam]:[AwayTeam]],$A4, Table1[[HomeTeam]:[HomeTeam]], K$1, Table1[[ActualResult]:[ActualResult]], "REG") + SUMIFS(Table1[[AwayWon]:[AwayWon]], Table1[[GameIsOver]:[GameIsOver]],1,Table1[[HomeTeam]:[HomeTeam]],$A4, Table1[[AwayTeam]:[AwayTeam]], K$1, Table1[[ActualResult]:[ActualResult]], "REG"),0), "-", TEXT(SUMIFS(Table1[[HomeWon]:[HomeWon]], Table1[[GameIsOver]:[GameIsOver]],1,Table1[[AwayTeam]:[AwayTeam]],$A4, Table1[[HomeTeam]:[HomeTeam]], K$1, Table1[[ActualResult]:[ActualResult]], "OT") + SUMIFS(Table1[[AwayWon]:[AwayWon]], Table1[[GameIsOver]:[GameIsOver]],1,Table1[[HomeTeam]:[HomeTeam]],$A4, Table1[[AwayTeam]:[AwayTeam]], K$1, Table1[[ActualResult]:[ActualResult]], "OT") + SUMIFS(Table1[[HomeWon]:[HomeWon]], Table1[[GameIsOver]:[GameIsOver]],1,Table1[[AwayTeam]:[AwayTeam]],$A4, Table1[[HomeTeam]:[HomeTeam]], K$1, Table1[[ActualResult]:[ActualResult]], "SO") + SUMIFS(Table1[[AwayWon]:[AwayWon]], Table1[[GameIsOver]:[GameIsOver]],1,Table1[[HomeTeam]:[HomeTeam]],$A4, Table1[[AwayTeam]:[AwayTeam]], K$1, Table1[[ActualResult]:[ActualResult]], "SO"),0))</f>
        <v>0-0-0</v>
      </c>
      <c r="L4" s="57" t="str">
        <f>_xlfn.CONCAT(TEXT(SUMIFS(Table1[[AwayWon]:[AwayWon]], Table1[[GameIsOver]:[GameIsOver]],1,Table1[[AwayTeam]:[AwayTeam]],$A4, Table1[[HomeTeam]:[HomeTeam]], L$1) + SUMIFS(Table1[[HomeWon]:[HomeWon]], Table1[[GameIsOver]:[GameIsOver]],1,Table1[[HomeTeam]:[HomeTeam]],$A4, Table1[[AwayTeam]:[AwayTeam]], L$1),0), "-", TEXT(SUMIFS(Table1[[HomeWon]:[HomeWon]], Table1[[GameIsOver]:[GameIsOver]],1,Table1[[AwayTeam]:[AwayTeam]],$A4, Table1[[HomeTeam]:[HomeTeam]], L$1, Table1[[ActualResult]:[ActualResult]], "REG") + SUMIFS(Table1[[AwayWon]:[AwayWon]], Table1[[GameIsOver]:[GameIsOver]],1,Table1[[HomeTeam]:[HomeTeam]],$A4, Table1[[AwayTeam]:[AwayTeam]], L$1, Table1[[ActualResult]:[ActualResult]], "REG"),0), "-", TEXT(SUMIFS(Table1[[HomeWon]:[HomeWon]], Table1[[GameIsOver]:[GameIsOver]],1,Table1[[AwayTeam]:[AwayTeam]],$A4, Table1[[HomeTeam]:[HomeTeam]], L$1, Table1[[ActualResult]:[ActualResult]], "OT") + SUMIFS(Table1[[AwayWon]:[AwayWon]], Table1[[GameIsOver]:[GameIsOver]],1,Table1[[HomeTeam]:[HomeTeam]],$A4, Table1[[AwayTeam]:[AwayTeam]], L$1, Table1[[ActualResult]:[ActualResult]], "OT") + SUMIFS(Table1[[HomeWon]:[HomeWon]], Table1[[GameIsOver]:[GameIsOver]],1,Table1[[AwayTeam]:[AwayTeam]],$A4, Table1[[HomeTeam]:[HomeTeam]], L$1, Table1[[ActualResult]:[ActualResult]], "SO") + SUMIFS(Table1[[AwayWon]:[AwayWon]], Table1[[GameIsOver]:[GameIsOver]],1,Table1[[HomeTeam]:[HomeTeam]],$A4, Table1[[AwayTeam]:[AwayTeam]], L$1, Table1[[ActualResult]:[ActualResult]], "SO"),0))</f>
        <v>0-0-0</v>
      </c>
      <c r="M4" s="57" t="str">
        <f>_xlfn.CONCAT(TEXT(SUMIFS(Table1[[AwayWon]:[AwayWon]], Table1[[GameIsOver]:[GameIsOver]],1,Table1[[AwayTeam]:[AwayTeam]],$A4, Table1[[HomeTeam]:[HomeTeam]], M$1) + SUMIFS(Table1[[HomeWon]:[HomeWon]], Table1[[GameIsOver]:[GameIsOver]],1,Table1[[HomeTeam]:[HomeTeam]],$A4, Table1[[AwayTeam]:[AwayTeam]], M$1),0), "-", TEXT(SUMIFS(Table1[[HomeWon]:[HomeWon]], Table1[[GameIsOver]:[GameIsOver]],1,Table1[[AwayTeam]:[AwayTeam]],$A4, Table1[[HomeTeam]:[HomeTeam]], M$1, Table1[[ActualResult]:[ActualResult]], "REG") + SUMIFS(Table1[[AwayWon]:[AwayWon]], Table1[[GameIsOver]:[GameIsOver]],1,Table1[[HomeTeam]:[HomeTeam]],$A4, Table1[[AwayTeam]:[AwayTeam]], M$1, Table1[[ActualResult]:[ActualResult]], "REG"),0), "-", TEXT(SUMIFS(Table1[[HomeWon]:[HomeWon]], Table1[[GameIsOver]:[GameIsOver]],1,Table1[[AwayTeam]:[AwayTeam]],$A4, Table1[[HomeTeam]:[HomeTeam]], M$1, Table1[[ActualResult]:[ActualResult]], "OT") + SUMIFS(Table1[[AwayWon]:[AwayWon]], Table1[[GameIsOver]:[GameIsOver]],1,Table1[[HomeTeam]:[HomeTeam]],$A4, Table1[[AwayTeam]:[AwayTeam]], M$1, Table1[[ActualResult]:[ActualResult]], "OT") + SUMIFS(Table1[[HomeWon]:[HomeWon]], Table1[[GameIsOver]:[GameIsOver]],1,Table1[[AwayTeam]:[AwayTeam]],$A4, Table1[[HomeTeam]:[HomeTeam]], M$1, Table1[[ActualResult]:[ActualResult]], "SO") + SUMIFS(Table1[[AwayWon]:[AwayWon]], Table1[[GameIsOver]:[GameIsOver]],1,Table1[[HomeTeam]:[HomeTeam]],$A4, Table1[[AwayTeam]:[AwayTeam]], M$1, Table1[[ActualResult]:[ActualResult]], "SO"),0))</f>
        <v>0-0-0</v>
      </c>
      <c r="N4" s="57" t="str">
        <f>_xlfn.CONCAT(TEXT(SUMIFS(Table1[[AwayWon]:[AwayWon]], Table1[[GameIsOver]:[GameIsOver]],1,Table1[[AwayTeam]:[AwayTeam]],$A4, Table1[[HomeTeam]:[HomeTeam]], N$1) + SUMIFS(Table1[[HomeWon]:[HomeWon]], Table1[[GameIsOver]:[GameIsOver]],1,Table1[[HomeTeam]:[HomeTeam]],$A4, Table1[[AwayTeam]:[AwayTeam]], N$1),0), "-", TEXT(SUMIFS(Table1[[HomeWon]:[HomeWon]], Table1[[GameIsOver]:[GameIsOver]],1,Table1[[AwayTeam]:[AwayTeam]],$A4, Table1[[HomeTeam]:[HomeTeam]], N$1, Table1[[ActualResult]:[ActualResult]], "REG") + SUMIFS(Table1[[AwayWon]:[AwayWon]], Table1[[GameIsOver]:[GameIsOver]],1,Table1[[HomeTeam]:[HomeTeam]],$A4, Table1[[AwayTeam]:[AwayTeam]], N$1, Table1[[ActualResult]:[ActualResult]], "REG"),0), "-", TEXT(SUMIFS(Table1[[HomeWon]:[HomeWon]], Table1[[GameIsOver]:[GameIsOver]],1,Table1[[AwayTeam]:[AwayTeam]],$A4, Table1[[HomeTeam]:[HomeTeam]], N$1, Table1[[ActualResult]:[ActualResult]], "OT") + SUMIFS(Table1[[AwayWon]:[AwayWon]], Table1[[GameIsOver]:[GameIsOver]],1,Table1[[HomeTeam]:[HomeTeam]],$A4, Table1[[AwayTeam]:[AwayTeam]], N$1, Table1[[ActualResult]:[ActualResult]], "OT") + SUMIFS(Table1[[HomeWon]:[HomeWon]], Table1[[GameIsOver]:[GameIsOver]],1,Table1[[AwayTeam]:[AwayTeam]],$A4, Table1[[HomeTeam]:[HomeTeam]], N$1, Table1[[ActualResult]:[ActualResult]], "SO") + SUMIFS(Table1[[AwayWon]:[AwayWon]], Table1[[GameIsOver]:[GameIsOver]],1,Table1[[HomeTeam]:[HomeTeam]],$A4, Table1[[AwayTeam]:[AwayTeam]], N$1, Table1[[ActualResult]:[ActualResult]], "SO"),0))</f>
        <v>0-0-0</v>
      </c>
      <c r="O4" s="57" t="str">
        <f>_xlfn.CONCAT(TEXT(SUMIFS(Table1[[AwayWon]:[AwayWon]], Table1[[GameIsOver]:[GameIsOver]],1,Table1[[AwayTeam]:[AwayTeam]],$A4, Table1[[HomeTeam]:[HomeTeam]], O$1) + SUMIFS(Table1[[HomeWon]:[HomeWon]], Table1[[GameIsOver]:[GameIsOver]],1,Table1[[HomeTeam]:[HomeTeam]],$A4, Table1[[AwayTeam]:[AwayTeam]], O$1),0), "-", TEXT(SUMIFS(Table1[[HomeWon]:[HomeWon]], Table1[[GameIsOver]:[GameIsOver]],1,Table1[[AwayTeam]:[AwayTeam]],$A4, Table1[[HomeTeam]:[HomeTeam]], O$1, Table1[[ActualResult]:[ActualResult]], "REG") + SUMIFS(Table1[[AwayWon]:[AwayWon]], Table1[[GameIsOver]:[GameIsOver]],1,Table1[[HomeTeam]:[HomeTeam]],$A4, Table1[[AwayTeam]:[AwayTeam]], O$1, Table1[[ActualResult]:[ActualResult]], "REG"),0), "-", TEXT(SUMIFS(Table1[[HomeWon]:[HomeWon]], Table1[[GameIsOver]:[GameIsOver]],1,Table1[[AwayTeam]:[AwayTeam]],$A4, Table1[[HomeTeam]:[HomeTeam]], O$1, Table1[[ActualResult]:[ActualResult]], "OT") + SUMIFS(Table1[[AwayWon]:[AwayWon]], Table1[[GameIsOver]:[GameIsOver]],1,Table1[[HomeTeam]:[HomeTeam]],$A4, Table1[[AwayTeam]:[AwayTeam]], O$1, Table1[[ActualResult]:[ActualResult]], "OT") + SUMIFS(Table1[[HomeWon]:[HomeWon]], Table1[[GameIsOver]:[GameIsOver]],1,Table1[[AwayTeam]:[AwayTeam]],$A4, Table1[[HomeTeam]:[HomeTeam]], O$1, Table1[[ActualResult]:[ActualResult]], "SO") + SUMIFS(Table1[[AwayWon]:[AwayWon]], Table1[[GameIsOver]:[GameIsOver]],1,Table1[[HomeTeam]:[HomeTeam]],$A4, Table1[[AwayTeam]:[AwayTeam]], O$1, Table1[[ActualResult]:[ActualResult]], "SO"),0))</f>
        <v>0-0-0</v>
      </c>
      <c r="P4" s="57" t="str">
        <f>_xlfn.CONCAT(TEXT(SUMIFS(Table1[[AwayWon]:[AwayWon]], Table1[[GameIsOver]:[GameIsOver]],1,Table1[[AwayTeam]:[AwayTeam]],$A4, Table1[[HomeTeam]:[HomeTeam]], P$1) + SUMIFS(Table1[[HomeWon]:[HomeWon]], Table1[[GameIsOver]:[GameIsOver]],1,Table1[[HomeTeam]:[HomeTeam]],$A4, Table1[[AwayTeam]:[AwayTeam]], P$1),0), "-", TEXT(SUMIFS(Table1[[HomeWon]:[HomeWon]], Table1[[GameIsOver]:[GameIsOver]],1,Table1[[AwayTeam]:[AwayTeam]],$A4, Table1[[HomeTeam]:[HomeTeam]], P$1, Table1[[ActualResult]:[ActualResult]], "REG") + SUMIFS(Table1[[AwayWon]:[AwayWon]], Table1[[GameIsOver]:[GameIsOver]],1,Table1[[HomeTeam]:[HomeTeam]],$A4, Table1[[AwayTeam]:[AwayTeam]], P$1, Table1[[ActualResult]:[ActualResult]], "REG"),0), "-", TEXT(SUMIFS(Table1[[HomeWon]:[HomeWon]], Table1[[GameIsOver]:[GameIsOver]],1,Table1[[AwayTeam]:[AwayTeam]],$A4, Table1[[HomeTeam]:[HomeTeam]], P$1, Table1[[ActualResult]:[ActualResult]], "OT") + SUMIFS(Table1[[AwayWon]:[AwayWon]], Table1[[GameIsOver]:[GameIsOver]],1,Table1[[HomeTeam]:[HomeTeam]],$A4, Table1[[AwayTeam]:[AwayTeam]], P$1, Table1[[ActualResult]:[ActualResult]], "OT") + SUMIFS(Table1[[HomeWon]:[HomeWon]], Table1[[GameIsOver]:[GameIsOver]],1,Table1[[AwayTeam]:[AwayTeam]],$A4, Table1[[HomeTeam]:[HomeTeam]], P$1, Table1[[ActualResult]:[ActualResult]], "SO") + SUMIFS(Table1[[AwayWon]:[AwayWon]], Table1[[GameIsOver]:[GameIsOver]],1,Table1[[HomeTeam]:[HomeTeam]],$A4, Table1[[AwayTeam]:[AwayTeam]], P$1, Table1[[ActualResult]:[ActualResult]], "SO"),0))</f>
        <v>0-0-0</v>
      </c>
      <c r="Q4" s="59" t="str">
        <f>_xlfn.CONCAT(TEXT(SUMIFS(Table1[[AwayWon]:[AwayWon]], Table1[[GameIsOver]:[GameIsOver]],1,Table1[[AwayTeam]:[AwayTeam]],$A4, Table1[[HomeTeam]:[HomeTeam]], Q$1) + SUMIFS(Table1[[HomeWon]:[HomeWon]], Table1[[GameIsOver]:[GameIsOver]],1,Table1[[HomeTeam]:[HomeTeam]],$A4, Table1[[AwayTeam]:[AwayTeam]], Q$1),0), "-", TEXT(SUMIFS(Table1[[HomeWon]:[HomeWon]], Table1[[GameIsOver]:[GameIsOver]],1,Table1[[AwayTeam]:[AwayTeam]],$A4, Table1[[HomeTeam]:[HomeTeam]], Q$1, Table1[[ActualResult]:[ActualResult]], "REG") + SUMIFS(Table1[[AwayWon]:[AwayWon]], Table1[[GameIsOver]:[GameIsOver]],1,Table1[[HomeTeam]:[HomeTeam]],$A4, Table1[[AwayTeam]:[AwayTeam]], Q$1, Table1[[ActualResult]:[ActualResult]], "REG"),0), "-", TEXT(SUMIFS(Table1[[HomeWon]:[HomeWon]], Table1[[GameIsOver]:[GameIsOver]],1,Table1[[AwayTeam]:[AwayTeam]],$A4, Table1[[HomeTeam]:[HomeTeam]], Q$1, Table1[[ActualResult]:[ActualResult]], "OT") + SUMIFS(Table1[[AwayWon]:[AwayWon]], Table1[[GameIsOver]:[GameIsOver]],1,Table1[[HomeTeam]:[HomeTeam]],$A4, Table1[[AwayTeam]:[AwayTeam]], Q$1, Table1[[ActualResult]:[ActualResult]], "OT") + SUMIFS(Table1[[HomeWon]:[HomeWon]], Table1[[GameIsOver]:[GameIsOver]],1,Table1[[AwayTeam]:[AwayTeam]],$A4, Table1[[HomeTeam]:[HomeTeam]], Q$1, Table1[[ActualResult]:[ActualResult]], "SO") + SUMIFS(Table1[[AwayWon]:[AwayWon]], Table1[[GameIsOver]:[GameIsOver]],1,Table1[[HomeTeam]:[HomeTeam]],$A4, Table1[[AwayTeam]:[AwayTeam]], Q$1, Table1[[ActualResult]:[ActualResult]], "SO"),0))</f>
        <v>0-0-0</v>
      </c>
      <c r="R4" s="57" t="str">
        <f>_xlfn.CONCAT(TEXT(SUMIFS(Table1[[AwayWon]:[AwayWon]], Table1[[GameIsOver]:[GameIsOver]],1,Table1[[AwayTeam]:[AwayTeam]],$A4, Table1[[HomeTeam]:[HomeTeam]], R$1) + SUMIFS(Table1[[HomeWon]:[HomeWon]], Table1[[GameIsOver]:[GameIsOver]],1,Table1[[HomeTeam]:[HomeTeam]],$A4, Table1[[AwayTeam]:[AwayTeam]], R$1),0), "-", TEXT(SUMIFS(Table1[[HomeWon]:[HomeWon]], Table1[[GameIsOver]:[GameIsOver]],1,Table1[[AwayTeam]:[AwayTeam]],$A4, Table1[[HomeTeam]:[HomeTeam]], R$1, Table1[[ActualResult]:[ActualResult]], "REG") + SUMIFS(Table1[[AwayWon]:[AwayWon]], Table1[[GameIsOver]:[GameIsOver]],1,Table1[[HomeTeam]:[HomeTeam]],$A4, Table1[[AwayTeam]:[AwayTeam]], R$1, Table1[[ActualResult]:[ActualResult]], "REG"),0), "-", TEXT(SUMIFS(Table1[[HomeWon]:[HomeWon]], Table1[[GameIsOver]:[GameIsOver]],1,Table1[[AwayTeam]:[AwayTeam]],$A4, Table1[[HomeTeam]:[HomeTeam]], R$1, Table1[[ActualResult]:[ActualResult]], "OT") + SUMIFS(Table1[[AwayWon]:[AwayWon]], Table1[[GameIsOver]:[GameIsOver]],1,Table1[[HomeTeam]:[HomeTeam]],$A4, Table1[[AwayTeam]:[AwayTeam]], R$1, Table1[[ActualResult]:[ActualResult]], "OT") + SUMIFS(Table1[[HomeWon]:[HomeWon]], Table1[[GameIsOver]:[GameIsOver]],1,Table1[[AwayTeam]:[AwayTeam]],$A4, Table1[[HomeTeam]:[HomeTeam]], R$1, Table1[[ActualResult]:[ActualResult]], "SO") + SUMIFS(Table1[[AwayWon]:[AwayWon]], Table1[[GameIsOver]:[GameIsOver]],1,Table1[[HomeTeam]:[HomeTeam]],$A4, Table1[[AwayTeam]:[AwayTeam]], R$1, Table1[[ActualResult]:[ActualResult]], "SO"),0))</f>
        <v>0-0-0</v>
      </c>
      <c r="S4" s="57" t="str">
        <f>_xlfn.CONCAT(TEXT(SUMIFS(Table1[[AwayWon]:[AwayWon]], Table1[[GameIsOver]:[GameIsOver]],1,Table1[[AwayTeam]:[AwayTeam]],$A4, Table1[[HomeTeam]:[HomeTeam]], S$1) + SUMIFS(Table1[[HomeWon]:[HomeWon]], Table1[[GameIsOver]:[GameIsOver]],1,Table1[[HomeTeam]:[HomeTeam]],$A4, Table1[[AwayTeam]:[AwayTeam]], S$1),0), "-", TEXT(SUMIFS(Table1[[HomeWon]:[HomeWon]], Table1[[GameIsOver]:[GameIsOver]],1,Table1[[AwayTeam]:[AwayTeam]],$A4, Table1[[HomeTeam]:[HomeTeam]], S$1, Table1[[ActualResult]:[ActualResult]], "REG") + SUMIFS(Table1[[AwayWon]:[AwayWon]], Table1[[GameIsOver]:[GameIsOver]],1,Table1[[HomeTeam]:[HomeTeam]],$A4, Table1[[AwayTeam]:[AwayTeam]], S$1, Table1[[ActualResult]:[ActualResult]], "REG"),0), "-", TEXT(SUMIFS(Table1[[HomeWon]:[HomeWon]], Table1[[GameIsOver]:[GameIsOver]],1,Table1[[AwayTeam]:[AwayTeam]],$A4, Table1[[HomeTeam]:[HomeTeam]], S$1, Table1[[ActualResult]:[ActualResult]], "OT") + SUMIFS(Table1[[AwayWon]:[AwayWon]], Table1[[GameIsOver]:[GameIsOver]],1,Table1[[HomeTeam]:[HomeTeam]],$A4, Table1[[AwayTeam]:[AwayTeam]], S$1, Table1[[ActualResult]:[ActualResult]], "OT") + SUMIFS(Table1[[HomeWon]:[HomeWon]], Table1[[GameIsOver]:[GameIsOver]],1,Table1[[AwayTeam]:[AwayTeam]],$A4, Table1[[HomeTeam]:[HomeTeam]], S$1, Table1[[ActualResult]:[ActualResult]], "SO") + SUMIFS(Table1[[AwayWon]:[AwayWon]], Table1[[GameIsOver]:[GameIsOver]],1,Table1[[HomeTeam]:[HomeTeam]],$A4, Table1[[AwayTeam]:[AwayTeam]], S$1, Table1[[ActualResult]:[ActualResult]], "SO"),0))</f>
        <v>0-0-0</v>
      </c>
      <c r="T4" s="57" t="str">
        <f>_xlfn.CONCAT(TEXT(SUMIFS(Table1[[AwayWon]:[AwayWon]], Table1[[GameIsOver]:[GameIsOver]],1,Table1[[AwayTeam]:[AwayTeam]],$A4, Table1[[HomeTeam]:[HomeTeam]], T$1) + SUMIFS(Table1[[HomeWon]:[HomeWon]], Table1[[GameIsOver]:[GameIsOver]],1,Table1[[HomeTeam]:[HomeTeam]],$A4, Table1[[AwayTeam]:[AwayTeam]], T$1),0), "-", TEXT(SUMIFS(Table1[[HomeWon]:[HomeWon]], Table1[[GameIsOver]:[GameIsOver]],1,Table1[[AwayTeam]:[AwayTeam]],$A4, Table1[[HomeTeam]:[HomeTeam]], T$1, Table1[[ActualResult]:[ActualResult]], "REG") + SUMIFS(Table1[[AwayWon]:[AwayWon]], Table1[[GameIsOver]:[GameIsOver]],1,Table1[[HomeTeam]:[HomeTeam]],$A4, Table1[[AwayTeam]:[AwayTeam]], T$1, Table1[[ActualResult]:[ActualResult]], "REG"),0), "-", TEXT(SUMIFS(Table1[[HomeWon]:[HomeWon]], Table1[[GameIsOver]:[GameIsOver]],1,Table1[[AwayTeam]:[AwayTeam]],$A4, Table1[[HomeTeam]:[HomeTeam]], T$1, Table1[[ActualResult]:[ActualResult]], "OT") + SUMIFS(Table1[[AwayWon]:[AwayWon]], Table1[[GameIsOver]:[GameIsOver]],1,Table1[[HomeTeam]:[HomeTeam]],$A4, Table1[[AwayTeam]:[AwayTeam]], T$1, Table1[[ActualResult]:[ActualResult]], "OT") + SUMIFS(Table1[[HomeWon]:[HomeWon]], Table1[[GameIsOver]:[GameIsOver]],1,Table1[[AwayTeam]:[AwayTeam]],$A4, Table1[[HomeTeam]:[HomeTeam]], T$1, Table1[[ActualResult]:[ActualResult]], "SO") + SUMIFS(Table1[[AwayWon]:[AwayWon]], Table1[[GameIsOver]:[GameIsOver]],1,Table1[[HomeTeam]:[HomeTeam]],$A4, Table1[[AwayTeam]:[AwayTeam]], T$1, Table1[[ActualResult]:[ActualResult]], "SO"),0))</f>
        <v>0-0-0</v>
      </c>
      <c r="U4" s="57" t="str">
        <f>_xlfn.CONCAT(TEXT(SUMIFS(Table1[[AwayWon]:[AwayWon]], Table1[[GameIsOver]:[GameIsOver]],1,Table1[[AwayTeam]:[AwayTeam]],$A4, Table1[[HomeTeam]:[HomeTeam]], U$1) + SUMIFS(Table1[[HomeWon]:[HomeWon]], Table1[[GameIsOver]:[GameIsOver]],1,Table1[[HomeTeam]:[HomeTeam]],$A4, Table1[[AwayTeam]:[AwayTeam]], U$1),0), "-", TEXT(SUMIFS(Table1[[HomeWon]:[HomeWon]], Table1[[GameIsOver]:[GameIsOver]],1,Table1[[AwayTeam]:[AwayTeam]],$A4, Table1[[HomeTeam]:[HomeTeam]], U$1, Table1[[ActualResult]:[ActualResult]], "REG") + SUMIFS(Table1[[AwayWon]:[AwayWon]], Table1[[GameIsOver]:[GameIsOver]],1,Table1[[HomeTeam]:[HomeTeam]],$A4, Table1[[AwayTeam]:[AwayTeam]], U$1, Table1[[ActualResult]:[ActualResult]], "REG"),0), "-", TEXT(SUMIFS(Table1[[HomeWon]:[HomeWon]], Table1[[GameIsOver]:[GameIsOver]],1,Table1[[AwayTeam]:[AwayTeam]],$A4, Table1[[HomeTeam]:[HomeTeam]], U$1, Table1[[ActualResult]:[ActualResult]], "OT") + SUMIFS(Table1[[AwayWon]:[AwayWon]], Table1[[GameIsOver]:[GameIsOver]],1,Table1[[HomeTeam]:[HomeTeam]],$A4, Table1[[AwayTeam]:[AwayTeam]], U$1, Table1[[ActualResult]:[ActualResult]], "OT") + SUMIFS(Table1[[HomeWon]:[HomeWon]], Table1[[GameIsOver]:[GameIsOver]],1,Table1[[AwayTeam]:[AwayTeam]],$A4, Table1[[HomeTeam]:[HomeTeam]], U$1, Table1[[ActualResult]:[ActualResult]], "SO") + SUMIFS(Table1[[AwayWon]:[AwayWon]], Table1[[GameIsOver]:[GameIsOver]],1,Table1[[HomeTeam]:[HomeTeam]],$A4, Table1[[AwayTeam]:[AwayTeam]], U$1, Table1[[ActualResult]:[ActualResult]], "SO"),0))</f>
        <v>0-0-0</v>
      </c>
      <c r="V4" s="57" t="str">
        <f>_xlfn.CONCAT(TEXT(SUMIFS(Table1[[AwayWon]:[AwayWon]], Table1[[GameIsOver]:[GameIsOver]],1,Table1[[AwayTeam]:[AwayTeam]],$A4, Table1[[HomeTeam]:[HomeTeam]], V$1) + SUMIFS(Table1[[HomeWon]:[HomeWon]], Table1[[GameIsOver]:[GameIsOver]],1,Table1[[HomeTeam]:[HomeTeam]],$A4, Table1[[AwayTeam]:[AwayTeam]], V$1),0), "-", TEXT(SUMIFS(Table1[[HomeWon]:[HomeWon]], Table1[[GameIsOver]:[GameIsOver]],1,Table1[[AwayTeam]:[AwayTeam]],$A4, Table1[[HomeTeam]:[HomeTeam]], V$1, Table1[[ActualResult]:[ActualResult]], "REG") + SUMIFS(Table1[[AwayWon]:[AwayWon]], Table1[[GameIsOver]:[GameIsOver]],1,Table1[[HomeTeam]:[HomeTeam]],$A4, Table1[[AwayTeam]:[AwayTeam]], V$1, Table1[[ActualResult]:[ActualResult]], "REG"),0), "-", TEXT(SUMIFS(Table1[[HomeWon]:[HomeWon]], Table1[[GameIsOver]:[GameIsOver]],1,Table1[[AwayTeam]:[AwayTeam]],$A4, Table1[[HomeTeam]:[HomeTeam]], V$1, Table1[[ActualResult]:[ActualResult]], "OT") + SUMIFS(Table1[[AwayWon]:[AwayWon]], Table1[[GameIsOver]:[GameIsOver]],1,Table1[[HomeTeam]:[HomeTeam]],$A4, Table1[[AwayTeam]:[AwayTeam]], V$1, Table1[[ActualResult]:[ActualResult]], "OT") + SUMIFS(Table1[[HomeWon]:[HomeWon]], Table1[[GameIsOver]:[GameIsOver]],1,Table1[[AwayTeam]:[AwayTeam]],$A4, Table1[[HomeTeam]:[HomeTeam]], V$1, Table1[[ActualResult]:[ActualResult]], "SO") + SUMIFS(Table1[[AwayWon]:[AwayWon]], Table1[[GameIsOver]:[GameIsOver]],1,Table1[[HomeTeam]:[HomeTeam]],$A4, Table1[[AwayTeam]:[AwayTeam]], V$1, Table1[[ActualResult]:[ActualResult]], "SO"),0))</f>
        <v>0-0-0</v>
      </c>
      <c r="W4" s="57" t="str">
        <f>_xlfn.CONCAT(TEXT(SUMIFS(Table1[[AwayWon]:[AwayWon]], Table1[[GameIsOver]:[GameIsOver]],1,Table1[[AwayTeam]:[AwayTeam]],$A4, Table1[[HomeTeam]:[HomeTeam]], W$1) + SUMIFS(Table1[[HomeWon]:[HomeWon]], Table1[[GameIsOver]:[GameIsOver]],1,Table1[[HomeTeam]:[HomeTeam]],$A4, Table1[[AwayTeam]:[AwayTeam]], W$1),0), "-", TEXT(SUMIFS(Table1[[HomeWon]:[HomeWon]], Table1[[GameIsOver]:[GameIsOver]],1,Table1[[AwayTeam]:[AwayTeam]],$A4, Table1[[HomeTeam]:[HomeTeam]], W$1, Table1[[ActualResult]:[ActualResult]], "REG") + SUMIFS(Table1[[AwayWon]:[AwayWon]], Table1[[GameIsOver]:[GameIsOver]],1,Table1[[HomeTeam]:[HomeTeam]],$A4, Table1[[AwayTeam]:[AwayTeam]], W$1, Table1[[ActualResult]:[ActualResult]], "REG"),0), "-", TEXT(SUMIFS(Table1[[HomeWon]:[HomeWon]], Table1[[GameIsOver]:[GameIsOver]],1,Table1[[AwayTeam]:[AwayTeam]],$A4, Table1[[HomeTeam]:[HomeTeam]], W$1, Table1[[ActualResult]:[ActualResult]], "OT") + SUMIFS(Table1[[AwayWon]:[AwayWon]], Table1[[GameIsOver]:[GameIsOver]],1,Table1[[HomeTeam]:[HomeTeam]],$A4, Table1[[AwayTeam]:[AwayTeam]], W$1, Table1[[ActualResult]:[ActualResult]], "OT") + SUMIFS(Table1[[HomeWon]:[HomeWon]], Table1[[GameIsOver]:[GameIsOver]],1,Table1[[AwayTeam]:[AwayTeam]],$A4, Table1[[HomeTeam]:[HomeTeam]], W$1, Table1[[ActualResult]:[ActualResult]], "SO") + SUMIFS(Table1[[AwayWon]:[AwayWon]], Table1[[GameIsOver]:[GameIsOver]],1,Table1[[HomeTeam]:[HomeTeam]],$A4, Table1[[AwayTeam]:[AwayTeam]], W$1, Table1[[ActualResult]:[ActualResult]], "SO"),0))</f>
        <v>0-0-0</v>
      </c>
      <c r="X4" s="57" t="str">
        <f>_xlfn.CONCAT(TEXT(SUMIFS(Table1[[AwayWon]:[AwayWon]], Table1[[GameIsOver]:[GameIsOver]],1,Table1[[AwayTeam]:[AwayTeam]],$A4, Table1[[HomeTeam]:[HomeTeam]], X$1) + SUMIFS(Table1[[HomeWon]:[HomeWon]], Table1[[GameIsOver]:[GameIsOver]],1,Table1[[HomeTeam]:[HomeTeam]],$A4, Table1[[AwayTeam]:[AwayTeam]], X$1),0), "-", TEXT(SUMIFS(Table1[[HomeWon]:[HomeWon]], Table1[[GameIsOver]:[GameIsOver]],1,Table1[[AwayTeam]:[AwayTeam]],$A4, Table1[[HomeTeam]:[HomeTeam]], X$1, Table1[[ActualResult]:[ActualResult]], "REG") + SUMIFS(Table1[[AwayWon]:[AwayWon]], Table1[[GameIsOver]:[GameIsOver]],1,Table1[[HomeTeam]:[HomeTeam]],$A4, Table1[[AwayTeam]:[AwayTeam]], X$1, Table1[[ActualResult]:[ActualResult]], "REG"),0), "-", TEXT(SUMIFS(Table1[[HomeWon]:[HomeWon]], Table1[[GameIsOver]:[GameIsOver]],1,Table1[[AwayTeam]:[AwayTeam]],$A4, Table1[[HomeTeam]:[HomeTeam]], X$1, Table1[[ActualResult]:[ActualResult]], "OT") + SUMIFS(Table1[[AwayWon]:[AwayWon]], Table1[[GameIsOver]:[GameIsOver]],1,Table1[[HomeTeam]:[HomeTeam]],$A4, Table1[[AwayTeam]:[AwayTeam]], X$1, Table1[[ActualResult]:[ActualResult]], "OT") + SUMIFS(Table1[[HomeWon]:[HomeWon]], Table1[[GameIsOver]:[GameIsOver]],1,Table1[[AwayTeam]:[AwayTeam]],$A4, Table1[[HomeTeam]:[HomeTeam]], X$1, Table1[[ActualResult]:[ActualResult]], "SO") + SUMIFS(Table1[[AwayWon]:[AwayWon]], Table1[[GameIsOver]:[GameIsOver]],1,Table1[[HomeTeam]:[HomeTeam]],$A4, Table1[[AwayTeam]:[AwayTeam]], X$1, Table1[[ActualResult]:[ActualResult]], "SO"),0))</f>
        <v>0-0-0</v>
      </c>
      <c r="Y4" s="59" t="str">
        <f>_xlfn.CONCAT(TEXT(SUMIFS(Table1[[AwayWon]:[AwayWon]], Table1[[GameIsOver]:[GameIsOver]],1,Table1[[AwayTeam]:[AwayTeam]],$A4, Table1[[HomeTeam]:[HomeTeam]], Y$1) + SUMIFS(Table1[[HomeWon]:[HomeWon]], Table1[[GameIsOver]:[GameIsOver]],1,Table1[[HomeTeam]:[HomeTeam]],$A4, Table1[[AwayTeam]:[AwayTeam]], Y$1),0), "-", TEXT(SUMIFS(Table1[[HomeWon]:[HomeWon]], Table1[[GameIsOver]:[GameIsOver]],1,Table1[[AwayTeam]:[AwayTeam]],$A4, Table1[[HomeTeam]:[HomeTeam]], Y$1, Table1[[ActualResult]:[ActualResult]], "REG") + SUMIFS(Table1[[AwayWon]:[AwayWon]], Table1[[GameIsOver]:[GameIsOver]],1,Table1[[HomeTeam]:[HomeTeam]],$A4, Table1[[AwayTeam]:[AwayTeam]], Y$1, Table1[[ActualResult]:[ActualResult]], "REG"),0), "-", TEXT(SUMIFS(Table1[[HomeWon]:[HomeWon]], Table1[[GameIsOver]:[GameIsOver]],1,Table1[[AwayTeam]:[AwayTeam]],$A4, Table1[[HomeTeam]:[HomeTeam]], Y$1, Table1[[ActualResult]:[ActualResult]], "OT") + SUMIFS(Table1[[AwayWon]:[AwayWon]], Table1[[GameIsOver]:[GameIsOver]],1,Table1[[HomeTeam]:[HomeTeam]],$A4, Table1[[AwayTeam]:[AwayTeam]], Y$1, Table1[[ActualResult]:[ActualResult]], "OT") + SUMIFS(Table1[[HomeWon]:[HomeWon]], Table1[[GameIsOver]:[GameIsOver]],1,Table1[[AwayTeam]:[AwayTeam]],$A4, Table1[[HomeTeam]:[HomeTeam]], Y$1, Table1[[ActualResult]:[ActualResult]], "SO") + SUMIFS(Table1[[AwayWon]:[AwayWon]], Table1[[GameIsOver]:[GameIsOver]],1,Table1[[HomeTeam]:[HomeTeam]],$A4, Table1[[AwayTeam]:[AwayTeam]], Y$1, Table1[[ActualResult]:[ActualResult]], "SO"),0))</f>
        <v>0-0-0</v>
      </c>
      <c r="Z4" s="57" t="str">
        <f>_xlfn.CONCAT(TEXT(SUMIFS(Table1[[AwayWon]:[AwayWon]], Table1[[GameIsOver]:[GameIsOver]],1,Table1[[AwayTeam]:[AwayTeam]],$A4, Table1[[HomeTeam]:[HomeTeam]], Z$1) + SUMIFS(Table1[[HomeWon]:[HomeWon]], Table1[[GameIsOver]:[GameIsOver]],1,Table1[[HomeTeam]:[HomeTeam]],$A4, Table1[[AwayTeam]:[AwayTeam]], Z$1),0), "-", TEXT(SUMIFS(Table1[[HomeWon]:[HomeWon]], Table1[[GameIsOver]:[GameIsOver]],1,Table1[[AwayTeam]:[AwayTeam]],$A4, Table1[[HomeTeam]:[HomeTeam]], Z$1, Table1[[ActualResult]:[ActualResult]], "REG") + SUMIFS(Table1[[AwayWon]:[AwayWon]], Table1[[GameIsOver]:[GameIsOver]],1,Table1[[HomeTeam]:[HomeTeam]],$A4, Table1[[AwayTeam]:[AwayTeam]], Z$1, Table1[[ActualResult]:[ActualResult]], "REG"),0), "-", TEXT(SUMIFS(Table1[[HomeWon]:[HomeWon]], Table1[[GameIsOver]:[GameIsOver]],1,Table1[[AwayTeam]:[AwayTeam]],$A4, Table1[[HomeTeam]:[HomeTeam]], Z$1, Table1[[ActualResult]:[ActualResult]], "OT") + SUMIFS(Table1[[AwayWon]:[AwayWon]], Table1[[GameIsOver]:[GameIsOver]],1,Table1[[HomeTeam]:[HomeTeam]],$A4, Table1[[AwayTeam]:[AwayTeam]], Z$1, Table1[[ActualResult]:[ActualResult]], "OT") + SUMIFS(Table1[[HomeWon]:[HomeWon]], Table1[[GameIsOver]:[GameIsOver]],1,Table1[[AwayTeam]:[AwayTeam]],$A4, Table1[[HomeTeam]:[HomeTeam]], Z$1, Table1[[ActualResult]:[ActualResult]], "SO") + SUMIFS(Table1[[AwayWon]:[AwayWon]], Table1[[GameIsOver]:[GameIsOver]],1,Table1[[HomeTeam]:[HomeTeam]],$A4, Table1[[AwayTeam]:[AwayTeam]], Z$1, Table1[[ActualResult]:[ActualResult]], "SO"),0))</f>
        <v>0-0-0</v>
      </c>
      <c r="AA4" s="57" t="str">
        <f>_xlfn.CONCAT(TEXT(SUMIFS(Table1[[AwayWon]:[AwayWon]], Table1[[GameIsOver]:[GameIsOver]],1,Table1[[AwayTeam]:[AwayTeam]],$A4, Table1[[HomeTeam]:[HomeTeam]], AA$1) + SUMIFS(Table1[[HomeWon]:[HomeWon]], Table1[[GameIsOver]:[GameIsOver]],1,Table1[[HomeTeam]:[HomeTeam]],$A4, Table1[[AwayTeam]:[AwayTeam]], AA$1),0), "-", TEXT(SUMIFS(Table1[[HomeWon]:[HomeWon]], Table1[[GameIsOver]:[GameIsOver]],1,Table1[[AwayTeam]:[AwayTeam]],$A4, Table1[[HomeTeam]:[HomeTeam]], AA$1, Table1[[ActualResult]:[ActualResult]], "REG") + SUMIFS(Table1[[AwayWon]:[AwayWon]], Table1[[GameIsOver]:[GameIsOver]],1,Table1[[HomeTeam]:[HomeTeam]],$A4, Table1[[AwayTeam]:[AwayTeam]], AA$1, Table1[[ActualResult]:[ActualResult]], "REG"),0), "-", TEXT(SUMIFS(Table1[[HomeWon]:[HomeWon]], Table1[[GameIsOver]:[GameIsOver]],1,Table1[[AwayTeam]:[AwayTeam]],$A4, Table1[[HomeTeam]:[HomeTeam]], AA$1, Table1[[ActualResult]:[ActualResult]], "OT") + SUMIFS(Table1[[AwayWon]:[AwayWon]], Table1[[GameIsOver]:[GameIsOver]],1,Table1[[HomeTeam]:[HomeTeam]],$A4, Table1[[AwayTeam]:[AwayTeam]], AA$1, Table1[[ActualResult]:[ActualResult]], "OT") + SUMIFS(Table1[[HomeWon]:[HomeWon]], Table1[[GameIsOver]:[GameIsOver]],1,Table1[[AwayTeam]:[AwayTeam]],$A4, Table1[[HomeTeam]:[HomeTeam]], AA$1, Table1[[ActualResult]:[ActualResult]], "SO") + SUMIFS(Table1[[AwayWon]:[AwayWon]], Table1[[GameIsOver]:[GameIsOver]],1,Table1[[HomeTeam]:[HomeTeam]],$A4, Table1[[AwayTeam]:[AwayTeam]], AA$1, Table1[[ActualResult]:[ActualResult]], "SO"),0))</f>
        <v>0-0-0</v>
      </c>
      <c r="AB4" s="57" t="str">
        <f>_xlfn.CONCAT(TEXT(SUMIFS(Table1[[AwayWon]:[AwayWon]], Table1[[GameIsOver]:[GameIsOver]],1,Table1[[AwayTeam]:[AwayTeam]],$A4, Table1[[HomeTeam]:[HomeTeam]], AB$1) + SUMIFS(Table1[[HomeWon]:[HomeWon]], Table1[[GameIsOver]:[GameIsOver]],1,Table1[[HomeTeam]:[HomeTeam]],$A4, Table1[[AwayTeam]:[AwayTeam]], AB$1),0), "-", TEXT(SUMIFS(Table1[[HomeWon]:[HomeWon]], Table1[[GameIsOver]:[GameIsOver]],1,Table1[[AwayTeam]:[AwayTeam]],$A4, Table1[[HomeTeam]:[HomeTeam]], AB$1, Table1[[ActualResult]:[ActualResult]], "REG") + SUMIFS(Table1[[AwayWon]:[AwayWon]], Table1[[GameIsOver]:[GameIsOver]],1,Table1[[HomeTeam]:[HomeTeam]],$A4, Table1[[AwayTeam]:[AwayTeam]], AB$1, Table1[[ActualResult]:[ActualResult]], "REG"),0), "-", TEXT(SUMIFS(Table1[[HomeWon]:[HomeWon]], Table1[[GameIsOver]:[GameIsOver]],1,Table1[[AwayTeam]:[AwayTeam]],$A4, Table1[[HomeTeam]:[HomeTeam]], AB$1, Table1[[ActualResult]:[ActualResult]], "OT") + SUMIFS(Table1[[AwayWon]:[AwayWon]], Table1[[GameIsOver]:[GameIsOver]],1,Table1[[HomeTeam]:[HomeTeam]],$A4, Table1[[AwayTeam]:[AwayTeam]], AB$1, Table1[[ActualResult]:[ActualResult]], "OT") + SUMIFS(Table1[[HomeWon]:[HomeWon]], Table1[[GameIsOver]:[GameIsOver]],1,Table1[[AwayTeam]:[AwayTeam]],$A4, Table1[[HomeTeam]:[HomeTeam]], AB$1, Table1[[ActualResult]:[ActualResult]], "SO") + SUMIFS(Table1[[AwayWon]:[AwayWon]], Table1[[GameIsOver]:[GameIsOver]],1,Table1[[HomeTeam]:[HomeTeam]],$A4, Table1[[AwayTeam]:[AwayTeam]], AB$1, Table1[[ActualResult]:[ActualResult]], "SO"),0))</f>
        <v>0-0-0</v>
      </c>
      <c r="AC4" s="57" t="str">
        <f>_xlfn.CONCAT(TEXT(SUMIFS(Table1[[AwayWon]:[AwayWon]], Table1[[GameIsOver]:[GameIsOver]],1,Table1[[AwayTeam]:[AwayTeam]],$A4, Table1[[HomeTeam]:[HomeTeam]], AC$1) + SUMIFS(Table1[[HomeWon]:[HomeWon]], Table1[[GameIsOver]:[GameIsOver]],1,Table1[[HomeTeam]:[HomeTeam]],$A4, Table1[[AwayTeam]:[AwayTeam]], AC$1),0), "-", TEXT(SUMIFS(Table1[[HomeWon]:[HomeWon]], Table1[[GameIsOver]:[GameIsOver]],1,Table1[[AwayTeam]:[AwayTeam]],$A4, Table1[[HomeTeam]:[HomeTeam]], AC$1, Table1[[ActualResult]:[ActualResult]], "REG") + SUMIFS(Table1[[AwayWon]:[AwayWon]], Table1[[GameIsOver]:[GameIsOver]],1,Table1[[HomeTeam]:[HomeTeam]],$A4, Table1[[AwayTeam]:[AwayTeam]], AC$1, Table1[[ActualResult]:[ActualResult]], "REG"),0), "-", TEXT(SUMIFS(Table1[[HomeWon]:[HomeWon]], Table1[[GameIsOver]:[GameIsOver]],1,Table1[[AwayTeam]:[AwayTeam]],$A4, Table1[[HomeTeam]:[HomeTeam]], AC$1, Table1[[ActualResult]:[ActualResult]], "OT") + SUMIFS(Table1[[AwayWon]:[AwayWon]], Table1[[GameIsOver]:[GameIsOver]],1,Table1[[HomeTeam]:[HomeTeam]],$A4, Table1[[AwayTeam]:[AwayTeam]], AC$1, Table1[[ActualResult]:[ActualResult]], "OT") + SUMIFS(Table1[[HomeWon]:[HomeWon]], Table1[[GameIsOver]:[GameIsOver]],1,Table1[[AwayTeam]:[AwayTeam]],$A4, Table1[[HomeTeam]:[HomeTeam]], AC$1, Table1[[ActualResult]:[ActualResult]], "SO") + SUMIFS(Table1[[AwayWon]:[AwayWon]], Table1[[GameIsOver]:[GameIsOver]],1,Table1[[HomeTeam]:[HomeTeam]],$A4, Table1[[AwayTeam]:[AwayTeam]], AC$1, Table1[[ActualResult]:[ActualResult]], "SO"),0))</f>
        <v>0-0-0</v>
      </c>
      <c r="AD4" s="57" t="str">
        <f>_xlfn.CONCAT(TEXT(SUMIFS(Table1[[AwayWon]:[AwayWon]], Table1[[GameIsOver]:[GameIsOver]],1,Table1[[AwayTeam]:[AwayTeam]],$A4, Table1[[HomeTeam]:[HomeTeam]], AD$1) + SUMIFS(Table1[[HomeWon]:[HomeWon]], Table1[[GameIsOver]:[GameIsOver]],1,Table1[[HomeTeam]:[HomeTeam]],$A4, Table1[[AwayTeam]:[AwayTeam]], AD$1),0), "-", TEXT(SUMIFS(Table1[[HomeWon]:[HomeWon]], Table1[[GameIsOver]:[GameIsOver]],1,Table1[[AwayTeam]:[AwayTeam]],$A4, Table1[[HomeTeam]:[HomeTeam]], AD$1, Table1[[ActualResult]:[ActualResult]], "REG") + SUMIFS(Table1[[AwayWon]:[AwayWon]], Table1[[GameIsOver]:[GameIsOver]],1,Table1[[HomeTeam]:[HomeTeam]],$A4, Table1[[AwayTeam]:[AwayTeam]], AD$1, Table1[[ActualResult]:[ActualResult]], "REG"),0), "-", TEXT(SUMIFS(Table1[[HomeWon]:[HomeWon]], Table1[[GameIsOver]:[GameIsOver]],1,Table1[[AwayTeam]:[AwayTeam]],$A4, Table1[[HomeTeam]:[HomeTeam]], AD$1, Table1[[ActualResult]:[ActualResult]], "OT") + SUMIFS(Table1[[AwayWon]:[AwayWon]], Table1[[GameIsOver]:[GameIsOver]],1,Table1[[HomeTeam]:[HomeTeam]],$A4, Table1[[AwayTeam]:[AwayTeam]], AD$1, Table1[[ActualResult]:[ActualResult]], "OT") + SUMIFS(Table1[[HomeWon]:[HomeWon]], Table1[[GameIsOver]:[GameIsOver]],1,Table1[[AwayTeam]:[AwayTeam]],$A4, Table1[[HomeTeam]:[HomeTeam]], AD$1, Table1[[ActualResult]:[ActualResult]], "SO") + SUMIFS(Table1[[AwayWon]:[AwayWon]], Table1[[GameIsOver]:[GameIsOver]],1,Table1[[HomeTeam]:[HomeTeam]],$A4, Table1[[AwayTeam]:[AwayTeam]], AD$1, Table1[[ActualResult]:[ActualResult]], "SO"),0))</f>
        <v>1-0-0</v>
      </c>
      <c r="AE4" s="57" t="str">
        <f>_xlfn.CONCAT(TEXT(SUMIFS(Table1[[AwayWon]:[AwayWon]], Table1[[GameIsOver]:[GameIsOver]],1,Table1[[AwayTeam]:[AwayTeam]],$A4, Table1[[HomeTeam]:[HomeTeam]], AE$1) + SUMIFS(Table1[[HomeWon]:[HomeWon]], Table1[[GameIsOver]:[GameIsOver]],1,Table1[[HomeTeam]:[HomeTeam]],$A4, Table1[[AwayTeam]:[AwayTeam]], AE$1),0), "-", TEXT(SUMIFS(Table1[[HomeWon]:[HomeWon]], Table1[[GameIsOver]:[GameIsOver]],1,Table1[[AwayTeam]:[AwayTeam]],$A4, Table1[[HomeTeam]:[HomeTeam]], AE$1, Table1[[ActualResult]:[ActualResult]], "REG") + SUMIFS(Table1[[AwayWon]:[AwayWon]], Table1[[GameIsOver]:[GameIsOver]],1,Table1[[HomeTeam]:[HomeTeam]],$A4, Table1[[AwayTeam]:[AwayTeam]], AE$1, Table1[[ActualResult]:[ActualResult]], "REG"),0), "-", TEXT(SUMIFS(Table1[[HomeWon]:[HomeWon]], Table1[[GameIsOver]:[GameIsOver]],1,Table1[[AwayTeam]:[AwayTeam]],$A4, Table1[[HomeTeam]:[HomeTeam]], AE$1, Table1[[ActualResult]:[ActualResult]], "OT") + SUMIFS(Table1[[AwayWon]:[AwayWon]], Table1[[GameIsOver]:[GameIsOver]],1,Table1[[HomeTeam]:[HomeTeam]],$A4, Table1[[AwayTeam]:[AwayTeam]], AE$1, Table1[[ActualResult]:[ActualResult]], "OT") + SUMIFS(Table1[[HomeWon]:[HomeWon]], Table1[[GameIsOver]:[GameIsOver]],1,Table1[[AwayTeam]:[AwayTeam]],$A4, Table1[[HomeTeam]:[HomeTeam]], AE$1, Table1[[ActualResult]:[ActualResult]], "SO") + SUMIFS(Table1[[AwayWon]:[AwayWon]], Table1[[GameIsOver]:[GameIsOver]],1,Table1[[HomeTeam]:[HomeTeam]],$A4, Table1[[AwayTeam]:[AwayTeam]], AE$1, Table1[[ActualResult]:[ActualResult]], "SO"),0))</f>
        <v>0-0-0</v>
      </c>
      <c r="AF4" s="57" t="str">
        <f>_xlfn.CONCAT(TEXT(SUMIFS(Table1[[AwayWon]:[AwayWon]], Table1[[GameIsOver]:[GameIsOver]],1,Table1[[AwayTeam]:[AwayTeam]],$A4, Table1[[HomeTeam]:[HomeTeam]], AF$1) + SUMIFS(Table1[[HomeWon]:[HomeWon]], Table1[[GameIsOver]:[GameIsOver]],1,Table1[[HomeTeam]:[HomeTeam]],$A4, Table1[[AwayTeam]:[AwayTeam]], AF$1),0), "-", TEXT(SUMIFS(Table1[[HomeWon]:[HomeWon]], Table1[[GameIsOver]:[GameIsOver]],1,Table1[[AwayTeam]:[AwayTeam]],$A4, Table1[[HomeTeam]:[HomeTeam]], AF$1, Table1[[ActualResult]:[ActualResult]], "REG") + SUMIFS(Table1[[AwayWon]:[AwayWon]], Table1[[GameIsOver]:[GameIsOver]],1,Table1[[HomeTeam]:[HomeTeam]],$A4, Table1[[AwayTeam]:[AwayTeam]], AF$1, Table1[[ActualResult]:[ActualResult]], "REG"),0), "-", TEXT(SUMIFS(Table1[[HomeWon]:[HomeWon]], Table1[[GameIsOver]:[GameIsOver]],1,Table1[[AwayTeam]:[AwayTeam]],$A4, Table1[[HomeTeam]:[HomeTeam]], AF$1, Table1[[ActualResult]:[ActualResult]], "OT") + SUMIFS(Table1[[AwayWon]:[AwayWon]], Table1[[GameIsOver]:[GameIsOver]],1,Table1[[HomeTeam]:[HomeTeam]],$A4, Table1[[AwayTeam]:[AwayTeam]], AF$1, Table1[[ActualResult]:[ActualResult]], "OT") + SUMIFS(Table1[[HomeWon]:[HomeWon]], Table1[[GameIsOver]:[GameIsOver]],1,Table1[[AwayTeam]:[AwayTeam]],$A4, Table1[[HomeTeam]:[HomeTeam]], AF$1, Table1[[ActualResult]:[ActualResult]], "SO") + SUMIFS(Table1[[AwayWon]:[AwayWon]], Table1[[GameIsOver]:[GameIsOver]],1,Table1[[HomeTeam]:[HomeTeam]],$A4, Table1[[AwayTeam]:[AwayTeam]], AF$1, Table1[[ActualResult]:[ActualResult]], "SO"),0))</f>
        <v>0-0-0</v>
      </c>
      <c r="AG4" s="57" t="str">
        <f>_xlfn.CONCAT(TEXT(SUMIFS(Table1[[AwayWon]:[AwayWon]], Table1[[GameIsOver]:[GameIsOver]],1,Table1[[AwayTeam]:[AwayTeam]],$A4, Table1[[HomeTeam]:[HomeTeam]], AG$1) + SUMIFS(Table1[[HomeWon]:[HomeWon]], Table1[[GameIsOver]:[GameIsOver]],1,Table1[[HomeTeam]:[HomeTeam]],$A4, Table1[[AwayTeam]:[AwayTeam]], AG$1),0), "-", TEXT(SUMIFS(Table1[[HomeWon]:[HomeWon]], Table1[[GameIsOver]:[GameIsOver]],1,Table1[[AwayTeam]:[AwayTeam]],$A4, Table1[[HomeTeam]:[HomeTeam]], AG$1, Table1[[ActualResult]:[ActualResult]], "REG") + SUMIFS(Table1[[AwayWon]:[AwayWon]], Table1[[GameIsOver]:[GameIsOver]],1,Table1[[HomeTeam]:[HomeTeam]],$A4, Table1[[AwayTeam]:[AwayTeam]], AG$1, Table1[[ActualResult]:[ActualResult]], "REG"),0), "-", TEXT(SUMIFS(Table1[[HomeWon]:[HomeWon]], Table1[[GameIsOver]:[GameIsOver]],1,Table1[[AwayTeam]:[AwayTeam]],$A4, Table1[[HomeTeam]:[HomeTeam]], AG$1, Table1[[ActualResult]:[ActualResult]], "OT") + SUMIFS(Table1[[AwayWon]:[AwayWon]], Table1[[GameIsOver]:[GameIsOver]],1,Table1[[HomeTeam]:[HomeTeam]],$A4, Table1[[AwayTeam]:[AwayTeam]], AG$1, Table1[[ActualResult]:[ActualResult]], "OT") + SUMIFS(Table1[[HomeWon]:[HomeWon]], Table1[[GameIsOver]:[GameIsOver]],1,Table1[[AwayTeam]:[AwayTeam]],$A4, Table1[[HomeTeam]:[HomeTeam]], AG$1, Table1[[ActualResult]:[ActualResult]], "SO") + SUMIFS(Table1[[AwayWon]:[AwayWon]], Table1[[GameIsOver]:[GameIsOver]],1,Table1[[HomeTeam]:[HomeTeam]],$A4, Table1[[AwayTeam]:[AwayTeam]], AG$1, Table1[[ActualResult]:[ActualResult]], "SO"),0))</f>
        <v>0-0-0</v>
      </c>
    </row>
    <row r="5" spans="1:33" x14ac:dyDescent="0.25">
      <c r="A5" s="28" t="s">
        <v>46</v>
      </c>
      <c r="B5" s="57" t="str">
        <f>_xlfn.CONCAT(TEXT(SUMIFS(Table1[[AwayWon]:[AwayWon]], Table1[[GameIsOver]:[GameIsOver]],1,Table1[[AwayTeam]:[AwayTeam]],$A5, Table1[[HomeTeam]:[HomeTeam]], B$1) + SUMIFS(Table1[[HomeWon]:[HomeWon]], Table1[[GameIsOver]:[GameIsOver]],1,Table1[[HomeTeam]:[HomeTeam]],$A5, Table1[[AwayTeam]:[AwayTeam]], B$1),0), "-", TEXT(SUMIFS(Table1[[HomeWon]:[HomeWon]], Table1[[GameIsOver]:[GameIsOver]],1,Table1[[AwayTeam]:[AwayTeam]],$A5, Table1[[HomeTeam]:[HomeTeam]], B$1, Table1[[ActualResult]:[ActualResult]], "REG") + SUMIFS(Table1[[AwayWon]:[AwayWon]], Table1[[GameIsOver]:[GameIsOver]],1,Table1[[HomeTeam]:[HomeTeam]],$A5, Table1[[AwayTeam]:[AwayTeam]], B$1, Table1[[ActualResult]:[ActualResult]], "REG"),0), "-", TEXT(SUMIFS(Table1[[HomeWon]:[HomeWon]], Table1[[GameIsOver]:[GameIsOver]],1,Table1[[AwayTeam]:[AwayTeam]],$A5, Table1[[HomeTeam]:[HomeTeam]], B$1, Table1[[ActualResult]:[ActualResult]], "OT") + SUMIFS(Table1[[AwayWon]:[AwayWon]], Table1[[GameIsOver]:[GameIsOver]],1,Table1[[HomeTeam]:[HomeTeam]],$A5, Table1[[AwayTeam]:[AwayTeam]], B$1, Table1[[ActualResult]:[ActualResult]], "OT") + SUMIFS(Table1[[HomeWon]:[HomeWon]], Table1[[GameIsOver]:[GameIsOver]],1,Table1[[AwayTeam]:[AwayTeam]],$A5, Table1[[HomeTeam]:[HomeTeam]], B$1, Table1[[ActualResult]:[ActualResult]], "SO") + SUMIFS(Table1[[AwayWon]:[AwayWon]], Table1[[GameIsOver]:[GameIsOver]],1,Table1[[HomeTeam]:[HomeTeam]],$A5, Table1[[AwayTeam]:[AwayTeam]], B$1, Table1[[ActualResult]:[ActualResult]], "SO"),0))</f>
        <v>0-0-0</v>
      </c>
      <c r="C5" s="57" t="str">
        <f>_xlfn.CONCAT(TEXT(SUMIFS(Table1[[AwayWon]:[AwayWon]], Table1[[GameIsOver]:[GameIsOver]],1,Table1[[AwayTeam]:[AwayTeam]],$A5, Table1[[HomeTeam]:[HomeTeam]], C$1) + SUMIFS(Table1[[HomeWon]:[HomeWon]], Table1[[GameIsOver]:[GameIsOver]],1,Table1[[HomeTeam]:[HomeTeam]],$A5, Table1[[AwayTeam]:[AwayTeam]], C$1),0), "-", TEXT(SUMIFS(Table1[[HomeWon]:[HomeWon]], Table1[[GameIsOver]:[GameIsOver]],1,Table1[[AwayTeam]:[AwayTeam]],$A5, Table1[[HomeTeam]:[HomeTeam]], C$1, Table1[[ActualResult]:[ActualResult]], "REG") + SUMIFS(Table1[[AwayWon]:[AwayWon]], Table1[[GameIsOver]:[GameIsOver]],1,Table1[[HomeTeam]:[HomeTeam]],$A5, Table1[[AwayTeam]:[AwayTeam]], C$1, Table1[[ActualResult]:[ActualResult]], "REG"),0), "-", TEXT(SUMIFS(Table1[[HomeWon]:[HomeWon]], Table1[[GameIsOver]:[GameIsOver]],1,Table1[[AwayTeam]:[AwayTeam]],$A5, Table1[[HomeTeam]:[HomeTeam]], C$1, Table1[[ActualResult]:[ActualResult]], "OT") + SUMIFS(Table1[[AwayWon]:[AwayWon]], Table1[[GameIsOver]:[GameIsOver]],1,Table1[[HomeTeam]:[HomeTeam]],$A5, Table1[[AwayTeam]:[AwayTeam]], C$1, Table1[[ActualResult]:[ActualResult]], "OT") + SUMIFS(Table1[[HomeWon]:[HomeWon]], Table1[[GameIsOver]:[GameIsOver]],1,Table1[[AwayTeam]:[AwayTeam]],$A5, Table1[[HomeTeam]:[HomeTeam]], C$1, Table1[[ActualResult]:[ActualResult]], "SO") + SUMIFS(Table1[[AwayWon]:[AwayWon]], Table1[[GameIsOver]:[GameIsOver]],1,Table1[[HomeTeam]:[HomeTeam]],$A5, Table1[[AwayTeam]:[AwayTeam]], C$1, Table1[[ActualResult]:[ActualResult]], "SO"),0))</f>
        <v>0-0-0</v>
      </c>
      <c r="D5" s="57" t="str">
        <f>_xlfn.CONCAT(TEXT(SUMIFS(Table1[[AwayWon]:[AwayWon]], Table1[[GameIsOver]:[GameIsOver]],1,Table1[[AwayTeam]:[AwayTeam]],$A5, Table1[[HomeTeam]:[HomeTeam]], D$1) + SUMIFS(Table1[[HomeWon]:[HomeWon]], Table1[[GameIsOver]:[GameIsOver]],1,Table1[[HomeTeam]:[HomeTeam]],$A5, Table1[[AwayTeam]:[AwayTeam]], D$1),0), "-", TEXT(SUMIFS(Table1[[HomeWon]:[HomeWon]], Table1[[GameIsOver]:[GameIsOver]],1,Table1[[AwayTeam]:[AwayTeam]],$A5, Table1[[HomeTeam]:[HomeTeam]], D$1, Table1[[ActualResult]:[ActualResult]], "REG") + SUMIFS(Table1[[AwayWon]:[AwayWon]], Table1[[GameIsOver]:[GameIsOver]],1,Table1[[HomeTeam]:[HomeTeam]],$A5, Table1[[AwayTeam]:[AwayTeam]], D$1, Table1[[ActualResult]:[ActualResult]], "REG"),0), "-", TEXT(SUMIFS(Table1[[HomeWon]:[HomeWon]], Table1[[GameIsOver]:[GameIsOver]],1,Table1[[AwayTeam]:[AwayTeam]],$A5, Table1[[HomeTeam]:[HomeTeam]], D$1, Table1[[ActualResult]:[ActualResult]], "OT") + SUMIFS(Table1[[AwayWon]:[AwayWon]], Table1[[GameIsOver]:[GameIsOver]],1,Table1[[HomeTeam]:[HomeTeam]],$A5, Table1[[AwayTeam]:[AwayTeam]], D$1, Table1[[ActualResult]:[ActualResult]], "OT") + SUMIFS(Table1[[HomeWon]:[HomeWon]], Table1[[GameIsOver]:[GameIsOver]],1,Table1[[AwayTeam]:[AwayTeam]],$A5, Table1[[HomeTeam]:[HomeTeam]], D$1, Table1[[ActualResult]:[ActualResult]], "SO") + SUMIFS(Table1[[AwayWon]:[AwayWon]], Table1[[GameIsOver]:[GameIsOver]],1,Table1[[HomeTeam]:[HomeTeam]],$A5, Table1[[AwayTeam]:[AwayTeam]], D$1, Table1[[ActualResult]:[ActualResult]], "SO"),0))</f>
        <v>0-0-0</v>
      </c>
      <c r="E5" s="57" t="str">
        <f>_xlfn.CONCAT(TEXT(SUMIFS(Table1[[AwayWon]:[AwayWon]], Table1[[GameIsOver]:[GameIsOver]],1,Table1[[AwayTeam]:[AwayTeam]],$A5, Table1[[HomeTeam]:[HomeTeam]], E$1) + SUMIFS(Table1[[HomeWon]:[HomeWon]], Table1[[GameIsOver]:[GameIsOver]],1,Table1[[HomeTeam]:[HomeTeam]],$A5, Table1[[AwayTeam]:[AwayTeam]], E$1),0), "-", TEXT(SUMIFS(Table1[[HomeWon]:[HomeWon]], Table1[[GameIsOver]:[GameIsOver]],1,Table1[[AwayTeam]:[AwayTeam]],$A5, Table1[[HomeTeam]:[HomeTeam]], E$1, Table1[[ActualResult]:[ActualResult]], "REG") + SUMIFS(Table1[[AwayWon]:[AwayWon]], Table1[[GameIsOver]:[GameIsOver]],1,Table1[[HomeTeam]:[HomeTeam]],$A5, Table1[[AwayTeam]:[AwayTeam]], E$1, Table1[[ActualResult]:[ActualResult]], "REG"),0), "-", TEXT(SUMIFS(Table1[[HomeWon]:[HomeWon]], Table1[[GameIsOver]:[GameIsOver]],1,Table1[[AwayTeam]:[AwayTeam]],$A5, Table1[[HomeTeam]:[HomeTeam]], E$1, Table1[[ActualResult]:[ActualResult]], "OT") + SUMIFS(Table1[[AwayWon]:[AwayWon]], Table1[[GameIsOver]:[GameIsOver]],1,Table1[[HomeTeam]:[HomeTeam]],$A5, Table1[[AwayTeam]:[AwayTeam]], E$1, Table1[[ActualResult]:[ActualResult]], "OT") + SUMIFS(Table1[[HomeWon]:[HomeWon]], Table1[[GameIsOver]:[GameIsOver]],1,Table1[[AwayTeam]:[AwayTeam]],$A5, Table1[[HomeTeam]:[HomeTeam]], E$1, Table1[[ActualResult]:[ActualResult]], "SO") + SUMIFS(Table1[[AwayWon]:[AwayWon]], Table1[[GameIsOver]:[GameIsOver]],1,Table1[[HomeTeam]:[HomeTeam]],$A5, Table1[[AwayTeam]:[AwayTeam]], E$1, Table1[[ActualResult]:[ActualResult]], "SO"),0))</f>
        <v>0-0-0</v>
      </c>
      <c r="F5" s="57" t="str">
        <f>_xlfn.CONCAT(TEXT(SUMIFS(Table1[[AwayWon]:[AwayWon]], Table1[[GameIsOver]:[GameIsOver]],1,Table1[[AwayTeam]:[AwayTeam]],$A5, Table1[[HomeTeam]:[HomeTeam]], F$1) + SUMIFS(Table1[[HomeWon]:[HomeWon]], Table1[[GameIsOver]:[GameIsOver]],1,Table1[[HomeTeam]:[HomeTeam]],$A5, Table1[[AwayTeam]:[AwayTeam]], F$1),0), "-", TEXT(SUMIFS(Table1[[HomeWon]:[HomeWon]], Table1[[GameIsOver]:[GameIsOver]],1,Table1[[AwayTeam]:[AwayTeam]],$A5, Table1[[HomeTeam]:[HomeTeam]], F$1, Table1[[ActualResult]:[ActualResult]], "REG") + SUMIFS(Table1[[AwayWon]:[AwayWon]], Table1[[GameIsOver]:[GameIsOver]],1,Table1[[HomeTeam]:[HomeTeam]],$A5, Table1[[AwayTeam]:[AwayTeam]], F$1, Table1[[ActualResult]:[ActualResult]], "REG"),0), "-", TEXT(SUMIFS(Table1[[HomeWon]:[HomeWon]], Table1[[GameIsOver]:[GameIsOver]],1,Table1[[AwayTeam]:[AwayTeam]],$A5, Table1[[HomeTeam]:[HomeTeam]], F$1, Table1[[ActualResult]:[ActualResult]], "OT") + SUMIFS(Table1[[AwayWon]:[AwayWon]], Table1[[GameIsOver]:[GameIsOver]],1,Table1[[HomeTeam]:[HomeTeam]],$A5, Table1[[AwayTeam]:[AwayTeam]], F$1, Table1[[ActualResult]:[ActualResult]], "OT") + SUMIFS(Table1[[HomeWon]:[HomeWon]], Table1[[GameIsOver]:[GameIsOver]],1,Table1[[AwayTeam]:[AwayTeam]],$A5, Table1[[HomeTeam]:[HomeTeam]], F$1, Table1[[ActualResult]:[ActualResult]], "SO") + SUMIFS(Table1[[AwayWon]:[AwayWon]], Table1[[GameIsOver]:[GameIsOver]],1,Table1[[HomeTeam]:[HomeTeam]],$A5, Table1[[AwayTeam]:[AwayTeam]], F$1, Table1[[ActualResult]:[ActualResult]], "SO"),0))</f>
        <v>0-0-0</v>
      </c>
      <c r="G5" s="57" t="str">
        <f>_xlfn.CONCAT(TEXT(SUMIFS(Table1[[AwayWon]:[AwayWon]], Table1[[GameIsOver]:[GameIsOver]],1,Table1[[AwayTeam]:[AwayTeam]],$A5, Table1[[HomeTeam]:[HomeTeam]], G$1) + SUMIFS(Table1[[HomeWon]:[HomeWon]], Table1[[GameIsOver]:[GameIsOver]],1,Table1[[HomeTeam]:[HomeTeam]],$A5, Table1[[AwayTeam]:[AwayTeam]], G$1),0), "-", TEXT(SUMIFS(Table1[[HomeWon]:[HomeWon]], Table1[[GameIsOver]:[GameIsOver]],1,Table1[[AwayTeam]:[AwayTeam]],$A5, Table1[[HomeTeam]:[HomeTeam]], G$1, Table1[[ActualResult]:[ActualResult]], "REG") + SUMIFS(Table1[[AwayWon]:[AwayWon]], Table1[[GameIsOver]:[GameIsOver]],1,Table1[[HomeTeam]:[HomeTeam]],$A5, Table1[[AwayTeam]:[AwayTeam]], G$1, Table1[[ActualResult]:[ActualResult]], "REG"),0), "-", TEXT(SUMIFS(Table1[[HomeWon]:[HomeWon]], Table1[[GameIsOver]:[GameIsOver]],1,Table1[[AwayTeam]:[AwayTeam]],$A5, Table1[[HomeTeam]:[HomeTeam]], G$1, Table1[[ActualResult]:[ActualResult]], "OT") + SUMIFS(Table1[[AwayWon]:[AwayWon]], Table1[[GameIsOver]:[GameIsOver]],1,Table1[[HomeTeam]:[HomeTeam]],$A5, Table1[[AwayTeam]:[AwayTeam]], G$1, Table1[[ActualResult]:[ActualResult]], "OT") + SUMIFS(Table1[[HomeWon]:[HomeWon]], Table1[[GameIsOver]:[GameIsOver]],1,Table1[[AwayTeam]:[AwayTeam]],$A5, Table1[[HomeTeam]:[HomeTeam]], G$1, Table1[[ActualResult]:[ActualResult]], "SO") + SUMIFS(Table1[[AwayWon]:[AwayWon]], Table1[[GameIsOver]:[GameIsOver]],1,Table1[[HomeTeam]:[HomeTeam]],$A5, Table1[[AwayTeam]:[AwayTeam]], G$1, Table1[[ActualResult]:[ActualResult]], "SO"),0))</f>
        <v>0-0-0</v>
      </c>
      <c r="H5" s="57" t="str">
        <f>_xlfn.CONCAT(TEXT(SUMIFS(Table1[[AwayWon]:[AwayWon]], Table1[[GameIsOver]:[GameIsOver]],1,Table1[[AwayTeam]:[AwayTeam]],$A5, Table1[[HomeTeam]:[HomeTeam]], H$1) + SUMIFS(Table1[[HomeWon]:[HomeWon]], Table1[[GameIsOver]:[GameIsOver]],1,Table1[[HomeTeam]:[HomeTeam]],$A5, Table1[[AwayTeam]:[AwayTeam]], H$1),0), "-", TEXT(SUMIFS(Table1[[HomeWon]:[HomeWon]], Table1[[GameIsOver]:[GameIsOver]],1,Table1[[AwayTeam]:[AwayTeam]],$A5, Table1[[HomeTeam]:[HomeTeam]], H$1, Table1[[ActualResult]:[ActualResult]], "REG") + SUMIFS(Table1[[AwayWon]:[AwayWon]], Table1[[GameIsOver]:[GameIsOver]],1,Table1[[HomeTeam]:[HomeTeam]],$A5, Table1[[AwayTeam]:[AwayTeam]], H$1, Table1[[ActualResult]:[ActualResult]], "REG"),0), "-", TEXT(SUMIFS(Table1[[HomeWon]:[HomeWon]], Table1[[GameIsOver]:[GameIsOver]],1,Table1[[AwayTeam]:[AwayTeam]],$A5, Table1[[HomeTeam]:[HomeTeam]], H$1, Table1[[ActualResult]:[ActualResult]], "OT") + SUMIFS(Table1[[AwayWon]:[AwayWon]], Table1[[GameIsOver]:[GameIsOver]],1,Table1[[HomeTeam]:[HomeTeam]],$A5, Table1[[AwayTeam]:[AwayTeam]], H$1, Table1[[ActualResult]:[ActualResult]], "OT") + SUMIFS(Table1[[HomeWon]:[HomeWon]], Table1[[GameIsOver]:[GameIsOver]],1,Table1[[AwayTeam]:[AwayTeam]],$A5, Table1[[HomeTeam]:[HomeTeam]], H$1, Table1[[ActualResult]:[ActualResult]], "SO") + SUMIFS(Table1[[AwayWon]:[AwayWon]], Table1[[GameIsOver]:[GameIsOver]],1,Table1[[HomeTeam]:[HomeTeam]],$A5, Table1[[AwayTeam]:[AwayTeam]], H$1, Table1[[ActualResult]:[ActualResult]], "SO"),0))</f>
        <v>0-0-0</v>
      </c>
      <c r="I5" s="59" t="str">
        <f>_xlfn.CONCAT(TEXT(SUMIFS(Table1[[AwayWon]:[AwayWon]], Table1[[GameIsOver]:[GameIsOver]],1,Table1[[AwayTeam]:[AwayTeam]],$A5, Table1[[HomeTeam]:[HomeTeam]], I$1) + SUMIFS(Table1[[HomeWon]:[HomeWon]], Table1[[GameIsOver]:[GameIsOver]],1,Table1[[HomeTeam]:[HomeTeam]],$A5, Table1[[AwayTeam]:[AwayTeam]], I$1),0), "-", TEXT(SUMIFS(Table1[[HomeWon]:[HomeWon]], Table1[[GameIsOver]:[GameIsOver]],1,Table1[[AwayTeam]:[AwayTeam]],$A5, Table1[[HomeTeam]:[HomeTeam]], I$1, Table1[[ActualResult]:[ActualResult]], "REG") + SUMIFS(Table1[[AwayWon]:[AwayWon]], Table1[[GameIsOver]:[GameIsOver]],1,Table1[[HomeTeam]:[HomeTeam]],$A5, Table1[[AwayTeam]:[AwayTeam]], I$1, Table1[[ActualResult]:[ActualResult]], "REG"),0), "-", TEXT(SUMIFS(Table1[[HomeWon]:[HomeWon]], Table1[[GameIsOver]:[GameIsOver]],1,Table1[[AwayTeam]:[AwayTeam]],$A5, Table1[[HomeTeam]:[HomeTeam]], I$1, Table1[[ActualResult]:[ActualResult]], "OT") + SUMIFS(Table1[[AwayWon]:[AwayWon]], Table1[[GameIsOver]:[GameIsOver]],1,Table1[[HomeTeam]:[HomeTeam]],$A5, Table1[[AwayTeam]:[AwayTeam]], I$1, Table1[[ActualResult]:[ActualResult]], "OT") + SUMIFS(Table1[[HomeWon]:[HomeWon]], Table1[[GameIsOver]:[GameIsOver]],1,Table1[[AwayTeam]:[AwayTeam]],$A5, Table1[[HomeTeam]:[HomeTeam]], I$1, Table1[[ActualResult]:[ActualResult]], "SO") + SUMIFS(Table1[[AwayWon]:[AwayWon]], Table1[[GameIsOver]:[GameIsOver]],1,Table1[[HomeTeam]:[HomeTeam]],$A5, Table1[[AwayTeam]:[AwayTeam]], I$1, Table1[[ActualResult]:[ActualResult]], "SO"),0))</f>
        <v>0-0-0</v>
      </c>
      <c r="J5" s="57" t="str">
        <f>_xlfn.CONCAT(TEXT(SUMIFS(Table1[[AwayWon]:[AwayWon]], Table1[[GameIsOver]:[GameIsOver]],1,Table1[[AwayTeam]:[AwayTeam]],$A5, Table1[[HomeTeam]:[HomeTeam]], J$1) + SUMIFS(Table1[[HomeWon]:[HomeWon]], Table1[[GameIsOver]:[GameIsOver]],1,Table1[[HomeTeam]:[HomeTeam]],$A5, Table1[[AwayTeam]:[AwayTeam]], J$1),0), "-", TEXT(SUMIFS(Table1[[HomeWon]:[HomeWon]], Table1[[GameIsOver]:[GameIsOver]],1,Table1[[AwayTeam]:[AwayTeam]],$A5, Table1[[HomeTeam]:[HomeTeam]], J$1, Table1[[ActualResult]:[ActualResult]], "REG") + SUMIFS(Table1[[AwayWon]:[AwayWon]], Table1[[GameIsOver]:[GameIsOver]],1,Table1[[HomeTeam]:[HomeTeam]],$A5, Table1[[AwayTeam]:[AwayTeam]], J$1, Table1[[ActualResult]:[ActualResult]], "REG"),0), "-", TEXT(SUMIFS(Table1[[HomeWon]:[HomeWon]], Table1[[GameIsOver]:[GameIsOver]],1,Table1[[AwayTeam]:[AwayTeam]],$A5, Table1[[HomeTeam]:[HomeTeam]], J$1, Table1[[ActualResult]:[ActualResult]], "OT") + SUMIFS(Table1[[AwayWon]:[AwayWon]], Table1[[GameIsOver]:[GameIsOver]],1,Table1[[HomeTeam]:[HomeTeam]],$A5, Table1[[AwayTeam]:[AwayTeam]], J$1, Table1[[ActualResult]:[ActualResult]], "OT") + SUMIFS(Table1[[HomeWon]:[HomeWon]], Table1[[GameIsOver]:[GameIsOver]],1,Table1[[AwayTeam]:[AwayTeam]],$A5, Table1[[HomeTeam]:[HomeTeam]], J$1, Table1[[ActualResult]:[ActualResult]], "SO") + SUMIFS(Table1[[AwayWon]:[AwayWon]], Table1[[GameIsOver]:[GameIsOver]],1,Table1[[HomeTeam]:[HomeTeam]],$A5, Table1[[AwayTeam]:[AwayTeam]], J$1, Table1[[ActualResult]:[ActualResult]], "SO"),0))</f>
        <v>0-0-0</v>
      </c>
      <c r="K5" s="57" t="str">
        <f>_xlfn.CONCAT(TEXT(SUMIFS(Table1[[AwayWon]:[AwayWon]], Table1[[GameIsOver]:[GameIsOver]],1,Table1[[AwayTeam]:[AwayTeam]],$A5, Table1[[HomeTeam]:[HomeTeam]], K$1) + SUMIFS(Table1[[HomeWon]:[HomeWon]], Table1[[GameIsOver]:[GameIsOver]],1,Table1[[HomeTeam]:[HomeTeam]],$A5, Table1[[AwayTeam]:[AwayTeam]], K$1),0), "-", TEXT(SUMIFS(Table1[[HomeWon]:[HomeWon]], Table1[[GameIsOver]:[GameIsOver]],1,Table1[[AwayTeam]:[AwayTeam]],$A5, Table1[[HomeTeam]:[HomeTeam]], K$1, Table1[[ActualResult]:[ActualResult]], "REG") + SUMIFS(Table1[[AwayWon]:[AwayWon]], Table1[[GameIsOver]:[GameIsOver]],1,Table1[[HomeTeam]:[HomeTeam]],$A5, Table1[[AwayTeam]:[AwayTeam]], K$1, Table1[[ActualResult]:[ActualResult]], "REG"),0), "-", TEXT(SUMIFS(Table1[[HomeWon]:[HomeWon]], Table1[[GameIsOver]:[GameIsOver]],1,Table1[[AwayTeam]:[AwayTeam]],$A5, Table1[[HomeTeam]:[HomeTeam]], K$1, Table1[[ActualResult]:[ActualResult]], "OT") + SUMIFS(Table1[[AwayWon]:[AwayWon]], Table1[[GameIsOver]:[GameIsOver]],1,Table1[[HomeTeam]:[HomeTeam]],$A5, Table1[[AwayTeam]:[AwayTeam]], K$1, Table1[[ActualResult]:[ActualResult]], "OT") + SUMIFS(Table1[[HomeWon]:[HomeWon]], Table1[[GameIsOver]:[GameIsOver]],1,Table1[[AwayTeam]:[AwayTeam]],$A5, Table1[[HomeTeam]:[HomeTeam]], K$1, Table1[[ActualResult]:[ActualResult]], "SO") + SUMIFS(Table1[[AwayWon]:[AwayWon]], Table1[[GameIsOver]:[GameIsOver]],1,Table1[[HomeTeam]:[HomeTeam]],$A5, Table1[[AwayTeam]:[AwayTeam]], K$1, Table1[[ActualResult]:[ActualResult]], "SO"),0))</f>
        <v>0-0-0</v>
      </c>
      <c r="L5" s="57" t="str">
        <f>_xlfn.CONCAT(TEXT(SUMIFS(Table1[[AwayWon]:[AwayWon]], Table1[[GameIsOver]:[GameIsOver]],1,Table1[[AwayTeam]:[AwayTeam]],$A5, Table1[[HomeTeam]:[HomeTeam]], L$1) + SUMIFS(Table1[[HomeWon]:[HomeWon]], Table1[[GameIsOver]:[GameIsOver]],1,Table1[[HomeTeam]:[HomeTeam]],$A5, Table1[[AwayTeam]:[AwayTeam]], L$1),0), "-", TEXT(SUMIFS(Table1[[HomeWon]:[HomeWon]], Table1[[GameIsOver]:[GameIsOver]],1,Table1[[AwayTeam]:[AwayTeam]],$A5, Table1[[HomeTeam]:[HomeTeam]], L$1, Table1[[ActualResult]:[ActualResult]], "REG") + SUMIFS(Table1[[AwayWon]:[AwayWon]], Table1[[GameIsOver]:[GameIsOver]],1,Table1[[HomeTeam]:[HomeTeam]],$A5, Table1[[AwayTeam]:[AwayTeam]], L$1, Table1[[ActualResult]:[ActualResult]], "REG"),0), "-", TEXT(SUMIFS(Table1[[HomeWon]:[HomeWon]], Table1[[GameIsOver]:[GameIsOver]],1,Table1[[AwayTeam]:[AwayTeam]],$A5, Table1[[HomeTeam]:[HomeTeam]], L$1, Table1[[ActualResult]:[ActualResult]], "OT") + SUMIFS(Table1[[AwayWon]:[AwayWon]], Table1[[GameIsOver]:[GameIsOver]],1,Table1[[HomeTeam]:[HomeTeam]],$A5, Table1[[AwayTeam]:[AwayTeam]], L$1, Table1[[ActualResult]:[ActualResult]], "OT") + SUMIFS(Table1[[HomeWon]:[HomeWon]], Table1[[GameIsOver]:[GameIsOver]],1,Table1[[AwayTeam]:[AwayTeam]],$A5, Table1[[HomeTeam]:[HomeTeam]], L$1, Table1[[ActualResult]:[ActualResult]], "SO") + SUMIFS(Table1[[AwayWon]:[AwayWon]], Table1[[GameIsOver]:[GameIsOver]],1,Table1[[HomeTeam]:[HomeTeam]],$A5, Table1[[AwayTeam]:[AwayTeam]], L$1, Table1[[ActualResult]:[ActualResult]], "SO"),0))</f>
        <v>0-0-0</v>
      </c>
      <c r="M5" s="57" t="str">
        <f>_xlfn.CONCAT(TEXT(SUMIFS(Table1[[AwayWon]:[AwayWon]], Table1[[GameIsOver]:[GameIsOver]],1,Table1[[AwayTeam]:[AwayTeam]],$A5, Table1[[HomeTeam]:[HomeTeam]], M$1) + SUMIFS(Table1[[HomeWon]:[HomeWon]], Table1[[GameIsOver]:[GameIsOver]],1,Table1[[HomeTeam]:[HomeTeam]],$A5, Table1[[AwayTeam]:[AwayTeam]], M$1),0), "-", TEXT(SUMIFS(Table1[[HomeWon]:[HomeWon]], Table1[[GameIsOver]:[GameIsOver]],1,Table1[[AwayTeam]:[AwayTeam]],$A5, Table1[[HomeTeam]:[HomeTeam]], M$1, Table1[[ActualResult]:[ActualResult]], "REG") + SUMIFS(Table1[[AwayWon]:[AwayWon]], Table1[[GameIsOver]:[GameIsOver]],1,Table1[[HomeTeam]:[HomeTeam]],$A5, Table1[[AwayTeam]:[AwayTeam]], M$1, Table1[[ActualResult]:[ActualResult]], "REG"),0), "-", TEXT(SUMIFS(Table1[[HomeWon]:[HomeWon]], Table1[[GameIsOver]:[GameIsOver]],1,Table1[[AwayTeam]:[AwayTeam]],$A5, Table1[[HomeTeam]:[HomeTeam]], M$1, Table1[[ActualResult]:[ActualResult]], "OT") + SUMIFS(Table1[[AwayWon]:[AwayWon]], Table1[[GameIsOver]:[GameIsOver]],1,Table1[[HomeTeam]:[HomeTeam]],$A5, Table1[[AwayTeam]:[AwayTeam]], M$1, Table1[[ActualResult]:[ActualResult]], "OT") + SUMIFS(Table1[[HomeWon]:[HomeWon]], Table1[[GameIsOver]:[GameIsOver]],1,Table1[[AwayTeam]:[AwayTeam]],$A5, Table1[[HomeTeam]:[HomeTeam]], M$1, Table1[[ActualResult]:[ActualResult]], "SO") + SUMIFS(Table1[[AwayWon]:[AwayWon]], Table1[[GameIsOver]:[GameIsOver]],1,Table1[[HomeTeam]:[HomeTeam]],$A5, Table1[[AwayTeam]:[AwayTeam]], M$1, Table1[[ActualResult]:[ActualResult]], "SO"),0))</f>
        <v>0-0-0</v>
      </c>
      <c r="N5" s="57" t="str">
        <f>_xlfn.CONCAT(TEXT(SUMIFS(Table1[[AwayWon]:[AwayWon]], Table1[[GameIsOver]:[GameIsOver]],1,Table1[[AwayTeam]:[AwayTeam]],$A5, Table1[[HomeTeam]:[HomeTeam]], N$1) + SUMIFS(Table1[[HomeWon]:[HomeWon]], Table1[[GameIsOver]:[GameIsOver]],1,Table1[[HomeTeam]:[HomeTeam]],$A5, Table1[[AwayTeam]:[AwayTeam]], N$1),0), "-", TEXT(SUMIFS(Table1[[HomeWon]:[HomeWon]], Table1[[GameIsOver]:[GameIsOver]],1,Table1[[AwayTeam]:[AwayTeam]],$A5, Table1[[HomeTeam]:[HomeTeam]], N$1, Table1[[ActualResult]:[ActualResult]], "REG") + SUMIFS(Table1[[AwayWon]:[AwayWon]], Table1[[GameIsOver]:[GameIsOver]],1,Table1[[HomeTeam]:[HomeTeam]],$A5, Table1[[AwayTeam]:[AwayTeam]], N$1, Table1[[ActualResult]:[ActualResult]], "REG"),0), "-", TEXT(SUMIFS(Table1[[HomeWon]:[HomeWon]], Table1[[GameIsOver]:[GameIsOver]],1,Table1[[AwayTeam]:[AwayTeam]],$A5, Table1[[HomeTeam]:[HomeTeam]], N$1, Table1[[ActualResult]:[ActualResult]], "OT") + SUMIFS(Table1[[AwayWon]:[AwayWon]], Table1[[GameIsOver]:[GameIsOver]],1,Table1[[HomeTeam]:[HomeTeam]],$A5, Table1[[AwayTeam]:[AwayTeam]], N$1, Table1[[ActualResult]:[ActualResult]], "OT") + SUMIFS(Table1[[HomeWon]:[HomeWon]], Table1[[GameIsOver]:[GameIsOver]],1,Table1[[AwayTeam]:[AwayTeam]],$A5, Table1[[HomeTeam]:[HomeTeam]], N$1, Table1[[ActualResult]:[ActualResult]], "SO") + SUMIFS(Table1[[AwayWon]:[AwayWon]], Table1[[GameIsOver]:[GameIsOver]],1,Table1[[HomeTeam]:[HomeTeam]],$A5, Table1[[AwayTeam]:[AwayTeam]], N$1, Table1[[ActualResult]:[ActualResult]], "SO"),0))</f>
        <v>0-0-0</v>
      </c>
      <c r="O5" s="57" t="str">
        <f>_xlfn.CONCAT(TEXT(SUMIFS(Table1[[AwayWon]:[AwayWon]], Table1[[GameIsOver]:[GameIsOver]],1,Table1[[AwayTeam]:[AwayTeam]],$A5, Table1[[HomeTeam]:[HomeTeam]], O$1) + SUMIFS(Table1[[HomeWon]:[HomeWon]], Table1[[GameIsOver]:[GameIsOver]],1,Table1[[HomeTeam]:[HomeTeam]],$A5, Table1[[AwayTeam]:[AwayTeam]], O$1),0), "-", TEXT(SUMIFS(Table1[[HomeWon]:[HomeWon]], Table1[[GameIsOver]:[GameIsOver]],1,Table1[[AwayTeam]:[AwayTeam]],$A5, Table1[[HomeTeam]:[HomeTeam]], O$1, Table1[[ActualResult]:[ActualResult]], "REG") + SUMIFS(Table1[[AwayWon]:[AwayWon]], Table1[[GameIsOver]:[GameIsOver]],1,Table1[[HomeTeam]:[HomeTeam]],$A5, Table1[[AwayTeam]:[AwayTeam]], O$1, Table1[[ActualResult]:[ActualResult]], "REG"),0), "-", TEXT(SUMIFS(Table1[[HomeWon]:[HomeWon]], Table1[[GameIsOver]:[GameIsOver]],1,Table1[[AwayTeam]:[AwayTeam]],$A5, Table1[[HomeTeam]:[HomeTeam]], O$1, Table1[[ActualResult]:[ActualResult]], "OT") + SUMIFS(Table1[[AwayWon]:[AwayWon]], Table1[[GameIsOver]:[GameIsOver]],1,Table1[[HomeTeam]:[HomeTeam]],$A5, Table1[[AwayTeam]:[AwayTeam]], O$1, Table1[[ActualResult]:[ActualResult]], "OT") + SUMIFS(Table1[[HomeWon]:[HomeWon]], Table1[[GameIsOver]:[GameIsOver]],1,Table1[[AwayTeam]:[AwayTeam]],$A5, Table1[[HomeTeam]:[HomeTeam]], O$1, Table1[[ActualResult]:[ActualResult]], "SO") + SUMIFS(Table1[[AwayWon]:[AwayWon]], Table1[[GameIsOver]:[GameIsOver]],1,Table1[[HomeTeam]:[HomeTeam]],$A5, Table1[[AwayTeam]:[AwayTeam]], O$1, Table1[[ActualResult]:[ActualResult]], "SO"),0))</f>
        <v>0-0-0</v>
      </c>
      <c r="P5" s="57" t="str">
        <f>_xlfn.CONCAT(TEXT(SUMIFS(Table1[[AwayWon]:[AwayWon]], Table1[[GameIsOver]:[GameIsOver]],1,Table1[[AwayTeam]:[AwayTeam]],$A5, Table1[[HomeTeam]:[HomeTeam]], P$1) + SUMIFS(Table1[[HomeWon]:[HomeWon]], Table1[[GameIsOver]:[GameIsOver]],1,Table1[[HomeTeam]:[HomeTeam]],$A5, Table1[[AwayTeam]:[AwayTeam]], P$1),0), "-", TEXT(SUMIFS(Table1[[HomeWon]:[HomeWon]], Table1[[GameIsOver]:[GameIsOver]],1,Table1[[AwayTeam]:[AwayTeam]],$A5, Table1[[HomeTeam]:[HomeTeam]], P$1, Table1[[ActualResult]:[ActualResult]], "REG") + SUMIFS(Table1[[AwayWon]:[AwayWon]], Table1[[GameIsOver]:[GameIsOver]],1,Table1[[HomeTeam]:[HomeTeam]],$A5, Table1[[AwayTeam]:[AwayTeam]], P$1, Table1[[ActualResult]:[ActualResult]], "REG"),0), "-", TEXT(SUMIFS(Table1[[HomeWon]:[HomeWon]], Table1[[GameIsOver]:[GameIsOver]],1,Table1[[AwayTeam]:[AwayTeam]],$A5, Table1[[HomeTeam]:[HomeTeam]], P$1, Table1[[ActualResult]:[ActualResult]], "OT") + SUMIFS(Table1[[AwayWon]:[AwayWon]], Table1[[GameIsOver]:[GameIsOver]],1,Table1[[HomeTeam]:[HomeTeam]],$A5, Table1[[AwayTeam]:[AwayTeam]], P$1, Table1[[ActualResult]:[ActualResult]], "OT") + SUMIFS(Table1[[HomeWon]:[HomeWon]], Table1[[GameIsOver]:[GameIsOver]],1,Table1[[AwayTeam]:[AwayTeam]],$A5, Table1[[HomeTeam]:[HomeTeam]], P$1, Table1[[ActualResult]:[ActualResult]], "SO") + SUMIFS(Table1[[AwayWon]:[AwayWon]], Table1[[GameIsOver]:[GameIsOver]],1,Table1[[HomeTeam]:[HomeTeam]],$A5, Table1[[AwayTeam]:[AwayTeam]], P$1, Table1[[ActualResult]:[ActualResult]], "SO"),0))</f>
        <v>0-0-0</v>
      </c>
      <c r="Q5" s="59" t="str">
        <f>_xlfn.CONCAT(TEXT(SUMIFS(Table1[[AwayWon]:[AwayWon]], Table1[[GameIsOver]:[GameIsOver]],1,Table1[[AwayTeam]:[AwayTeam]],$A5, Table1[[HomeTeam]:[HomeTeam]], Q$1) + SUMIFS(Table1[[HomeWon]:[HomeWon]], Table1[[GameIsOver]:[GameIsOver]],1,Table1[[HomeTeam]:[HomeTeam]],$A5, Table1[[AwayTeam]:[AwayTeam]], Q$1),0), "-", TEXT(SUMIFS(Table1[[HomeWon]:[HomeWon]], Table1[[GameIsOver]:[GameIsOver]],1,Table1[[AwayTeam]:[AwayTeam]],$A5, Table1[[HomeTeam]:[HomeTeam]], Q$1, Table1[[ActualResult]:[ActualResult]], "REG") + SUMIFS(Table1[[AwayWon]:[AwayWon]], Table1[[GameIsOver]:[GameIsOver]],1,Table1[[HomeTeam]:[HomeTeam]],$A5, Table1[[AwayTeam]:[AwayTeam]], Q$1, Table1[[ActualResult]:[ActualResult]], "REG"),0), "-", TEXT(SUMIFS(Table1[[HomeWon]:[HomeWon]], Table1[[GameIsOver]:[GameIsOver]],1,Table1[[AwayTeam]:[AwayTeam]],$A5, Table1[[HomeTeam]:[HomeTeam]], Q$1, Table1[[ActualResult]:[ActualResult]], "OT") + SUMIFS(Table1[[AwayWon]:[AwayWon]], Table1[[GameIsOver]:[GameIsOver]],1,Table1[[HomeTeam]:[HomeTeam]],$A5, Table1[[AwayTeam]:[AwayTeam]], Q$1, Table1[[ActualResult]:[ActualResult]], "OT") + SUMIFS(Table1[[HomeWon]:[HomeWon]], Table1[[GameIsOver]:[GameIsOver]],1,Table1[[AwayTeam]:[AwayTeam]],$A5, Table1[[HomeTeam]:[HomeTeam]], Q$1, Table1[[ActualResult]:[ActualResult]], "SO") + SUMIFS(Table1[[AwayWon]:[AwayWon]], Table1[[GameIsOver]:[GameIsOver]],1,Table1[[HomeTeam]:[HomeTeam]],$A5, Table1[[AwayTeam]:[AwayTeam]], Q$1, Table1[[ActualResult]:[ActualResult]], "SO"),0))</f>
        <v>0-0-0</v>
      </c>
      <c r="R5" s="57" t="str">
        <f>_xlfn.CONCAT(TEXT(SUMIFS(Table1[[AwayWon]:[AwayWon]], Table1[[GameIsOver]:[GameIsOver]],1,Table1[[AwayTeam]:[AwayTeam]],$A5, Table1[[HomeTeam]:[HomeTeam]], R$1) + SUMIFS(Table1[[HomeWon]:[HomeWon]], Table1[[GameIsOver]:[GameIsOver]],1,Table1[[HomeTeam]:[HomeTeam]],$A5, Table1[[AwayTeam]:[AwayTeam]], R$1),0), "-", TEXT(SUMIFS(Table1[[HomeWon]:[HomeWon]], Table1[[GameIsOver]:[GameIsOver]],1,Table1[[AwayTeam]:[AwayTeam]],$A5, Table1[[HomeTeam]:[HomeTeam]], R$1, Table1[[ActualResult]:[ActualResult]], "REG") + SUMIFS(Table1[[AwayWon]:[AwayWon]], Table1[[GameIsOver]:[GameIsOver]],1,Table1[[HomeTeam]:[HomeTeam]],$A5, Table1[[AwayTeam]:[AwayTeam]], R$1, Table1[[ActualResult]:[ActualResult]], "REG"),0), "-", TEXT(SUMIFS(Table1[[HomeWon]:[HomeWon]], Table1[[GameIsOver]:[GameIsOver]],1,Table1[[AwayTeam]:[AwayTeam]],$A5, Table1[[HomeTeam]:[HomeTeam]], R$1, Table1[[ActualResult]:[ActualResult]], "OT") + SUMIFS(Table1[[AwayWon]:[AwayWon]], Table1[[GameIsOver]:[GameIsOver]],1,Table1[[HomeTeam]:[HomeTeam]],$A5, Table1[[AwayTeam]:[AwayTeam]], R$1, Table1[[ActualResult]:[ActualResult]], "OT") + SUMIFS(Table1[[HomeWon]:[HomeWon]], Table1[[GameIsOver]:[GameIsOver]],1,Table1[[AwayTeam]:[AwayTeam]],$A5, Table1[[HomeTeam]:[HomeTeam]], R$1, Table1[[ActualResult]:[ActualResult]], "SO") + SUMIFS(Table1[[AwayWon]:[AwayWon]], Table1[[GameIsOver]:[GameIsOver]],1,Table1[[HomeTeam]:[HomeTeam]],$A5, Table1[[AwayTeam]:[AwayTeam]], R$1, Table1[[ActualResult]:[ActualResult]], "SO"),0))</f>
        <v>0-0-1</v>
      </c>
      <c r="S5" s="57" t="str">
        <f>_xlfn.CONCAT(TEXT(SUMIFS(Table1[[AwayWon]:[AwayWon]], Table1[[GameIsOver]:[GameIsOver]],1,Table1[[AwayTeam]:[AwayTeam]],$A5, Table1[[HomeTeam]:[HomeTeam]], S$1) + SUMIFS(Table1[[HomeWon]:[HomeWon]], Table1[[GameIsOver]:[GameIsOver]],1,Table1[[HomeTeam]:[HomeTeam]],$A5, Table1[[AwayTeam]:[AwayTeam]], S$1),0), "-", TEXT(SUMIFS(Table1[[HomeWon]:[HomeWon]], Table1[[GameIsOver]:[GameIsOver]],1,Table1[[AwayTeam]:[AwayTeam]],$A5, Table1[[HomeTeam]:[HomeTeam]], S$1, Table1[[ActualResult]:[ActualResult]], "REG") + SUMIFS(Table1[[AwayWon]:[AwayWon]], Table1[[GameIsOver]:[GameIsOver]],1,Table1[[HomeTeam]:[HomeTeam]],$A5, Table1[[AwayTeam]:[AwayTeam]], S$1, Table1[[ActualResult]:[ActualResult]], "REG"),0), "-", TEXT(SUMIFS(Table1[[HomeWon]:[HomeWon]], Table1[[GameIsOver]:[GameIsOver]],1,Table1[[AwayTeam]:[AwayTeam]],$A5, Table1[[HomeTeam]:[HomeTeam]], S$1, Table1[[ActualResult]:[ActualResult]], "OT") + SUMIFS(Table1[[AwayWon]:[AwayWon]], Table1[[GameIsOver]:[GameIsOver]],1,Table1[[HomeTeam]:[HomeTeam]],$A5, Table1[[AwayTeam]:[AwayTeam]], S$1, Table1[[ActualResult]:[ActualResult]], "OT") + SUMIFS(Table1[[HomeWon]:[HomeWon]], Table1[[GameIsOver]:[GameIsOver]],1,Table1[[AwayTeam]:[AwayTeam]],$A5, Table1[[HomeTeam]:[HomeTeam]], S$1, Table1[[ActualResult]:[ActualResult]], "SO") + SUMIFS(Table1[[AwayWon]:[AwayWon]], Table1[[GameIsOver]:[GameIsOver]],1,Table1[[HomeTeam]:[HomeTeam]],$A5, Table1[[AwayTeam]:[AwayTeam]], S$1, Table1[[ActualResult]:[ActualResult]], "SO"),0))</f>
        <v>0-0-0</v>
      </c>
      <c r="T5" s="57" t="str">
        <f>_xlfn.CONCAT(TEXT(SUMIFS(Table1[[AwayWon]:[AwayWon]], Table1[[GameIsOver]:[GameIsOver]],1,Table1[[AwayTeam]:[AwayTeam]],$A5, Table1[[HomeTeam]:[HomeTeam]], T$1) + SUMIFS(Table1[[HomeWon]:[HomeWon]], Table1[[GameIsOver]:[GameIsOver]],1,Table1[[HomeTeam]:[HomeTeam]],$A5, Table1[[AwayTeam]:[AwayTeam]], T$1),0), "-", TEXT(SUMIFS(Table1[[HomeWon]:[HomeWon]], Table1[[GameIsOver]:[GameIsOver]],1,Table1[[AwayTeam]:[AwayTeam]],$A5, Table1[[HomeTeam]:[HomeTeam]], T$1, Table1[[ActualResult]:[ActualResult]], "REG") + SUMIFS(Table1[[AwayWon]:[AwayWon]], Table1[[GameIsOver]:[GameIsOver]],1,Table1[[HomeTeam]:[HomeTeam]],$A5, Table1[[AwayTeam]:[AwayTeam]], T$1, Table1[[ActualResult]:[ActualResult]], "REG"),0), "-", TEXT(SUMIFS(Table1[[HomeWon]:[HomeWon]], Table1[[GameIsOver]:[GameIsOver]],1,Table1[[AwayTeam]:[AwayTeam]],$A5, Table1[[HomeTeam]:[HomeTeam]], T$1, Table1[[ActualResult]:[ActualResult]], "OT") + SUMIFS(Table1[[AwayWon]:[AwayWon]], Table1[[GameIsOver]:[GameIsOver]],1,Table1[[HomeTeam]:[HomeTeam]],$A5, Table1[[AwayTeam]:[AwayTeam]], T$1, Table1[[ActualResult]:[ActualResult]], "OT") + SUMIFS(Table1[[HomeWon]:[HomeWon]], Table1[[GameIsOver]:[GameIsOver]],1,Table1[[AwayTeam]:[AwayTeam]],$A5, Table1[[HomeTeam]:[HomeTeam]], T$1, Table1[[ActualResult]:[ActualResult]], "SO") + SUMIFS(Table1[[AwayWon]:[AwayWon]], Table1[[GameIsOver]:[GameIsOver]],1,Table1[[HomeTeam]:[HomeTeam]],$A5, Table1[[AwayTeam]:[AwayTeam]], T$1, Table1[[ActualResult]:[ActualResult]], "SO"),0))</f>
        <v>0-0-0</v>
      </c>
      <c r="U5" s="57" t="str">
        <f>_xlfn.CONCAT(TEXT(SUMIFS(Table1[[AwayWon]:[AwayWon]], Table1[[GameIsOver]:[GameIsOver]],1,Table1[[AwayTeam]:[AwayTeam]],$A5, Table1[[HomeTeam]:[HomeTeam]], U$1) + SUMIFS(Table1[[HomeWon]:[HomeWon]], Table1[[GameIsOver]:[GameIsOver]],1,Table1[[HomeTeam]:[HomeTeam]],$A5, Table1[[AwayTeam]:[AwayTeam]], U$1),0), "-", TEXT(SUMIFS(Table1[[HomeWon]:[HomeWon]], Table1[[GameIsOver]:[GameIsOver]],1,Table1[[AwayTeam]:[AwayTeam]],$A5, Table1[[HomeTeam]:[HomeTeam]], U$1, Table1[[ActualResult]:[ActualResult]], "REG") + SUMIFS(Table1[[AwayWon]:[AwayWon]], Table1[[GameIsOver]:[GameIsOver]],1,Table1[[HomeTeam]:[HomeTeam]],$A5, Table1[[AwayTeam]:[AwayTeam]], U$1, Table1[[ActualResult]:[ActualResult]], "REG"),0), "-", TEXT(SUMIFS(Table1[[HomeWon]:[HomeWon]], Table1[[GameIsOver]:[GameIsOver]],1,Table1[[AwayTeam]:[AwayTeam]],$A5, Table1[[HomeTeam]:[HomeTeam]], U$1, Table1[[ActualResult]:[ActualResult]], "OT") + SUMIFS(Table1[[AwayWon]:[AwayWon]], Table1[[GameIsOver]:[GameIsOver]],1,Table1[[HomeTeam]:[HomeTeam]],$A5, Table1[[AwayTeam]:[AwayTeam]], U$1, Table1[[ActualResult]:[ActualResult]], "OT") + SUMIFS(Table1[[HomeWon]:[HomeWon]], Table1[[GameIsOver]:[GameIsOver]],1,Table1[[AwayTeam]:[AwayTeam]],$A5, Table1[[HomeTeam]:[HomeTeam]], U$1, Table1[[ActualResult]:[ActualResult]], "SO") + SUMIFS(Table1[[AwayWon]:[AwayWon]], Table1[[GameIsOver]:[GameIsOver]],1,Table1[[HomeTeam]:[HomeTeam]],$A5, Table1[[AwayTeam]:[AwayTeam]], U$1, Table1[[ActualResult]:[ActualResult]], "SO"),0))</f>
        <v>0-0-0</v>
      </c>
      <c r="V5" s="57" t="str">
        <f>_xlfn.CONCAT(TEXT(SUMIFS(Table1[[AwayWon]:[AwayWon]], Table1[[GameIsOver]:[GameIsOver]],1,Table1[[AwayTeam]:[AwayTeam]],$A5, Table1[[HomeTeam]:[HomeTeam]], V$1) + SUMIFS(Table1[[HomeWon]:[HomeWon]], Table1[[GameIsOver]:[GameIsOver]],1,Table1[[HomeTeam]:[HomeTeam]],$A5, Table1[[AwayTeam]:[AwayTeam]], V$1),0), "-", TEXT(SUMIFS(Table1[[HomeWon]:[HomeWon]], Table1[[GameIsOver]:[GameIsOver]],1,Table1[[AwayTeam]:[AwayTeam]],$A5, Table1[[HomeTeam]:[HomeTeam]], V$1, Table1[[ActualResult]:[ActualResult]], "REG") + SUMIFS(Table1[[AwayWon]:[AwayWon]], Table1[[GameIsOver]:[GameIsOver]],1,Table1[[HomeTeam]:[HomeTeam]],$A5, Table1[[AwayTeam]:[AwayTeam]], V$1, Table1[[ActualResult]:[ActualResult]], "REG"),0), "-", TEXT(SUMIFS(Table1[[HomeWon]:[HomeWon]], Table1[[GameIsOver]:[GameIsOver]],1,Table1[[AwayTeam]:[AwayTeam]],$A5, Table1[[HomeTeam]:[HomeTeam]], V$1, Table1[[ActualResult]:[ActualResult]], "OT") + SUMIFS(Table1[[AwayWon]:[AwayWon]], Table1[[GameIsOver]:[GameIsOver]],1,Table1[[HomeTeam]:[HomeTeam]],$A5, Table1[[AwayTeam]:[AwayTeam]], V$1, Table1[[ActualResult]:[ActualResult]], "OT") + SUMIFS(Table1[[HomeWon]:[HomeWon]], Table1[[GameIsOver]:[GameIsOver]],1,Table1[[AwayTeam]:[AwayTeam]],$A5, Table1[[HomeTeam]:[HomeTeam]], V$1, Table1[[ActualResult]:[ActualResult]], "SO") + SUMIFS(Table1[[AwayWon]:[AwayWon]], Table1[[GameIsOver]:[GameIsOver]],1,Table1[[HomeTeam]:[HomeTeam]],$A5, Table1[[AwayTeam]:[AwayTeam]], V$1, Table1[[ActualResult]:[ActualResult]], "SO"),0))</f>
        <v>0-0-0</v>
      </c>
      <c r="W5" s="57" t="str">
        <f>_xlfn.CONCAT(TEXT(SUMIFS(Table1[[AwayWon]:[AwayWon]], Table1[[GameIsOver]:[GameIsOver]],1,Table1[[AwayTeam]:[AwayTeam]],$A5, Table1[[HomeTeam]:[HomeTeam]], W$1) + SUMIFS(Table1[[HomeWon]:[HomeWon]], Table1[[GameIsOver]:[GameIsOver]],1,Table1[[HomeTeam]:[HomeTeam]],$A5, Table1[[AwayTeam]:[AwayTeam]], W$1),0), "-", TEXT(SUMIFS(Table1[[HomeWon]:[HomeWon]], Table1[[GameIsOver]:[GameIsOver]],1,Table1[[AwayTeam]:[AwayTeam]],$A5, Table1[[HomeTeam]:[HomeTeam]], W$1, Table1[[ActualResult]:[ActualResult]], "REG") + SUMIFS(Table1[[AwayWon]:[AwayWon]], Table1[[GameIsOver]:[GameIsOver]],1,Table1[[HomeTeam]:[HomeTeam]],$A5, Table1[[AwayTeam]:[AwayTeam]], W$1, Table1[[ActualResult]:[ActualResult]], "REG"),0), "-", TEXT(SUMIFS(Table1[[HomeWon]:[HomeWon]], Table1[[GameIsOver]:[GameIsOver]],1,Table1[[AwayTeam]:[AwayTeam]],$A5, Table1[[HomeTeam]:[HomeTeam]], W$1, Table1[[ActualResult]:[ActualResult]], "OT") + SUMIFS(Table1[[AwayWon]:[AwayWon]], Table1[[GameIsOver]:[GameIsOver]],1,Table1[[HomeTeam]:[HomeTeam]],$A5, Table1[[AwayTeam]:[AwayTeam]], W$1, Table1[[ActualResult]:[ActualResult]], "OT") + SUMIFS(Table1[[HomeWon]:[HomeWon]], Table1[[GameIsOver]:[GameIsOver]],1,Table1[[AwayTeam]:[AwayTeam]],$A5, Table1[[HomeTeam]:[HomeTeam]], W$1, Table1[[ActualResult]:[ActualResult]], "SO") + SUMIFS(Table1[[AwayWon]:[AwayWon]], Table1[[GameIsOver]:[GameIsOver]],1,Table1[[HomeTeam]:[HomeTeam]],$A5, Table1[[AwayTeam]:[AwayTeam]], W$1, Table1[[ActualResult]:[ActualResult]], "SO"),0))</f>
        <v>0-0-0</v>
      </c>
      <c r="X5" s="57" t="str">
        <f>_xlfn.CONCAT(TEXT(SUMIFS(Table1[[AwayWon]:[AwayWon]], Table1[[GameIsOver]:[GameIsOver]],1,Table1[[AwayTeam]:[AwayTeam]],$A5, Table1[[HomeTeam]:[HomeTeam]], X$1) + SUMIFS(Table1[[HomeWon]:[HomeWon]], Table1[[GameIsOver]:[GameIsOver]],1,Table1[[HomeTeam]:[HomeTeam]],$A5, Table1[[AwayTeam]:[AwayTeam]], X$1),0), "-", TEXT(SUMIFS(Table1[[HomeWon]:[HomeWon]], Table1[[GameIsOver]:[GameIsOver]],1,Table1[[AwayTeam]:[AwayTeam]],$A5, Table1[[HomeTeam]:[HomeTeam]], X$1, Table1[[ActualResult]:[ActualResult]], "REG") + SUMIFS(Table1[[AwayWon]:[AwayWon]], Table1[[GameIsOver]:[GameIsOver]],1,Table1[[HomeTeam]:[HomeTeam]],$A5, Table1[[AwayTeam]:[AwayTeam]], X$1, Table1[[ActualResult]:[ActualResult]], "REG"),0), "-", TEXT(SUMIFS(Table1[[HomeWon]:[HomeWon]], Table1[[GameIsOver]:[GameIsOver]],1,Table1[[AwayTeam]:[AwayTeam]],$A5, Table1[[HomeTeam]:[HomeTeam]], X$1, Table1[[ActualResult]:[ActualResult]], "OT") + SUMIFS(Table1[[AwayWon]:[AwayWon]], Table1[[GameIsOver]:[GameIsOver]],1,Table1[[HomeTeam]:[HomeTeam]],$A5, Table1[[AwayTeam]:[AwayTeam]], X$1, Table1[[ActualResult]:[ActualResult]], "OT") + SUMIFS(Table1[[HomeWon]:[HomeWon]], Table1[[GameIsOver]:[GameIsOver]],1,Table1[[AwayTeam]:[AwayTeam]],$A5, Table1[[HomeTeam]:[HomeTeam]], X$1, Table1[[ActualResult]:[ActualResult]], "SO") + SUMIFS(Table1[[AwayWon]:[AwayWon]], Table1[[GameIsOver]:[GameIsOver]],1,Table1[[HomeTeam]:[HomeTeam]],$A5, Table1[[AwayTeam]:[AwayTeam]], X$1, Table1[[ActualResult]:[ActualResult]], "SO"),0))</f>
        <v>0-0-0</v>
      </c>
      <c r="Y5" s="59" t="str">
        <f>_xlfn.CONCAT(TEXT(SUMIFS(Table1[[AwayWon]:[AwayWon]], Table1[[GameIsOver]:[GameIsOver]],1,Table1[[AwayTeam]:[AwayTeam]],$A5, Table1[[HomeTeam]:[HomeTeam]], Y$1) + SUMIFS(Table1[[HomeWon]:[HomeWon]], Table1[[GameIsOver]:[GameIsOver]],1,Table1[[HomeTeam]:[HomeTeam]],$A5, Table1[[AwayTeam]:[AwayTeam]], Y$1),0), "-", TEXT(SUMIFS(Table1[[HomeWon]:[HomeWon]], Table1[[GameIsOver]:[GameIsOver]],1,Table1[[AwayTeam]:[AwayTeam]],$A5, Table1[[HomeTeam]:[HomeTeam]], Y$1, Table1[[ActualResult]:[ActualResult]], "REG") + SUMIFS(Table1[[AwayWon]:[AwayWon]], Table1[[GameIsOver]:[GameIsOver]],1,Table1[[HomeTeam]:[HomeTeam]],$A5, Table1[[AwayTeam]:[AwayTeam]], Y$1, Table1[[ActualResult]:[ActualResult]], "REG"),0), "-", TEXT(SUMIFS(Table1[[HomeWon]:[HomeWon]], Table1[[GameIsOver]:[GameIsOver]],1,Table1[[AwayTeam]:[AwayTeam]],$A5, Table1[[HomeTeam]:[HomeTeam]], Y$1, Table1[[ActualResult]:[ActualResult]], "OT") + SUMIFS(Table1[[AwayWon]:[AwayWon]], Table1[[GameIsOver]:[GameIsOver]],1,Table1[[HomeTeam]:[HomeTeam]],$A5, Table1[[AwayTeam]:[AwayTeam]], Y$1, Table1[[ActualResult]:[ActualResult]], "OT") + SUMIFS(Table1[[HomeWon]:[HomeWon]], Table1[[GameIsOver]:[GameIsOver]],1,Table1[[AwayTeam]:[AwayTeam]],$A5, Table1[[HomeTeam]:[HomeTeam]], Y$1, Table1[[ActualResult]:[ActualResult]], "SO") + SUMIFS(Table1[[AwayWon]:[AwayWon]], Table1[[GameIsOver]:[GameIsOver]],1,Table1[[HomeTeam]:[HomeTeam]],$A5, Table1[[AwayTeam]:[AwayTeam]], Y$1, Table1[[ActualResult]:[ActualResult]], "SO"),0))</f>
        <v>0-0-0</v>
      </c>
      <c r="Z5" s="57" t="str">
        <f>_xlfn.CONCAT(TEXT(SUMIFS(Table1[[AwayWon]:[AwayWon]], Table1[[GameIsOver]:[GameIsOver]],1,Table1[[AwayTeam]:[AwayTeam]],$A5, Table1[[HomeTeam]:[HomeTeam]], Z$1) + SUMIFS(Table1[[HomeWon]:[HomeWon]], Table1[[GameIsOver]:[GameIsOver]],1,Table1[[HomeTeam]:[HomeTeam]],$A5, Table1[[AwayTeam]:[AwayTeam]], Z$1),0), "-", TEXT(SUMIFS(Table1[[HomeWon]:[HomeWon]], Table1[[GameIsOver]:[GameIsOver]],1,Table1[[AwayTeam]:[AwayTeam]],$A5, Table1[[HomeTeam]:[HomeTeam]], Z$1, Table1[[ActualResult]:[ActualResult]], "REG") + SUMIFS(Table1[[AwayWon]:[AwayWon]], Table1[[GameIsOver]:[GameIsOver]],1,Table1[[HomeTeam]:[HomeTeam]],$A5, Table1[[AwayTeam]:[AwayTeam]], Z$1, Table1[[ActualResult]:[ActualResult]], "REG"),0), "-", TEXT(SUMIFS(Table1[[HomeWon]:[HomeWon]], Table1[[GameIsOver]:[GameIsOver]],1,Table1[[AwayTeam]:[AwayTeam]],$A5, Table1[[HomeTeam]:[HomeTeam]], Z$1, Table1[[ActualResult]:[ActualResult]], "OT") + SUMIFS(Table1[[AwayWon]:[AwayWon]], Table1[[GameIsOver]:[GameIsOver]],1,Table1[[HomeTeam]:[HomeTeam]],$A5, Table1[[AwayTeam]:[AwayTeam]], Z$1, Table1[[ActualResult]:[ActualResult]], "OT") + SUMIFS(Table1[[HomeWon]:[HomeWon]], Table1[[GameIsOver]:[GameIsOver]],1,Table1[[AwayTeam]:[AwayTeam]],$A5, Table1[[HomeTeam]:[HomeTeam]], Z$1, Table1[[ActualResult]:[ActualResult]], "SO") + SUMIFS(Table1[[AwayWon]:[AwayWon]], Table1[[GameIsOver]:[GameIsOver]],1,Table1[[HomeTeam]:[HomeTeam]],$A5, Table1[[AwayTeam]:[AwayTeam]], Z$1, Table1[[ActualResult]:[ActualResult]], "SO"),0))</f>
        <v>0-0-0</v>
      </c>
      <c r="AA5" s="57" t="str">
        <f>_xlfn.CONCAT(TEXT(SUMIFS(Table1[[AwayWon]:[AwayWon]], Table1[[GameIsOver]:[GameIsOver]],1,Table1[[AwayTeam]:[AwayTeam]],$A5, Table1[[HomeTeam]:[HomeTeam]], AA$1) + SUMIFS(Table1[[HomeWon]:[HomeWon]], Table1[[GameIsOver]:[GameIsOver]],1,Table1[[HomeTeam]:[HomeTeam]],$A5, Table1[[AwayTeam]:[AwayTeam]], AA$1),0), "-", TEXT(SUMIFS(Table1[[HomeWon]:[HomeWon]], Table1[[GameIsOver]:[GameIsOver]],1,Table1[[AwayTeam]:[AwayTeam]],$A5, Table1[[HomeTeam]:[HomeTeam]], AA$1, Table1[[ActualResult]:[ActualResult]], "REG") + SUMIFS(Table1[[AwayWon]:[AwayWon]], Table1[[GameIsOver]:[GameIsOver]],1,Table1[[HomeTeam]:[HomeTeam]],$A5, Table1[[AwayTeam]:[AwayTeam]], AA$1, Table1[[ActualResult]:[ActualResult]], "REG"),0), "-", TEXT(SUMIFS(Table1[[HomeWon]:[HomeWon]], Table1[[GameIsOver]:[GameIsOver]],1,Table1[[AwayTeam]:[AwayTeam]],$A5, Table1[[HomeTeam]:[HomeTeam]], AA$1, Table1[[ActualResult]:[ActualResult]], "OT") + SUMIFS(Table1[[AwayWon]:[AwayWon]], Table1[[GameIsOver]:[GameIsOver]],1,Table1[[HomeTeam]:[HomeTeam]],$A5, Table1[[AwayTeam]:[AwayTeam]], AA$1, Table1[[ActualResult]:[ActualResult]], "OT") + SUMIFS(Table1[[HomeWon]:[HomeWon]], Table1[[GameIsOver]:[GameIsOver]],1,Table1[[AwayTeam]:[AwayTeam]],$A5, Table1[[HomeTeam]:[HomeTeam]], AA$1, Table1[[ActualResult]:[ActualResult]], "SO") + SUMIFS(Table1[[AwayWon]:[AwayWon]], Table1[[GameIsOver]:[GameIsOver]],1,Table1[[HomeTeam]:[HomeTeam]],$A5, Table1[[AwayTeam]:[AwayTeam]], AA$1, Table1[[ActualResult]:[ActualResult]], "SO"),0))</f>
        <v>0-0-0</v>
      </c>
      <c r="AB5" s="57" t="str">
        <f>_xlfn.CONCAT(TEXT(SUMIFS(Table1[[AwayWon]:[AwayWon]], Table1[[GameIsOver]:[GameIsOver]],1,Table1[[AwayTeam]:[AwayTeam]],$A5, Table1[[HomeTeam]:[HomeTeam]], AB$1) + SUMIFS(Table1[[HomeWon]:[HomeWon]], Table1[[GameIsOver]:[GameIsOver]],1,Table1[[HomeTeam]:[HomeTeam]],$A5, Table1[[AwayTeam]:[AwayTeam]], AB$1),0), "-", TEXT(SUMIFS(Table1[[HomeWon]:[HomeWon]], Table1[[GameIsOver]:[GameIsOver]],1,Table1[[AwayTeam]:[AwayTeam]],$A5, Table1[[HomeTeam]:[HomeTeam]], AB$1, Table1[[ActualResult]:[ActualResult]], "REG") + SUMIFS(Table1[[AwayWon]:[AwayWon]], Table1[[GameIsOver]:[GameIsOver]],1,Table1[[HomeTeam]:[HomeTeam]],$A5, Table1[[AwayTeam]:[AwayTeam]], AB$1, Table1[[ActualResult]:[ActualResult]], "REG"),0), "-", TEXT(SUMIFS(Table1[[HomeWon]:[HomeWon]], Table1[[GameIsOver]:[GameIsOver]],1,Table1[[AwayTeam]:[AwayTeam]],$A5, Table1[[HomeTeam]:[HomeTeam]], AB$1, Table1[[ActualResult]:[ActualResult]], "OT") + SUMIFS(Table1[[AwayWon]:[AwayWon]], Table1[[GameIsOver]:[GameIsOver]],1,Table1[[HomeTeam]:[HomeTeam]],$A5, Table1[[AwayTeam]:[AwayTeam]], AB$1, Table1[[ActualResult]:[ActualResult]], "OT") + SUMIFS(Table1[[HomeWon]:[HomeWon]], Table1[[GameIsOver]:[GameIsOver]],1,Table1[[AwayTeam]:[AwayTeam]],$A5, Table1[[HomeTeam]:[HomeTeam]], AB$1, Table1[[ActualResult]:[ActualResult]], "SO") + SUMIFS(Table1[[AwayWon]:[AwayWon]], Table1[[GameIsOver]:[GameIsOver]],1,Table1[[HomeTeam]:[HomeTeam]],$A5, Table1[[AwayTeam]:[AwayTeam]], AB$1, Table1[[ActualResult]:[ActualResult]], "SO"),0))</f>
        <v>0-0-0</v>
      </c>
      <c r="AC5" s="57" t="str">
        <f>_xlfn.CONCAT(TEXT(SUMIFS(Table1[[AwayWon]:[AwayWon]], Table1[[GameIsOver]:[GameIsOver]],1,Table1[[AwayTeam]:[AwayTeam]],$A5, Table1[[HomeTeam]:[HomeTeam]], AC$1) + SUMIFS(Table1[[HomeWon]:[HomeWon]], Table1[[GameIsOver]:[GameIsOver]],1,Table1[[HomeTeam]:[HomeTeam]],$A5, Table1[[AwayTeam]:[AwayTeam]], AC$1),0), "-", TEXT(SUMIFS(Table1[[HomeWon]:[HomeWon]], Table1[[GameIsOver]:[GameIsOver]],1,Table1[[AwayTeam]:[AwayTeam]],$A5, Table1[[HomeTeam]:[HomeTeam]], AC$1, Table1[[ActualResult]:[ActualResult]], "REG") + SUMIFS(Table1[[AwayWon]:[AwayWon]], Table1[[GameIsOver]:[GameIsOver]],1,Table1[[HomeTeam]:[HomeTeam]],$A5, Table1[[AwayTeam]:[AwayTeam]], AC$1, Table1[[ActualResult]:[ActualResult]], "REG"),0), "-", TEXT(SUMIFS(Table1[[HomeWon]:[HomeWon]], Table1[[GameIsOver]:[GameIsOver]],1,Table1[[AwayTeam]:[AwayTeam]],$A5, Table1[[HomeTeam]:[HomeTeam]], AC$1, Table1[[ActualResult]:[ActualResult]], "OT") + SUMIFS(Table1[[AwayWon]:[AwayWon]], Table1[[GameIsOver]:[GameIsOver]],1,Table1[[HomeTeam]:[HomeTeam]],$A5, Table1[[AwayTeam]:[AwayTeam]], AC$1, Table1[[ActualResult]:[ActualResult]], "OT") + SUMIFS(Table1[[HomeWon]:[HomeWon]], Table1[[GameIsOver]:[GameIsOver]],1,Table1[[AwayTeam]:[AwayTeam]],$A5, Table1[[HomeTeam]:[HomeTeam]], AC$1, Table1[[ActualResult]:[ActualResult]], "SO") + SUMIFS(Table1[[AwayWon]:[AwayWon]], Table1[[GameIsOver]:[GameIsOver]],1,Table1[[HomeTeam]:[HomeTeam]],$A5, Table1[[AwayTeam]:[AwayTeam]], AC$1, Table1[[ActualResult]:[ActualResult]], "SO"),0))</f>
        <v>0-0-0</v>
      </c>
      <c r="AD5" s="57" t="str">
        <f>_xlfn.CONCAT(TEXT(SUMIFS(Table1[[AwayWon]:[AwayWon]], Table1[[GameIsOver]:[GameIsOver]],1,Table1[[AwayTeam]:[AwayTeam]],$A5, Table1[[HomeTeam]:[HomeTeam]], AD$1) + SUMIFS(Table1[[HomeWon]:[HomeWon]], Table1[[GameIsOver]:[GameIsOver]],1,Table1[[HomeTeam]:[HomeTeam]],$A5, Table1[[AwayTeam]:[AwayTeam]], AD$1),0), "-", TEXT(SUMIFS(Table1[[HomeWon]:[HomeWon]], Table1[[GameIsOver]:[GameIsOver]],1,Table1[[AwayTeam]:[AwayTeam]],$A5, Table1[[HomeTeam]:[HomeTeam]], AD$1, Table1[[ActualResult]:[ActualResult]], "REG") + SUMIFS(Table1[[AwayWon]:[AwayWon]], Table1[[GameIsOver]:[GameIsOver]],1,Table1[[HomeTeam]:[HomeTeam]],$A5, Table1[[AwayTeam]:[AwayTeam]], AD$1, Table1[[ActualResult]:[ActualResult]], "REG"),0), "-", TEXT(SUMIFS(Table1[[HomeWon]:[HomeWon]], Table1[[GameIsOver]:[GameIsOver]],1,Table1[[AwayTeam]:[AwayTeam]],$A5, Table1[[HomeTeam]:[HomeTeam]], AD$1, Table1[[ActualResult]:[ActualResult]], "OT") + SUMIFS(Table1[[AwayWon]:[AwayWon]], Table1[[GameIsOver]:[GameIsOver]],1,Table1[[HomeTeam]:[HomeTeam]],$A5, Table1[[AwayTeam]:[AwayTeam]], AD$1, Table1[[ActualResult]:[ActualResult]], "OT") + SUMIFS(Table1[[HomeWon]:[HomeWon]], Table1[[GameIsOver]:[GameIsOver]],1,Table1[[AwayTeam]:[AwayTeam]],$A5, Table1[[HomeTeam]:[HomeTeam]], AD$1, Table1[[ActualResult]:[ActualResult]], "SO") + SUMIFS(Table1[[AwayWon]:[AwayWon]], Table1[[GameIsOver]:[GameIsOver]],1,Table1[[HomeTeam]:[HomeTeam]],$A5, Table1[[AwayTeam]:[AwayTeam]], AD$1, Table1[[ActualResult]:[ActualResult]], "SO"),0))</f>
        <v>0-0-0</v>
      </c>
      <c r="AE5" s="57" t="str">
        <f>_xlfn.CONCAT(TEXT(SUMIFS(Table1[[AwayWon]:[AwayWon]], Table1[[GameIsOver]:[GameIsOver]],1,Table1[[AwayTeam]:[AwayTeam]],$A5, Table1[[HomeTeam]:[HomeTeam]], AE$1) + SUMIFS(Table1[[HomeWon]:[HomeWon]], Table1[[GameIsOver]:[GameIsOver]],1,Table1[[HomeTeam]:[HomeTeam]],$A5, Table1[[AwayTeam]:[AwayTeam]], AE$1),0), "-", TEXT(SUMIFS(Table1[[HomeWon]:[HomeWon]], Table1[[GameIsOver]:[GameIsOver]],1,Table1[[AwayTeam]:[AwayTeam]],$A5, Table1[[HomeTeam]:[HomeTeam]], AE$1, Table1[[ActualResult]:[ActualResult]], "REG") + SUMIFS(Table1[[AwayWon]:[AwayWon]], Table1[[GameIsOver]:[GameIsOver]],1,Table1[[HomeTeam]:[HomeTeam]],$A5, Table1[[AwayTeam]:[AwayTeam]], AE$1, Table1[[ActualResult]:[ActualResult]], "REG"),0), "-", TEXT(SUMIFS(Table1[[HomeWon]:[HomeWon]], Table1[[GameIsOver]:[GameIsOver]],1,Table1[[AwayTeam]:[AwayTeam]],$A5, Table1[[HomeTeam]:[HomeTeam]], AE$1, Table1[[ActualResult]:[ActualResult]], "OT") + SUMIFS(Table1[[AwayWon]:[AwayWon]], Table1[[GameIsOver]:[GameIsOver]],1,Table1[[HomeTeam]:[HomeTeam]],$A5, Table1[[AwayTeam]:[AwayTeam]], AE$1, Table1[[ActualResult]:[ActualResult]], "OT") + SUMIFS(Table1[[HomeWon]:[HomeWon]], Table1[[GameIsOver]:[GameIsOver]],1,Table1[[AwayTeam]:[AwayTeam]],$A5, Table1[[HomeTeam]:[HomeTeam]], AE$1, Table1[[ActualResult]:[ActualResult]], "SO") + SUMIFS(Table1[[AwayWon]:[AwayWon]], Table1[[GameIsOver]:[GameIsOver]],1,Table1[[HomeTeam]:[HomeTeam]],$A5, Table1[[AwayTeam]:[AwayTeam]], AE$1, Table1[[ActualResult]:[ActualResult]], "SO"),0))</f>
        <v>0-0-0</v>
      </c>
      <c r="AF5" s="57" t="str">
        <f>_xlfn.CONCAT(TEXT(SUMIFS(Table1[[AwayWon]:[AwayWon]], Table1[[GameIsOver]:[GameIsOver]],1,Table1[[AwayTeam]:[AwayTeam]],$A5, Table1[[HomeTeam]:[HomeTeam]], AF$1) + SUMIFS(Table1[[HomeWon]:[HomeWon]], Table1[[GameIsOver]:[GameIsOver]],1,Table1[[HomeTeam]:[HomeTeam]],$A5, Table1[[AwayTeam]:[AwayTeam]], AF$1),0), "-", TEXT(SUMIFS(Table1[[HomeWon]:[HomeWon]], Table1[[GameIsOver]:[GameIsOver]],1,Table1[[AwayTeam]:[AwayTeam]],$A5, Table1[[HomeTeam]:[HomeTeam]], AF$1, Table1[[ActualResult]:[ActualResult]], "REG") + SUMIFS(Table1[[AwayWon]:[AwayWon]], Table1[[GameIsOver]:[GameIsOver]],1,Table1[[HomeTeam]:[HomeTeam]],$A5, Table1[[AwayTeam]:[AwayTeam]], AF$1, Table1[[ActualResult]:[ActualResult]], "REG"),0), "-", TEXT(SUMIFS(Table1[[HomeWon]:[HomeWon]], Table1[[GameIsOver]:[GameIsOver]],1,Table1[[AwayTeam]:[AwayTeam]],$A5, Table1[[HomeTeam]:[HomeTeam]], AF$1, Table1[[ActualResult]:[ActualResult]], "OT") + SUMIFS(Table1[[AwayWon]:[AwayWon]], Table1[[GameIsOver]:[GameIsOver]],1,Table1[[HomeTeam]:[HomeTeam]],$A5, Table1[[AwayTeam]:[AwayTeam]], AF$1, Table1[[ActualResult]:[ActualResult]], "OT") + SUMIFS(Table1[[HomeWon]:[HomeWon]], Table1[[GameIsOver]:[GameIsOver]],1,Table1[[AwayTeam]:[AwayTeam]],$A5, Table1[[HomeTeam]:[HomeTeam]], AF$1, Table1[[ActualResult]:[ActualResult]], "SO") + SUMIFS(Table1[[AwayWon]:[AwayWon]], Table1[[GameIsOver]:[GameIsOver]],1,Table1[[HomeTeam]:[HomeTeam]],$A5, Table1[[AwayTeam]:[AwayTeam]], AF$1, Table1[[ActualResult]:[ActualResult]], "SO"),0))</f>
        <v>0-0-0</v>
      </c>
      <c r="AG5" s="57" t="str">
        <f>_xlfn.CONCAT(TEXT(SUMIFS(Table1[[AwayWon]:[AwayWon]], Table1[[GameIsOver]:[GameIsOver]],1,Table1[[AwayTeam]:[AwayTeam]],$A5, Table1[[HomeTeam]:[HomeTeam]], AG$1) + SUMIFS(Table1[[HomeWon]:[HomeWon]], Table1[[GameIsOver]:[GameIsOver]],1,Table1[[HomeTeam]:[HomeTeam]],$A5, Table1[[AwayTeam]:[AwayTeam]], AG$1),0), "-", TEXT(SUMIFS(Table1[[HomeWon]:[HomeWon]], Table1[[GameIsOver]:[GameIsOver]],1,Table1[[AwayTeam]:[AwayTeam]],$A5, Table1[[HomeTeam]:[HomeTeam]], AG$1, Table1[[ActualResult]:[ActualResult]], "REG") + SUMIFS(Table1[[AwayWon]:[AwayWon]], Table1[[GameIsOver]:[GameIsOver]],1,Table1[[HomeTeam]:[HomeTeam]],$A5, Table1[[AwayTeam]:[AwayTeam]], AG$1, Table1[[ActualResult]:[ActualResult]], "REG"),0), "-", TEXT(SUMIFS(Table1[[HomeWon]:[HomeWon]], Table1[[GameIsOver]:[GameIsOver]],1,Table1[[AwayTeam]:[AwayTeam]],$A5, Table1[[HomeTeam]:[HomeTeam]], AG$1, Table1[[ActualResult]:[ActualResult]], "OT") + SUMIFS(Table1[[AwayWon]:[AwayWon]], Table1[[GameIsOver]:[GameIsOver]],1,Table1[[HomeTeam]:[HomeTeam]],$A5, Table1[[AwayTeam]:[AwayTeam]], AG$1, Table1[[ActualResult]:[ActualResult]], "OT") + SUMIFS(Table1[[HomeWon]:[HomeWon]], Table1[[GameIsOver]:[GameIsOver]],1,Table1[[AwayTeam]:[AwayTeam]],$A5, Table1[[HomeTeam]:[HomeTeam]], AG$1, Table1[[ActualResult]:[ActualResult]], "SO") + SUMIFS(Table1[[AwayWon]:[AwayWon]], Table1[[GameIsOver]:[GameIsOver]],1,Table1[[HomeTeam]:[HomeTeam]],$A5, Table1[[AwayTeam]:[AwayTeam]], AG$1, Table1[[ActualResult]:[ActualResult]], "SO"),0))</f>
        <v>0-0-0</v>
      </c>
    </row>
    <row r="6" spans="1:33" x14ac:dyDescent="0.25">
      <c r="A6" s="28" t="s">
        <v>56</v>
      </c>
      <c r="B6" s="57" t="str">
        <f>_xlfn.CONCAT(TEXT(SUMIFS(Table1[[AwayWon]:[AwayWon]], Table1[[GameIsOver]:[GameIsOver]],1,Table1[[AwayTeam]:[AwayTeam]],$A6, Table1[[HomeTeam]:[HomeTeam]], B$1) + SUMIFS(Table1[[HomeWon]:[HomeWon]], Table1[[GameIsOver]:[GameIsOver]],1,Table1[[HomeTeam]:[HomeTeam]],$A6, Table1[[AwayTeam]:[AwayTeam]], B$1),0), "-", TEXT(SUMIFS(Table1[[HomeWon]:[HomeWon]], Table1[[GameIsOver]:[GameIsOver]],1,Table1[[AwayTeam]:[AwayTeam]],$A6, Table1[[HomeTeam]:[HomeTeam]], B$1, Table1[[ActualResult]:[ActualResult]], "REG") + SUMIFS(Table1[[AwayWon]:[AwayWon]], Table1[[GameIsOver]:[GameIsOver]],1,Table1[[HomeTeam]:[HomeTeam]],$A6, Table1[[AwayTeam]:[AwayTeam]], B$1, Table1[[ActualResult]:[ActualResult]], "REG"),0), "-", TEXT(SUMIFS(Table1[[HomeWon]:[HomeWon]], Table1[[GameIsOver]:[GameIsOver]],1,Table1[[AwayTeam]:[AwayTeam]],$A6, Table1[[HomeTeam]:[HomeTeam]], B$1, Table1[[ActualResult]:[ActualResult]], "OT") + SUMIFS(Table1[[AwayWon]:[AwayWon]], Table1[[GameIsOver]:[GameIsOver]],1,Table1[[HomeTeam]:[HomeTeam]],$A6, Table1[[AwayTeam]:[AwayTeam]], B$1, Table1[[ActualResult]:[ActualResult]], "OT") + SUMIFS(Table1[[HomeWon]:[HomeWon]], Table1[[GameIsOver]:[GameIsOver]],1,Table1[[AwayTeam]:[AwayTeam]],$A6, Table1[[HomeTeam]:[HomeTeam]], B$1, Table1[[ActualResult]:[ActualResult]], "SO") + SUMIFS(Table1[[AwayWon]:[AwayWon]], Table1[[GameIsOver]:[GameIsOver]],1,Table1[[HomeTeam]:[HomeTeam]],$A6, Table1[[AwayTeam]:[AwayTeam]], B$1, Table1[[ActualResult]:[ActualResult]], "SO"),0))</f>
        <v>0-0-0</v>
      </c>
      <c r="C6" s="57" t="str">
        <f>_xlfn.CONCAT(TEXT(SUMIFS(Table1[[AwayWon]:[AwayWon]], Table1[[GameIsOver]:[GameIsOver]],1,Table1[[AwayTeam]:[AwayTeam]],$A6, Table1[[HomeTeam]:[HomeTeam]], C$1) + SUMIFS(Table1[[HomeWon]:[HomeWon]], Table1[[GameIsOver]:[GameIsOver]],1,Table1[[HomeTeam]:[HomeTeam]],$A6, Table1[[AwayTeam]:[AwayTeam]], C$1),0), "-", TEXT(SUMIFS(Table1[[HomeWon]:[HomeWon]], Table1[[GameIsOver]:[GameIsOver]],1,Table1[[AwayTeam]:[AwayTeam]],$A6, Table1[[HomeTeam]:[HomeTeam]], C$1, Table1[[ActualResult]:[ActualResult]], "REG") + SUMIFS(Table1[[AwayWon]:[AwayWon]], Table1[[GameIsOver]:[GameIsOver]],1,Table1[[HomeTeam]:[HomeTeam]],$A6, Table1[[AwayTeam]:[AwayTeam]], C$1, Table1[[ActualResult]:[ActualResult]], "REG"),0), "-", TEXT(SUMIFS(Table1[[HomeWon]:[HomeWon]], Table1[[GameIsOver]:[GameIsOver]],1,Table1[[AwayTeam]:[AwayTeam]],$A6, Table1[[HomeTeam]:[HomeTeam]], C$1, Table1[[ActualResult]:[ActualResult]], "OT") + SUMIFS(Table1[[AwayWon]:[AwayWon]], Table1[[GameIsOver]:[GameIsOver]],1,Table1[[HomeTeam]:[HomeTeam]],$A6, Table1[[AwayTeam]:[AwayTeam]], C$1, Table1[[ActualResult]:[ActualResult]], "OT") + SUMIFS(Table1[[HomeWon]:[HomeWon]], Table1[[GameIsOver]:[GameIsOver]],1,Table1[[AwayTeam]:[AwayTeam]],$A6, Table1[[HomeTeam]:[HomeTeam]], C$1, Table1[[ActualResult]:[ActualResult]], "SO") + SUMIFS(Table1[[AwayWon]:[AwayWon]], Table1[[GameIsOver]:[GameIsOver]],1,Table1[[HomeTeam]:[HomeTeam]],$A6, Table1[[AwayTeam]:[AwayTeam]], C$1, Table1[[ActualResult]:[ActualResult]], "SO"),0))</f>
        <v>0-0-0</v>
      </c>
      <c r="D6" s="57" t="str">
        <f>_xlfn.CONCAT(TEXT(SUMIFS(Table1[[AwayWon]:[AwayWon]], Table1[[GameIsOver]:[GameIsOver]],1,Table1[[AwayTeam]:[AwayTeam]],$A6, Table1[[HomeTeam]:[HomeTeam]], D$1) + SUMIFS(Table1[[HomeWon]:[HomeWon]], Table1[[GameIsOver]:[GameIsOver]],1,Table1[[HomeTeam]:[HomeTeam]],$A6, Table1[[AwayTeam]:[AwayTeam]], D$1),0), "-", TEXT(SUMIFS(Table1[[HomeWon]:[HomeWon]], Table1[[GameIsOver]:[GameIsOver]],1,Table1[[AwayTeam]:[AwayTeam]],$A6, Table1[[HomeTeam]:[HomeTeam]], D$1, Table1[[ActualResult]:[ActualResult]], "REG") + SUMIFS(Table1[[AwayWon]:[AwayWon]], Table1[[GameIsOver]:[GameIsOver]],1,Table1[[HomeTeam]:[HomeTeam]],$A6, Table1[[AwayTeam]:[AwayTeam]], D$1, Table1[[ActualResult]:[ActualResult]], "REG"),0), "-", TEXT(SUMIFS(Table1[[HomeWon]:[HomeWon]], Table1[[GameIsOver]:[GameIsOver]],1,Table1[[AwayTeam]:[AwayTeam]],$A6, Table1[[HomeTeam]:[HomeTeam]], D$1, Table1[[ActualResult]:[ActualResult]], "OT") + SUMIFS(Table1[[AwayWon]:[AwayWon]], Table1[[GameIsOver]:[GameIsOver]],1,Table1[[HomeTeam]:[HomeTeam]],$A6, Table1[[AwayTeam]:[AwayTeam]], D$1, Table1[[ActualResult]:[ActualResult]], "OT") + SUMIFS(Table1[[HomeWon]:[HomeWon]], Table1[[GameIsOver]:[GameIsOver]],1,Table1[[AwayTeam]:[AwayTeam]],$A6, Table1[[HomeTeam]:[HomeTeam]], D$1, Table1[[ActualResult]:[ActualResult]], "SO") + SUMIFS(Table1[[AwayWon]:[AwayWon]], Table1[[GameIsOver]:[GameIsOver]],1,Table1[[HomeTeam]:[HomeTeam]],$A6, Table1[[AwayTeam]:[AwayTeam]], D$1, Table1[[ActualResult]:[ActualResult]], "SO"),0))</f>
        <v>0-0-0</v>
      </c>
      <c r="E6" s="57" t="str">
        <f>_xlfn.CONCAT(TEXT(SUMIFS(Table1[[AwayWon]:[AwayWon]], Table1[[GameIsOver]:[GameIsOver]],1,Table1[[AwayTeam]:[AwayTeam]],$A6, Table1[[HomeTeam]:[HomeTeam]], E$1) + SUMIFS(Table1[[HomeWon]:[HomeWon]], Table1[[GameIsOver]:[GameIsOver]],1,Table1[[HomeTeam]:[HomeTeam]],$A6, Table1[[AwayTeam]:[AwayTeam]], E$1),0), "-", TEXT(SUMIFS(Table1[[HomeWon]:[HomeWon]], Table1[[GameIsOver]:[GameIsOver]],1,Table1[[AwayTeam]:[AwayTeam]],$A6, Table1[[HomeTeam]:[HomeTeam]], E$1, Table1[[ActualResult]:[ActualResult]], "REG") + SUMIFS(Table1[[AwayWon]:[AwayWon]], Table1[[GameIsOver]:[GameIsOver]],1,Table1[[HomeTeam]:[HomeTeam]],$A6, Table1[[AwayTeam]:[AwayTeam]], E$1, Table1[[ActualResult]:[ActualResult]], "REG"),0), "-", TEXT(SUMIFS(Table1[[HomeWon]:[HomeWon]], Table1[[GameIsOver]:[GameIsOver]],1,Table1[[AwayTeam]:[AwayTeam]],$A6, Table1[[HomeTeam]:[HomeTeam]], E$1, Table1[[ActualResult]:[ActualResult]], "OT") + SUMIFS(Table1[[AwayWon]:[AwayWon]], Table1[[GameIsOver]:[GameIsOver]],1,Table1[[HomeTeam]:[HomeTeam]],$A6, Table1[[AwayTeam]:[AwayTeam]], E$1, Table1[[ActualResult]:[ActualResult]], "OT") + SUMIFS(Table1[[HomeWon]:[HomeWon]], Table1[[GameIsOver]:[GameIsOver]],1,Table1[[AwayTeam]:[AwayTeam]],$A6, Table1[[HomeTeam]:[HomeTeam]], E$1, Table1[[ActualResult]:[ActualResult]], "SO") + SUMIFS(Table1[[AwayWon]:[AwayWon]], Table1[[GameIsOver]:[GameIsOver]],1,Table1[[HomeTeam]:[HomeTeam]],$A6, Table1[[AwayTeam]:[AwayTeam]], E$1, Table1[[ActualResult]:[ActualResult]], "SO"),0))</f>
        <v>0-0-0</v>
      </c>
      <c r="F6" s="57" t="str">
        <f>_xlfn.CONCAT(TEXT(SUMIFS(Table1[[AwayWon]:[AwayWon]], Table1[[GameIsOver]:[GameIsOver]],1,Table1[[AwayTeam]:[AwayTeam]],$A6, Table1[[HomeTeam]:[HomeTeam]], F$1) + SUMIFS(Table1[[HomeWon]:[HomeWon]], Table1[[GameIsOver]:[GameIsOver]],1,Table1[[HomeTeam]:[HomeTeam]],$A6, Table1[[AwayTeam]:[AwayTeam]], F$1),0), "-", TEXT(SUMIFS(Table1[[HomeWon]:[HomeWon]], Table1[[GameIsOver]:[GameIsOver]],1,Table1[[AwayTeam]:[AwayTeam]],$A6, Table1[[HomeTeam]:[HomeTeam]], F$1, Table1[[ActualResult]:[ActualResult]], "REG") + SUMIFS(Table1[[AwayWon]:[AwayWon]], Table1[[GameIsOver]:[GameIsOver]],1,Table1[[HomeTeam]:[HomeTeam]],$A6, Table1[[AwayTeam]:[AwayTeam]], F$1, Table1[[ActualResult]:[ActualResult]], "REG"),0), "-", TEXT(SUMIFS(Table1[[HomeWon]:[HomeWon]], Table1[[GameIsOver]:[GameIsOver]],1,Table1[[AwayTeam]:[AwayTeam]],$A6, Table1[[HomeTeam]:[HomeTeam]], F$1, Table1[[ActualResult]:[ActualResult]], "OT") + SUMIFS(Table1[[AwayWon]:[AwayWon]], Table1[[GameIsOver]:[GameIsOver]],1,Table1[[HomeTeam]:[HomeTeam]],$A6, Table1[[AwayTeam]:[AwayTeam]], F$1, Table1[[ActualResult]:[ActualResult]], "OT") + SUMIFS(Table1[[HomeWon]:[HomeWon]], Table1[[GameIsOver]:[GameIsOver]],1,Table1[[AwayTeam]:[AwayTeam]],$A6, Table1[[HomeTeam]:[HomeTeam]], F$1, Table1[[ActualResult]:[ActualResult]], "SO") + SUMIFS(Table1[[AwayWon]:[AwayWon]], Table1[[GameIsOver]:[GameIsOver]],1,Table1[[HomeTeam]:[HomeTeam]],$A6, Table1[[AwayTeam]:[AwayTeam]], F$1, Table1[[ActualResult]:[ActualResult]], "SO"),0))</f>
        <v>0-0-0</v>
      </c>
      <c r="G6" s="57" t="str">
        <f>_xlfn.CONCAT(TEXT(SUMIFS(Table1[[AwayWon]:[AwayWon]], Table1[[GameIsOver]:[GameIsOver]],1,Table1[[AwayTeam]:[AwayTeam]],$A6, Table1[[HomeTeam]:[HomeTeam]], G$1) + SUMIFS(Table1[[HomeWon]:[HomeWon]], Table1[[GameIsOver]:[GameIsOver]],1,Table1[[HomeTeam]:[HomeTeam]],$A6, Table1[[AwayTeam]:[AwayTeam]], G$1),0), "-", TEXT(SUMIFS(Table1[[HomeWon]:[HomeWon]], Table1[[GameIsOver]:[GameIsOver]],1,Table1[[AwayTeam]:[AwayTeam]],$A6, Table1[[HomeTeam]:[HomeTeam]], G$1, Table1[[ActualResult]:[ActualResult]], "REG") + SUMIFS(Table1[[AwayWon]:[AwayWon]], Table1[[GameIsOver]:[GameIsOver]],1,Table1[[HomeTeam]:[HomeTeam]],$A6, Table1[[AwayTeam]:[AwayTeam]], G$1, Table1[[ActualResult]:[ActualResult]], "REG"),0), "-", TEXT(SUMIFS(Table1[[HomeWon]:[HomeWon]], Table1[[GameIsOver]:[GameIsOver]],1,Table1[[AwayTeam]:[AwayTeam]],$A6, Table1[[HomeTeam]:[HomeTeam]], G$1, Table1[[ActualResult]:[ActualResult]], "OT") + SUMIFS(Table1[[AwayWon]:[AwayWon]], Table1[[GameIsOver]:[GameIsOver]],1,Table1[[HomeTeam]:[HomeTeam]],$A6, Table1[[AwayTeam]:[AwayTeam]], G$1, Table1[[ActualResult]:[ActualResult]], "OT") + SUMIFS(Table1[[HomeWon]:[HomeWon]], Table1[[GameIsOver]:[GameIsOver]],1,Table1[[AwayTeam]:[AwayTeam]],$A6, Table1[[HomeTeam]:[HomeTeam]], G$1, Table1[[ActualResult]:[ActualResult]], "SO") + SUMIFS(Table1[[AwayWon]:[AwayWon]], Table1[[GameIsOver]:[GameIsOver]],1,Table1[[HomeTeam]:[HomeTeam]],$A6, Table1[[AwayTeam]:[AwayTeam]], G$1, Table1[[ActualResult]:[ActualResult]], "SO"),0))</f>
        <v>0-0-0</v>
      </c>
      <c r="H6" s="57" t="str">
        <f>_xlfn.CONCAT(TEXT(SUMIFS(Table1[[AwayWon]:[AwayWon]], Table1[[GameIsOver]:[GameIsOver]],1,Table1[[AwayTeam]:[AwayTeam]],$A6, Table1[[HomeTeam]:[HomeTeam]], H$1) + SUMIFS(Table1[[HomeWon]:[HomeWon]], Table1[[GameIsOver]:[GameIsOver]],1,Table1[[HomeTeam]:[HomeTeam]],$A6, Table1[[AwayTeam]:[AwayTeam]], H$1),0), "-", TEXT(SUMIFS(Table1[[HomeWon]:[HomeWon]], Table1[[GameIsOver]:[GameIsOver]],1,Table1[[AwayTeam]:[AwayTeam]],$A6, Table1[[HomeTeam]:[HomeTeam]], H$1, Table1[[ActualResult]:[ActualResult]], "REG") + SUMIFS(Table1[[AwayWon]:[AwayWon]], Table1[[GameIsOver]:[GameIsOver]],1,Table1[[HomeTeam]:[HomeTeam]],$A6, Table1[[AwayTeam]:[AwayTeam]], H$1, Table1[[ActualResult]:[ActualResult]], "REG"),0), "-", TEXT(SUMIFS(Table1[[HomeWon]:[HomeWon]], Table1[[GameIsOver]:[GameIsOver]],1,Table1[[AwayTeam]:[AwayTeam]],$A6, Table1[[HomeTeam]:[HomeTeam]], H$1, Table1[[ActualResult]:[ActualResult]], "OT") + SUMIFS(Table1[[AwayWon]:[AwayWon]], Table1[[GameIsOver]:[GameIsOver]],1,Table1[[HomeTeam]:[HomeTeam]],$A6, Table1[[AwayTeam]:[AwayTeam]], H$1, Table1[[ActualResult]:[ActualResult]], "OT") + SUMIFS(Table1[[HomeWon]:[HomeWon]], Table1[[GameIsOver]:[GameIsOver]],1,Table1[[AwayTeam]:[AwayTeam]],$A6, Table1[[HomeTeam]:[HomeTeam]], H$1, Table1[[ActualResult]:[ActualResult]], "SO") + SUMIFS(Table1[[AwayWon]:[AwayWon]], Table1[[GameIsOver]:[GameIsOver]],1,Table1[[HomeTeam]:[HomeTeam]],$A6, Table1[[AwayTeam]:[AwayTeam]], H$1, Table1[[ActualResult]:[ActualResult]], "SO"),0))</f>
        <v>0-0-0</v>
      </c>
      <c r="I6" s="59" t="str">
        <f>_xlfn.CONCAT(TEXT(SUMIFS(Table1[[AwayWon]:[AwayWon]], Table1[[GameIsOver]:[GameIsOver]],1,Table1[[AwayTeam]:[AwayTeam]],$A6, Table1[[HomeTeam]:[HomeTeam]], I$1) + SUMIFS(Table1[[HomeWon]:[HomeWon]], Table1[[GameIsOver]:[GameIsOver]],1,Table1[[HomeTeam]:[HomeTeam]],$A6, Table1[[AwayTeam]:[AwayTeam]], I$1),0), "-", TEXT(SUMIFS(Table1[[HomeWon]:[HomeWon]], Table1[[GameIsOver]:[GameIsOver]],1,Table1[[AwayTeam]:[AwayTeam]],$A6, Table1[[HomeTeam]:[HomeTeam]], I$1, Table1[[ActualResult]:[ActualResult]], "REG") + SUMIFS(Table1[[AwayWon]:[AwayWon]], Table1[[GameIsOver]:[GameIsOver]],1,Table1[[HomeTeam]:[HomeTeam]],$A6, Table1[[AwayTeam]:[AwayTeam]], I$1, Table1[[ActualResult]:[ActualResult]], "REG"),0), "-", TEXT(SUMIFS(Table1[[HomeWon]:[HomeWon]], Table1[[GameIsOver]:[GameIsOver]],1,Table1[[AwayTeam]:[AwayTeam]],$A6, Table1[[HomeTeam]:[HomeTeam]], I$1, Table1[[ActualResult]:[ActualResult]], "OT") + SUMIFS(Table1[[AwayWon]:[AwayWon]], Table1[[GameIsOver]:[GameIsOver]],1,Table1[[HomeTeam]:[HomeTeam]],$A6, Table1[[AwayTeam]:[AwayTeam]], I$1, Table1[[ActualResult]:[ActualResult]], "OT") + SUMIFS(Table1[[HomeWon]:[HomeWon]], Table1[[GameIsOver]:[GameIsOver]],1,Table1[[AwayTeam]:[AwayTeam]],$A6, Table1[[HomeTeam]:[HomeTeam]], I$1, Table1[[ActualResult]:[ActualResult]], "SO") + SUMIFS(Table1[[AwayWon]:[AwayWon]], Table1[[GameIsOver]:[GameIsOver]],1,Table1[[HomeTeam]:[HomeTeam]],$A6, Table1[[AwayTeam]:[AwayTeam]], I$1, Table1[[ActualResult]:[ActualResult]], "SO"),0))</f>
        <v>0-0-0</v>
      </c>
      <c r="J6" s="57" t="str">
        <f>_xlfn.CONCAT(TEXT(SUMIFS(Table1[[AwayWon]:[AwayWon]], Table1[[GameIsOver]:[GameIsOver]],1,Table1[[AwayTeam]:[AwayTeam]],$A6, Table1[[HomeTeam]:[HomeTeam]], J$1) + SUMIFS(Table1[[HomeWon]:[HomeWon]], Table1[[GameIsOver]:[GameIsOver]],1,Table1[[HomeTeam]:[HomeTeam]],$A6, Table1[[AwayTeam]:[AwayTeam]], J$1),0), "-", TEXT(SUMIFS(Table1[[HomeWon]:[HomeWon]], Table1[[GameIsOver]:[GameIsOver]],1,Table1[[AwayTeam]:[AwayTeam]],$A6, Table1[[HomeTeam]:[HomeTeam]], J$1, Table1[[ActualResult]:[ActualResult]], "REG") + SUMIFS(Table1[[AwayWon]:[AwayWon]], Table1[[GameIsOver]:[GameIsOver]],1,Table1[[HomeTeam]:[HomeTeam]],$A6, Table1[[AwayTeam]:[AwayTeam]], J$1, Table1[[ActualResult]:[ActualResult]], "REG"),0), "-", TEXT(SUMIFS(Table1[[HomeWon]:[HomeWon]], Table1[[GameIsOver]:[GameIsOver]],1,Table1[[AwayTeam]:[AwayTeam]],$A6, Table1[[HomeTeam]:[HomeTeam]], J$1, Table1[[ActualResult]:[ActualResult]], "OT") + SUMIFS(Table1[[AwayWon]:[AwayWon]], Table1[[GameIsOver]:[GameIsOver]],1,Table1[[HomeTeam]:[HomeTeam]],$A6, Table1[[AwayTeam]:[AwayTeam]], J$1, Table1[[ActualResult]:[ActualResult]], "OT") + SUMIFS(Table1[[HomeWon]:[HomeWon]], Table1[[GameIsOver]:[GameIsOver]],1,Table1[[AwayTeam]:[AwayTeam]],$A6, Table1[[HomeTeam]:[HomeTeam]], J$1, Table1[[ActualResult]:[ActualResult]], "SO") + SUMIFS(Table1[[AwayWon]:[AwayWon]], Table1[[GameIsOver]:[GameIsOver]],1,Table1[[HomeTeam]:[HomeTeam]],$A6, Table1[[AwayTeam]:[AwayTeam]], J$1, Table1[[ActualResult]:[ActualResult]], "SO"),0))</f>
        <v>0-0-0</v>
      </c>
      <c r="K6" s="57" t="str">
        <f>_xlfn.CONCAT(TEXT(SUMIFS(Table1[[AwayWon]:[AwayWon]], Table1[[GameIsOver]:[GameIsOver]],1,Table1[[AwayTeam]:[AwayTeam]],$A6, Table1[[HomeTeam]:[HomeTeam]], K$1) + SUMIFS(Table1[[HomeWon]:[HomeWon]], Table1[[GameIsOver]:[GameIsOver]],1,Table1[[HomeTeam]:[HomeTeam]],$A6, Table1[[AwayTeam]:[AwayTeam]], K$1),0), "-", TEXT(SUMIFS(Table1[[HomeWon]:[HomeWon]], Table1[[GameIsOver]:[GameIsOver]],1,Table1[[AwayTeam]:[AwayTeam]],$A6, Table1[[HomeTeam]:[HomeTeam]], K$1, Table1[[ActualResult]:[ActualResult]], "REG") + SUMIFS(Table1[[AwayWon]:[AwayWon]], Table1[[GameIsOver]:[GameIsOver]],1,Table1[[HomeTeam]:[HomeTeam]],$A6, Table1[[AwayTeam]:[AwayTeam]], K$1, Table1[[ActualResult]:[ActualResult]], "REG"),0), "-", TEXT(SUMIFS(Table1[[HomeWon]:[HomeWon]], Table1[[GameIsOver]:[GameIsOver]],1,Table1[[AwayTeam]:[AwayTeam]],$A6, Table1[[HomeTeam]:[HomeTeam]], K$1, Table1[[ActualResult]:[ActualResult]], "OT") + SUMIFS(Table1[[AwayWon]:[AwayWon]], Table1[[GameIsOver]:[GameIsOver]],1,Table1[[HomeTeam]:[HomeTeam]],$A6, Table1[[AwayTeam]:[AwayTeam]], K$1, Table1[[ActualResult]:[ActualResult]], "OT") + SUMIFS(Table1[[HomeWon]:[HomeWon]], Table1[[GameIsOver]:[GameIsOver]],1,Table1[[AwayTeam]:[AwayTeam]],$A6, Table1[[HomeTeam]:[HomeTeam]], K$1, Table1[[ActualResult]:[ActualResult]], "SO") + SUMIFS(Table1[[AwayWon]:[AwayWon]], Table1[[GameIsOver]:[GameIsOver]],1,Table1[[HomeTeam]:[HomeTeam]],$A6, Table1[[AwayTeam]:[AwayTeam]], K$1, Table1[[ActualResult]:[ActualResult]], "SO"),0))</f>
        <v>0-0-0</v>
      </c>
      <c r="L6" s="57" t="str">
        <f>_xlfn.CONCAT(TEXT(SUMIFS(Table1[[AwayWon]:[AwayWon]], Table1[[GameIsOver]:[GameIsOver]],1,Table1[[AwayTeam]:[AwayTeam]],$A6, Table1[[HomeTeam]:[HomeTeam]], L$1) + SUMIFS(Table1[[HomeWon]:[HomeWon]], Table1[[GameIsOver]:[GameIsOver]],1,Table1[[HomeTeam]:[HomeTeam]],$A6, Table1[[AwayTeam]:[AwayTeam]], L$1),0), "-", TEXT(SUMIFS(Table1[[HomeWon]:[HomeWon]], Table1[[GameIsOver]:[GameIsOver]],1,Table1[[AwayTeam]:[AwayTeam]],$A6, Table1[[HomeTeam]:[HomeTeam]], L$1, Table1[[ActualResult]:[ActualResult]], "REG") + SUMIFS(Table1[[AwayWon]:[AwayWon]], Table1[[GameIsOver]:[GameIsOver]],1,Table1[[HomeTeam]:[HomeTeam]],$A6, Table1[[AwayTeam]:[AwayTeam]], L$1, Table1[[ActualResult]:[ActualResult]], "REG"),0), "-", TEXT(SUMIFS(Table1[[HomeWon]:[HomeWon]], Table1[[GameIsOver]:[GameIsOver]],1,Table1[[AwayTeam]:[AwayTeam]],$A6, Table1[[HomeTeam]:[HomeTeam]], L$1, Table1[[ActualResult]:[ActualResult]], "OT") + SUMIFS(Table1[[AwayWon]:[AwayWon]], Table1[[GameIsOver]:[GameIsOver]],1,Table1[[HomeTeam]:[HomeTeam]],$A6, Table1[[AwayTeam]:[AwayTeam]], L$1, Table1[[ActualResult]:[ActualResult]], "OT") + SUMIFS(Table1[[HomeWon]:[HomeWon]], Table1[[GameIsOver]:[GameIsOver]],1,Table1[[AwayTeam]:[AwayTeam]],$A6, Table1[[HomeTeam]:[HomeTeam]], L$1, Table1[[ActualResult]:[ActualResult]], "SO") + SUMIFS(Table1[[AwayWon]:[AwayWon]], Table1[[GameIsOver]:[GameIsOver]],1,Table1[[HomeTeam]:[HomeTeam]],$A6, Table1[[AwayTeam]:[AwayTeam]], L$1, Table1[[ActualResult]:[ActualResult]], "SO"),0))</f>
        <v>1-0-0</v>
      </c>
      <c r="M6" s="57" t="str">
        <f>_xlfn.CONCAT(TEXT(SUMIFS(Table1[[AwayWon]:[AwayWon]], Table1[[GameIsOver]:[GameIsOver]],1,Table1[[AwayTeam]:[AwayTeam]],$A6, Table1[[HomeTeam]:[HomeTeam]], M$1) + SUMIFS(Table1[[HomeWon]:[HomeWon]], Table1[[GameIsOver]:[GameIsOver]],1,Table1[[HomeTeam]:[HomeTeam]],$A6, Table1[[AwayTeam]:[AwayTeam]], M$1),0), "-", TEXT(SUMIFS(Table1[[HomeWon]:[HomeWon]], Table1[[GameIsOver]:[GameIsOver]],1,Table1[[AwayTeam]:[AwayTeam]],$A6, Table1[[HomeTeam]:[HomeTeam]], M$1, Table1[[ActualResult]:[ActualResult]], "REG") + SUMIFS(Table1[[AwayWon]:[AwayWon]], Table1[[GameIsOver]:[GameIsOver]],1,Table1[[HomeTeam]:[HomeTeam]],$A6, Table1[[AwayTeam]:[AwayTeam]], M$1, Table1[[ActualResult]:[ActualResult]], "REG"),0), "-", TEXT(SUMIFS(Table1[[HomeWon]:[HomeWon]], Table1[[GameIsOver]:[GameIsOver]],1,Table1[[AwayTeam]:[AwayTeam]],$A6, Table1[[HomeTeam]:[HomeTeam]], M$1, Table1[[ActualResult]:[ActualResult]], "OT") + SUMIFS(Table1[[AwayWon]:[AwayWon]], Table1[[GameIsOver]:[GameIsOver]],1,Table1[[HomeTeam]:[HomeTeam]],$A6, Table1[[AwayTeam]:[AwayTeam]], M$1, Table1[[ActualResult]:[ActualResult]], "OT") + SUMIFS(Table1[[HomeWon]:[HomeWon]], Table1[[GameIsOver]:[GameIsOver]],1,Table1[[AwayTeam]:[AwayTeam]],$A6, Table1[[HomeTeam]:[HomeTeam]], M$1, Table1[[ActualResult]:[ActualResult]], "SO") + SUMIFS(Table1[[AwayWon]:[AwayWon]], Table1[[GameIsOver]:[GameIsOver]],1,Table1[[HomeTeam]:[HomeTeam]],$A6, Table1[[AwayTeam]:[AwayTeam]], M$1, Table1[[ActualResult]:[ActualResult]], "SO"),0))</f>
        <v>0-0-0</v>
      </c>
      <c r="N6" s="57" t="str">
        <f>_xlfn.CONCAT(TEXT(SUMIFS(Table1[[AwayWon]:[AwayWon]], Table1[[GameIsOver]:[GameIsOver]],1,Table1[[AwayTeam]:[AwayTeam]],$A6, Table1[[HomeTeam]:[HomeTeam]], N$1) + SUMIFS(Table1[[HomeWon]:[HomeWon]], Table1[[GameIsOver]:[GameIsOver]],1,Table1[[HomeTeam]:[HomeTeam]],$A6, Table1[[AwayTeam]:[AwayTeam]], N$1),0), "-", TEXT(SUMIFS(Table1[[HomeWon]:[HomeWon]], Table1[[GameIsOver]:[GameIsOver]],1,Table1[[AwayTeam]:[AwayTeam]],$A6, Table1[[HomeTeam]:[HomeTeam]], N$1, Table1[[ActualResult]:[ActualResult]], "REG") + SUMIFS(Table1[[AwayWon]:[AwayWon]], Table1[[GameIsOver]:[GameIsOver]],1,Table1[[HomeTeam]:[HomeTeam]],$A6, Table1[[AwayTeam]:[AwayTeam]], N$1, Table1[[ActualResult]:[ActualResult]], "REG"),0), "-", TEXT(SUMIFS(Table1[[HomeWon]:[HomeWon]], Table1[[GameIsOver]:[GameIsOver]],1,Table1[[AwayTeam]:[AwayTeam]],$A6, Table1[[HomeTeam]:[HomeTeam]], N$1, Table1[[ActualResult]:[ActualResult]], "OT") + SUMIFS(Table1[[AwayWon]:[AwayWon]], Table1[[GameIsOver]:[GameIsOver]],1,Table1[[HomeTeam]:[HomeTeam]],$A6, Table1[[AwayTeam]:[AwayTeam]], N$1, Table1[[ActualResult]:[ActualResult]], "OT") + SUMIFS(Table1[[HomeWon]:[HomeWon]], Table1[[GameIsOver]:[GameIsOver]],1,Table1[[AwayTeam]:[AwayTeam]],$A6, Table1[[HomeTeam]:[HomeTeam]], N$1, Table1[[ActualResult]:[ActualResult]], "SO") + SUMIFS(Table1[[AwayWon]:[AwayWon]], Table1[[GameIsOver]:[GameIsOver]],1,Table1[[HomeTeam]:[HomeTeam]],$A6, Table1[[AwayTeam]:[AwayTeam]], N$1, Table1[[ActualResult]:[ActualResult]], "SO"),0))</f>
        <v>0-0-0</v>
      </c>
      <c r="O6" s="57" t="str">
        <f>_xlfn.CONCAT(TEXT(SUMIFS(Table1[[AwayWon]:[AwayWon]], Table1[[GameIsOver]:[GameIsOver]],1,Table1[[AwayTeam]:[AwayTeam]],$A6, Table1[[HomeTeam]:[HomeTeam]], O$1) + SUMIFS(Table1[[HomeWon]:[HomeWon]], Table1[[GameIsOver]:[GameIsOver]],1,Table1[[HomeTeam]:[HomeTeam]],$A6, Table1[[AwayTeam]:[AwayTeam]], O$1),0), "-", TEXT(SUMIFS(Table1[[HomeWon]:[HomeWon]], Table1[[GameIsOver]:[GameIsOver]],1,Table1[[AwayTeam]:[AwayTeam]],$A6, Table1[[HomeTeam]:[HomeTeam]], O$1, Table1[[ActualResult]:[ActualResult]], "REG") + SUMIFS(Table1[[AwayWon]:[AwayWon]], Table1[[GameIsOver]:[GameIsOver]],1,Table1[[HomeTeam]:[HomeTeam]],$A6, Table1[[AwayTeam]:[AwayTeam]], O$1, Table1[[ActualResult]:[ActualResult]], "REG"),0), "-", TEXT(SUMIFS(Table1[[HomeWon]:[HomeWon]], Table1[[GameIsOver]:[GameIsOver]],1,Table1[[AwayTeam]:[AwayTeam]],$A6, Table1[[HomeTeam]:[HomeTeam]], O$1, Table1[[ActualResult]:[ActualResult]], "OT") + SUMIFS(Table1[[AwayWon]:[AwayWon]], Table1[[GameIsOver]:[GameIsOver]],1,Table1[[HomeTeam]:[HomeTeam]],$A6, Table1[[AwayTeam]:[AwayTeam]], O$1, Table1[[ActualResult]:[ActualResult]], "OT") + SUMIFS(Table1[[HomeWon]:[HomeWon]], Table1[[GameIsOver]:[GameIsOver]],1,Table1[[AwayTeam]:[AwayTeam]],$A6, Table1[[HomeTeam]:[HomeTeam]], O$1, Table1[[ActualResult]:[ActualResult]], "SO") + SUMIFS(Table1[[AwayWon]:[AwayWon]], Table1[[GameIsOver]:[GameIsOver]],1,Table1[[HomeTeam]:[HomeTeam]],$A6, Table1[[AwayTeam]:[AwayTeam]], O$1, Table1[[ActualResult]:[ActualResult]], "SO"),0))</f>
        <v>0-0-0</v>
      </c>
      <c r="P6" s="57" t="str">
        <f>_xlfn.CONCAT(TEXT(SUMIFS(Table1[[AwayWon]:[AwayWon]], Table1[[GameIsOver]:[GameIsOver]],1,Table1[[AwayTeam]:[AwayTeam]],$A6, Table1[[HomeTeam]:[HomeTeam]], P$1) + SUMIFS(Table1[[HomeWon]:[HomeWon]], Table1[[GameIsOver]:[GameIsOver]],1,Table1[[HomeTeam]:[HomeTeam]],$A6, Table1[[AwayTeam]:[AwayTeam]], P$1),0), "-", TEXT(SUMIFS(Table1[[HomeWon]:[HomeWon]], Table1[[GameIsOver]:[GameIsOver]],1,Table1[[AwayTeam]:[AwayTeam]],$A6, Table1[[HomeTeam]:[HomeTeam]], P$1, Table1[[ActualResult]:[ActualResult]], "REG") + SUMIFS(Table1[[AwayWon]:[AwayWon]], Table1[[GameIsOver]:[GameIsOver]],1,Table1[[HomeTeam]:[HomeTeam]],$A6, Table1[[AwayTeam]:[AwayTeam]], P$1, Table1[[ActualResult]:[ActualResult]], "REG"),0), "-", TEXT(SUMIFS(Table1[[HomeWon]:[HomeWon]], Table1[[GameIsOver]:[GameIsOver]],1,Table1[[AwayTeam]:[AwayTeam]],$A6, Table1[[HomeTeam]:[HomeTeam]], P$1, Table1[[ActualResult]:[ActualResult]], "OT") + SUMIFS(Table1[[AwayWon]:[AwayWon]], Table1[[GameIsOver]:[GameIsOver]],1,Table1[[HomeTeam]:[HomeTeam]],$A6, Table1[[AwayTeam]:[AwayTeam]], P$1, Table1[[ActualResult]:[ActualResult]], "OT") + SUMIFS(Table1[[HomeWon]:[HomeWon]], Table1[[GameIsOver]:[GameIsOver]],1,Table1[[AwayTeam]:[AwayTeam]],$A6, Table1[[HomeTeam]:[HomeTeam]], P$1, Table1[[ActualResult]:[ActualResult]], "SO") + SUMIFS(Table1[[AwayWon]:[AwayWon]], Table1[[GameIsOver]:[GameIsOver]],1,Table1[[HomeTeam]:[HomeTeam]],$A6, Table1[[AwayTeam]:[AwayTeam]], P$1, Table1[[ActualResult]:[ActualResult]], "SO"),0))</f>
        <v>0-0-0</v>
      </c>
      <c r="Q6" s="59" t="str">
        <f>_xlfn.CONCAT(TEXT(SUMIFS(Table1[[AwayWon]:[AwayWon]], Table1[[GameIsOver]:[GameIsOver]],1,Table1[[AwayTeam]:[AwayTeam]],$A6, Table1[[HomeTeam]:[HomeTeam]], Q$1) + SUMIFS(Table1[[HomeWon]:[HomeWon]], Table1[[GameIsOver]:[GameIsOver]],1,Table1[[HomeTeam]:[HomeTeam]],$A6, Table1[[AwayTeam]:[AwayTeam]], Q$1),0), "-", TEXT(SUMIFS(Table1[[HomeWon]:[HomeWon]], Table1[[GameIsOver]:[GameIsOver]],1,Table1[[AwayTeam]:[AwayTeam]],$A6, Table1[[HomeTeam]:[HomeTeam]], Q$1, Table1[[ActualResult]:[ActualResult]], "REG") + SUMIFS(Table1[[AwayWon]:[AwayWon]], Table1[[GameIsOver]:[GameIsOver]],1,Table1[[HomeTeam]:[HomeTeam]],$A6, Table1[[AwayTeam]:[AwayTeam]], Q$1, Table1[[ActualResult]:[ActualResult]], "REG"),0), "-", TEXT(SUMIFS(Table1[[HomeWon]:[HomeWon]], Table1[[GameIsOver]:[GameIsOver]],1,Table1[[AwayTeam]:[AwayTeam]],$A6, Table1[[HomeTeam]:[HomeTeam]], Q$1, Table1[[ActualResult]:[ActualResult]], "OT") + SUMIFS(Table1[[AwayWon]:[AwayWon]], Table1[[GameIsOver]:[GameIsOver]],1,Table1[[HomeTeam]:[HomeTeam]],$A6, Table1[[AwayTeam]:[AwayTeam]], Q$1, Table1[[ActualResult]:[ActualResult]], "OT") + SUMIFS(Table1[[HomeWon]:[HomeWon]], Table1[[GameIsOver]:[GameIsOver]],1,Table1[[AwayTeam]:[AwayTeam]],$A6, Table1[[HomeTeam]:[HomeTeam]], Q$1, Table1[[ActualResult]:[ActualResult]], "SO") + SUMIFS(Table1[[AwayWon]:[AwayWon]], Table1[[GameIsOver]:[GameIsOver]],1,Table1[[HomeTeam]:[HomeTeam]],$A6, Table1[[AwayTeam]:[AwayTeam]], Q$1, Table1[[ActualResult]:[ActualResult]], "SO"),0))</f>
        <v>0-0-0</v>
      </c>
      <c r="R6" s="57" t="str">
        <f>_xlfn.CONCAT(TEXT(SUMIFS(Table1[[AwayWon]:[AwayWon]], Table1[[GameIsOver]:[GameIsOver]],1,Table1[[AwayTeam]:[AwayTeam]],$A6, Table1[[HomeTeam]:[HomeTeam]], R$1) + SUMIFS(Table1[[HomeWon]:[HomeWon]], Table1[[GameIsOver]:[GameIsOver]],1,Table1[[HomeTeam]:[HomeTeam]],$A6, Table1[[AwayTeam]:[AwayTeam]], R$1),0), "-", TEXT(SUMIFS(Table1[[HomeWon]:[HomeWon]], Table1[[GameIsOver]:[GameIsOver]],1,Table1[[AwayTeam]:[AwayTeam]],$A6, Table1[[HomeTeam]:[HomeTeam]], R$1, Table1[[ActualResult]:[ActualResult]], "REG") + SUMIFS(Table1[[AwayWon]:[AwayWon]], Table1[[GameIsOver]:[GameIsOver]],1,Table1[[HomeTeam]:[HomeTeam]],$A6, Table1[[AwayTeam]:[AwayTeam]], R$1, Table1[[ActualResult]:[ActualResult]], "REG"),0), "-", TEXT(SUMIFS(Table1[[HomeWon]:[HomeWon]], Table1[[GameIsOver]:[GameIsOver]],1,Table1[[AwayTeam]:[AwayTeam]],$A6, Table1[[HomeTeam]:[HomeTeam]], R$1, Table1[[ActualResult]:[ActualResult]], "OT") + SUMIFS(Table1[[AwayWon]:[AwayWon]], Table1[[GameIsOver]:[GameIsOver]],1,Table1[[HomeTeam]:[HomeTeam]],$A6, Table1[[AwayTeam]:[AwayTeam]], R$1, Table1[[ActualResult]:[ActualResult]], "OT") + SUMIFS(Table1[[HomeWon]:[HomeWon]], Table1[[GameIsOver]:[GameIsOver]],1,Table1[[AwayTeam]:[AwayTeam]],$A6, Table1[[HomeTeam]:[HomeTeam]], R$1, Table1[[ActualResult]:[ActualResult]], "SO") + SUMIFS(Table1[[AwayWon]:[AwayWon]], Table1[[GameIsOver]:[GameIsOver]],1,Table1[[HomeTeam]:[HomeTeam]],$A6, Table1[[AwayTeam]:[AwayTeam]], R$1, Table1[[ActualResult]:[ActualResult]], "SO"),0))</f>
        <v>0-0-0</v>
      </c>
      <c r="S6" s="57" t="str">
        <f>_xlfn.CONCAT(TEXT(SUMIFS(Table1[[AwayWon]:[AwayWon]], Table1[[GameIsOver]:[GameIsOver]],1,Table1[[AwayTeam]:[AwayTeam]],$A6, Table1[[HomeTeam]:[HomeTeam]], S$1) + SUMIFS(Table1[[HomeWon]:[HomeWon]], Table1[[GameIsOver]:[GameIsOver]],1,Table1[[HomeTeam]:[HomeTeam]],$A6, Table1[[AwayTeam]:[AwayTeam]], S$1),0), "-", TEXT(SUMIFS(Table1[[HomeWon]:[HomeWon]], Table1[[GameIsOver]:[GameIsOver]],1,Table1[[AwayTeam]:[AwayTeam]],$A6, Table1[[HomeTeam]:[HomeTeam]], S$1, Table1[[ActualResult]:[ActualResult]], "REG") + SUMIFS(Table1[[AwayWon]:[AwayWon]], Table1[[GameIsOver]:[GameIsOver]],1,Table1[[HomeTeam]:[HomeTeam]],$A6, Table1[[AwayTeam]:[AwayTeam]], S$1, Table1[[ActualResult]:[ActualResult]], "REG"),0), "-", TEXT(SUMIFS(Table1[[HomeWon]:[HomeWon]], Table1[[GameIsOver]:[GameIsOver]],1,Table1[[AwayTeam]:[AwayTeam]],$A6, Table1[[HomeTeam]:[HomeTeam]], S$1, Table1[[ActualResult]:[ActualResult]], "OT") + SUMIFS(Table1[[AwayWon]:[AwayWon]], Table1[[GameIsOver]:[GameIsOver]],1,Table1[[HomeTeam]:[HomeTeam]],$A6, Table1[[AwayTeam]:[AwayTeam]], S$1, Table1[[ActualResult]:[ActualResult]], "OT") + SUMIFS(Table1[[HomeWon]:[HomeWon]], Table1[[GameIsOver]:[GameIsOver]],1,Table1[[AwayTeam]:[AwayTeam]],$A6, Table1[[HomeTeam]:[HomeTeam]], S$1, Table1[[ActualResult]:[ActualResult]], "SO") + SUMIFS(Table1[[AwayWon]:[AwayWon]], Table1[[GameIsOver]:[GameIsOver]],1,Table1[[HomeTeam]:[HomeTeam]],$A6, Table1[[AwayTeam]:[AwayTeam]], S$1, Table1[[ActualResult]:[ActualResult]], "SO"),0))</f>
        <v>0-0-0</v>
      </c>
      <c r="T6" s="57" t="str">
        <f>_xlfn.CONCAT(TEXT(SUMIFS(Table1[[AwayWon]:[AwayWon]], Table1[[GameIsOver]:[GameIsOver]],1,Table1[[AwayTeam]:[AwayTeam]],$A6, Table1[[HomeTeam]:[HomeTeam]], T$1) + SUMIFS(Table1[[HomeWon]:[HomeWon]], Table1[[GameIsOver]:[GameIsOver]],1,Table1[[HomeTeam]:[HomeTeam]],$A6, Table1[[AwayTeam]:[AwayTeam]], T$1),0), "-", TEXT(SUMIFS(Table1[[HomeWon]:[HomeWon]], Table1[[GameIsOver]:[GameIsOver]],1,Table1[[AwayTeam]:[AwayTeam]],$A6, Table1[[HomeTeam]:[HomeTeam]], T$1, Table1[[ActualResult]:[ActualResult]], "REG") + SUMIFS(Table1[[AwayWon]:[AwayWon]], Table1[[GameIsOver]:[GameIsOver]],1,Table1[[HomeTeam]:[HomeTeam]],$A6, Table1[[AwayTeam]:[AwayTeam]], T$1, Table1[[ActualResult]:[ActualResult]], "REG"),0), "-", TEXT(SUMIFS(Table1[[HomeWon]:[HomeWon]], Table1[[GameIsOver]:[GameIsOver]],1,Table1[[AwayTeam]:[AwayTeam]],$A6, Table1[[HomeTeam]:[HomeTeam]], T$1, Table1[[ActualResult]:[ActualResult]], "OT") + SUMIFS(Table1[[AwayWon]:[AwayWon]], Table1[[GameIsOver]:[GameIsOver]],1,Table1[[HomeTeam]:[HomeTeam]],$A6, Table1[[AwayTeam]:[AwayTeam]], T$1, Table1[[ActualResult]:[ActualResult]], "OT") + SUMIFS(Table1[[HomeWon]:[HomeWon]], Table1[[GameIsOver]:[GameIsOver]],1,Table1[[AwayTeam]:[AwayTeam]],$A6, Table1[[HomeTeam]:[HomeTeam]], T$1, Table1[[ActualResult]:[ActualResult]], "SO") + SUMIFS(Table1[[AwayWon]:[AwayWon]], Table1[[GameIsOver]:[GameIsOver]],1,Table1[[HomeTeam]:[HomeTeam]],$A6, Table1[[AwayTeam]:[AwayTeam]], T$1, Table1[[ActualResult]:[ActualResult]], "SO"),0))</f>
        <v>0-0-0</v>
      </c>
      <c r="U6" s="57" t="str">
        <f>_xlfn.CONCAT(TEXT(SUMIFS(Table1[[AwayWon]:[AwayWon]], Table1[[GameIsOver]:[GameIsOver]],1,Table1[[AwayTeam]:[AwayTeam]],$A6, Table1[[HomeTeam]:[HomeTeam]], U$1) + SUMIFS(Table1[[HomeWon]:[HomeWon]], Table1[[GameIsOver]:[GameIsOver]],1,Table1[[HomeTeam]:[HomeTeam]],$A6, Table1[[AwayTeam]:[AwayTeam]], U$1),0), "-", TEXT(SUMIFS(Table1[[HomeWon]:[HomeWon]], Table1[[GameIsOver]:[GameIsOver]],1,Table1[[AwayTeam]:[AwayTeam]],$A6, Table1[[HomeTeam]:[HomeTeam]], U$1, Table1[[ActualResult]:[ActualResult]], "REG") + SUMIFS(Table1[[AwayWon]:[AwayWon]], Table1[[GameIsOver]:[GameIsOver]],1,Table1[[HomeTeam]:[HomeTeam]],$A6, Table1[[AwayTeam]:[AwayTeam]], U$1, Table1[[ActualResult]:[ActualResult]], "REG"),0), "-", TEXT(SUMIFS(Table1[[HomeWon]:[HomeWon]], Table1[[GameIsOver]:[GameIsOver]],1,Table1[[AwayTeam]:[AwayTeam]],$A6, Table1[[HomeTeam]:[HomeTeam]], U$1, Table1[[ActualResult]:[ActualResult]], "OT") + SUMIFS(Table1[[AwayWon]:[AwayWon]], Table1[[GameIsOver]:[GameIsOver]],1,Table1[[HomeTeam]:[HomeTeam]],$A6, Table1[[AwayTeam]:[AwayTeam]], U$1, Table1[[ActualResult]:[ActualResult]], "OT") + SUMIFS(Table1[[HomeWon]:[HomeWon]], Table1[[GameIsOver]:[GameIsOver]],1,Table1[[AwayTeam]:[AwayTeam]],$A6, Table1[[HomeTeam]:[HomeTeam]], U$1, Table1[[ActualResult]:[ActualResult]], "SO") + SUMIFS(Table1[[AwayWon]:[AwayWon]], Table1[[GameIsOver]:[GameIsOver]],1,Table1[[HomeTeam]:[HomeTeam]],$A6, Table1[[AwayTeam]:[AwayTeam]], U$1, Table1[[ActualResult]:[ActualResult]], "SO"),0))</f>
        <v>0-0-0</v>
      </c>
      <c r="V6" s="57" t="str">
        <f>_xlfn.CONCAT(TEXT(SUMIFS(Table1[[AwayWon]:[AwayWon]], Table1[[GameIsOver]:[GameIsOver]],1,Table1[[AwayTeam]:[AwayTeam]],$A6, Table1[[HomeTeam]:[HomeTeam]], V$1) + SUMIFS(Table1[[HomeWon]:[HomeWon]], Table1[[GameIsOver]:[GameIsOver]],1,Table1[[HomeTeam]:[HomeTeam]],$A6, Table1[[AwayTeam]:[AwayTeam]], V$1),0), "-", TEXT(SUMIFS(Table1[[HomeWon]:[HomeWon]], Table1[[GameIsOver]:[GameIsOver]],1,Table1[[AwayTeam]:[AwayTeam]],$A6, Table1[[HomeTeam]:[HomeTeam]], V$1, Table1[[ActualResult]:[ActualResult]], "REG") + SUMIFS(Table1[[AwayWon]:[AwayWon]], Table1[[GameIsOver]:[GameIsOver]],1,Table1[[HomeTeam]:[HomeTeam]],$A6, Table1[[AwayTeam]:[AwayTeam]], V$1, Table1[[ActualResult]:[ActualResult]], "REG"),0), "-", TEXT(SUMIFS(Table1[[HomeWon]:[HomeWon]], Table1[[GameIsOver]:[GameIsOver]],1,Table1[[AwayTeam]:[AwayTeam]],$A6, Table1[[HomeTeam]:[HomeTeam]], V$1, Table1[[ActualResult]:[ActualResult]], "OT") + SUMIFS(Table1[[AwayWon]:[AwayWon]], Table1[[GameIsOver]:[GameIsOver]],1,Table1[[HomeTeam]:[HomeTeam]],$A6, Table1[[AwayTeam]:[AwayTeam]], V$1, Table1[[ActualResult]:[ActualResult]], "OT") + SUMIFS(Table1[[HomeWon]:[HomeWon]], Table1[[GameIsOver]:[GameIsOver]],1,Table1[[AwayTeam]:[AwayTeam]],$A6, Table1[[HomeTeam]:[HomeTeam]], V$1, Table1[[ActualResult]:[ActualResult]], "SO") + SUMIFS(Table1[[AwayWon]:[AwayWon]], Table1[[GameIsOver]:[GameIsOver]],1,Table1[[HomeTeam]:[HomeTeam]],$A6, Table1[[AwayTeam]:[AwayTeam]], V$1, Table1[[ActualResult]:[ActualResult]], "SO"),0))</f>
        <v>0-0-0</v>
      </c>
      <c r="W6" s="57" t="str">
        <f>_xlfn.CONCAT(TEXT(SUMIFS(Table1[[AwayWon]:[AwayWon]], Table1[[GameIsOver]:[GameIsOver]],1,Table1[[AwayTeam]:[AwayTeam]],$A6, Table1[[HomeTeam]:[HomeTeam]], W$1) + SUMIFS(Table1[[HomeWon]:[HomeWon]], Table1[[GameIsOver]:[GameIsOver]],1,Table1[[HomeTeam]:[HomeTeam]],$A6, Table1[[AwayTeam]:[AwayTeam]], W$1),0), "-", TEXT(SUMIFS(Table1[[HomeWon]:[HomeWon]], Table1[[GameIsOver]:[GameIsOver]],1,Table1[[AwayTeam]:[AwayTeam]],$A6, Table1[[HomeTeam]:[HomeTeam]], W$1, Table1[[ActualResult]:[ActualResult]], "REG") + SUMIFS(Table1[[AwayWon]:[AwayWon]], Table1[[GameIsOver]:[GameIsOver]],1,Table1[[HomeTeam]:[HomeTeam]],$A6, Table1[[AwayTeam]:[AwayTeam]], W$1, Table1[[ActualResult]:[ActualResult]], "REG"),0), "-", TEXT(SUMIFS(Table1[[HomeWon]:[HomeWon]], Table1[[GameIsOver]:[GameIsOver]],1,Table1[[AwayTeam]:[AwayTeam]],$A6, Table1[[HomeTeam]:[HomeTeam]], W$1, Table1[[ActualResult]:[ActualResult]], "OT") + SUMIFS(Table1[[AwayWon]:[AwayWon]], Table1[[GameIsOver]:[GameIsOver]],1,Table1[[HomeTeam]:[HomeTeam]],$A6, Table1[[AwayTeam]:[AwayTeam]], W$1, Table1[[ActualResult]:[ActualResult]], "OT") + SUMIFS(Table1[[HomeWon]:[HomeWon]], Table1[[GameIsOver]:[GameIsOver]],1,Table1[[AwayTeam]:[AwayTeam]],$A6, Table1[[HomeTeam]:[HomeTeam]], W$1, Table1[[ActualResult]:[ActualResult]], "SO") + SUMIFS(Table1[[AwayWon]:[AwayWon]], Table1[[GameIsOver]:[GameIsOver]],1,Table1[[HomeTeam]:[HomeTeam]],$A6, Table1[[AwayTeam]:[AwayTeam]], W$1, Table1[[ActualResult]:[ActualResult]], "SO"),0))</f>
        <v>0-0-0</v>
      </c>
      <c r="X6" s="57" t="str">
        <f>_xlfn.CONCAT(TEXT(SUMIFS(Table1[[AwayWon]:[AwayWon]], Table1[[GameIsOver]:[GameIsOver]],1,Table1[[AwayTeam]:[AwayTeam]],$A6, Table1[[HomeTeam]:[HomeTeam]], X$1) + SUMIFS(Table1[[HomeWon]:[HomeWon]], Table1[[GameIsOver]:[GameIsOver]],1,Table1[[HomeTeam]:[HomeTeam]],$A6, Table1[[AwayTeam]:[AwayTeam]], X$1),0), "-", TEXT(SUMIFS(Table1[[HomeWon]:[HomeWon]], Table1[[GameIsOver]:[GameIsOver]],1,Table1[[AwayTeam]:[AwayTeam]],$A6, Table1[[HomeTeam]:[HomeTeam]], X$1, Table1[[ActualResult]:[ActualResult]], "REG") + SUMIFS(Table1[[AwayWon]:[AwayWon]], Table1[[GameIsOver]:[GameIsOver]],1,Table1[[HomeTeam]:[HomeTeam]],$A6, Table1[[AwayTeam]:[AwayTeam]], X$1, Table1[[ActualResult]:[ActualResult]], "REG"),0), "-", TEXT(SUMIFS(Table1[[HomeWon]:[HomeWon]], Table1[[GameIsOver]:[GameIsOver]],1,Table1[[AwayTeam]:[AwayTeam]],$A6, Table1[[HomeTeam]:[HomeTeam]], X$1, Table1[[ActualResult]:[ActualResult]], "OT") + SUMIFS(Table1[[AwayWon]:[AwayWon]], Table1[[GameIsOver]:[GameIsOver]],1,Table1[[HomeTeam]:[HomeTeam]],$A6, Table1[[AwayTeam]:[AwayTeam]], X$1, Table1[[ActualResult]:[ActualResult]], "OT") + SUMIFS(Table1[[HomeWon]:[HomeWon]], Table1[[GameIsOver]:[GameIsOver]],1,Table1[[AwayTeam]:[AwayTeam]],$A6, Table1[[HomeTeam]:[HomeTeam]], X$1, Table1[[ActualResult]:[ActualResult]], "SO") + SUMIFS(Table1[[AwayWon]:[AwayWon]], Table1[[GameIsOver]:[GameIsOver]],1,Table1[[HomeTeam]:[HomeTeam]],$A6, Table1[[AwayTeam]:[AwayTeam]], X$1, Table1[[ActualResult]:[ActualResult]], "SO"),0))</f>
        <v>0-0-0</v>
      </c>
      <c r="Y6" s="59" t="str">
        <f>_xlfn.CONCAT(TEXT(SUMIFS(Table1[[AwayWon]:[AwayWon]], Table1[[GameIsOver]:[GameIsOver]],1,Table1[[AwayTeam]:[AwayTeam]],$A6, Table1[[HomeTeam]:[HomeTeam]], Y$1) + SUMIFS(Table1[[HomeWon]:[HomeWon]], Table1[[GameIsOver]:[GameIsOver]],1,Table1[[HomeTeam]:[HomeTeam]],$A6, Table1[[AwayTeam]:[AwayTeam]], Y$1),0), "-", TEXT(SUMIFS(Table1[[HomeWon]:[HomeWon]], Table1[[GameIsOver]:[GameIsOver]],1,Table1[[AwayTeam]:[AwayTeam]],$A6, Table1[[HomeTeam]:[HomeTeam]], Y$1, Table1[[ActualResult]:[ActualResult]], "REG") + SUMIFS(Table1[[AwayWon]:[AwayWon]], Table1[[GameIsOver]:[GameIsOver]],1,Table1[[HomeTeam]:[HomeTeam]],$A6, Table1[[AwayTeam]:[AwayTeam]], Y$1, Table1[[ActualResult]:[ActualResult]], "REG"),0), "-", TEXT(SUMIFS(Table1[[HomeWon]:[HomeWon]], Table1[[GameIsOver]:[GameIsOver]],1,Table1[[AwayTeam]:[AwayTeam]],$A6, Table1[[HomeTeam]:[HomeTeam]], Y$1, Table1[[ActualResult]:[ActualResult]], "OT") + SUMIFS(Table1[[AwayWon]:[AwayWon]], Table1[[GameIsOver]:[GameIsOver]],1,Table1[[HomeTeam]:[HomeTeam]],$A6, Table1[[AwayTeam]:[AwayTeam]], Y$1, Table1[[ActualResult]:[ActualResult]], "OT") + SUMIFS(Table1[[HomeWon]:[HomeWon]], Table1[[GameIsOver]:[GameIsOver]],1,Table1[[AwayTeam]:[AwayTeam]],$A6, Table1[[HomeTeam]:[HomeTeam]], Y$1, Table1[[ActualResult]:[ActualResult]], "SO") + SUMIFS(Table1[[AwayWon]:[AwayWon]], Table1[[GameIsOver]:[GameIsOver]],1,Table1[[HomeTeam]:[HomeTeam]],$A6, Table1[[AwayTeam]:[AwayTeam]], Y$1, Table1[[ActualResult]:[ActualResult]], "SO"),0))</f>
        <v>0-0-0</v>
      </c>
      <c r="Z6" s="57" t="str">
        <f>_xlfn.CONCAT(TEXT(SUMIFS(Table1[[AwayWon]:[AwayWon]], Table1[[GameIsOver]:[GameIsOver]],1,Table1[[AwayTeam]:[AwayTeam]],$A6, Table1[[HomeTeam]:[HomeTeam]], Z$1) + SUMIFS(Table1[[HomeWon]:[HomeWon]], Table1[[GameIsOver]:[GameIsOver]],1,Table1[[HomeTeam]:[HomeTeam]],$A6, Table1[[AwayTeam]:[AwayTeam]], Z$1),0), "-", TEXT(SUMIFS(Table1[[HomeWon]:[HomeWon]], Table1[[GameIsOver]:[GameIsOver]],1,Table1[[AwayTeam]:[AwayTeam]],$A6, Table1[[HomeTeam]:[HomeTeam]], Z$1, Table1[[ActualResult]:[ActualResult]], "REG") + SUMIFS(Table1[[AwayWon]:[AwayWon]], Table1[[GameIsOver]:[GameIsOver]],1,Table1[[HomeTeam]:[HomeTeam]],$A6, Table1[[AwayTeam]:[AwayTeam]], Z$1, Table1[[ActualResult]:[ActualResult]], "REG"),0), "-", TEXT(SUMIFS(Table1[[HomeWon]:[HomeWon]], Table1[[GameIsOver]:[GameIsOver]],1,Table1[[AwayTeam]:[AwayTeam]],$A6, Table1[[HomeTeam]:[HomeTeam]], Z$1, Table1[[ActualResult]:[ActualResult]], "OT") + SUMIFS(Table1[[AwayWon]:[AwayWon]], Table1[[GameIsOver]:[GameIsOver]],1,Table1[[HomeTeam]:[HomeTeam]],$A6, Table1[[AwayTeam]:[AwayTeam]], Z$1, Table1[[ActualResult]:[ActualResult]], "OT") + SUMIFS(Table1[[HomeWon]:[HomeWon]], Table1[[GameIsOver]:[GameIsOver]],1,Table1[[AwayTeam]:[AwayTeam]],$A6, Table1[[HomeTeam]:[HomeTeam]], Z$1, Table1[[ActualResult]:[ActualResult]], "SO") + SUMIFS(Table1[[AwayWon]:[AwayWon]], Table1[[GameIsOver]:[GameIsOver]],1,Table1[[HomeTeam]:[HomeTeam]],$A6, Table1[[AwayTeam]:[AwayTeam]], Z$1, Table1[[ActualResult]:[ActualResult]], "SO"),0))</f>
        <v>0-0-0</v>
      </c>
      <c r="AA6" s="57" t="str">
        <f>_xlfn.CONCAT(TEXT(SUMIFS(Table1[[AwayWon]:[AwayWon]], Table1[[GameIsOver]:[GameIsOver]],1,Table1[[AwayTeam]:[AwayTeam]],$A6, Table1[[HomeTeam]:[HomeTeam]], AA$1) + SUMIFS(Table1[[HomeWon]:[HomeWon]], Table1[[GameIsOver]:[GameIsOver]],1,Table1[[HomeTeam]:[HomeTeam]],$A6, Table1[[AwayTeam]:[AwayTeam]], AA$1),0), "-", TEXT(SUMIFS(Table1[[HomeWon]:[HomeWon]], Table1[[GameIsOver]:[GameIsOver]],1,Table1[[AwayTeam]:[AwayTeam]],$A6, Table1[[HomeTeam]:[HomeTeam]], AA$1, Table1[[ActualResult]:[ActualResult]], "REG") + SUMIFS(Table1[[AwayWon]:[AwayWon]], Table1[[GameIsOver]:[GameIsOver]],1,Table1[[HomeTeam]:[HomeTeam]],$A6, Table1[[AwayTeam]:[AwayTeam]], AA$1, Table1[[ActualResult]:[ActualResult]], "REG"),0), "-", TEXT(SUMIFS(Table1[[HomeWon]:[HomeWon]], Table1[[GameIsOver]:[GameIsOver]],1,Table1[[AwayTeam]:[AwayTeam]],$A6, Table1[[HomeTeam]:[HomeTeam]], AA$1, Table1[[ActualResult]:[ActualResult]], "OT") + SUMIFS(Table1[[AwayWon]:[AwayWon]], Table1[[GameIsOver]:[GameIsOver]],1,Table1[[HomeTeam]:[HomeTeam]],$A6, Table1[[AwayTeam]:[AwayTeam]], AA$1, Table1[[ActualResult]:[ActualResult]], "OT") + SUMIFS(Table1[[HomeWon]:[HomeWon]], Table1[[GameIsOver]:[GameIsOver]],1,Table1[[AwayTeam]:[AwayTeam]],$A6, Table1[[HomeTeam]:[HomeTeam]], AA$1, Table1[[ActualResult]:[ActualResult]], "SO") + SUMIFS(Table1[[AwayWon]:[AwayWon]], Table1[[GameIsOver]:[GameIsOver]],1,Table1[[HomeTeam]:[HomeTeam]],$A6, Table1[[AwayTeam]:[AwayTeam]], AA$1, Table1[[ActualResult]:[ActualResult]], "SO"),0))</f>
        <v>0-0-0</v>
      </c>
      <c r="AB6" s="57" t="str">
        <f>_xlfn.CONCAT(TEXT(SUMIFS(Table1[[AwayWon]:[AwayWon]], Table1[[GameIsOver]:[GameIsOver]],1,Table1[[AwayTeam]:[AwayTeam]],$A6, Table1[[HomeTeam]:[HomeTeam]], AB$1) + SUMIFS(Table1[[HomeWon]:[HomeWon]], Table1[[GameIsOver]:[GameIsOver]],1,Table1[[HomeTeam]:[HomeTeam]],$A6, Table1[[AwayTeam]:[AwayTeam]], AB$1),0), "-", TEXT(SUMIFS(Table1[[HomeWon]:[HomeWon]], Table1[[GameIsOver]:[GameIsOver]],1,Table1[[AwayTeam]:[AwayTeam]],$A6, Table1[[HomeTeam]:[HomeTeam]], AB$1, Table1[[ActualResult]:[ActualResult]], "REG") + SUMIFS(Table1[[AwayWon]:[AwayWon]], Table1[[GameIsOver]:[GameIsOver]],1,Table1[[HomeTeam]:[HomeTeam]],$A6, Table1[[AwayTeam]:[AwayTeam]], AB$1, Table1[[ActualResult]:[ActualResult]], "REG"),0), "-", TEXT(SUMIFS(Table1[[HomeWon]:[HomeWon]], Table1[[GameIsOver]:[GameIsOver]],1,Table1[[AwayTeam]:[AwayTeam]],$A6, Table1[[HomeTeam]:[HomeTeam]], AB$1, Table1[[ActualResult]:[ActualResult]], "OT") + SUMIFS(Table1[[AwayWon]:[AwayWon]], Table1[[GameIsOver]:[GameIsOver]],1,Table1[[HomeTeam]:[HomeTeam]],$A6, Table1[[AwayTeam]:[AwayTeam]], AB$1, Table1[[ActualResult]:[ActualResult]], "OT") + SUMIFS(Table1[[HomeWon]:[HomeWon]], Table1[[GameIsOver]:[GameIsOver]],1,Table1[[AwayTeam]:[AwayTeam]],$A6, Table1[[HomeTeam]:[HomeTeam]], AB$1, Table1[[ActualResult]:[ActualResult]], "SO") + SUMIFS(Table1[[AwayWon]:[AwayWon]], Table1[[GameIsOver]:[GameIsOver]],1,Table1[[HomeTeam]:[HomeTeam]],$A6, Table1[[AwayTeam]:[AwayTeam]], AB$1, Table1[[ActualResult]:[ActualResult]], "SO"),0))</f>
        <v>0-0-0</v>
      </c>
      <c r="AC6" s="57" t="str">
        <f>_xlfn.CONCAT(TEXT(SUMIFS(Table1[[AwayWon]:[AwayWon]], Table1[[GameIsOver]:[GameIsOver]],1,Table1[[AwayTeam]:[AwayTeam]],$A6, Table1[[HomeTeam]:[HomeTeam]], AC$1) + SUMIFS(Table1[[HomeWon]:[HomeWon]], Table1[[GameIsOver]:[GameIsOver]],1,Table1[[HomeTeam]:[HomeTeam]],$A6, Table1[[AwayTeam]:[AwayTeam]], AC$1),0), "-", TEXT(SUMIFS(Table1[[HomeWon]:[HomeWon]], Table1[[GameIsOver]:[GameIsOver]],1,Table1[[AwayTeam]:[AwayTeam]],$A6, Table1[[HomeTeam]:[HomeTeam]], AC$1, Table1[[ActualResult]:[ActualResult]], "REG") + SUMIFS(Table1[[AwayWon]:[AwayWon]], Table1[[GameIsOver]:[GameIsOver]],1,Table1[[HomeTeam]:[HomeTeam]],$A6, Table1[[AwayTeam]:[AwayTeam]], AC$1, Table1[[ActualResult]:[ActualResult]], "REG"),0), "-", TEXT(SUMIFS(Table1[[HomeWon]:[HomeWon]], Table1[[GameIsOver]:[GameIsOver]],1,Table1[[AwayTeam]:[AwayTeam]],$A6, Table1[[HomeTeam]:[HomeTeam]], AC$1, Table1[[ActualResult]:[ActualResult]], "OT") + SUMIFS(Table1[[AwayWon]:[AwayWon]], Table1[[GameIsOver]:[GameIsOver]],1,Table1[[HomeTeam]:[HomeTeam]],$A6, Table1[[AwayTeam]:[AwayTeam]], AC$1, Table1[[ActualResult]:[ActualResult]], "OT") + SUMIFS(Table1[[HomeWon]:[HomeWon]], Table1[[GameIsOver]:[GameIsOver]],1,Table1[[AwayTeam]:[AwayTeam]],$A6, Table1[[HomeTeam]:[HomeTeam]], AC$1, Table1[[ActualResult]:[ActualResult]], "SO") + SUMIFS(Table1[[AwayWon]:[AwayWon]], Table1[[GameIsOver]:[GameIsOver]],1,Table1[[HomeTeam]:[HomeTeam]],$A6, Table1[[AwayTeam]:[AwayTeam]], AC$1, Table1[[ActualResult]:[ActualResult]], "SO"),0))</f>
        <v>0-0-0</v>
      </c>
      <c r="AD6" s="57" t="str">
        <f>_xlfn.CONCAT(TEXT(SUMIFS(Table1[[AwayWon]:[AwayWon]], Table1[[GameIsOver]:[GameIsOver]],1,Table1[[AwayTeam]:[AwayTeam]],$A6, Table1[[HomeTeam]:[HomeTeam]], AD$1) + SUMIFS(Table1[[HomeWon]:[HomeWon]], Table1[[GameIsOver]:[GameIsOver]],1,Table1[[HomeTeam]:[HomeTeam]],$A6, Table1[[AwayTeam]:[AwayTeam]], AD$1),0), "-", TEXT(SUMIFS(Table1[[HomeWon]:[HomeWon]], Table1[[GameIsOver]:[GameIsOver]],1,Table1[[AwayTeam]:[AwayTeam]],$A6, Table1[[HomeTeam]:[HomeTeam]], AD$1, Table1[[ActualResult]:[ActualResult]], "REG") + SUMIFS(Table1[[AwayWon]:[AwayWon]], Table1[[GameIsOver]:[GameIsOver]],1,Table1[[HomeTeam]:[HomeTeam]],$A6, Table1[[AwayTeam]:[AwayTeam]], AD$1, Table1[[ActualResult]:[ActualResult]], "REG"),0), "-", TEXT(SUMIFS(Table1[[HomeWon]:[HomeWon]], Table1[[GameIsOver]:[GameIsOver]],1,Table1[[AwayTeam]:[AwayTeam]],$A6, Table1[[HomeTeam]:[HomeTeam]], AD$1, Table1[[ActualResult]:[ActualResult]], "OT") + SUMIFS(Table1[[AwayWon]:[AwayWon]], Table1[[GameIsOver]:[GameIsOver]],1,Table1[[HomeTeam]:[HomeTeam]],$A6, Table1[[AwayTeam]:[AwayTeam]], AD$1, Table1[[ActualResult]:[ActualResult]], "OT") + SUMIFS(Table1[[HomeWon]:[HomeWon]], Table1[[GameIsOver]:[GameIsOver]],1,Table1[[AwayTeam]:[AwayTeam]],$A6, Table1[[HomeTeam]:[HomeTeam]], AD$1, Table1[[ActualResult]:[ActualResult]], "SO") + SUMIFS(Table1[[AwayWon]:[AwayWon]], Table1[[GameIsOver]:[GameIsOver]],1,Table1[[HomeTeam]:[HomeTeam]],$A6, Table1[[AwayTeam]:[AwayTeam]], AD$1, Table1[[ActualResult]:[ActualResult]], "SO"),0))</f>
        <v>0-0-0</v>
      </c>
      <c r="AE6" s="57" t="str">
        <f>_xlfn.CONCAT(TEXT(SUMIFS(Table1[[AwayWon]:[AwayWon]], Table1[[GameIsOver]:[GameIsOver]],1,Table1[[AwayTeam]:[AwayTeam]],$A6, Table1[[HomeTeam]:[HomeTeam]], AE$1) + SUMIFS(Table1[[HomeWon]:[HomeWon]], Table1[[GameIsOver]:[GameIsOver]],1,Table1[[HomeTeam]:[HomeTeam]],$A6, Table1[[AwayTeam]:[AwayTeam]], AE$1),0), "-", TEXT(SUMIFS(Table1[[HomeWon]:[HomeWon]], Table1[[GameIsOver]:[GameIsOver]],1,Table1[[AwayTeam]:[AwayTeam]],$A6, Table1[[HomeTeam]:[HomeTeam]], AE$1, Table1[[ActualResult]:[ActualResult]], "REG") + SUMIFS(Table1[[AwayWon]:[AwayWon]], Table1[[GameIsOver]:[GameIsOver]],1,Table1[[HomeTeam]:[HomeTeam]],$A6, Table1[[AwayTeam]:[AwayTeam]], AE$1, Table1[[ActualResult]:[ActualResult]], "REG"),0), "-", TEXT(SUMIFS(Table1[[HomeWon]:[HomeWon]], Table1[[GameIsOver]:[GameIsOver]],1,Table1[[AwayTeam]:[AwayTeam]],$A6, Table1[[HomeTeam]:[HomeTeam]], AE$1, Table1[[ActualResult]:[ActualResult]], "OT") + SUMIFS(Table1[[AwayWon]:[AwayWon]], Table1[[GameIsOver]:[GameIsOver]],1,Table1[[HomeTeam]:[HomeTeam]],$A6, Table1[[AwayTeam]:[AwayTeam]], AE$1, Table1[[ActualResult]:[ActualResult]], "OT") + SUMIFS(Table1[[HomeWon]:[HomeWon]], Table1[[GameIsOver]:[GameIsOver]],1,Table1[[AwayTeam]:[AwayTeam]],$A6, Table1[[HomeTeam]:[HomeTeam]], AE$1, Table1[[ActualResult]:[ActualResult]], "SO") + SUMIFS(Table1[[AwayWon]:[AwayWon]], Table1[[GameIsOver]:[GameIsOver]],1,Table1[[HomeTeam]:[HomeTeam]],$A6, Table1[[AwayTeam]:[AwayTeam]], AE$1, Table1[[ActualResult]:[ActualResult]], "SO"),0))</f>
        <v>0-0-0</v>
      </c>
      <c r="AF6" s="57" t="str">
        <f>_xlfn.CONCAT(TEXT(SUMIFS(Table1[[AwayWon]:[AwayWon]], Table1[[GameIsOver]:[GameIsOver]],1,Table1[[AwayTeam]:[AwayTeam]],$A6, Table1[[HomeTeam]:[HomeTeam]], AF$1) + SUMIFS(Table1[[HomeWon]:[HomeWon]], Table1[[GameIsOver]:[GameIsOver]],1,Table1[[HomeTeam]:[HomeTeam]],$A6, Table1[[AwayTeam]:[AwayTeam]], AF$1),0), "-", TEXT(SUMIFS(Table1[[HomeWon]:[HomeWon]], Table1[[GameIsOver]:[GameIsOver]],1,Table1[[AwayTeam]:[AwayTeam]],$A6, Table1[[HomeTeam]:[HomeTeam]], AF$1, Table1[[ActualResult]:[ActualResult]], "REG") + SUMIFS(Table1[[AwayWon]:[AwayWon]], Table1[[GameIsOver]:[GameIsOver]],1,Table1[[HomeTeam]:[HomeTeam]],$A6, Table1[[AwayTeam]:[AwayTeam]], AF$1, Table1[[ActualResult]:[ActualResult]], "REG"),0), "-", TEXT(SUMIFS(Table1[[HomeWon]:[HomeWon]], Table1[[GameIsOver]:[GameIsOver]],1,Table1[[AwayTeam]:[AwayTeam]],$A6, Table1[[HomeTeam]:[HomeTeam]], AF$1, Table1[[ActualResult]:[ActualResult]], "OT") + SUMIFS(Table1[[AwayWon]:[AwayWon]], Table1[[GameIsOver]:[GameIsOver]],1,Table1[[HomeTeam]:[HomeTeam]],$A6, Table1[[AwayTeam]:[AwayTeam]], AF$1, Table1[[ActualResult]:[ActualResult]], "OT") + SUMIFS(Table1[[HomeWon]:[HomeWon]], Table1[[GameIsOver]:[GameIsOver]],1,Table1[[AwayTeam]:[AwayTeam]],$A6, Table1[[HomeTeam]:[HomeTeam]], AF$1, Table1[[ActualResult]:[ActualResult]], "SO") + SUMIFS(Table1[[AwayWon]:[AwayWon]], Table1[[GameIsOver]:[GameIsOver]],1,Table1[[HomeTeam]:[HomeTeam]],$A6, Table1[[AwayTeam]:[AwayTeam]], AF$1, Table1[[ActualResult]:[ActualResult]], "SO"),0))</f>
        <v>0-0-0</v>
      </c>
      <c r="AG6" s="57" t="str">
        <f>_xlfn.CONCAT(TEXT(SUMIFS(Table1[[AwayWon]:[AwayWon]], Table1[[GameIsOver]:[GameIsOver]],1,Table1[[AwayTeam]:[AwayTeam]],$A6, Table1[[HomeTeam]:[HomeTeam]], AG$1) + SUMIFS(Table1[[HomeWon]:[HomeWon]], Table1[[GameIsOver]:[GameIsOver]],1,Table1[[HomeTeam]:[HomeTeam]],$A6, Table1[[AwayTeam]:[AwayTeam]], AG$1),0), "-", TEXT(SUMIFS(Table1[[HomeWon]:[HomeWon]], Table1[[GameIsOver]:[GameIsOver]],1,Table1[[AwayTeam]:[AwayTeam]],$A6, Table1[[HomeTeam]:[HomeTeam]], AG$1, Table1[[ActualResult]:[ActualResult]], "REG") + SUMIFS(Table1[[AwayWon]:[AwayWon]], Table1[[GameIsOver]:[GameIsOver]],1,Table1[[HomeTeam]:[HomeTeam]],$A6, Table1[[AwayTeam]:[AwayTeam]], AG$1, Table1[[ActualResult]:[ActualResult]], "REG"),0), "-", TEXT(SUMIFS(Table1[[HomeWon]:[HomeWon]], Table1[[GameIsOver]:[GameIsOver]],1,Table1[[AwayTeam]:[AwayTeam]],$A6, Table1[[HomeTeam]:[HomeTeam]], AG$1, Table1[[ActualResult]:[ActualResult]], "OT") + SUMIFS(Table1[[AwayWon]:[AwayWon]], Table1[[GameIsOver]:[GameIsOver]],1,Table1[[HomeTeam]:[HomeTeam]],$A6, Table1[[AwayTeam]:[AwayTeam]], AG$1, Table1[[ActualResult]:[ActualResult]], "OT") + SUMIFS(Table1[[HomeWon]:[HomeWon]], Table1[[GameIsOver]:[GameIsOver]],1,Table1[[AwayTeam]:[AwayTeam]],$A6, Table1[[HomeTeam]:[HomeTeam]], AG$1, Table1[[ActualResult]:[ActualResult]], "SO") + SUMIFS(Table1[[AwayWon]:[AwayWon]], Table1[[GameIsOver]:[GameIsOver]],1,Table1[[HomeTeam]:[HomeTeam]],$A6, Table1[[AwayTeam]:[AwayTeam]], AG$1, Table1[[ActualResult]:[ActualResult]], "SO"),0))</f>
        <v>0-0-0</v>
      </c>
    </row>
    <row r="7" spans="1:33" x14ac:dyDescent="0.25">
      <c r="A7" s="28" t="s">
        <v>55</v>
      </c>
      <c r="B7" s="57" t="str">
        <f>_xlfn.CONCAT(TEXT(SUMIFS(Table1[[AwayWon]:[AwayWon]], Table1[[GameIsOver]:[GameIsOver]],1,Table1[[AwayTeam]:[AwayTeam]],$A7, Table1[[HomeTeam]:[HomeTeam]], B$1) + SUMIFS(Table1[[HomeWon]:[HomeWon]], Table1[[GameIsOver]:[GameIsOver]],1,Table1[[HomeTeam]:[HomeTeam]],$A7, Table1[[AwayTeam]:[AwayTeam]], B$1),0), "-", TEXT(SUMIFS(Table1[[HomeWon]:[HomeWon]], Table1[[GameIsOver]:[GameIsOver]],1,Table1[[AwayTeam]:[AwayTeam]],$A7, Table1[[HomeTeam]:[HomeTeam]], B$1, Table1[[ActualResult]:[ActualResult]], "REG") + SUMIFS(Table1[[AwayWon]:[AwayWon]], Table1[[GameIsOver]:[GameIsOver]],1,Table1[[HomeTeam]:[HomeTeam]],$A7, Table1[[AwayTeam]:[AwayTeam]], B$1, Table1[[ActualResult]:[ActualResult]], "REG"),0), "-", TEXT(SUMIFS(Table1[[HomeWon]:[HomeWon]], Table1[[GameIsOver]:[GameIsOver]],1,Table1[[AwayTeam]:[AwayTeam]],$A7, Table1[[HomeTeam]:[HomeTeam]], B$1, Table1[[ActualResult]:[ActualResult]], "OT") + SUMIFS(Table1[[AwayWon]:[AwayWon]], Table1[[GameIsOver]:[GameIsOver]],1,Table1[[HomeTeam]:[HomeTeam]],$A7, Table1[[AwayTeam]:[AwayTeam]], B$1, Table1[[ActualResult]:[ActualResult]], "OT") + SUMIFS(Table1[[HomeWon]:[HomeWon]], Table1[[GameIsOver]:[GameIsOver]],1,Table1[[AwayTeam]:[AwayTeam]],$A7, Table1[[HomeTeam]:[HomeTeam]], B$1, Table1[[ActualResult]:[ActualResult]], "SO") + SUMIFS(Table1[[AwayWon]:[AwayWon]], Table1[[GameIsOver]:[GameIsOver]],1,Table1[[HomeTeam]:[HomeTeam]],$A7, Table1[[AwayTeam]:[AwayTeam]], B$1, Table1[[ActualResult]:[ActualResult]], "SO"),0))</f>
        <v>0-0-0</v>
      </c>
      <c r="C7" s="57" t="str">
        <f>_xlfn.CONCAT(TEXT(SUMIFS(Table1[[AwayWon]:[AwayWon]], Table1[[GameIsOver]:[GameIsOver]],1,Table1[[AwayTeam]:[AwayTeam]],$A7, Table1[[HomeTeam]:[HomeTeam]], C$1) + SUMIFS(Table1[[HomeWon]:[HomeWon]], Table1[[GameIsOver]:[GameIsOver]],1,Table1[[HomeTeam]:[HomeTeam]],$A7, Table1[[AwayTeam]:[AwayTeam]], C$1),0), "-", TEXT(SUMIFS(Table1[[HomeWon]:[HomeWon]], Table1[[GameIsOver]:[GameIsOver]],1,Table1[[AwayTeam]:[AwayTeam]],$A7, Table1[[HomeTeam]:[HomeTeam]], C$1, Table1[[ActualResult]:[ActualResult]], "REG") + SUMIFS(Table1[[AwayWon]:[AwayWon]], Table1[[GameIsOver]:[GameIsOver]],1,Table1[[HomeTeam]:[HomeTeam]],$A7, Table1[[AwayTeam]:[AwayTeam]], C$1, Table1[[ActualResult]:[ActualResult]], "REG"),0), "-", TEXT(SUMIFS(Table1[[HomeWon]:[HomeWon]], Table1[[GameIsOver]:[GameIsOver]],1,Table1[[AwayTeam]:[AwayTeam]],$A7, Table1[[HomeTeam]:[HomeTeam]], C$1, Table1[[ActualResult]:[ActualResult]], "OT") + SUMIFS(Table1[[AwayWon]:[AwayWon]], Table1[[GameIsOver]:[GameIsOver]],1,Table1[[HomeTeam]:[HomeTeam]],$A7, Table1[[AwayTeam]:[AwayTeam]], C$1, Table1[[ActualResult]:[ActualResult]], "OT") + SUMIFS(Table1[[HomeWon]:[HomeWon]], Table1[[GameIsOver]:[GameIsOver]],1,Table1[[AwayTeam]:[AwayTeam]],$A7, Table1[[HomeTeam]:[HomeTeam]], C$1, Table1[[ActualResult]:[ActualResult]], "SO") + SUMIFS(Table1[[AwayWon]:[AwayWon]], Table1[[GameIsOver]:[GameIsOver]],1,Table1[[HomeTeam]:[HomeTeam]],$A7, Table1[[AwayTeam]:[AwayTeam]], C$1, Table1[[ActualResult]:[ActualResult]], "SO"),0))</f>
        <v>0-0-0</v>
      </c>
      <c r="D7" s="57" t="str">
        <f>_xlfn.CONCAT(TEXT(SUMIFS(Table1[[AwayWon]:[AwayWon]], Table1[[GameIsOver]:[GameIsOver]],1,Table1[[AwayTeam]:[AwayTeam]],$A7, Table1[[HomeTeam]:[HomeTeam]], D$1) + SUMIFS(Table1[[HomeWon]:[HomeWon]], Table1[[GameIsOver]:[GameIsOver]],1,Table1[[HomeTeam]:[HomeTeam]],$A7, Table1[[AwayTeam]:[AwayTeam]], D$1),0), "-", TEXT(SUMIFS(Table1[[HomeWon]:[HomeWon]], Table1[[GameIsOver]:[GameIsOver]],1,Table1[[AwayTeam]:[AwayTeam]],$A7, Table1[[HomeTeam]:[HomeTeam]], D$1, Table1[[ActualResult]:[ActualResult]], "REG") + SUMIFS(Table1[[AwayWon]:[AwayWon]], Table1[[GameIsOver]:[GameIsOver]],1,Table1[[HomeTeam]:[HomeTeam]],$A7, Table1[[AwayTeam]:[AwayTeam]], D$1, Table1[[ActualResult]:[ActualResult]], "REG"),0), "-", TEXT(SUMIFS(Table1[[HomeWon]:[HomeWon]], Table1[[GameIsOver]:[GameIsOver]],1,Table1[[AwayTeam]:[AwayTeam]],$A7, Table1[[HomeTeam]:[HomeTeam]], D$1, Table1[[ActualResult]:[ActualResult]], "OT") + SUMIFS(Table1[[AwayWon]:[AwayWon]], Table1[[GameIsOver]:[GameIsOver]],1,Table1[[HomeTeam]:[HomeTeam]],$A7, Table1[[AwayTeam]:[AwayTeam]], D$1, Table1[[ActualResult]:[ActualResult]], "OT") + SUMIFS(Table1[[HomeWon]:[HomeWon]], Table1[[GameIsOver]:[GameIsOver]],1,Table1[[AwayTeam]:[AwayTeam]],$A7, Table1[[HomeTeam]:[HomeTeam]], D$1, Table1[[ActualResult]:[ActualResult]], "SO") + SUMIFS(Table1[[AwayWon]:[AwayWon]], Table1[[GameIsOver]:[GameIsOver]],1,Table1[[HomeTeam]:[HomeTeam]],$A7, Table1[[AwayTeam]:[AwayTeam]], D$1, Table1[[ActualResult]:[ActualResult]], "SO"),0))</f>
        <v>0-0-0</v>
      </c>
      <c r="E7" s="57" t="str">
        <f>_xlfn.CONCAT(TEXT(SUMIFS(Table1[[AwayWon]:[AwayWon]], Table1[[GameIsOver]:[GameIsOver]],1,Table1[[AwayTeam]:[AwayTeam]],$A7, Table1[[HomeTeam]:[HomeTeam]], E$1) + SUMIFS(Table1[[HomeWon]:[HomeWon]], Table1[[GameIsOver]:[GameIsOver]],1,Table1[[HomeTeam]:[HomeTeam]],$A7, Table1[[AwayTeam]:[AwayTeam]], E$1),0), "-", TEXT(SUMIFS(Table1[[HomeWon]:[HomeWon]], Table1[[GameIsOver]:[GameIsOver]],1,Table1[[AwayTeam]:[AwayTeam]],$A7, Table1[[HomeTeam]:[HomeTeam]], E$1, Table1[[ActualResult]:[ActualResult]], "REG") + SUMIFS(Table1[[AwayWon]:[AwayWon]], Table1[[GameIsOver]:[GameIsOver]],1,Table1[[HomeTeam]:[HomeTeam]],$A7, Table1[[AwayTeam]:[AwayTeam]], E$1, Table1[[ActualResult]:[ActualResult]], "REG"),0), "-", TEXT(SUMIFS(Table1[[HomeWon]:[HomeWon]], Table1[[GameIsOver]:[GameIsOver]],1,Table1[[AwayTeam]:[AwayTeam]],$A7, Table1[[HomeTeam]:[HomeTeam]], E$1, Table1[[ActualResult]:[ActualResult]], "OT") + SUMIFS(Table1[[AwayWon]:[AwayWon]], Table1[[GameIsOver]:[GameIsOver]],1,Table1[[HomeTeam]:[HomeTeam]],$A7, Table1[[AwayTeam]:[AwayTeam]], E$1, Table1[[ActualResult]:[ActualResult]], "OT") + SUMIFS(Table1[[HomeWon]:[HomeWon]], Table1[[GameIsOver]:[GameIsOver]],1,Table1[[AwayTeam]:[AwayTeam]],$A7, Table1[[HomeTeam]:[HomeTeam]], E$1, Table1[[ActualResult]:[ActualResult]], "SO") + SUMIFS(Table1[[AwayWon]:[AwayWon]], Table1[[GameIsOver]:[GameIsOver]],1,Table1[[HomeTeam]:[HomeTeam]],$A7, Table1[[AwayTeam]:[AwayTeam]], E$1, Table1[[ActualResult]:[ActualResult]], "SO"),0))</f>
        <v>0-0-0</v>
      </c>
      <c r="F7" s="57" t="str">
        <f>_xlfn.CONCAT(TEXT(SUMIFS(Table1[[AwayWon]:[AwayWon]], Table1[[GameIsOver]:[GameIsOver]],1,Table1[[AwayTeam]:[AwayTeam]],$A7, Table1[[HomeTeam]:[HomeTeam]], F$1) + SUMIFS(Table1[[HomeWon]:[HomeWon]], Table1[[GameIsOver]:[GameIsOver]],1,Table1[[HomeTeam]:[HomeTeam]],$A7, Table1[[AwayTeam]:[AwayTeam]], F$1),0), "-", TEXT(SUMIFS(Table1[[HomeWon]:[HomeWon]], Table1[[GameIsOver]:[GameIsOver]],1,Table1[[AwayTeam]:[AwayTeam]],$A7, Table1[[HomeTeam]:[HomeTeam]], F$1, Table1[[ActualResult]:[ActualResult]], "REG") + SUMIFS(Table1[[AwayWon]:[AwayWon]], Table1[[GameIsOver]:[GameIsOver]],1,Table1[[HomeTeam]:[HomeTeam]],$A7, Table1[[AwayTeam]:[AwayTeam]], F$1, Table1[[ActualResult]:[ActualResult]], "REG"),0), "-", TEXT(SUMIFS(Table1[[HomeWon]:[HomeWon]], Table1[[GameIsOver]:[GameIsOver]],1,Table1[[AwayTeam]:[AwayTeam]],$A7, Table1[[HomeTeam]:[HomeTeam]], F$1, Table1[[ActualResult]:[ActualResult]], "OT") + SUMIFS(Table1[[AwayWon]:[AwayWon]], Table1[[GameIsOver]:[GameIsOver]],1,Table1[[HomeTeam]:[HomeTeam]],$A7, Table1[[AwayTeam]:[AwayTeam]], F$1, Table1[[ActualResult]:[ActualResult]], "OT") + SUMIFS(Table1[[HomeWon]:[HomeWon]], Table1[[GameIsOver]:[GameIsOver]],1,Table1[[AwayTeam]:[AwayTeam]],$A7, Table1[[HomeTeam]:[HomeTeam]], F$1, Table1[[ActualResult]:[ActualResult]], "SO") + SUMIFS(Table1[[AwayWon]:[AwayWon]], Table1[[GameIsOver]:[GameIsOver]],1,Table1[[HomeTeam]:[HomeTeam]],$A7, Table1[[AwayTeam]:[AwayTeam]], F$1, Table1[[ActualResult]:[ActualResult]], "SO"),0))</f>
        <v>0-0-0</v>
      </c>
      <c r="G7" s="57" t="str">
        <f>_xlfn.CONCAT(TEXT(SUMIFS(Table1[[AwayWon]:[AwayWon]], Table1[[GameIsOver]:[GameIsOver]],1,Table1[[AwayTeam]:[AwayTeam]],$A7, Table1[[HomeTeam]:[HomeTeam]], G$1) + SUMIFS(Table1[[HomeWon]:[HomeWon]], Table1[[GameIsOver]:[GameIsOver]],1,Table1[[HomeTeam]:[HomeTeam]],$A7, Table1[[AwayTeam]:[AwayTeam]], G$1),0), "-", TEXT(SUMIFS(Table1[[HomeWon]:[HomeWon]], Table1[[GameIsOver]:[GameIsOver]],1,Table1[[AwayTeam]:[AwayTeam]],$A7, Table1[[HomeTeam]:[HomeTeam]], G$1, Table1[[ActualResult]:[ActualResult]], "REG") + SUMIFS(Table1[[AwayWon]:[AwayWon]], Table1[[GameIsOver]:[GameIsOver]],1,Table1[[HomeTeam]:[HomeTeam]],$A7, Table1[[AwayTeam]:[AwayTeam]], G$1, Table1[[ActualResult]:[ActualResult]], "REG"),0), "-", TEXT(SUMIFS(Table1[[HomeWon]:[HomeWon]], Table1[[GameIsOver]:[GameIsOver]],1,Table1[[AwayTeam]:[AwayTeam]],$A7, Table1[[HomeTeam]:[HomeTeam]], G$1, Table1[[ActualResult]:[ActualResult]], "OT") + SUMIFS(Table1[[AwayWon]:[AwayWon]], Table1[[GameIsOver]:[GameIsOver]],1,Table1[[HomeTeam]:[HomeTeam]],$A7, Table1[[AwayTeam]:[AwayTeam]], G$1, Table1[[ActualResult]:[ActualResult]], "OT") + SUMIFS(Table1[[HomeWon]:[HomeWon]], Table1[[GameIsOver]:[GameIsOver]],1,Table1[[AwayTeam]:[AwayTeam]],$A7, Table1[[HomeTeam]:[HomeTeam]], G$1, Table1[[ActualResult]:[ActualResult]], "SO") + SUMIFS(Table1[[AwayWon]:[AwayWon]], Table1[[GameIsOver]:[GameIsOver]],1,Table1[[HomeTeam]:[HomeTeam]],$A7, Table1[[AwayTeam]:[AwayTeam]], G$1, Table1[[ActualResult]:[ActualResult]], "SO"),0))</f>
        <v>0-0-0</v>
      </c>
      <c r="H7" s="57" t="str">
        <f>_xlfn.CONCAT(TEXT(SUMIFS(Table1[[AwayWon]:[AwayWon]], Table1[[GameIsOver]:[GameIsOver]],1,Table1[[AwayTeam]:[AwayTeam]],$A7, Table1[[HomeTeam]:[HomeTeam]], H$1) + SUMIFS(Table1[[HomeWon]:[HomeWon]], Table1[[GameIsOver]:[GameIsOver]],1,Table1[[HomeTeam]:[HomeTeam]],$A7, Table1[[AwayTeam]:[AwayTeam]], H$1),0), "-", TEXT(SUMIFS(Table1[[HomeWon]:[HomeWon]], Table1[[GameIsOver]:[GameIsOver]],1,Table1[[AwayTeam]:[AwayTeam]],$A7, Table1[[HomeTeam]:[HomeTeam]], H$1, Table1[[ActualResult]:[ActualResult]], "REG") + SUMIFS(Table1[[AwayWon]:[AwayWon]], Table1[[GameIsOver]:[GameIsOver]],1,Table1[[HomeTeam]:[HomeTeam]],$A7, Table1[[AwayTeam]:[AwayTeam]], H$1, Table1[[ActualResult]:[ActualResult]], "REG"),0), "-", TEXT(SUMIFS(Table1[[HomeWon]:[HomeWon]], Table1[[GameIsOver]:[GameIsOver]],1,Table1[[AwayTeam]:[AwayTeam]],$A7, Table1[[HomeTeam]:[HomeTeam]], H$1, Table1[[ActualResult]:[ActualResult]], "OT") + SUMIFS(Table1[[AwayWon]:[AwayWon]], Table1[[GameIsOver]:[GameIsOver]],1,Table1[[HomeTeam]:[HomeTeam]],$A7, Table1[[AwayTeam]:[AwayTeam]], H$1, Table1[[ActualResult]:[ActualResult]], "OT") + SUMIFS(Table1[[HomeWon]:[HomeWon]], Table1[[GameIsOver]:[GameIsOver]],1,Table1[[AwayTeam]:[AwayTeam]],$A7, Table1[[HomeTeam]:[HomeTeam]], H$1, Table1[[ActualResult]:[ActualResult]], "SO") + SUMIFS(Table1[[AwayWon]:[AwayWon]], Table1[[GameIsOver]:[GameIsOver]],1,Table1[[HomeTeam]:[HomeTeam]],$A7, Table1[[AwayTeam]:[AwayTeam]], H$1, Table1[[ActualResult]:[ActualResult]], "SO"),0))</f>
        <v>0-0-0</v>
      </c>
      <c r="I7" s="59" t="str">
        <f>_xlfn.CONCAT(TEXT(SUMIFS(Table1[[AwayWon]:[AwayWon]], Table1[[GameIsOver]:[GameIsOver]],1,Table1[[AwayTeam]:[AwayTeam]],$A7, Table1[[HomeTeam]:[HomeTeam]], I$1) + SUMIFS(Table1[[HomeWon]:[HomeWon]], Table1[[GameIsOver]:[GameIsOver]],1,Table1[[HomeTeam]:[HomeTeam]],$A7, Table1[[AwayTeam]:[AwayTeam]], I$1),0), "-", TEXT(SUMIFS(Table1[[HomeWon]:[HomeWon]], Table1[[GameIsOver]:[GameIsOver]],1,Table1[[AwayTeam]:[AwayTeam]],$A7, Table1[[HomeTeam]:[HomeTeam]], I$1, Table1[[ActualResult]:[ActualResult]], "REG") + SUMIFS(Table1[[AwayWon]:[AwayWon]], Table1[[GameIsOver]:[GameIsOver]],1,Table1[[HomeTeam]:[HomeTeam]],$A7, Table1[[AwayTeam]:[AwayTeam]], I$1, Table1[[ActualResult]:[ActualResult]], "REG"),0), "-", TEXT(SUMIFS(Table1[[HomeWon]:[HomeWon]], Table1[[GameIsOver]:[GameIsOver]],1,Table1[[AwayTeam]:[AwayTeam]],$A7, Table1[[HomeTeam]:[HomeTeam]], I$1, Table1[[ActualResult]:[ActualResult]], "OT") + SUMIFS(Table1[[AwayWon]:[AwayWon]], Table1[[GameIsOver]:[GameIsOver]],1,Table1[[HomeTeam]:[HomeTeam]],$A7, Table1[[AwayTeam]:[AwayTeam]], I$1, Table1[[ActualResult]:[ActualResult]], "OT") + SUMIFS(Table1[[HomeWon]:[HomeWon]], Table1[[GameIsOver]:[GameIsOver]],1,Table1[[AwayTeam]:[AwayTeam]],$A7, Table1[[HomeTeam]:[HomeTeam]], I$1, Table1[[ActualResult]:[ActualResult]], "SO") + SUMIFS(Table1[[AwayWon]:[AwayWon]], Table1[[GameIsOver]:[GameIsOver]],1,Table1[[HomeTeam]:[HomeTeam]],$A7, Table1[[AwayTeam]:[AwayTeam]], I$1, Table1[[ActualResult]:[ActualResult]], "SO"),0))</f>
        <v>0-0-0</v>
      </c>
      <c r="J7" s="57" t="str">
        <f>_xlfn.CONCAT(TEXT(SUMIFS(Table1[[AwayWon]:[AwayWon]], Table1[[GameIsOver]:[GameIsOver]],1,Table1[[AwayTeam]:[AwayTeam]],$A7, Table1[[HomeTeam]:[HomeTeam]], J$1) + SUMIFS(Table1[[HomeWon]:[HomeWon]], Table1[[GameIsOver]:[GameIsOver]],1,Table1[[HomeTeam]:[HomeTeam]],$A7, Table1[[AwayTeam]:[AwayTeam]], J$1),0), "-", TEXT(SUMIFS(Table1[[HomeWon]:[HomeWon]], Table1[[GameIsOver]:[GameIsOver]],1,Table1[[AwayTeam]:[AwayTeam]],$A7, Table1[[HomeTeam]:[HomeTeam]], J$1, Table1[[ActualResult]:[ActualResult]], "REG") + SUMIFS(Table1[[AwayWon]:[AwayWon]], Table1[[GameIsOver]:[GameIsOver]],1,Table1[[HomeTeam]:[HomeTeam]],$A7, Table1[[AwayTeam]:[AwayTeam]], J$1, Table1[[ActualResult]:[ActualResult]], "REG"),0), "-", TEXT(SUMIFS(Table1[[HomeWon]:[HomeWon]], Table1[[GameIsOver]:[GameIsOver]],1,Table1[[AwayTeam]:[AwayTeam]],$A7, Table1[[HomeTeam]:[HomeTeam]], J$1, Table1[[ActualResult]:[ActualResult]], "OT") + SUMIFS(Table1[[AwayWon]:[AwayWon]], Table1[[GameIsOver]:[GameIsOver]],1,Table1[[HomeTeam]:[HomeTeam]],$A7, Table1[[AwayTeam]:[AwayTeam]], J$1, Table1[[ActualResult]:[ActualResult]], "OT") + SUMIFS(Table1[[HomeWon]:[HomeWon]], Table1[[GameIsOver]:[GameIsOver]],1,Table1[[AwayTeam]:[AwayTeam]],$A7, Table1[[HomeTeam]:[HomeTeam]], J$1, Table1[[ActualResult]:[ActualResult]], "SO") + SUMIFS(Table1[[AwayWon]:[AwayWon]], Table1[[GameIsOver]:[GameIsOver]],1,Table1[[HomeTeam]:[HomeTeam]],$A7, Table1[[AwayTeam]:[AwayTeam]], J$1, Table1[[ActualResult]:[ActualResult]], "SO"),0))</f>
        <v>0-0-0</v>
      </c>
      <c r="K7" s="57" t="str">
        <f>_xlfn.CONCAT(TEXT(SUMIFS(Table1[[AwayWon]:[AwayWon]], Table1[[GameIsOver]:[GameIsOver]],1,Table1[[AwayTeam]:[AwayTeam]],$A7, Table1[[HomeTeam]:[HomeTeam]], K$1) + SUMIFS(Table1[[HomeWon]:[HomeWon]], Table1[[GameIsOver]:[GameIsOver]],1,Table1[[HomeTeam]:[HomeTeam]],$A7, Table1[[AwayTeam]:[AwayTeam]], K$1),0), "-", TEXT(SUMIFS(Table1[[HomeWon]:[HomeWon]], Table1[[GameIsOver]:[GameIsOver]],1,Table1[[AwayTeam]:[AwayTeam]],$A7, Table1[[HomeTeam]:[HomeTeam]], K$1, Table1[[ActualResult]:[ActualResult]], "REG") + SUMIFS(Table1[[AwayWon]:[AwayWon]], Table1[[GameIsOver]:[GameIsOver]],1,Table1[[HomeTeam]:[HomeTeam]],$A7, Table1[[AwayTeam]:[AwayTeam]], K$1, Table1[[ActualResult]:[ActualResult]], "REG"),0), "-", TEXT(SUMIFS(Table1[[HomeWon]:[HomeWon]], Table1[[GameIsOver]:[GameIsOver]],1,Table1[[AwayTeam]:[AwayTeam]],$A7, Table1[[HomeTeam]:[HomeTeam]], K$1, Table1[[ActualResult]:[ActualResult]], "OT") + SUMIFS(Table1[[AwayWon]:[AwayWon]], Table1[[GameIsOver]:[GameIsOver]],1,Table1[[HomeTeam]:[HomeTeam]],$A7, Table1[[AwayTeam]:[AwayTeam]], K$1, Table1[[ActualResult]:[ActualResult]], "OT") + SUMIFS(Table1[[HomeWon]:[HomeWon]], Table1[[GameIsOver]:[GameIsOver]],1,Table1[[AwayTeam]:[AwayTeam]],$A7, Table1[[HomeTeam]:[HomeTeam]], K$1, Table1[[ActualResult]:[ActualResult]], "SO") + SUMIFS(Table1[[AwayWon]:[AwayWon]], Table1[[GameIsOver]:[GameIsOver]],1,Table1[[HomeTeam]:[HomeTeam]],$A7, Table1[[AwayTeam]:[AwayTeam]], K$1, Table1[[ActualResult]:[ActualResult]], "SO"),0))</f>
        <v>0-0-0</v>
      </c>
      <c r="L7" s="57" t="str">
        <f>_xlfn.CONCAT(TEXT(SUMIFS(Table1[[AwayWon]:[AwayWon]], Table1[[GameIsOver]:[GameIsOver]],1,Table1[[AwayTeam]:[AwayTeam]],$A7, Table1[[HomeTeam]:[HomeTeam]], L$1) + SUMIFS(Table1[[HomeWon]:[HomeWon]], Table1[[GameIsOver]:[GameIsOver]],1,Table1[[HomeTeam]:[HomeTeam]],$A7, Table1[[AwayTeam]:[AwayTeam]], L$1),0), "-", TEXT(SUMIFS(Table1[[HomeWon]:[HomeWon]], Table1[[GameIsOver]:[GameIsOver]],1,Table1[[AwayTeam]:[AwayTeam]],$A7, Table1[[HomeTeam]:[HomeTeam]], L$1, Table1[[ActualResult]:[ActualResult]], "REG") + SUMIFS(Table1[[AwayWon]:[AwayWon]], Table1[[GameIsOver]:[GameIsOver]],1,Table1[[HomeTeam]:[HomeTeam]],$A7, Table1[[AwayTeam]:[AwayTeam]], L$1, Table1[[ActualResult]:[ActualResult]], "REG"),0), "-", TEXT(SUMIFS(Table1[[HomeWon]:[HomeWon]], Table1[[GameIsOver]:[GameIsOver]],1,Table1[[AwayTeam]:[AwayTeam]],$A7, Table1[[HomeTeam]:[HomeTeam]], L$1, Table1[[ActualResult]:[ActualResult]], "OT") + SUMIFS(Table1[[AwayWon]:[AwayWon]], Table1[[GameIsOver]:[GameIsOver]],1,Table1[[HomeTeam]:[HomeTeam]],$A7, Table1[[AwayTeam]:[AwayTeam]], L$1, Table1[[ActualResult]:[ActualResult]], "OT") + SUMIFS(Table1[[HomeWon]:[HomeWon]], Table1[[GameIsOver]:[GameIsOver]],1,Table1[[AwayTeam]:[AwayTeam]],$A7, Table1[[HomeTeam]:[HomeTeam]], L$1, Table1[[ActualResult]:[ActualResult]], "SO") + SUMIFS(Table1[[AwayWon]:[AwayWon]], Table1[[GameIsOver]:[GameIsOver]],1,Table1[[HomeTeam]:[HomeTeam]],$A7, Table1[[AwayTeam]:[AwayTeam]], L$1, Table1[[ActualResult]:[ActualResult]], "SO"),0))</f>
        <v>0-0-0</v>
      </c>
      <c r="M7" s="57" t="str">
        <f>_xlfn.CONCAT(TEXT(SUMIFS(Table1[[AwayWon]:[AwayWon]], Table1[[GameIsOver]:[GameIsOver]],1,Table1[[AwayTeam]:[AwayTeam]],$A7, Table1[[HomeTeam]:[HomeTeam]], M$1) + SUMIFS(Table1[[HomeWon]:[HomeWon]], Table1[[GameIsOver]:[GameIsOver]],1,Table1[[HomeTeam]:[HomeTeam]],$A7, Table1[[AwayTeam]:[AwayTeam]], M$1),0), "-", TEXT(SUMIFS(Table1[[HomeWon]:[HomeWon]], Table1[[GameIsOver]:[GameIsOver]],1,Table1[[AwayTeam]:[AwayTeam]],$A7, Table1[[HomeTeam]:[HomeTeam]], M$1, Table1[[ActualResult]:[ActualResult]], "REG") + SUMIFS(Table1[[AwayWon]:[AwayWon]], Table1[[GameIsOver]:[GameIsOver]],1,Table1[[HomeTeam]:[HomeTeam]],$A7, Table1[[AwayTeam]:[AwayTeam]], M$1, Table1[[ActualResult]:[ActualResult]], "REG"),0), "-", TEXT(SUMIFS(Table1[[HomeWon]:[HomeWon]], Table1[[GameIsOver]:[GameIsOver]],1,Table1[[AwayTeam]:[AwayTeam]],$A7, Table1[[HomeTeam]:[HomeTeam]], M$1, Table1[[ActualResult]:[ActualResult]], "OT") + SUMIFS(Table1[[AwayWon]:[AwayWon]], Table1[[GameIsOver]:[GameIsOver]],1,Table1[[HomeTeam]:[HomeTeam]],$A7, Table1[[AwayTeam]:[AwayTeam]], M$1, Table1[[ActualResult]:[ActualResult]], "OT") + SUMIFS(Table1[[HomeWon]:[HomeWon]], Table1[[GameIsOver]:[GameIsOver]],1,Table1[[AwayTeam]:[AwayTeam]],$A7, Table1[[HomeTeam]:[HomeTeam]], M$1, Table1[[ActualResult]:[ActualResult]], "SO") + SUMIFS(Table1[[AwayWon]:[AwayWon]], Table1[[GameIsOver]:[GameIsOver]],1,Table1[[HomeTeam]:[HomeTeam]],$A7, Table1[[AwayTeam]:[AwayTeam]], M$1, Table1[[ActualResult]:[ActualResult]], "SO"),0))</f>
        <v>0-0-0</v>
      </c>
      <c r="N7" s="57" t="str">
        <f>_xlfn.CONCAT(TEXT(SUMIFS(Table1[[AwayWon]:[AwayWon]], Table1[[GameIsOver]:[GameIsOver]],1,Table1[[AwayTeam]:[AwayTeam]],$A7, Table1[[HomeTeam]:[HomeTeam]], N$1) + SUMIFS(Table1[[HomeWon]:[HomeWon]], Table1[[GameIsOver]:[GameIsOver]],1,Table1[[HomeTeam]:[HomeTeam]],$A7, Table1[[AwayTeam]:[AwayTeam]], N$1),0), "-", TEXT(SUMIFS(Table1[[HomeWon]:[HomeWon]], Table1[[GameIsOver]:[GameIsOver]],1,Table1[[AwayTeam]:[AwayTeam]],$A7, Table1[[HomeTeam]:[HomeTeam]], N$1, Table1[[ActualResult]:[ActualResult]], "REG") + SUMIFS(Table1[[AwayWon]:[AwayWon]], Table1[[GameIsOver]:[GameIsOver]],1,Table1[[HomeTeam]:[HomeTeam]],$A7, Table1[[AwayTeam]:[AwayTeam]], N$1, Table1[[ActualResult]:[ActualResult]], "REG"),0), "-", TEXT(SUMIFS(Table1[[HomeWon]:[HomeWon]], Table1[[GameIsOver]:[GameIsOver]],1,Table1[[AwayTeam]:[AwayTeam]],$A7, Table1[[HomeTeam]:[HomeTeam]], N$1, Table1[[ActualResult]:[ActualResult]], "OT") + SUMIFS(Table1[[AwayWon]:[AwayWon]], Table1[[GameIsOver]:[GameIsOver]],1,Table1[[HomeTeam]:[HomeTeam]],$A7, Table1[[AwayTeam]:[AwayTeam]], N$1, Table1[[ActualResult]:[ActualResult]], "OT") + SUMIFS(Table1[[HomeWon]:[HomeWon]], Table1[[GameIsOver]:[GameIsOver]],1,Table1[[AwayTeam]:[AwayTeam]],$A7, Table1[[HomeTeam]:[HomeTeam]], N$1, Table1[[ActualResult]:[ActualResult]], "SO") + SUMIFS(Table1[[AwayWon]:[AwayWon]], Table1[[GameIsOver]:[GameIsOver]],1,Table1[[HomeTeam]:[HomeTeam]],$A7, Table1[[AwayTeam]:[AwayTeam]], N$1, Table1[[ActualResult]:[ActualResult]], "SO"),0))</f>
        <v>0-0-0</v>
      </c>
      <c r="O7" s="57" t="str">
        <f>_xlfn.CONCAT(TEXT(SUMIFS(Table1[[AwayWon]:[AwayWon]], Table1[[GameIsOver]:[GameIsOver]],1,Table1[[AwayTeam]:[AwayTeam]],$A7, Table1[[HomeTeam]:[HomeTeam]], O$1) + SUMIFS(Table1[[HomeWon]:[HomeWon]], Table1[[GameIsOver]:[GameIsOver]],1,Table1[[HomeTeam]:[HomeTeam]],$A7, Table1[[AwayTeam]:[AwayTeam]], O$1),0), "-", TEXT(SUMIFS(Table1[[HomeWon]:[HomeWon]], Table1[[GameIsOver]:[GameIsOver]],1,Table1[[AwayTeam]:[AwayTeam]],$A7, Table1[[HomeTeam]:[HomeTeam]], O$1, Table1[[ActualResult]:[ActualResult]], "REG") + SUMIFS(Table1[[AwayWon]:[AwayWon]], Table1[[GameIsOver]:[GameIsOver]],1,Table1[[HomeTeam]:[HomeTeam]],$A7, Table1[[AwayTeam]:[AwayTeam]], O$1, Table1[[ActualResult]:[ActualResult]], "REG"),0), "-", TEXT(SUMIFS(Table1[[HomeWon]:[HomeWon]], Table1[[GameIsOver]:[GameIsOver]],1,Table1[[AwayTeam]:[AwayTeam]],$A7, Table1[[HomeTeam]:[HomeTeam]], O$1, Table1[[ActualResult]:[ActualResult]], "OT") + SUMIFS(Table1[[AwayWon]:[AwayWon]], Table1[[GameIsOver]:[GameIsOver]],1,Table1[[HomeTeam]:[HomeTeam]],$A7, Table1[[AwayTeam]:[AwayTeam]], O$1, Table1[[ActualResult]:[ActualResult]], "OT") + SUMIFS(Table1[[HomeWon]:[HomeWon]], Table1[[GameIsOver]:[GameIsOver]],1,Table1[[AwayTeam]:[AwayTeam]],$A7, Table1[[HomeTeam]:[HomeTeam]], O$1, Table1[[ActualResult]:[ActualResult]], "SO") + SUMIFS(Table1[[AwayWon]:[AwayWon]], Table1[[GameIsOver]:[GameIsOver]],1,Table1[[HomeTeam]:[HomeTeam]],$A7, Table1[[AwayTeam]:[AwayTeam]], O$1, Table1[[ActualResult]:[ActualResult]], "SO"),0))</f>
        <v>0-0-0</v>
      </c>
      <c r="P7" s="57" t="str">
        <f>_xlfn.CONCAT(TEXT(SUMIFS(Table1[[AwayWon]:[AwayWon]], Table1[[GameIsOver]:[GameIsOver]],1,Table1[[AwayTeam]:[AwayTeam]],$A7, Table1[[HomeTeam]:[HomeTeam]], P$1) + SUMIFS(Table1[[HomeWon]:[HomeWon]], Table1[[GameIsOver]:[GameIsOver]],1,Table1[[HomeTeam]:[HomeTeam]],$A7, Table1[[AwayTeam]:[AwayTeam]], P$1),0), "-", TEXT(SUMIFS(Table1[[HomeWon]:[HomeWon]], Table1[[GameIsOver]:[GameIsOver]],1,Table1[[AwayTeam]:[AwayTeam]],$A7, Table1[[HomeTeam]:[HomeTeam]], P$1, Table1[[ActualResult]:[ActualResult]], "REG") + SUMIFS(Table1[[AwayWon]:[AwayWon]], Table1[[GameIsOver]:[GameIsOver]],1,Table1[[HomeTeam]:[HomeTeam]],$A7, Table1[[AwayTeam]:[AwayTeam]], P$1, Table1[[ActualResult]:[ActualResult]], "REG"),0), "-", TEXT(SUMIFS(Table1[[HomeWon]:[HomeWon]], Table1[[GameIsOver]:[GameIsOver]],1,Table1[[AwayTeam]:[AwayTeam]],$A7, Table1[[HomeTeam]:[HomeTeam]], P$1, Table1[[ActualResult]:[ActualResult]], "OT") + SUMIFS(Table1[[AwayWon]:[AwayWon]], Table1[[GameIsOver]:[GameIsOver]],1,Table1[[HomeTeam]:[HomeTeam]],$A7, Table1[[AwayTeam]:[AwayTeam]], P$1, Table1[[ActualResult]:[ActualResult]], "OT") + SUMIFS(Table1[[HomeWon]:[HomeWon]], Table1[[GameIsOver]:[GameIsOver]],1,Table1[[AwayTeam]:[AwayTeam]],$A7, Table1[[HomeTeam]:[HomeTeam]], P$1, Table1[[ActualResult]:[ActualResult]], "SO") + SUMIFS(Table1[[AwayWon]:[AwayWon]], Table1[[GameIsOver]:[GameIsOver]],1,Table1[[HomeTeam]:[HomeTeam]],$A7, Table1[[AwayTeam]:[AwayTeam]], P$1, Table1[[ActualResult]:[ActualResult]], "SO"),0))</f>
        <v>0-0-0</v>
      </c>
      <c r="Q7" s="59" t="str">
        <f>_xlfn.CONCAT(TEXT(SUMIFS(Table1[[AwayWon]:[AwayWon]], Table1[[GameIsOver]:[GameIsOver]],1,Table1[[AwayTeam]:[AwayTeam]],$A7, Table1[[HomeTeam]:[HomeTeam]], Q$1) + SUMIFS(Table1[[HomeWon]:[HomeWon]], Table1[[GameIsOver]:[GameIsOver]],1,Table1[[HomeTeam]:[HomeTeam]],$A7, Table1[[AwayTeam]:[AwayTeam]], Q$1),0), "-", TEXT(SUMIFS(Table1[[HomeWon]:[HomeWon]], Table1[[GameIsOver]:[GameIsOver]],1,Table1[[AwayTeam]:[AwayTeam]],$A7, Table1[[HomeTeam]:[HomeTeam]], Q$1, Table1[[ActualResult]:[ActualResult]], "REG") + SUMIFS(Table1[[AwayWon]:[AwayWon]], Table1[[GameIsOver]:[GameIsOver]],1,Table1[[HomeTeam]:[HomeTeam]],$A7, Table1[[AwayTeam]:[AwayTeam]], Q$1, Table1[[ActualResult]:[ActualResult]], "REG"),0), "-", TEXT(SUMIFS(Table1[[HomeWon]:[HomeWon]], Table1[[GameIsOver]:[GameIsOver]],1,Table1[[AwayTeam]:[AwayTeam]],$A7, Table1[[HomeTeam]:[HomeTeam]], Q$1, Table1[[ActualResult]:[ActualResult]], "OT") + SUMIFS(Table1[[AwayWon]:[AwayWon]], Table1[[GameIsOver]:[GameIsOver]],1,Table1[[HomeTeam]:[HomeTeam]],$A7, Table1[[AwayTeam]:[AwayTeam]], Q$1, Table1[[ActualResult]:[ActualResult]], "OT") + SUMIFS(Table1[[HomeWon]:[HomeWon]], Table1[[GameIsOver]:[GameIsOver]],1,Table1[[AwayTeam]:[AwayTeam]],$A7, Table1[[HomeTeam]:[HomeTeam]], Q$1, Table1[[ActualResult]:[ActualResult]], "SO") + SUMIFS(Table1[[AwayWon]:[AwayWon]], Table1[[GameIsOver]:[GameIsOver]],1,Table1[[HomeTeam]:[HomeTeam]],$A7, Table1[[AwayTeam]:[AwayTeam]], Q$1, Table1[[ActualResult]:[ActualResult]], "SO"),0))</f>
        <v>0-0-0</v>
      </c>
      <c r="R7" s="57" t="str">
        <f>_xlfn.CONCAT(TEXT(SUMIFS(Table1[[AwayWon]:[AwayWon]], Table1[[GameIsOver]:[GameIsOver]],1,Table1[[AwayTeam]:[AwayTeam]],$A7, Table1[[HomeTeam]:[HomeTeam]], R$1) + SUMIFS(Table1[[HomeWon]:[HomeWon]], Table1[[GameIsOver]:[GameIsOver]],1,Table1[[HomeTeam]:[HomeTeam]],$A7, Table1[[AwayTeam]:[AwayTeam]], R$1),0), "-", TEXT(SUMIFS(Table1[[HomeWon]:[HomeWon]], Table1[[GameIsOver]:[GameIsOver]],1,Table1[[AwayTeam]:[AwayTeam]],$A7, Table1[[HomeTeam]:[HomeTeam]], R$1, Table1[[ActualResult]:[ActualResult]], "REG") + SUMIFS(Table1[[AwayWon]:[AwayWon]], Table1[[GameIsOver]:[GameIsOver]],1,Table1[[HomeTeam]:[HomeTeam]],$A7, Table1[[AwayTeam]:[AwayTeam]], R$1, Table1[[ActualResult]:[ActualResult]], "REG"),0), "-", TEXT(SUMIFS(Table1[[HomeWon]:[HomeWon]], Table1[[GameIsOver]:[GameIsOver]],1,Table1[[AwayTeam]:[AwayTeam]],$A7, Table1[[HomeTeam]:[HomeTeam]], R$1, Table1[[ActualResult]:[ActualResult]], "OT") + SUMIFS(Table1[[AwayWon]:[AwayWon]], Table1[[GameIsOver]:[GameIsOver]],1,Table1[[HomeTeam]:[HomeTeam]],$A7, Table1[[AwayTeam]:[AwayTeam]], R$1, Table1[[ActualResult]:[ActualResult]], "OT") + SUMIFS(Table1[[HomeWon]:[HomeWon]], Table1[[GameIsOver]:[GameIsOver]],1,Table1[[AwayTeam]:[AwayTeam]],$A7, Table1[[HomeTeam]:[HomeTeam]], R$1, Table1[[ActualResult]:[ActualResult]], "SO") + SUMIFS(Table1[[AwayWon]:[AwayWon]], Table1[[GameIsOver]:[GameIsOver]],1,Table1[[HomeTeam]:[HomeTeam]],$A7, Table1[[AwayTeam]:[AwayTeam]], R$1, Table1[[ActualResult]:[ActualResult]], "SO"),0))</f>
        <v>0-0-0</v>
      </c>
      <c r="S7" s="57" t="str">
        <f>_xlfn.CONCAT(TEXT(SUMIFS(Table1[[AwayWon]:[AwayWon]], Table1[[GameIsOver]:[GameIsOver]],1,Table1[[AwayTeam]:[AwayTeam]],$A7, Table1[[HomeTeam]:[HomeTeam]], S$1) + SUMIFS(Table1[[HomeWon]:[HomeWon]], Table1[[GameIsOver]:[GameIsOver]],1,Table1[[HomeTeam]:[HomeTeam]],$A7, Table1[[AwayTeam]:[AwayTeam]], S$1),0), "-", TEXT(SUMIFS(Table1[[HomeWon]:[HomeWon]], Table1[[GameIsOver]:[GameIsOver]],1,Table1[[AwayTeam]:[AwayTeam]],$A7, Table1[[HomeTeam]:[HomeTeam]], S$1, Table1[[ActualResult]:[ActualResult]], "REG") + SUMIFS(Table1[[AwayWon]:[AwayWon]], Table1[[GameIsOver]:[GameIsOver]],1,Table1[[HomeTeam]:[HomeTeam]],$A7, Table1[[AwayTeam]:[AwayTeam]], S$1, Table1[[ActualResult]:[ActualResult]], "REG"),0), "-", TEXT(SUMIFS(Table1[[HomeWon]:[HomeWon]], Table1[[GameIsOver]:[GameIsOver]],1,Table1[[AwayTeam]:[AwayTeam]],$A7, Table1[[HomeTeam]:[HomeTeam]], S$1, Table1[[ActualResult]:[ActualResult]], "OT") + SUMIFS(Table1[[AwayWon]:[AwayWon]], Table1[[GameIsOver]:[GameIsOver]],1,Table1[[HomeTeam]:[HomeTeam]],$A7, Table1[[AwayTeam]:[AwayTeam]], S$1, Table1[[ActualResult]:[ActualResult]], "OT") + SUMIFS(Table1[[HomeWon]:[HomeWon]], Table1[[GameIsOver]:[GameIsOver]],1,Table1[[AwayTeam]:[AwayTeam]],$A7, Table1[[HomeTeam]:[HomeTeam]], S$1, Table1[[ActualResult]:[ActualResult]], "SO") + SUMIFS(Table1[[AwayWon]:[AwayWon]], Table1[[GameIsOver]:[GameIsOver]],1,Table1[[HomeTeam]:[HomeTeam]],$A7, Table1[[AwayTeam]:[AwayTeam]], S$1, Table1[[ActualResult]:[ActualResult]], "SO"),0))</f>
        <v>0-0-0</v>
      </c>
      <c r="T7" s="57" t="str">
        <f>_xlfn.CONCAT(TEXT(SUMIFS(Table1[[AwayWon]:[AwayWon]], Table1[[GameIsOver]:[GameIsOver]],1,Table1[[AwayTeam]:[AwayTeam]],$A7, Table1[[HomeTeam]:[HomeTeam]], T$1) + SUMIFS(Table1[[HomeWon]:[HomeWon]], Table1[[GameIsOver]:[GameIsOver]],1,Table1[[HomeTeam]:[HomeTeam]],$A7, Table1[[AwayTeam]:[AwayTeam]], T$1),0), "-", TEXT(SUMIFS(Table1[[HomeWon]:[HomeWon]], Table1[[GameIsOver]:[GameIsOver]],1,Table1[[AwayTeam]:[AwayTeam]],$A7, Table1[[HomeTeam]:[HomeTeam]], T$1, Table1[[ActualResult]:[ActualResult]], "REG") + SUMIFS(Table1[[AwayWon]:[AwayWon]], Table1[[GameIsOver]:[GameIsOver]],1,Table1[[HomeTeam]:[HomeTeam]],$A7, Table1[[AwayTeam]:[AwayTeam]], T$1, Table1[[ActualResult]:[ActualResult]], "REG"),0), "-", TEXT(SUMIFS(Table1[[HomeWon]:[HomeWon]], Table1[[GameIsOver]:[GameIsOver]],1,Table1[[AwayTeam]:[AwayTeam]],$A7, Table1[[HomeTeam]:[HomeTeam]], T$1, Table1[[ActualResult]:[ActualResult]], "OT") + SUMIFS(Table1[[AwayWon]:[AwayWon]], Table1[[GameIsOver]:[GameIsOver]],1,Table1[[HomeTeam]:[HomeTeam]],$A7, Table1[[AwayTeam]:[AwayTeam]], T$1, Table1[[ActualResult]:[ActualResult]], "OT") + SUMIFS(Table1[[HomeWon]:[HomeWon]], Table1[[GameIsOver]:[GameIsOver]],1,Table1[[AwayTeam]:[AwayTeam]],$A7, Table1[[HomeTeam]:[HomeTeam]], T$1, Table1[[ActualResult]:[ActualResult]], "SO") + SUMIFS(Table1[[AwayWon]:[AwayWon]], Table1[[GameIsOver]:[GameIsOver]],1,Table1[[HomeTeam]:[HomeTeam]],$A7, Table1[[AwayTeam]:[AwayTeam]], T$1, Table1[[ActualResult]:[ActualResult]], "SO"),0))</f>
        <v>0-0-1</v>
      </c>
      <c r="U7" s="57" t="str">
        <f>_xlfn.CONCAT(TEXT(SUMIFS(Table1[[AwayWon]:[AwayWon]], Table1[[GameIsOver]:[GameIsOver]],1,Table1[[AwayTeam]:[AwayTeam]],$A7, Table1[[HomeTeam]:[HomeTeam]], U$1) + SUMIFS(Table1[[HomeWon]:[HomeWon]], Table1[[GameIsOver]:[GameIsOver]],1,Table1[[HomeTeam]:[HomeTeam]],$A7, Table1[[AwayTeam]:[AwayTeam]], U$1),0), "-", TEXT(SUMIFS(Table1[[HomeWon]:[HomeWon]], Table1[[GameIsOver]:[GameIsOver]],1,Table1[[AwayTeam]:[AwayTeam]],$A7, Table1[[HomeTeam]:[HomeTeam]], U$1, Table1[[ActualResult]:[ActualResult]], "REG") + SUMIFS(Table1[[AwayWon]:[AwayWon]], Table1[[GameIsOver]:[GameIsOver]],1,Table1[[HomeTeam]:[HomeTeam]],$A7, Table1[[AwayTeam]:[AwayTeam]], U$1, Table1[[ActualResult]:[ActualResult]], "REG"),0), "-", TEXT(SUMIFS(Table1[[HomeWon]:[HomeWon]], Table1[[GameIsOver]:[GameIsOver]],1,Table1[[AwayTeam]:[AwayTeam]],$A7, Table1[[HomeTeam]:[HomeTeam]], U$1, Table1[[ActualResult]:[ActualResult]], "OT") + SUMIFS(Table1[[AwayWon]:[AwayWon]], Table1[[GameIsOver]:[GameIsOver]],1,Table1[[HomeTeam]:[HomeTeam]],$A7, Table1[[AwayTeam]:[AwayTeam]], U$1, Table1[[ActualResult]:[ActualResult]], "OT") + SUMIFS(Table1[[HomeWon]:[HomeWon]], Table1[[GameIsOver]:[GameIsOver]],1,Table1[[AwayTeam]:[AwayTeam]],$A7, Table1[[HomeTeam]:[HomeTeam]], U$1, Table1[[ActualResult]:[ActualResult]], "SO") + SUMIFS(Table1[[AwayWon]:[AwayWon]], Table1[[GameIsOver]:[GameIsOver]],1,Table1[[HomeTeam]:[HomeTeam]],$A7, Table1[[AwayTeam]:[AwayTeam]], U$1, Table1[[ActualResult]:[ActualResult]], "SO"),0))</f>
        <v>0-0-0</v>
      </c>
      <c r="V7" s="57" t="str">
        <f>_xlfn.CONCAT(TEXT(SUMIFS(Table1[[AwayWon]:[AwayWon]], Table1[[GameIsOver]:[GameIsOver]],1,Table1[[AwayTeam]:[AwayTeam]],$A7, Table1[[HomeTeam]:[HomeTeam]], V$1) + SUMIFS(Table1[[HomeWon]:[HomeWon]], Table1[[GameIsOver]:[GameIsOver]],1,Table1[[HomeTeam]:[HomeTeam]],$A7, Table1[[AwayTeam]:[AwayTeam]], V$1),0), "-", TEXT(SUMIFS(Table1[[HomeWon]:[HomeWon]], Table1[[GameIsOver]:[GameIsOver]],1,Table1[[AwayTeam]:[AwayTeam]],$A7, Table1[[HomeTeam]:[HomeTeam]], V$1, Table1[[ActualResult]:[ActualResult]], "REG") + SUMIFS(Table1[[AwayWon]:[AwayWon]], Table1[[GameIsOver]:[GameIsOver]],1,Table1[[HomeTeam]:[HomeTeam]],$A7, Table1[[AwayTeam]:[AwayTeam]], V$1, Table1[[ActualResult]:[ActualResult]], "REG"),0), "-", TEXT(SUMIFS(Table1[[HomeWon]:[HomeWon]], Table1[[GameIsOver]:[GameIsOver]],1,Table1[[AwayTeam]:[AwayTeam]],$A7, Table1[[HomeTeam]:[HomeTeam]], V$1, Table1[[ActualResult]:[ActualResult]], "OT") + SUMIFS(Table1[[AwayWon]:[AwayWon]], Table1[[GameIsOver]:[GameIsOver]],1,Table1[[HomeTeam]:[HomeTeam]],$A7, Table1[[AwayTeam]:[AwayTeam]], V$1, Table1[[ActualResult]:[ActualResult]], "OT") + SUMIFS(Table1[[HomeWon]:[HomeWon]], Table1[[GameIsOver]:[GameIsOver]],1,Table1[[AwayTeam]:[AwayTeam]],$A7, Table1[[HomeTeam]:[HomeTeam]], V$1, Table1[[ActualResult]:[ActualResult]], "SO") + SUMIFS(Table1[[AwayWon]:[AwayWon]], Table1[[GameIsOver]:[GameIsOver]],1,Table1[[HomeTeam]:[HomeTeam]],$A7, Table1[[AwayTeam]:[AwayTeam]], V$1, Table1[[ActualResult]:[ActualResult]], "SO"),0))</f>
        <v>0-0-0</v>
      </c>
      <c r="W7" s="57" t="str">
        <f>_xlfn.CONCAT(TEXT(SUMIFS(Table1[[AwayWon]:[AwayWon]], Table1[[GameIsOver]:[GameIsOver]],1,Table1[[AwayTeam]:[AwayTeam]],$A7, Table1[[HomeTeam]:[HomeTeam]], W$1) + SUMIFS(Table1[[HomeWon]:[HomeWon]], Table1[[GameIsOver]:[GameIsOver]],1,Table1[[HomeTeam]:[HomeTeam]],$A7, Table1[[AwayTeam]:[AwayTeam]], W$1),0), "-", TEXT(SUMIFS(Table1[[HomeWon]:[HomeWon]], Table1[[GameIsOver]:[GameIsOver]],1,Table1[[AwayTeam]:[AwayTeam]],$A7, Table1[[HomeTeam]:[HomeTeam]], W$1, Table1[[ActualResult]:[ActualResult]], "REG") + SUMIFS(Table1[[AwayWon]:[AwayWon]], Table1[[GameIsOver]:[GameIsOver]],1,Table1[[HomeTeam]:[HomeTeam]],$A7, Table1[[AwayTeam]:[AwayTeam]], W$1, Table1[[ActualResult]:[ActualResult]], "REG"),0), "-", TEXT(SUMIFS(Table1[[HomeWon]:[HomeWon]], Table1[[GameIsOver]:[GameIsOver]],1,Table1[[AwayTeam]:[AwayTeam]],$A7, Table1[[HomeTeam]:[HomeTeam]], W$1, Table1[[ActualResult]:[ActualResult]], "OT") + SUMIFS(Table1[[AwayWon]:[AwayWon]], Table1[[GameIsOver]:[GameIsOver]],1,Table1[[HomeTeam]:[HomeTeam]],$A7, Table1[[AwayTeam]:[AwayTeam]], W$1, Table1[[ActualResult]:[ActualResult]], "OT") + SUMIFS(Table1[[HomeWon]:[HomeWon]], Table1[[GameIsOver]:[GameIsOver]],1,Table1[[AwayTeam]:[AwayTeam]],$A7, Table1[[HomeTeam]:[HomeTeam]], W$1, Table1[[ActualResult]:[ActualResult]], "SO") + SUMIFS(Table1[[AwayWon]:[AwayWon]], Table1[[GameIsOver]:[GameIsOver]],1,Table1[[HomeTeam]:[HomeTeam]],$A7, Table1[[AwayTeam]:[AwayTeam]], W$1, Table1[[ActualResult]:[ActualResult]], "SO"),0))</f>
        <v>0-0-0</v>
      </c>
      <c r="X7" s="57" t="str">
        <f>_xlfn.CONCAT(TEXT(SUMIFS(Table1[[AwayWon]:[AwayWon]], Table1[[GameIsOver]:[GameIsOver]],1,Table1[[AwayTeam]:[AwayTeam]],$A7, Table1[[HomeTeam]:[HomeTeam]], X$1) + SUMIFS(Table1[[HomeWon]:[HomeWon]], Table1[[GameIsOver]:[GameIsOver]],1,Table1[[HomeTeam]:[HomeTeam]],$A7, Table1[[AwayTeam]:[AwayTeam]], X$1),0), "-", TEXT(SUMIFS(Table1[[HomeWon]:[HomeWon]], Table1[[GameIsOver]:[GameIsOver]],1,Table1[[AwayTeam]:[AwayTeam]],$A7, Table1[[HomeTeam]:[HomeTeam]], X$1, Table1[[ActualResult]:[ActualResult]], "REG") + SUMIFS(Table1[[AwayWon]:[AwayWon]], Table1[[GameIsOver]:[GameIsOver]],1,Table1[[HomeTeam]:[HomeTeam]],$A7, Table1[[AwayTeam]:[AwayTeam]], X$1, Table1[[ActualResult]:[ActualResult]], "REG"),0), "-", TEXT(SUMIFS(Table1[[HomeWon]:[HomeWon]], Table1[[GameIsOver]:[GameIsOver]],1,Table1[[AwayTeam]:[AwayTeam]],$A7, Table1[[HomeTeam]:[HomeTeam]], X$1, Table1[[ActualResult]:[ActualResult]], "OT") + SUMIFS(Table1[[AwayWon]:[AwayWon]], Table1[[GameIsOver]:[GameIsOver]],1,Table1[[HomeTeam]:[HomeTeam]],$A7, Table1[[AwayTeam]:[AwayTeam]], X$1, Table1[[ActualResult]:[ActualResult]], "OT") + SUMIFS(Table1[[HomeWon]:[HomeWon]], Table1[[GameIsOver]:[GameIsOver]],1,Table1[[AwayTeam]:[AwayTeam]],$A7, Table1[[HomeTeam]:[HomeTeam]], X$1, Table1[[ActualResult]:[ActualResult]], "SO") + SUMIFS(Table1[[AwayWon]:[AwayWon]], Table1[[GameIsOver]:[GameIsOver]],1,Table1[[HomeTeam]:[HomeTeam]],$A7, Table1[[AwayTeam]:[AwayTeam]], X$1, Table1[[ActualResult]:[ActualResult]], "SO"),0))</f>
        <v>0-0-0</v>
      </c>
      <c r="Y7" s="59" t="str">
        <f>_xlfn.CONCAT(TEXT(SUMIFS(Table1[[AwayWon]:[AwayWon]], Table1[[GameIsOver]:[GameIsOver]],1,Table1[[AwayTeam]:[AwayTeam]],$A7, Table1[[HomeTeam]:[HomeTeam]], Y$1) + SUMIFS(Table1[[HomeWon]:[HomeWon]], Table1[[GameIsOver]:[GameIsOver]],1,Table1[[HomeTeam]:[HomeTeam]],$A7, Table1[[AwayTeam]:[AwayTeam]], Y$1),0), "-", TEXT(SUMIFS(Table1[[HomeWon]:[HomeWon]], Table1[[GameIsOver]:[GameIsOver]],1,Table1[[AwayTeam]:[AwayTeam]],$A7, Table1[[HomeTeam]:[HomeTeam]], Y$1, Table1[[ActualResult]:[ActualResult]], "REG") + SUMIFS(Table1[[AwayWon]:[AwayWon]], Table1[[GameIsOver]:[GameIsOver]],1,Table1[[HomeTeam]:[HomeTeam]],$A7, Table1[[AwayTeam]:[AwayTeam]], Y$1, Table1[[ActualResult]:[ActualResult]], "REG"),0), "-", TEXT(SUMIFS(Table1[[HomeWon]:[HomeWon]], Table1[[GameIsOver]:[GameIsOver]],1,Table1[[AwayTeam]:[AwayTeam]],$A7, Table1[[HomeTeam]:[HomeTeam]], Y$1, Table1[[ActualResult]:[ActualResult]], "OT") + SUMIFS(Table1[[AwayWon]:[AwayWon]], Table1[[GameIsOver]:[GameIsOver]],1,Table1[[HomeTeam]:[HomeTeam]],$A7, Table1[[AwayTeam]:[AwayTeam]], Y$1, Table1[[ActualResult]:[ActualResult]], "OT") + SUMIFS(Table1[[HomeWon]:[HomeWon]], Table1[[GameIsOver]:[GameIsOver]],1,Table1[[AwayTeam]:[AwayTeam]],$A7, Table1[[HomeTeam]:[HomeTeam]], Y$1, Table1[[ActualResult]:[ActualResult]], "SO") + SUMIFS(Table1[[AwayWon]:[AwayWon]], Table1[[GameIsOver]:[GameIsOver]],1,Table1[[HomeTeam]:[HomeTeam]],$A7, Table1[[AwayTeam]:[AwayTeam]], Y$1, Table1[[ActualResult]:[ActualResult]], "SO"),0))</f>
        <v>0-0-0</v>
      </c>
      <c r="Z7" s="57" t="str">
        <f>_xlfn.CONCAT(TEXT(SUMIFS(Table1[[AwayWon]:[AwayWon]], Table1[[GameIsOver]:[GameIsOver]],1,Table1[[AwayTeam]:[AwayTeam]],$A7, Table1[[HomeTeam]:[HomeTeam]], Z$1) + SUMIFS(Table1[[HomeWon]:[HomeWon]], Table1[[GameIsOver]:[GameIsOver]],1,Table1[[HomeTeam]:[HomeTeam]],$A7, Table1[[AwayTeam]:[AwayTeam]], Z$1),0), "-", TEXT(SUMIFS(Table1[[HomeWon]:[HomeWon]], Table1[[GameIsOver]:[GameIsOver]],1,Table1[[AwayTeam]:[AwayTeam]],$A7, Table1[[HomeTeam]:[HomeTeam]], Z$1, Table1[[ActualResult]:[ActualResult]], "REG") + SUMIFS(Table1[[AwayWon]:[AwayWon]], Table1[[GameIsOver]:[GameIsOver]],1,Table1[[HomeTeam]:[HomeTeam]],$A7, Table1[[AwayTeam]:[AwayTeam]], Z$1, Table1[[ActualResult]:[ActualResult]], "REG"),0), "-", TEXT(SUMIFS(Table1[[HomeWon]:[HomeWon]], Table1[[GameIsOver]:[GameIsOver]],1,Table1[[AwayTeam]:[AwayTeam]],$A7, Table1[[HomeTeam]:[HomeTeam]], Z$1, Table1[[ActualResult]:[ActualResult]], "OT") + SUMIFS(Table1[[AwayWon]:[AwayWon]], Table1[[GameIsOver]:[GameIsOver]],1,Table1[[HomeTeam]:[HomeTeam]],$A7, Table1[[AwayTeam]:[AwayTeam]], Z$1, Table1[[ActualResult]:[ActualResult]], "OT") + SUMIFS(Table1[[HomeWon]:[HomeWon]], Table1[[GameIsOver]:[GameIsOver]],1,Table1[[AwayTeam]:[AwayTeam]],$A7, Table1[[HomeTeam]:[HomeTeam]], Z$1, Table1[[ActualResult]:[ActualResult]], "SO") + SUMIFS(Table1[[AwayWon]:[AwayWon]], Table1[[GameIsOver]:[GameIsOver]],1,Table1[[HomeTeam]:[HomeTeam]],$A7, Table1[[AwayTeam]:[AwayTeam]], Z$1, Table1[[ActualResult]:[ActualResult]], "SO"),0))</f>
        <v>0-0-0</v>
      </c>
      <c r="AA7" s="57" t="str">
        <f>_xlfn.CONCAT(TEXT(SUMIFS(Table1[[AwayWon]:[AwayWon]], Table1[[GameIsOver]:[GameIsOver]],1,Table1[[AwayTeam]:[AwayTeam]],$A7, Table1[[HomeTeam]:[HomeTeam]], AA$1) + SUMIFS(Table1[[HomeWon]:[HomeWon]], Table1[[GameIsOver]:[GameIsOver]],1,Table1[[HomeTeam]:[HomeTeam]],$A7, Table1[[AwayTeam]:[AwayTeam]], AA$1),0), "-", TEXT(SUMIFS(Table1[[HomeWon]:[HomeWon]], Table1[[GameIsOver]:[GameIsOver]],1,Table1[[AwayTeam]:[AwayTeam]],$A7, Table1[[HomeTeam]:[HomeTeam]], AA$1, Table1[[ActualResult]:[ActualResult]], "REG") + SUMIFS(Table1[[AwayWon]:[AwayWon]], Table1[[GameIsOver]:[GameIsOver]],1,Table1[[HomeTeam]:[HomeTeam]],$A7, Table1[[AwayTeam]:[AwayTeam]], AA$1, Table1[[ActualResult]:[ActualResult]], "REG"),0), "-", TEXT(SUMIFS(Table1[[HomeWon]:[HomeWon]], Table1[[GameIsOver]:[GameIsOver]],1,Table1[[AwayTeam]:[AwayTeam]],$A7, Table1[[HomeTeam]:[HomeTeam]], AA$1, Table1[[ActualResult]:[ActualResult]], "OT") + SUMIFS(Table1[[AwayWon]:[AwayWon]], Table1[[GameIsOver]:[GameIsOver]],1,Table1[[HomeTeam]:[HomeTeam]],$A7, Table1[[AwayTeam]:[AwayTeam]], AA$1, Table1[[ActualResult]:[ActualResult]], "OT") + SUMIFS(Table1[[HomeWon]:[HomeWon]], Table1[[GameIsOver]:[GameIsOver]],1,Table1[[AwayTeam]:[AwayTeam]],$A7, Table1[[HomeTeam]:[HomeTeam]], AA$1, Table1[[ActualResult]:[ActualResult]], "SO") + SUMIFS(Table1[[AwayWon]:[AwayWon]], Table1[[GameIsOver]:[GameIsOver]],1,Table1[[HomeTeam]:[HomeTeam]],$A7, Table1[[AwayTeam]:[AwayTeam]], AA$1, Table1[[ActualResult]:[ActualResult]], "SO"),0))</f>
        <v>0-0-0</v>
      </c>
      <c r="AB7" s="57" t="str">
        <f>_xlfn.CONCAT(TEXT(SUMIFS(Table1[[AwayWon]:[AwayWon]], Table1[[GameIsOver]:[GameIsOver]],1,Table1[[AwayTeam]:[AwayTeam]],$A7, Table1[[HomeTeam]:[HomeTeam]], AB$1) + SUMIFS(Table1[[HomeWon]:[HomeWon]], Table1[[GameIsOver]:[GameIsOver]],1,Table1[[HomeTeam]:[HomeTeam]],$A7, Table1[[AwayTeam]:[AwayTeam]], AB$1),0), "-", TEXT(SUMIFS(Table1[[HomeWon]:[HomeWon]], Table1[[GameIsOver]:[GameIsOver]],1,Table1[[AwayTeam]:[AwayTeam]],$A7, Table1[[HomeTeam]:[HomeTeam]], AB$1, Table1[[ActualResult]:[ActualResult]], "REG") + SUMIFS(Table1[[AwayWon]:[AwayWon]], Table1[[GameIsOver]:[GameIsOver]],1,Table1[[HomeTeam]:[HomeTeam]],$A7, Table1[[AwayTeam]:[AwayTeam]], AB$1, Table1[[ActualResult]:[ActualResult]], "REG"),0), "-", TEXT(SUMIFS(Table1[[HomeWon]:[HomeWon]], Table1[[GameIsOver]:[GameIsOver]],1,Table1[[AwayTeam]:[AwayTeam]],$A7, Table1[[HomeTeam]:[HomeTeam]], AB$1, Table1[[ActualResult]:[ActualResult]], "OT") + SUMIFS(Table1[[AwayWon]:[AwayWon]], Table1[[GameIsOver]:[GameIsOver]],1,Table1[[HomeTeam]:[HomeTeam]],$A7, Table1[[AwayTeam]:[AwayTeam]], AB$1, Table1[[ActualResult]:[ActualResult]], "OT") + SUMIFS(Table1[[HomeWon]:[HomeWon]], Table1[[GameIsOver]:[GameIsOver]],1,Table1[[AwayTeam]:[AwayTeam]],$A7, Table1[[HomeTeam]:[HomeTeam]], AB$1, Table1[[ActualResult]:[ActualResult]], "SO") + SUMIFS(Table1[[AwayWon]:[AwayWon]], Table1[[GameIsOver]:[GameIsOver]],1,Table1[[HomeTeam]:[HomeTeam]],$A7, Table1[[AwayTeam]:[AwayTeam]], AB$1, Table1[[ActualResult]:[ActualResult]], "SO"),0))</f>
        <v>0-0-0</v>
      </c>
      <c r="AC7" s="57" t="str">
        <f>_xlfn.CONCAT(TEXT(SUMIFS(Table1[[AwayWon]:[AwayWon]], Table1[[GameIsOver]:[GameIsOver]],1,Table1[[AwayTeam]:[AwayTeam]],$A7, Table1[[HomeTeam]:[HomeTeam]], AC$1) + SUMIFS(Table1[[HomeWon]:[HomeWon]], Table1[[GameIsOver]:[GameIsOver]],1,Table1[[HomeTeam]:[HomeTeam]],$A7, Table1[[AwayTeam]:[AwayTeam]], AC$1),0), "-", TEXT(SUMIFS(Table1[[HomeWon]:[HomeWon]], Table1[[GameIsOver]:[GameIsOver]],1,Table1[[AwayTeam]:[AwayTeam]],$A7, Table1[[HomeTeam]:[HomeTeam]], AC$1, Table1[[ActualResult]:[ActualResult]], "REG") + SUMIFS(Table1[[AwayWon]:[AwayWon]], Table1[[GameIsOver]:[GameIsOver]],1,Table1[[HomeTeam]:[HomeTeam]],$A7, Table1[[AwayTeam]:[AwayTeam]], AC$1, Table1[[ActualResult]:[ActualResult]], "REG"),0), "-", TEXT(SUMIFS(Table1[[HomeWon]:[HomeWon]], Table1[[GameIsOver]:[GameIsOver]],1,Table1[[AwayTeam]:[AwayTeam]],$A7, Table1[[HomeTeam]:[HomeTeam]], AC$1, Table1[[ActualResult]:[ActualResult]], "OT") + SUMIFS(Table1[[AwayWon]:[AwayWon]], Table1[[GameIsOver]:[GameIsOver]],1,Table1[[HomeTeam]:[HomeTeam]],$A7, Table1[[AwayTeam]:[AwayTeam]], AC$1, Table1[[ActualResult]:[ActualResult]], "OT") + SUMIFS(Table1[[HomeWon]:[HomeWon]], Table1[[GameIsOver]:[GameIsOver]],1,Table1[[AwayTeam]:[AwayTeam]],$A7, Table1[[HomeTeam]:[HomeTeam]], AC$1, Table1[[ActualResult]:[ActualResult]], "SO") + SUMIFS(Table1[[AwayWon]:[AwayWon]], Table1[[GameIsOver]:[GameIsOver]],1,Table1[[HomeTeam]:[HomeTeam]],$A7, Table1[[AwayTeam]:[AwayTeam]], AC$1, Table1[[ActualResult]:[ActualResult]], "SO"),0))</f>
        <v>0-0-0</v>
      </c>
      <c r="AD7" s="57" t="str">
        <f>_xlfn.CONCAT(TEXT(SUMIFS(Table1[[AwayWon]:[AwayWon]], Table1[[GameIsOver]:[GameIsOver]],1,Table1[[AwayTeam]:[AwayTeam]],$A7, Table1[[HomeTeam]:[HomeTeam]], AD$1) + SUMIFS(Table1[[HomeWon]:[HomeWon]], Table1[[GameIsOver]:[GameIsOver]],1,Table1[[HomeTeam]:[HomeTeam]],$A7, Table1[[AwayTeam]:[AwayTeam]], AD$1),0), "-", TEXT(SUMIFS(Table1[[HomeWon]:[HomeWon]], Table1[[GameIsOver]:[GameIsOver]],1,Table1[[AwayTeam]:[AwayTeam]],$A7, Table1[[HomeTeam]:[HomeTeam]], AD$1, Table1[[ActualResult]:[ActualResult]], "REG") + SUMIFS(Table1[[AwayWon]:[AwayWon]], Table1[[GameIsOver]:[GameIsOver]],1,Table1[[HomeTeam]:[HomeTeam]],$A7, Table1[[AwayTeam]:[AwayTeam]], AD$1, Table1[[ActualResult]:[ActualResult]], "REG"),0), "-", TEXT(SUMIFS(Table1[[HomeWon]:[HomeWon]], Table1[[GameIsOver]:[GameIsOver]],1,Table1[[AwayTeam]:[AwayTeam]],$A7, Table1[[HomeTeam]:[HomeTeam]], AD$1, Table1[[ActualResult]:[ActualResult]], "OT") + SUMIFS(Table1[[AwayWon]:[AwayWon]], Table1[[GameIsOver]:[GameIsOver]],1,Table1[[HomeTeam]:[HomeTeam]],$A7, Table1[[AwayTeam]:[AwayTeam]], AD$1, Table1[[ActualResult]:[ActualResult]], "OT") + SUMIFS(Table1[[HomeWon]:[HomeWon]], Table1[[GameIsOver]:[GameIsOver]],1,Table1[[AwayTeam]:[AwayTeam]],$A7, Table1[[HomeTeam]:[HomeTeam]], AD$1, Table1[[ActualResult]:[ActualResult]], "SO") + SUMIFS(Table1[[AwayWon]:[AwayWon]], Table1[[GameIsOver]:[GameIsOver]],1,Table1[[HomeTeam]:[HomeTeam]],$A7, Table1[[AwayTeam]:[AwayTeam]], AD$1, Table1[[ActualResult]:[ActualResult]], "SO"),0))</f>
        <v>0-0-0</v>
      </c>
      <c r="AE7" s="57" t="str">
        <f>_xlfn.CONCAT(TEXT(SUMIFS(Table1[[AwayWon]:[AwayWon]], Table1[[GameIsOver]:[GameIsOver]],1,Table1[[AwayTeam]:[AwayTeam]],$A7, Table1[[HomeTeam]:[HomeTeam]], AE$1) + SUMIFS(Table1[[HomeWon]:[HomeWon]], Table1[[GameIsOver]:[GameIsOver]],1,Table1[[HomeTeam]:[HomeTeam]],$A7, Table1[[AwayTeam]:[AwayTeam]], AE$1),0), "-", TEXT(SUMIFS(Table1[[HomeWon]:[HomeWon]], Table1[[GameIsOver]:[GameIsOver]],1,Table1[[AwayTeam]:[AwayTeam]],$A7, Table1[[HomeTeam]:[HomeTeam]], AE$1, Table1[[ActualResult]:[ActualResult]], "REG") + SUMIFS(Table1[[AwayWon]:[AwayWon]], Table1[[GameIsOver]:[GameIsOver]],1,Table1[[HomeTeam]:[HomeTeam]],$A7, Table1[[AwayTeam]:[AwayTeam]], AE$1, Table1[[ActualResult]:[ActualResult]], "REG"),0), "-", TEXT(SUMIFS(Table1[[HomeWon]:[HomeWon]], Table1[[GameIsOver]:[GameIsOver]],1,Table1[[AwayTeam]:[AwayTeam]],$A7, Table1[[HomeTeam]:[HomeTeam]], AE$1, Table1[[ActualResult]:[ActualResult]], "OT") + SUMIFS(Table1[[AwayWon]:[AwayWon]], Table1[[GameIsOver]:[GameIsOver]],1,Table1[[HomeTeam]:[HomeTeam]],$A7, Table1[[AwayTeam]:[AwayTeam]], AE$1, Table1[[ActualResult]:[ActualResult]], "OT") + SUMIFS(Table1[[HomeWon]:[HomeWon]], Table1[[GameIsOver]:[GameIsOver]],1,Table1[[AwayTeam]:[AwayTeam]],$A7, Table1[[HomeTeam]:[HomeTeam]], AE$1, Table1[[ActualResult]:[ActualResult]], "SO") + SUMIFS(Table1[[AwayWon]:[AwayWon]], Table1[[GameIsOver]:[GameIsOver]],1,Table1[[HomeTeam]:[HomeTeam]],$A7, Table1[[AwayTeam]:[AwayTeam]], AE$1, Table1[[ActualResult]:[ActualResult]], "SO"),0))</f>
        <v>0-0-0</v>
      </c>
      <c r="AF7" s="57" t="str">
        <f>_xlfn.CONCAT(TEXT(SUMIFS(Table1[[AwayWon]:[AwayWon]], Table1[[GameIsOver]:[GameIsOver]],1,Table1[[AwayTeam]:[AwayTeam]],$A7, Table1[[HomeTeam]:[HomeTeam]], AF$1) + SUMIFS(Table1[[HomeWon]:[HomeWon]], Table1[[GameIsOver]:[GameIsOver]],1,Table1[[HomeTeam]:[HomeTeam]],$A7, Table1[[AwayTeam]:[AwayTeam]], AF$1),0), "-", TEXT(SUMIFS(Table1[[HomeWon]:[HomeWon]], Table1[[GameIsOver]:[GameIsOver]],1,Table1[[AwayTeam]:[AwayTeam]],$A7, Table1[[HomeTeam]:[HomeTeam]], AF$1, Table1[[ActualResult]:[ActualResult]], "REG") + SUMIFS(Table1[[AwayWon]:[AwayWon]], Table1[[GameIsOver]:[GameIsOver]],1,Table1[[HomeTeam]:[HomeTeam]],$A7, Table1[[AwayTeam]:[AwayTeam]], AF$1, Table1[[ActualResult]:[ActualResult]], "REG"),0), "-", TEXT(SUMIFS(Table1[[HomeWon]:[HomeWon]], Table1[[GameIsOver]:[GameIsOver]],1,Table1[[AwayTeam]:[AwayTeam]],$A7, Table1[[HomeTeam]:[HomeTeam]], AF$1, Table1[[ActualResult]:[ActualResult]], "OT") + SUMIFS(Table1[[AwayWon]:[AwayWon]], Table1[[GameIsOver]:[GameIsOver]],1,Table1[[HomeTeam]:[HomeTeam]],$A7, Table1[[AwayTeam]:[AwayTeam]], AF$1, Table1[[ActualResult]:[ActualResult]], "OT") + SUMIFS(Table1[[HomeWon]:[HomeWon]], Table1[[GameIsOver]:[GameIsOver]],1,Table1[[AwayTeam]:[AwayTeam]],$A7, Table1[[HomeTeam]:[HomeTeam]], AF$1, Table1[[ActualResult]:[ActualResult]], "SO") + SUMIFS(Table1[[AwayWon]:[AwayWon]], Table1[[GameIsOver]:[GameIsOver]],1,Table1[[HomeTeam]:[HomeTeam]],$A7, Table1[[AwayTeam]:[AwayTeam]], AF$1, Table1[[ActualResult]:[ActualResult]], "SO"),0))</f>
        <v>0-0-0</v>
      </c>
      <c r="AG7" s="57" t="str">
        <f>_xlfn.CONCAT(TEXT(SUMIFS(Table1[[AwayWon]:[AwayWon]], Table1[[GameIsOver]:[GameIsOver]],1,Table1[[AwayTeam]:[AwayTeam]],$A7, Table1[[HomeTeam]:[HomeTeam]], AG$1) + SUMIFS(Table1[[HomeWon]:[HomeWon]], Table1[[GameIsOver]:[GameIsOver]],1,Table1[[HomeTeam]:[HomeTeam]],$A7, Table1[[AwayTeam]:[AwayTeam]], AG$1),0), "-", TEXT(SUMIFS(Table1[[HomeWon]:[HomeWon]], Table1[[GameIsOver]:[GameIsOver]],1,Table1[[AwayTeam]:[AwayTeam]],$A7, Table1[[HomeTeam]:[HomeTeam]], AG$1, Table1[[ActualResult]:[ActualResult]], "REG") + SUMIFS(Table1[[AwayWon]:[AwayWon]], Table1[[GameIsOver]:[GameIsOver]],1,Table1[[HomeTeam]:[HomeTeam]],$A7, Table1[[AwayTeam]:[AwayTeam]], AG$1, Table1[[ActualResult]:[ActualResult]], "REG"),0), "-", TEXT(SUMIFS(Table1[[HomeWon]:[HomeWon]], Table1[[GameIsOver]:[GameIsOver]],1,Table1[[AwayTeam]:[AwayTeam]],$A7, Table1[[HomeTeam]:[HomeTeam]], AG$1, Table1[[ActualResult]:[ActualResult]], "OT") + SUMIFS(Table1[[AwayWon]:[AwayWon]], Table1[[GameIsOver]:[GameIsOver]],1,Table1[[HomeTeam]:[HomeTeam]],$A7, Table1[[AwayTeam]:[AwayTeam]], AG$1, Table1[[ActualResult]:[ActualResult]], "OT") + SUMIFS(Table1[[HomeWon]:[HomeWon]], Table1[[GameIsOver]:[GameIsOver]],1,Table1[[AwayTeam]:[AwayTeam]],$A7, Table1[[HomeTeam]:[HomeTeam]], AG$1, Table1[[ActualResult]:[ActualResult]], "SO") + SUMIFS(Table1[[AwayWon]:[AwayWon]], Table1[[GameIsOver]:[GameIsOver]],1,Table1[[HomeTeam]:[HomeTeam]],$A7, Table1[[AwayTeam]:[AwayTeam]], AG$1, Table1[[ActualResult]:[ActualResult]], "SO"),0))</f>
        <v>0-0-0</v>
      </c>
    </row>
    <row r="8" spans="1:33" x14ac:dyDescent="0.25">
      <c r="A8" s="28" t="s">
        <v>23</v>
      </c>
      <c r="B8" s="57" t="str">
        <f>_xlfn.CONCAT(TEXT(SUMIFS(Table1[[AwayWon]:[AwayWon]], Table1[[GameIsOver]:[GameIsOver]],1,Table1[[AwayTeam]:[AwayTeam]],$A8, Table1[[HomeTeam]:[HomeTeam]], B$1) + SUMIFS(Table1[[HomeWon]:[HomeWon]], Table1[[GameIsOver]:[GameIsOver]],1,Table1[[HomeTeam]:[HomeTeam]],$A8, Table1[[AwayTeam]:[AwayTeam]], B$1),0), "-", TEXT(SUMIFS(Table1[[HomeWon]:[HomeWon]], Table1[[GameIsOver]:[GameIsOver]],1,Table1[[AwayTeam]:[AwayTeam]],$A8, Table1[[HomeTeam]:[HomeTeam]], B$1, Table1[[ActualResult]:[ActualResult]], "REG") + SUMIFS(Table1[[AwayWon]:[AwayWon]], Table1[[GameIsOver]:[GameIsOver]],1,Table1[[HomeTeam]:[HomeTeam]],$A8, Table1[[AwayTeam]:[AwayTeam]], B$1, Table1[[ActualResult]:[ActualResult]], "REG"),0), "-", TEXT(SUMIFS(Table1[[HomeWon]:[HomeWon]], Table1[[GameIsOver]:[GameIsOver]],1,Table1[[AwayTeam]:[AwayTeam]],$A8, Table1[[HomeTeam]:[HomeTeam]], B$1, Table1[[ActualResult]:[ActualResult]], "OT") + SUMIFS(Table1[[AwayWon]:[AwayWon]], Table1[[GameIsOver]:[GameIsOver]],1,Table1[[HomeTeam]:[HomeTeam]],$A8, Table1[[AwayTeam]:[AwayTeam]], B$1, Table1[[ActualResult]:[ActualResult]], "OT") + SUMIFS(Table1[[HomeWon]:[HomeWon]], Table1[[GameIsOver]:[GameIsOver]],1,Table1[[AwayTeam]:[AwayTeam]],$A8, Table1[[HomeTeam]:[HomeTeam]], B$1, Table1[[ActualResult]:[ActualResult]], "SO") + SUMIFS(Table1[[AwayWon]:[AwayWon]], Table1[[GameIsOver]:[GameIsOver]],1,Table1[[HomeTeam]:[HomeTeam]],$A8, Table1[[AwayTeam]:[AwayTeam]], B$1, Table1[[ActualResult]:[ActualResult]], "SO"),0))</f>
        <v>0-0-0</v>
      </c>
      <c r="C8" s="57" t="str">
        <f>_xlfn.CONCAT(TEXT(SUMIFS(Table1[[AwayWon]:[AwayWon]], Table1[[GameIsOver]:[GameIsOver]],1,Table1[[AwayTeam]:[AwayTeam]],$A8, Table1[[HomeTeam]:[HomeTeam]], C$1) + SUMIFS(Table1[[HomeWon]:[HomeWon]], Table1[[GameIsOver]:[GameIsOver]],1,Table1[[HomeTeam]:[HomeTeam]],$A8, Table1[[AwayTeam]:[AwayTeam]], C$1),0), "-", TEXT(SUMIFS(Table1[[HomeWon]:[HomeWon]], Table1[[GameIsOver]:[GameIsOver]],1,Table1[[AwayTeam]:[AwayTeam]],$A8, Table1[[HomeTeam]:[HomeTeam]], C$1, Table1[[ActualResult]:[ActualResult]], "REG") + SUMIFS(Table1[[AwayWon]:[AwayWon]], Table1[[GameIsOver]:[GameIsOver]],1,Table1[[HomeTeam]:[HomeTeam]],$A8, Table1[[AwayTeam]:[AwayTeam]], C$1, Table1[[ActualResult]:[ActualResult]], "REG"),0), "-", TEXT(SUMIFS(Table1[[HomeWon]:[HomeWon]], Table1[[GameIsOver]:[GameIsOver]],1,Table1[[AwayTeam]:[AwayTeam]],$A8, Table1[[HomeTeam]:[HomeTeam]], C$1, Table1[[ActualResult]:[ActualResult]], "OT") + SUMIFS(Table1[[AwayWon]:[AwayWon]], Table1[[GameIsOver]:[GameIsOver]],1,Table1[[HomeTeam]:[HomeTeam]],$A8, Table1[[AwayTeam]:[AwayTeam]], C$1, Table1[[ActualResult]:[ActualResult]], "OT") + SUMIFS(Table1[[HomeWon]:[HomeWon]], Table1[[GameIsOver]:[GameIsOver]],1,Table1[[AwayTeam]:[AwayTeam]],$A8, Table1[[HomeTeam]:[HomeTeam]], C$1, Table1[[ActualResult]:[ActualResult]], "SO") + SUMIFS(Table1[[AwayWon]:[AwayWon]], Table1[[GameIsOver]:[GameIsOver]],1,Table1[[HomeTeam]:[HomeTeam]],$A8, Table1[[AwayTeam]:[AwayTeam]], C$1, Table1[[ActualResult]:[ActualResult]], "SO"),0))</f>
        <v>0-0-0</v>
      </c>
      <c r="D8" s="57" t="str">
        <f>_xlfn.CONCAT(TEXT(SUMIFS(Table1[[AwayWon]:[AwayWon]], Table1[[GameIsOver]:[GameIsOver]],1,Table1[[AwayTeam]:[AwayTeam]],$A8, Table1[[HomeTeam]:[HomeTeam]], D$1) + SUMIFS(Table1[[HomeWon]:[HomeWon]], Table1[[GameIsOver]:[GameIsOver]],1,Table1[[HomeTeam]:[HomeTeam]],$A8, Table1[[AwayTeam]:[AwayTeam]], D$1),0), "-", TEXT(SUMIFS(Table1[[HomeWon]:[HomeWon]], Table1[[GameIsOver]:[GameIsOver]],1,Table1[[AwayTeam]:[AwayTeam]],$A8, Table1[[HomeTeam]:[HomeTeam]], D$1, Table1[[ActualResult]:[ActualResult]], "REG") + SUMIFS(Table1[[AwayWon]:[AwayWon]], Table1[[GameIsOver]:[GameIsOver]],1,Table1[[HomeTeam]:[HomeTeam]],$A8, Table1[[AwayTeam]:[AwayTeam]], D$1, Table1[[ActualResult]:[ActualResult]], "REG"),0), "-", TEXT(SUMIFS(Table1[[HomeWon]:[HomeWon]], Table1[[GameIsOver]:[GameIsOver]],1,Table1[[AwayTeam]:[AwayTeam]],$A8, Table1[[HomeTeam]:[HomeTeam]], D$1, Table1[[ActualResult]:[ActualResult]], "OT") + SUMIFS(Table1[[AwayWon]:[AwayWon]], Table1[[GameIsOver]:[GameIsOver]],1,Table1[[HomeTeam]:[HomeTeam]],$A8, Table1[[AwayTeam]:[AwayTeam]], D$1, Table1[[ActualResult]:[ActualResult]], "OT") + SUMIFS(Table1[[HomeWon]:[HomeWon]], Table1[[GameIsOver]:[GameIsOver]],1,Table1[[AwayTeam]:[AwayTeam]],$A8, Table1[[HomeTeam]:[HomeTeam]], D$1, Table1[[ActualResult]:[ActualResult]], "SO") + SUMIFS(Table1[[AwayWon]:[AwayWon]], Table1[[GameIsOver]:[GameIsOver]],1,Table1[[HomeTeam]:[HomeTeam]],$A8, Table1[[AwayTeam]:[AwayTeam]], D$1, Table1[[ActualResult]:[ActualResult]], "SO"),0))</f>
        <v>0-0-0</v>
      </c>
      <c r="E8" s="57" t="str">
        <f>_xlfn.CONCAT(TEXT(SUMIFS(Table1[[AwayWon]:[AwayWon]], Table1[[GameIsOver]:[GameIsOver]],1,Table1[[AwayTeam]:[AwayTeam]],$A8, Table1[[HomeTeam]:[HomeTeam]], E$1) + SUMIFS(Table1[[HomeWon]:[HomeWon]], Table1[[GameIsOver]:[GameIsOver]],1,Table1[[HomeTeam]:[HomeTeam]],$A8, Table1[[AwayTeam]:[AwayTeam]], E$1),0), "-", TEXT(SUMIFS(Table1[[HomeWon]:[HomeWon]], Table1[[GameIsOver]:[GameIsOver]],1,Table1[[AwayTeam]:[AwayTeam]],$A8, Table1[[HomeTeam]:[HomeTeam]], E$1, Table1[[ActualResult]:[ActualResult]], "REG") + SUMIFS(Table1[[AwayWon]:[AwayWon]], Table1[[GameIsOver]:[GameIsOver]],1,Table1[[HomeTeam]:[HomeTeam]],$A8, Table1[[AwayTeam]:[AwayTeam]], E$1, Table1[[ActualResult]:[ActualResult]], "REG"),0), "-", TEXT(SUMIFS(Table1[[HomeWon]:[HomeWon]], Table1[[GameIsOver]:[GameIsOver]],1,Table1[[AwayTeam]:[AwayTeam]],$A8, Table1[[HomeTeam]:[HomeTeam]], E$1, Table1[[ActualResult]:[ActualResult]], "OT") + SUMIFS(Table1[[AwayWon]:[AwayWon]], Table1[[GameIsOver]:[GameIsOver]],1,Table1[[HomeTeam]:[HomeTeam]],$A8, Table1[[AwayTeam]:[AwayTeam]], E$1, Table1[[ActualResult]:[ActualResult]], "OT") + SUMIFS(Table1[[HomeWon]:[HomeWon]], Table1[[GameIsOver]:[GameIsOver]],1,Table1[[AwayTeam]:[AwayTeam]],$A8, Table1[[HomeTeam]:[HomeTeam]], E$1, Table1[[ActualResult]:[ActualResult]], "SO") + SUMIFS(Table1[[AwayWon]:[AwayWon]], Table1[[GameIsOver]:[GameIsOver]],1,Table1[[HomeTeam]:[HomeTeam]],$A8, Table1[[AwayTeam]:[AwayTeam]], E$1, Table1[[ActualResult]:[ActualResult]], "SO"),0))</f>
        <v>0-0-0</v>
      </c>
      <c r="F8" s="57" t="str">
        <f>_xlfn.CONCAT(TEXT(SUMIFS(Table1[[AwayWon]:[AwayWon]], Table1[[GameIsOver]:[GameIsOver]],1,Table1[[AwayTeam]:[AwayTeam]],$A8, Table1[[HomeTeam]:[HomeTeam]], F$1) + SUMIFS(Table1[[HomeWon]:[HomeWon]], Table1[[GameIsOver]:[GameIsOver]],1,Table1[[HomeTeam]:[HomeTeam]],$A8, Table1[[AwayTeam]:[AwayTeam]], F$1),0), "-", TEXT(SUMIFS(Table1[[HomeWon]:[HomeWon]], Table1[[GameIsOver]:[GameIsOver]],1,Table1[[AwayTeam]:[AwayTeam]],$A8, Table1[[HomeTeam]:[HomeTeam]], F$1, Table1[[ActualResult]:[ActualResult]], "REG") + SUMIFS(Table1[[AwayWon]:[AwayWon]], Table1[[GameIsOver]:[GameIsOver]],1,Table1[[HomeTeam]:[HomeTeam]],$A8, Table1[[AwayTeam]:[AwayTeam]], F$1, Table1[[ActualResult]:[ActualResult]], "REG"),0), "-", TEXT(SUMIFS(Table1[[HomeWon]:[HomeWon]], Table1[[GameIsOver]:[GameIsOver]],1,Table1[[AwayTeam]:[AwayTeam]],$A8, Table1[[HomeTeam]:[HomeTeam]], F$1, Table1[[ActualResult]:[ActualResult]], "OT") + SUMIFS(Table1[[AwayWon]:[AwayWon]], Table1[[GameIsOver]:[GameIsOver]],1,Table1[[HomeTeam]:[HomeTeam]],$A8, Table1[[AwayTeam]:[AwayTeam]], F$1, Table1[[ActualResult]:[ActualResult]], "OT") + SUMIFS(Table1[[HomeWon]:[HomeWon]], Table1[[GameIsOver]:[GameIsOver]],1,Table1[[AwayTeam]:[AwayTeam]],$A8, Table1[[HomeTeam]:[HomeTeam]], F$1, Table1[[ActualResult]:[ActualResult]], "SO") + SUMIFS(Table1[[AwayWon]:[AwayWon]], Table1[[GameIsOver]:[GameIsOver]],1,Table1[[HomeTeam]:[HomeTeam]],$A8, Table1[[AwayTeam]:[AwayTeam]], F$1, Table1[[ActualResult]:[ActualResult]], "SO"),0))</f>
        <v>0-0-0</v>
      </c>
      <c r="G8" s="57" t="str">
        <f>_xlfn.CONCAT(TEXT(SUMIFS(Table1[[AwayWon]:[AwayWon]], Table1[[GameIsOver]:[GameIsOver]],1,Table1[[AwayTeam]:[AwayTeam]],$A8, Table1[[HomeTeam]:[HomeTeam]], G$1) + SUMIFS(Table1[[HomeWon]:[HomeWon]], Table1[[GameIsOver]:[GameIsOver]],1,Table1[[HomeTeam]:[HomeTeam]],$A8, Table1[[AwayTeam]:[AwayTeam]], G$1),0), "-", TEXT(SUMIFS(Table1[[HomeWon]:[HomeWon]], Table1[[GameIsOver]:[GameIsOver]],1,Table1[[AwayTeam]:[AwayTeam]],$A8, Table1[[HomeTeam]:[HomeTeam]], G$1, Table1[[ActualResult]:[ActualResult]], "REG") + SUMIFS(Table1[[AwayWon]:[AwayWon]], Table1[[GameIsOver]:[GameIsOver]],1,Table1[[HomeTeam]:[HomeTeam]],$A8, Table1[[AwayTeam]:[AwayTeam]], G$1, Table1[[ActualResult]:[ActualResult]], "REG"),0), "-", TEXT(SUMIFS(Table1[[HomeWon]:[HomeWon]], Table1[[GameIsOver]:[GameIsOver]],1,Table1[[AwayTeam]:[AwayTeam]],$A8, Table1[[HomeTeam]:[HomeTeam]], G$1, Table1[[ActualResult]:[ActualResult]], "OT") + SUMIFS(Table1[[AwayWon]:[AwayWon]], Table1[[GameIsOver]:[GameIsOver]],1,Table1[[HomeTeam]:[HomeTeam]],$A8, Table1[[AwayTeam]:[AwayTeam]], G$1, Table1[[ActualResult]:[ActualResult]], "OT") + SUMIFS(Table1[[HomeWon]:[HomeWon]], Table1[[GameIsOver]:[GameIsOver]],1,Table1[[AwayTeam]:[AwayTeam]],$A8, Table1[[HomeTeam]:[HomeTeam]], G$1, Table1[[ActualResult]:[ActualResult]], "SO") + SUMIFS(Table1[[AwayWon]:[AwayWon]], Table1[[GameIsOver]:[GameIsOver]],1,Table1[[HomeTeam]:[HomeTeam]],$A8, Table1[[AwayTeam]:[AwayTeam]], G$1, Table1[[ActualResult]:[ActualResult]], "SO"),0))</f>
        <v>0-0-0</v>
      </c>
      <c r="H8" s="57" t="str">
        <f>_xlfn.CONCAT(TEXT(SUMIFS(Table1[[AwayWon]:[AwayWon]], Table1[[GameIsOver]:[GameIsOver]],1,Table1[[AwayTeam]:[AwayTeam]],$A8, Table1[[HomeTeam]:[HomeTeam]], H$1) + SUMIFS(Table1[[HomeWon]:[HomeWon]], Table1[[GameIsOver]:[GameIsOver]],1,Table1[[HomeTeam]:[HomeTeam]],$A8, Table1[[AwayTeam]:[AwayTeam]], H$1),0), "-", TEXT(SUMIFS(Table1[[HomeWon]:[HomeWon]], Table1[[GameIsOver]:[GameIsOver]],1,Table1[[AwayTeam]:[AwayTeam]],$A8, Table1[[HomeTeam]:[HomeTeam]], H$1, Table1[[ActualResult]:[ActualResult]], "REG") + SUMIFS(Table1[[AwayWon]:[AwayWon]], Table1[[GameIsOver]:[GameIsOver]],1,Table1[[HomeTeam]:[HomeTeam]],$A8, Table1[[AwayTeam]:[AwayTeam]], H$1, Table1[[ActualResult]:[ActualResult]], "REG"),0), "-", TEXT(SUMIFS(Table1[[HomeWon]:[HomeWon]], Table1[[GameIsOver]:[GameIsOver]],1,Table1[[AwayTeam]:[AwayTeam]],$A8, Table1[[HomeTeam]:[HomeTeam]], H$1, Table1[[ActualResult]:[ActualResult]], "OT") + SUMIFS(Table1[[AwayWon]:[AwayWon]], Table1[[GameIsOver]:[GameIsOver]],1,Table1[[HomeTeam]:[HomeTeam]],$A8, Table1[[AwayTeam]:[AwayTeam]], H$1, Table1[[ActualResult]:[ActualResult]], "OT") + SUMIFS(Table1[[HomeWon]:[HomeWon]], Table1[[GameIsOver]:[GameIsOver]],1,Table1[[AwayTeam]:[AwayTeam]],$A8, Table1[[HomeTeam]:[HomeTeam]], H$1, Table1[[ActualResult]:[ActualResult]], "SO") + SUMIFS(Table1[[AwayWon]:[AwayWon]], Table1[[GameIsOver]:[GameIsOver]],1,Table1[[HomeTeam]:[HomeTeam]],$A8, Table1[[AwayTeam]:[AwayTeam]], H$1, Table1[[ActualResult]:[ActualResult]], "SO"),0))</f>
        <v>0-0-0</v>
      </c>
      <c r="I8" s="59" t="str">
        <f>_xlfn.CONCAT(TEXT(SUMIFS(Table1[[AwayWon]:[AwayWon]], Table1[[GameIsOver]:[GameIsOver]],1,Table1[[AwayTeam]:[AwayTeam]],$A8, Table1[[HomeTeam]:[HomeTeam]], I$1) + SUMIFS(Table1[[HomeWon]:[HomeWon]], Table1[[GameIsOver]:[GameIsOver]],1,Table1[[HomeTeam]:[HomeTeam]],$A8, Table1[[AwayTeam]:[AwayTeam]], I$1),0), "-", TEXT(SUMIFS(Table1[[HomeWon]:[HomeWon]], Table1[[GameIsOver]:[GameIsOver]],1,Table1[[AwayTeam]:[AwayTeam]],$A8, Table1[[HomeTeam]:[HomeTeam]], I$1, Table1[[ActualResult]:[ActualResult]], "REG") + SUMIFS(Table1[[AwayWon]:[AwayWon]], Table1[[GameIsOver]:[GameIsOver]],1,Table1[[HomeTeam]:[HomeTeam]],$A8, Table1[[AwayTeam]:[AwayTeam]], I$1, Table1[[ActualResult]:[ActualResult]], "REG"),0), "-", TEXT(SUMIFS(Table1[[HomeWon]:[HomeWon]], Table1[[GameIsOver]:[GameIsOver]],1,Table1[[AwayTeam]:[AwayTeam]],$A8, Table1[[HomeTeam]:[HomeTeam]], I$1, Table1[[ActualResult]:[ActualResult]], "OT") + SUMIFS(Table1[[AwayWon]:[AwayWon]], Table1[[GameIsOver]:[GameIsOver]],1,Table1[[HomeTeam]:[HomeTeam]],$A8, Table1[[AwayTeam]:[AwayTeam]], I$1, Table1[[ActualResult]:[ActualResult]], "OT") + SUMIFS(Table1[[HomeWon]:[HomeWon]], Table1[[GameIsOver]:[GameIsOver]],1,Table1[[AwayTeam]:[AwayTeam]],$A8, Table1[[HomeTeam]:[HomeTeam]], I$1, Table1[[ActualResult]:[ActualResult]], "SO") + SUMIFS(Table1[[AwayWon]:[AwayWon]], Table1[[GameIsOver]:[GameIsOver]],1,Table1[[HomeTeam]:[HomeTeam]],$A8, Table1[[AwayTeam]:[AwayTeam]], I$1, Table1[[ActualResult]:[ActualResult]], "SO"),0))</f>
        <v>0-1-0</v>
      </c>
      <c r="J8" s="57" t="str">
        <f>_xlfn.CONCAT(TEXT(SUMIFS(Table1[[AwayWon]:[AwayWon]], Table1[[GameIsOver]:[GameIsOver]],1,Table1[[AwayTeam]:[AwayTeam]],$A8, Table1[[HomeTeam]:[HomeTeam]], J$1) + SUMIFS(Table1[[HomeWon]:[HomeWon]], Table1[[GameIsOver]:[GameIsOver]],1,Table1[[HomeTeam]:[HomeTeam]],$A8, Table1[[AwayTeam]:[AwayTeam]], J$1),0), "-", TEXT(SUMIFS(Table1[[HomeWon]:[HomeWon]], Table1[[GameIsOver]:[GameIsOver]],1,Table1[[AwayTeam]:[AwayTeam]],$A8, Table1[[HomeTeam]:[HomeTeam]], J$1, Table1[[ActualResult]:[ActualResult]], "REG") + SUMIFS(Table1[[AwayWon]:[AwayWon]], Table1[[GameIsOver]:[GameIsOver]],1,Table1[[HomeTeam]:[HomeTeam]],$A8, Table1[[AwayTeam]:[AwayTeam]], J$1, Table1[[ActualResult]:[ActualResult]], "REG"),0), "-", TEXT(SUMIFS(Table1[[HomeWon]:[HomeWon]], Table1[[GameIsOver]:[GameIsOver]],1,Table1[[AwayTeam]:[AwayTeam]],$A8, Table1[[HomeTeam]:[HomeTeam]], J$1, Table1[[ActualResult]:[ActualResult]], "OT") + SUMIFS(Table1[[AwayWon]:[AwayWon]], Table1[[GameIsOver]:[GameIsOver]],1,Table1[[HomeTeam]:[HomeTeam]],$A8, Table1[[AwayTeam]:[AwayTeam]], J$1, Table1[[ActualResult]:[ActualResult]], "OT") + SUMIFS(Table1[[HomeWon]:[HomeWon]], Table1[[GameIsOver]:[GameIsOver]],1,Table1[[AwayTeam]:[AwayTeam]],$A8, Table1[[HomeTeam]:[HomeTeam]], J$1, Table1[[ActualResult]:[ActualResult]], "SO") + SUMIFS(Table1[[AwayWon]:[AwayWon]], Table1[[GameIsOver]:[GameIsOver]],1,Table1[[HomeTeam]:[HomeTeam]],$A8, Table1[[AwayTeam]:[AwayTeam]], J$1, Table1[[ActualResult]:[ActualResult]], "SO"),0))</f>
        <v>0-0-0</v>
      </c>
      <c r="K8" s="57" t="str">
        <f>_xlfn.CONCAT(TEXT(SUMIFS(Table1[[AwayWon]:[AwayWon]], Table1[[GameIsOver]:[GameIsOver]],1,Table1[[AwayTeam]:[AwayTeam]],$A8, Table1[[HomeTeam]:[HomeTeam]], K$1) + SUMIFS(Table1[[HomeWon]:[HomeWon]], Table1[[GameIsOver]:[GameIsOver]],1,Table1[[HomeTeam]:[HomeTeam]],$A8, Table1[[AwayTeam]:[AwayTeam]], K$1),0), "-", TEXT(SUMIFS(Table1[[HomeWon]:[HomeWon]], Table1[[GameIsOver]:[GameIsOver]],1,Table1[[AwayTeam]:[AwayTeam]],$A8, Table1[[HomeTeam]:[HomeTeam]], K$1, Table1[[ActualResult]:[ActualResult]], "REG") + SUMIFS(Table1[[AwayWon]:[AwayWon]], Table1[[GameIsOver]:[GameIsOver]],1,Table1[[HomeTeam]:[HomeTeam]],$A8, Table1[[AwayTeam]:[AwayTeam]], K$1, Table1[[ActualResult]:[ActualResult]], "REG"),0), "-", TEXT(SUMIFS(Table1[[HomeWon]:[HomeWon]], Table1[[GameIsOver]:[GameIsOver]],1,Table1[[AwayTeam]:[AwayTeam]],$A8, Table1[[HomeTeam]:[HomeTeam]], K$1, Table1[[ActualResult]:[ActualResult]], "OT") + SUMIFS(Table1[[AwayWon]:[AwayWon]], Table1[[GameIsOver]:[GameIsOver]],1,Table1[[HomeTeam]:[HomeTeam]],$A8, Table1[[AwayTeam]:[AwayTeam]], K$1, Table1[[ActualResult]:[ActualResult]], "OT") + SUMIFS(Table1[[HomeWon]:[HomeWon]], Table1[[GameIsOver]:[GameIsOver]],1,Table1[[AwayTeam]:[AwayTeam]],$A8, Table1[[HomeTeam]:[HomeTeam]], K$1, Table1[[ActualResult]:[ActualResult]], "SO") + SUMIFS(Table1[[AwayWon]:[AwayWon]], Table1[[GameIsOver]:[GameIsOver]],1,Table1[[HomeTeam]:[HomeTeam]],$A8, Table1[[AwayTeam]:[AwayTeam]], K$1, Table1[[ActualResult]:[ActualResult]], "SO"),0))</f>
        <v>0-0-0</v>
      </c>
      <c r="L8" s="57" t="str">
        <f>_xlfn.CONCAT(TEXT(SUMIFS(Table1[[AwayWon]:[AwayWon]], Table1[[GameIsOver]:[GameIsOver]],1,Table1[[AwayTeam]:[AwayTeam]],$A8, Table1[[HomeTeam]:[HomeTeam]], L$1) + SUMIFS(Table1[[HomeWon]:[HomeWon]], Table1[[GameIsOver]:[GameIsOver]],1,Table1[[HomeTeam]:[HomeTeam]],$A8, Table1[[AwayTeam]:[AwayTeam]], L$1),0), "-", TEXT(SUMIFS(Table1[[HomeWon]:[HomeWon]], Table1[[GameIsOver]:[GameIsOver]],1,Table1[[AwayTeam]:[AwayTeam]],$A8, Table1[[HomeTeam]:[HomeTeam]], L$1, Table1[[ActualResult]:[ActualResult]], "REG") + SUMIFS(Table1[[AwayWon]:[AwayWon]], Table1[[GameIsOver]:[GameIsOver]],1,Table1[[HomeTeam]:[HomeTeam]],$A8, Table1[[AwayTeam]:[AwayTeam]], L$1, Table1[[ActualResult]:[ActualResult]], "REG"),0), "-", TEXT(SUMIFS(Table1[[HomeWon]:[HomeWon]], Table1[[GameIsOver]:[GameIsOver]],1,Table1[[AwayTeam]:[AwayTeam]],$A8, Table1[[HomeTeam]:[HomeTeam]], L$1, Table1[[ActualResult]:[ActualResult]], "OT") + SUMIFS(Table1[[AwayWon]:[AwayWon]], Table1[[GameIsOver]:[GameIsOver]],1,Table1[[HomeTeam]:[HomeTeam]],$A8, Table1[[AwayTeam]:[AwayTeam]], L$1, Table1[[ActualResult]:[ActualResult]], "OT") + SUMIFS(Table1[[HomeWon]:[HomeWon]], Table1[[GameIsOver]:[GameIsOver]],1,Table1[[AwayTeam]:[AwayTeam]],$A8, Table1[[HomeTeam]:[HomeTeam]], L$1, Table1[[ActualResult]:[ActualResult]], "SO") + SUMIFS(Table1[[AwayWon]:[AwayWon]], Table1[[GameIsOver]:[GameIsOver]],1,Table1[[HomeTeam]:[HomeTeam]],$A8, Table1[[AwayTeam]:[AwayTeam]], L$1, Table1[[ActualResult]:[ActualResult]], "SO"),0))</f>
        <v>0-0-0</v>
      </c>
      <c r="M8" s="57" t="str">
        <f>_xlfn.CONCAT(TEXT(SUMIFS(Table1[[AwayWon]:[AwayWon]], Table1[[GameIsOver]:[GameIsOver]],1,Table1[[AwayTeam]:[AwayTeam]],$A8, Table1[[HomeTeam]:[HomeTeam]], M$1) + SUMIFS(Table1[[HomeWon]:[HomeWon]], Table1[[GameIsOver]:[GameIsOver]],1,Table1[[HomeTeam]:[HomeTeam]],$A8, Table1[[AwayTeam]:[AwayTeam]], M$1),0), "-", TEXT(SUMIFS(Table1[[HomeWon]:[HomeWon]], Table1[[GameIsOver]:[GameIsOver]],1,Table1[[AwayTeam]:[AwayTeam]],$A8, Table1[[HomeTeam]:[HomeTeam]], M$1, Table1[[ActualResult]:[ActualResult]], "REG") + SUMIFS(Table1[[AwayWon]:[AwayWon]], Table1[[GameIsOver]:[GameIsOver]],1,Table1[[HomeTeam]:[HomeTeam]],$A8, Table1[[AwayTeam]:[AwayTeam]], M$1, Table1[[ActualResult]:[ActualResult]], "REG"),0), "-", TEXT(SUMIFS(Table1[[HomeWon]:[HomeWon]], Table1[[GameIsOver]:[GameIsOver]],1,Table1[[AwayTeam]:[AwayTeam]],$A8, Table1[[HomeTeam]:[HomeTeam]], M$1, Table1[[ActualResult]:[ActualResult]], "OT") + SUMIFS(Table1[[AwayWon]:[AwayWon]], Table1[[GameIsOver]:[GameIsOver]],1,Table1[[HomeTeam]:[HomeTeam]],$A8, Table1[[AwayTeam]:[AwayTeam]], M$1, Table1[[ActualResult]:[ActualResult]], "OT") + SUMIFS(Table1[[HomeWon]:[HomeWon]], Table1[[GameIsOver]:[GameIsOver]],1,Table1[[AwayTeam]:[AwayTeam]],$A8, Table1[[HomeTeam]:[HomeTeam]], M$1, Table1[[ActualResult]:[ActualResult]], "SO") + SUMIFS(Table1[[AwayWon]:[AwayWon]], Table1[[GameIsOver]:[GameIsOver]],1,Table1[[HomeTeam]:[HomeTeam]],$A8, Table1[[AwayTeam]:[AwayTeam]], M$1, Table1[[ActualResult]:[ActualResult]], "SO"),0))</f>
        <v>0-0-0</v>
      </c>
      <c r="N8" s="57" t="str">
        <f>_xlfn.CONCAT(TEXT(SUMIFS(Table1[[AwayWon]:[AwayWon]], Table1[[GameIsOver]:[GameIsOver]],1,Table1[[AwayTeam]:[AwayTeam]],$A8, Table1[[HomeTeam]:[HomeTeam]], N$1) + SUMIFS(Table1[[HomeWon]:[HomeWon]], Table1[[GameIsOver]:[GameIsOver]],1,Table1[[HomeTeam]:[HomeTeam]],$A8, Table1[[AwayTeam]:[AwayTeam]], N$1),0), "-", TEXT(SUMIFS(Table1[[HomeWon]:[HomeWon]], Table1[[GameIsOver]:[GameIsOver]],1,Table1[[AwayTeam]:[AwayTeam]],$A8, Table1[[HomeTeam]:[HomeTeam]], N$1, Table1[[ActualResult]:[ActualResult]], "REG") + SUMIFS(Table1[[AwayWon]:[AwayWon]], Table1[[GameIsOver]:[GameIsOver]],1,Table1[[HomeTeam]:[HomeTeam]],$A8, Table1[[AwayTeam]:[AwayTeam]], N$1, Table1[[ActualResult]:[ActualResult]], "REG"),0), "-", TEXT(SUMIFS(Table1[[HomeWon]:[HomeWon]], Table1[[GameIsOver]:[GameIsOver]],1,Table1[[AwayTeam]:[AwayTeam]],$A8, Table1[[HomeTeam]:[HomeTeam]], N$1, Table1[[ActualResult]:[ActualResult]], "OT") + SUMIFS(Table1[[AwayWon]:[AwayWon]], Table1[[GameIsOver]:[GameIsOver]],1,Table1[[HomeTeam]:[HomeTeam]],$A8, Table1[[AwayTeam]:[AwayTeam]], N$1, Table1[[ActualResult]:[ActualResult]], "OT") + SUMIFS(Table1[[HomeWon]:[HomeWon]], Table1[[GameIsOver]:[GameIsOver]],1,Table1[[AwayTeam]:[AwayTeam]],$A8, Table1[[HomeTeam]:[HomeTeam]], N$1, Table1[[ActualResult]:[ActualResult]], "SO") + SUMIFS(Table1[[AwayWon]:[AwayWon]], Table1[[GameIsOver]:[GameIsOver]],1,Table1[[HomeTeam]:[HomeTeam]],$A8, Table1[[AwayTeam]:[AwayTeam]], N$1, Table1[[ActualResult]:[ActualResult]], "SO"),0))</f>
        <v>0-0-0</v>
      </c>
      <c r="O8" s="57" t="str">
        <f>_xlfn.CONCAT(TEXT(SUMIFS(Table1[[AwayWon]:[AwayWon]], Table1[[GameIsOver]:[GameIsOver]],1,Table1[[AwayTeam]:[AwayTeam]],$A8, Table1[[HomeTeam]:[HomeTeam]], O$1) + SUMIFS(Table1[[HomeWon]:[HomeWon]], Table1[[GameIsOver]:[GameIsOver]],1,Table1[[HomeTeam]:[HomeTeam]],$A8, Table1[[AwayTeam]:[AwayTeam]], O$1),0), "-", TEXT(SUMIFS(Table1[[HomeWon]:[HomeWon]], Table1[[GameIsOver]:[GameIsOver]],1,Table1[[AwayTeam]:[AwayTeam]],$A8, Table1[[HomeTeam]:[HomeTeam]], O$1, Table1[[ActualResult]:[ActualResult]], "REG") + SUMIFS(Table1[[AwayWon]:[AwayWon]], Table1[[GameIsOver]:[GameIsOver]],1,Table1[[HomeTeam]:[HomeTeam]],$A8, Table1[[AwayTeam]:[AwayTeam]], O$1, Table1[[ActualResult]:[ActualResult]], "REG"),0), "-", TEXT(SUMIFS(Table1[[HomeWon]:[HomeWon]], Table1[[GameIsOver]:[GameIsOver]],1,Table1[[AwayTeam]:[AwayTeam]],$A8, Table1[[HomeTeam]:[HomeTeam]], O$1, Table1[[ActualResult]:[ActualResult]], "OT") + SUMIFS(Table1[[AwayWon]:[AwayWon]], Table1[[GameIsOver]:[GameIsOver]],1,Table1[[HomeTeam]:[HomeTeam]],$A8, Table1[[AwayTeam]:[AwayTeam]], O$1, Table1[[ActualResult]:[ActualResult]], "OT") + SUMIFS(Table1[[HomeWon]:[HomeWon]], Table1[[GameIsOver]:[GameIsOver]],1,Table1[[AwayTeam]:[AwayTeam]],$A8, Table1[[HomeTeam]:[HomeTeam]], O$1, Table1[[ActualResult]:[ActualResult]], "SO") + SUMIFS(Table1[[AwayWon]:[AwayWon]], Table1[[GameIsOver]:[GameIsOver]],1,Table1[[HomeTeam]:[HomeTeam]],$A8, Table1[[AwayTeam]:[AwayTeam]], O$1, Table1[[ActualResult]:[ActualResult]], "SO"),0))</f>
        <v>0-0-0</v>
      </c>
      <c r="P8" s="57" t="str">
        <f>_xlfn.CONCAT(TEXT(SUMIFS(Table1[[AwayWon]:[AwayWon]], Table1[[GameIsOver]:[GameIsOver]],1,Table1[[AwayTeam]:[AwayTeam]],$A8, Table1[[HomeTeam]:[HomeTeam]], P$1) + SUMIFS(Table1[[HomeWon]:[HomeWon]], Table1[[GameIsOver]:[GameIsOver]],1,Table1[[HomeTeam]:[HomeTeam]],$A8, Table1[[AwayTeam]:[AwayTeam]], P$1),0), "-", TEXT(SUMIFS(Table1[[HomeWon]:[HomeWon]], Table1[[GameIsOver]:[GameIsOver]],1,Table1[[AwayTeam]:[AwayTeam]],$A8, Table1[[HomeTeam]:[HomeTeam]], P$1, Table1[[ActualResult]:[ActualResult]], "REG") + SUMIFS(Table1[[AwayWon]:[AwayWon]], Table1[[GameIsOver]:[GameIsOver]],1,Table1[[HomeTeam]:[HomeTeam]],$A8, Table1[[AwayTeam]:[AwayTeam]], P$1, Table1[[ActualResult]:[ActualResult]], "REG"),0), "-", TEXT(SUMIFS(Table1[[HomeWon]:[HomeWon]], Table1[[GameIsOver]:[GameIsOver]],1,Table1[[AwayTeam]:[AwayTeam]],$A8, Table1[[HomeTeam]:[HomeTeam]], P$1, Table1[[ActualResult]:[ActualResult]], "OT") + SUMIFS(Table1[[AwayWon]:[AwayWon]], Table1[[GameIsOver]:[GameIsOver]],1,Table1[[HomeTeam]:[HomeTeam]],$A8, Table1[[AwayTeam]:[AwayTeam]], P$1, Table1[[ActualResult]:[ActualResult]], "OT") + SUMIFS(Table1[[HomeWon]:[HomeWon]], Table1[[GameIsOver]:[GameIsOver]],1,Table1[[AwayTeam]:[AwayTeam]],$A8, Table1[[HomeTeam]:[HomeTeam]], P$1, Table1[[ActualResult]:[ActualResult]], "SO") + SUMIFS(Table1[[AwayWon]:[AwayWon]], Table1[[GameIsOver]:[GameIsOver]],1,Table1[[HomeTeam]:[HomeTeam]],$A8, Table1[[AwayTeam]:[AwayTeam]], P$1, Table1[[ActualResult]:[ActualResult]], "SO"),0))</f>
        <v>0-0-0</v>
      </c>
      <c r="Q8" s="59" t="str">
        <f>_xlfn.CONCAT(TEXT(SUMIFS(Table1[[AwayWon]:[AwayWon]], Table1[[GameIsOver]:[GameIsOver]],1,Table1[[AwayTeam]:[AwayTeam]],$A8, Table1[[HomeTeam]:[HomeTeam]], Q$1) + SUMIFS(Table1[[HomeWon]:[HomeWon]], Table1[[GameIsOver]:[GameIsOver]],1,Table1[[HomeTeam]:[HomeTeam]],$A8, Table1[[AwayTeam]:[AwayTeam]], Q$1),0), "-", TEXT(SUMIFS(Table1[[HomeWon]:[HomeWon]], Table1[[GameIsOver]:[GameIsOver]],1,Table1[[AwayTeam]:[AwayTeam]],$A8, Table1[[HomeTeam]:[HomeTeam]], Q$1, Table1[[ActualResult]:[ActualResult]], "REG") + SUMIFS(Table1[[AwayWon]:[AwayWon]], Table1[[GameIsOver]:[GameIsOver]],1,Table1[[HomeTeam]:[HomeTeam]],$A8, Table1[[AwayTeam]:[AwayTeam]], Q$1, Table1[[ActualResult]:[ActualResult]], "REG"),0), "-", TEXT(SUMIFS(Table1[[HomeWon]:[HomeWon]], Table1[[GameIsOver]:[GameIsOver]],1,Table1[[AwayTeam]:[AwayTeam]],$A8, Table1[[HomeTeam]:[HomeTeam]], Q$1, Table1[[ActualResult]:[ActualResult]], "OT") + SUMIFS(Table1[[AwayWon]:[AwayWon]], Table1[[GameIsOver]:[GameIsOver]],1,Table1[[HomeTeam]:[HomeTeam]],$A8, Table1[[AwayTeam]:[AwayTeam]], Q$1, Table1[[ActualResult]:[ActualResult]], "OT") + SUMIFS(Table1[[HomeWon]:[HomeWon]], Table1[[GameIsOver]:[GameIsOver]],1,Table1[[AwayTeam]:[AwayTeam]],$A8, Table1[[HomeTeam]:[HomeTeam]], Q$1, Table1[[ActualResult]:[ActualResult]], "SO") + SUMIFS(Table1[[AwayWon]:[AwayWon]], Table1[[GameIsOver]:[GameIsOver]],1,Table1[[HomeTeam]:[HomeTeam]],$A8, Table1[[AwayTeam]:[AwayTeam]], Q$1, Table1[[ActualResult]:[ActualResult]], "SO"),0))</f>
        <v>0-0-0</v>
      </c>
      <c r="R8" s="57" t="str">
        <f>_xlfn.CONCAT(TEXT(SUMIFS(Table1[[AwayWon]:[AwayWon]], Table1[[GameIsOver]:[GameIsOver]],1,Table1[[AwayTeam]:[AwayTeam]],$A8, Table1[[HomeTeam]:[HomeTeam]], R$1) + SUMIFS(Table1[[HomeWon]:[HomeWon]], Table1[[GameIsOver]:[GameIsOver]],1,Table1[[HomeTeam]:[HomeTeam]],$A8, Table1[[AwayTeam]:[AwayTeam]], R$1),0), "-", TEXT(SUMIFS(Table1[[HomeWon]:[HomeWon]], Table1[[GameIsOver]:[GameIsOver]],1,Table1[[AwayTeam]:[AwayTeam]],$A8, Table1[[HomeTeam]:[HomeTeam]], R$1, Table1[[ActualResult]:[ActualResult]], "REG") + SUMIFS(Table1[[AwayWon]:[AwayWon]], Table1[[GameIsOver]:[GameIsOver]],1,Table1[[HomeTeam]:[HomeTeam]],$A8, Table1[[AwayTeam]:[AwayTeam]], R$1, Table1[[ActualResult]:[ActualResult]], "REG"),0), "-", TEXT(SUMIFS(Table1[[HomeWon]:[HomeWon]], Table1[[GameIsOver]:[GameIsOver]],1,Table1[[AwayTeam]:[AwayTeam]],$A8, Table1[[HomeTeam]:[HomeTeam]], R$1, Table1[[ActualResult]:[ActualResult]], "OT") + SUMIFS(Table1[[AwayWon]:[AwayWon]], Table1[[GameIsOver]:[GameIsOver]],1,Table1[[HomeTeam]:[HomeTeam]],$A8, Table1[[AwayTeam]:[AwayTeam]], R$1, Table1[[ActualResult]:[ActualResult]], "OT") + SUMIFS(Table1[[HomeWon]:[HomeWon]], Table1[[GameIsOver]:[GameIsOver]],1,Table1[[AwayTeam]:[AwayTeam]],$A8, Table1[[HomeTeam]:[HomeTeam]], R$1, Table1[[ActualResult]:[ActualResult]], "SO") + SUMIFS(Table1[[AwayWon]:[AwayWon]], Table1[[GameIsOver]:[GameIsOver]],1,Table1[[HomeTeam]:[HomeTeam]],$A8, Table1[[AwayTeam]:[AwayTeam]], R$1, Table1[[ActualResult]:[ActualResult]], "SO"),0))</f>
        <v>0-0-0</v>
      </c>
      <c r="S8" s="57" t="str">
        <f>_xlfn.CONCAT(TEXT(SUMIFS(Table1[[AwayWon]:[AwayWon]], Table1[[GameIsOver]:[GameIsOver]],1,Table1[[AwayTeam]:[AwayTeam]],$A8, Table1[[HomeTeam]:[HomeTeam]], S$1) + SUMIFS(Table1[[HomeWon]:[HomeWon]], Table1[[GameIsOver]:[GameIsOver]],1,Table1[[HomeTeam]:[HomeTeam]],$A8, Table1[[AwayTeam]:[AwayTeam]], S$1),0), "-", TEXT(SUMIFS(Table1[[HomeWon]:[HomeWon]], Table1[[GameIsOver]:[GameIsOver]],1,Table1[[AwayTeam]:[AwayTeam]],$A8, Table1[[HomeTeam]:[HomeTeam]], S$1, Table1[[ActualResult]:[ActualResult]], "REG") + SUMIFS(Table1[[AwayWon]:[AwayWon]], Table1[[GameIsOver]:[GameIsOver]],1,Table1[[HomeTeam]:[HomeTeam]],$A8, Table1[[AwayTeam]:[AwayTeam]], S$1, Table1[[ActualResult]:[ActualResult]], "REG"),0), "-", TEXT(SUMIFS(Table1[[HomeWon]:[HomeWon]], Table1[[GameIsOver]:[GameIsOver]],1,Table1[[AwayTeam]:[AwayTeam]],$A8, Table1[[HomeTeam]:[HomeTeam]], S$1, Table1[[ActualResult]:[ActualResult]], "OT") + SUMIFS(Table1[[AwayWon]:[AwayWon]], Table1[[GameIsOver]:[GameIsOver]],1,Table1[[HomeTeam]:[HomeTeam]],$A8, Table1[[AwayTeam]:[AwayTeam]], S$1, Table1[[ActualResult]:[ActualResult]], "OT") + SUMIFS(Table1[[HomeWon]:[HomeWon]], Table1[[GameIsOver]:[GameIsOver]],1,Table1[[AwayTeam]:[AwayTeam]],$A8, Table1[[HomeTeam]:[HomeTeam]], S$1, Table1[[ActualResult]:[ActualResult]], "SO") + SUMIFS(Table1[[AwayWon]:[AwayWon]], Table1[[GameIsOver]:[GameIsOver]],1,Table1[[HomeTeam]:[HomeTeam]],$A8, Table1[[AwayTeam]:[AwayTeam]], S$1, Table1[[ActualResult]:[ActualResult]], "SO"),0))</f>
        <v>0-0-0</v>
      </c>
      <c r="T8" s="57" t="str">
        <f>_xlfn.CONCAT(TEXT(SUMIFS(Table1[[AwayWon]:[AwayWon]], Table1[[GameIsOver]:[GameIsOver]],1,Table1[[AwayTeam]:[AwayTeam]],$A8, Table1[[HomeTeam]:[HomeTeam]], T$1) + SUMIFS(Table1[[HomeWon]:[HomeWon]], Table1[[GameIsOver]:[GameIsOver]],1,Table1[[HomeTeam]:[HomeTeam]],$A8, Table1[[AwayTeam]:[AwayTeam]], T$1),0), "-", TEXT(SUMIFS(Table1[[HomeWon]:[HomeWon]], Table1[[GameIsOver]:[GameIsOver]],1,Table1[[AwayTeam]:[AwayTeam]],$A8, Table1[[HomeTeam]:[HomeTeam]], T$1, Table1[[ActualResult]:[ActualResult]], "REG") + SUMIFS(Table1[[AwayWon]:[AwayWon]], Table1[[GameIsOver]:[GameIsOver]],1,Table1[[HomeTeam]:[HomeTeam]],$A8, Table1[[AwayTeam]:[AwayTeam]], T$1, Table1[[ActualResult]:[ActualResult]], "REG"),0), "-", TEXT(SUMIFS(Table1[[HomeWon]:[HomeWon]], Table1[[GameIsOver]:[GameIsOver]],1,Table1[[AwayTeam]:[AwayTeam]],$A8, Table1[[HomeTeam]:[HomeTeam]], T$1, Table1[[ActualResult]:[ActualResult]], "OT") + SUMIFS(Table1[[AwayWon]:[AwayWon]], Table1[[GameIsOver]:[GameIsOver]],1,Table1[[HomeTeam]:[HomeTeam]],$A8, Table1[[AwayTeam]:[AwayTeam]], T$1, Table1[[ActualResult]:[ActualResult]], "OT") + SUMIFS(Table1[[HomeWon]:[HomeWon]], Table1[[GameIsOver]:[GameIsOver]],1,Table1[[AwayTeam]:[AwayTeam]],$A8, Table1[[HomeTeam]:[HomeTeam]], T$1, Table1[[ActualResult]:[ActualResult]], "SO") + SUMIFS(Table1[[AwayWon]:[AwayWon]], Table1[[GameIsOver]:[GameIsOver]],1,Table1[[HomeTeam]:[HomeTeam]],$A8, Table1[[AwayTeam]:[AwayTeam]], T$1, Table1[[ActualResult]:[ActualResult]], "SO"),0))</f>
        <v>0-0-0</v>
      </c>
      <c r="U8" s="57" t="str">
        <f>_xlfn.CONCAT(TEXT(SUMIFS(Table1[[AwayWon]:[AwayWon]], Table1[[GameIsOver]:[GameIsOver]],1,Table1[[AwayTeam]:[AwayTeam]],$A8, Table1[[HomeTeam]:[HomeTeam]], U$1) + SUMIFS(Table1[[HomeWon]:[HomeWon]], Table1[[GameIsOver]:[GameIsOver]],1,Table1[[HomeTeam]:[HomeTeam]],$A8, Table1[[AwayTeam]:[AwayTeam]], U$1),0), "-", TEXT(SUMIFS(Table1[[HomeWon]:[HomeWon]], Table1[[GameIsOver]:[GameIsOver]],1,Table1[[AwayTeam]:[AwayTeam]],$A8, Table1[[HomeTeam]:[HomeTeam]], U$1, Table1[[ActualResult]:[ActualResult]], "REG") + SUMIFS(Table1[[AwayWon]:[AwayWon]], Table1[[GameIsOver]:[GameIsOver]],1,Table1[[HomeTeam]:[HomeTeam]],$A8, Table1[[AwayTeam]:[AwayTeam]], U$1, Table1[[ActualResult]:[ActualResult]], "REG"),0), "-", TEXT(SUMIFS(Table1[[HomeWon]:[HomeWon]], Table1[[GameIsOver]:[GameIsOver]],1,Table1[[AwayTeam]:[AwayTeam]],$A8, Table1[[HomeTeam]:[HomeTeam]], U$1, Table1[[ActualResult]:[ActualResult]], "OT") + SUMIFS(Table1[[AwayWon]:[AwayWon]], Table1[[GameIsOver]:[GameIsOver]],1,Table1[[HomeTeam]:[HomeTeam]],$A8, Table1[[AwayTeam]:[AwayTeam]], U$1, Table1[[ActualResult]:[ActualResult]], "OT") + SUMIFS(Table1[[HomeWon]:[HomeWon]], Table1[[GameIsOver]:[GameIsOver]],1,Table1[[AwayTeam]:[AwayTeam]],$A8, Table1[[HomeTeam]:[HomeTeam]], U$1, Table1[[ActualResult]:[ActualResult]], "SO") + SUMIFS(Table1[[AwayWon]:[AwayWon]], Table1[[GameIsOver]:[GameIsOver]],1,Table1[[HomeTeam]:[HomeTeam]],$A8, Table1[[AwayTeam]:[AwayTeam]], U$1, Table1[[ActualResult]:[ActualResult]], "SO"),0))</f>
        <v>0-0-0</v>
      </c>
      <c r="V8" s="57" t="str">
        <f>_xlfn.CONCAT(TEXT(SUMIFS(Table1[[AwayWon]:[AwayWon]], Table1[[GameIsOver]:[GameIsOver]],1,Table1[[AwayTeam]:[AwayTeam]],$A8, Table1[[HomeTeam]:[HomeTeam]], V$1) + SUMIFS(Table1[[HomeWon]:[HomeWon]], Table1[[GameIsOver]:[GameIsOver]],1,Table1[[HomeTeam]:[HomeTeam]],$A8, Table1[[AwayTeam]:[AwayTeam]], V$1),0), "-", TEXT(SUMIFS(Table1[[HomeWon]:[HomeWon]], Table1[[GameIsOver]:[GameIsOver]],1,Table1[[AwayTeam]:[AwayTeam]],$A8, Table1[[HomeTeam]:[HomeTeam]], V$1, Table1[[ActualResult]:[ActualResult]], "REG") + SUMIFS(Table1[[AwayWon]:[AwayWon]], Table1[[GameIsOver]:[GameIsOver]],1,Table1[[HomeTeam]:[HomeTeam]],$A8, Table1[[AwayTeam]:[AwayTeam]], V$1, Table1[[ActualResult]:[ActualResult]], "REG"),0), "-", TEXT(SUMIFS(Table1[[HomeWon]:[HomeWon]], Table1[[GameIsOver]:[GameIsOver]],1,Table1[[AwayTeam]:[AwayTeam]],$A8, Table1[[HomeTeam]:[HomeTeam]], V$1, Table1[[ActualResult]:[ActualResult]], "OT") + SUMIFS(Table1[[AwayWon]:[AwayWon]], Table1[[GameIsOver]:[GameIsOver]],1,Table1[[HomeTeam]:[HomeTeam]],$A8, Table1[[AwayTeam]:[AwayTeam]], V$1, Table1[[ActualResult]:[ActualResult]], "OT") + SUMIFS(Table1[[HomeWon]:[HomeWon]], Table1[[GameIsOver]:[GameIsOver]],1,Table1[[AwayTeam]:[AwayTeam]],$A8, Table1[[HomeTeam]:[HomeTeam]], V$1, Table1[[ActualResult]:[ActualResult]], "SO") + SUMIFS(Table1[[AwayWon]:[AwayWon]], Table1[[GameIsOver]:[GameIsOver]],1,Table1[[HomeTeam]:[HomeTeam]],$A8, Table1[[AwayTeam]:[AwayTeam]], V$1, Table1[[ActualResult]:[ActualResult]], "SO"),0))</f>
        <v>0-0-0</v>
      </c>
      <c r="W8" s="57" t="str">
        <f>_xlfn.CONCAT(TEXT(SUMIFS(Table1[[AwayWon]:[AwayWon]], Table1[[GameIsOver]:[GameIsOver]],1,Table1[[AwayTeam]:[AwayTeam]],$A8, Table1[[HomeTeam]:[HomeTeam]], W$1) + SUMIFS(Table1[[HomeWon]:[HomeWon]], Table1[[GameIsOver]:[GameIsOver]],1,Table1[[HomeTeam]:[HomeTeam]],$A8, Table1[[AwayTeam]:[AwayTeam]], W$1),0), "-", TEXT(SUMIFS(Table1[[HomeWon]:[HomeWon]], Table1[[GameIsOver]:[GameIsOver]],1,Table1[[AwayTeam]:[AwayTeam]],$A8, Table1[[HomeTeam]:[HomeTeam]], W$1, Table1[[ActualResult]:[ActualResult]], "REG") + SUMIFS(Table1[[AwayWon]:[AwayWon]], Table1[[GameIsOver]:[GameIsOver]],1,Table1[[HomeTeam]:[HomeTeam]],$A8, Table1[[AwayTeam]:[AwayTeam]], W$1, Table1[[ActualResult]:[ActualResult]], "REG"),0), "-", TEXT(SUMIFS(Table1[[HomeWon]:[HomeWon]], Table1[[GameIsOver]:[GameIsOver]],1,Table1[[AwayTeam]:[AwayTeam]],$A8, Table1[[HomeTeam]:[HomeTeam]], W$1, Table1[[ActualResult]:[ActualResult]], "OT") + SUMIFS(Table1[[AwayWon]:[AwayWon]], Table1[[GameIsOver]:[GameIsOver]],1,Table1[[HomeTeam]:[HomeTeam]],$A8, Table1[[AwayTeam]:[AwayTeam]], W$1, Table1[[ActualResult]:[ActualResult]], "OT") + SUMIFS(Table1[[HomeWon]:[HomeWon]], Table1[[GameIsOver]:[GameIsOver]],1,Table1[[AwayTeam]:[AwayTeam]],$A8, Table1[[HomeTeam]:[HomeTeam]], W$1, Table1[[ActualResult]:[ActualResult]], "SO") + SUMIFS(Table1[[AwayWon]:[AwayWon]], Table1[[GameIsOver]:[GameIsOver]],1,Table1[[HomeTeam]:[HomeTeam]],$A8, Table1[[AwayTeam]:[AwayTeam]], W$1, Table1[[ActualResult]:[ActualResult]], "SO"),0))</f>
        <v>0-0-0</v>
      </c>
      <c r="X8" s="57" t="str">
        <f>_xlfn.CONCAT(TEXT(SUMIFS(Table1[[AwayWon]:[AwayWon]], Table1[[GameIsOver]:[GameIsOver]],1,Table1[[AwayTeam]:[AwayTeam]],$A8, Table1[[HomeTeam]:[HomeTeam]], X$1) + SUMIFS(Table1[[HomeWon]:[HomeWon]], Table1[[GameIsOver]:[GameIsOver]],1,Table1[[HomeTeam]:[HomeTeam]],$A8, Table1[[AwayTeam]:[AwayTeam]], X$1),0), "-", TEXT(SUMIFS(Table1[[HomeWon]:[HomeWon]], Table1[[GameIsOver]:[GameIsOver]],1,Table1[[AwayTeam]:[AwayTeam]],$A8, Table1[[HomeTeam]:[HomeTeam]], X$1, Table1[[ActualResult]:[ActualResult]], "REG") + SUMIFS(Table1[[AwayWon]:[AwayWon]], Table1[[GameIsOver]:[GameIsOver]],1,Table1[[HomeTeam]:[HomeTeam]],$A8, Table1[[AwayTeam]:[AwayTeam]], X$1, Table1[[ActualResult]:[ActualResult]], "REG"),0), "-", TEXT(SUMIFS(Table1[[HomeWon]:[HomeWon]], Table1[[GameIsOver]:[GameIsOver]],1,Table1[[AwayTeam]:[AwayTeam]],$A8, Table1[[HomeTeam]:[HomeTeam]], X$1, Table1[[ActualResult]:[ActualResult]], "OT") + SUMIFS(Table1[[AwayWon]:[AwayWon]], Table1[[GameIsOver]:[GameIsOver]],1,Table1[[HomeTeam]:[HomeTeam]],$A8, Table1[[AwayTeam]:[AwayTeam]], X$1, Table1[[ActualResult]:[ActualResult]], "OT") + SUMIFS(Table1[[HomeWon]:[HomeWon]], Table1[[GameIsOver]:[GameIsOver]],1,Table1[[AwayTeam]:[AwayTeam]],$A8, Table1[[HomeTeam]:[HomeTeam]], X$1, Table1[[ActualResult]:[ActualResult]], "SO") + SUMIFS(Table1[[AwayWon]:[AwayWon]], Table1[[GameIsOver]:[GameIsOver]],1,Table1[[HomeTeam]:[HomeTeam]],$A8, Table1[[AwayTeam]:[AwayTeam]], X$1, Table1[[ActualResult]:[ActualResult]], "SO"),0))</f>
        <v>0-0-0</v>
      </c>
      <c r="Y8" s="59" t="str">
        <f>_xlfn.CONCAT(TEXT(SUMIFS(Table1[[AwayWon]:[AwayWon]], Table1[[GameIsOver]:[GameIsOver]],1,Table1[[AwayTeam]:[AwayTeam]],$A8, Table1[[HomeTeam]:[HomeTeam]], Y$1) + SUMIFS(Table1[[HomeWon]:[HomeWon]], Table1[[GameIsOver]:[GameIsOver]],1,Table1[[HomeTeam]:[HomeTeam]],$A8, Table1[[AwayTeam]:[AwayTeam]], Y$1),0), "-", TEXT(SUMIFS(Table1[[HomeWon]:[HomeWon]], Table1[[GameIsOver]:[GameIsOver]],1,Table1[[AwayTeam]:[AwayTeam]],$A8, Table1[[HomeTeam]:[HomeTeam]], Y$1, Table1[[ActualResult]:[ActualResult]], "REG") + SUMIFS(Table1[[AwayWon]:[AwayWon]], Table1[[GameIsOver]:[GameIsOver]],1,Table1[[HomeTeam]:[HomeTeam]],$A8, Table1[[AwayTeam]:[AwayTeam]], Y$1, Table1[[ActualResult]:[ActualResult]], "REG"),0), "-", TEXT(SUMIFS(Table1[[HomeWon]:[HomeWon]], Table1[[GameIsOver]:[GameIsOver]],1,Table1[[AwayTeam]:[AwayTeam]],$A8, Table1[[HomeTeam]:[HomeTeam]], Y$1, Table1[[ActualResult]:[ActualResult]], "OT") + SUMIFS(Table1[[AwayWon]:[AwayWon]], Table1[[GameIsOver]:[GameIsOver]],1,Table1[[HomeTeam]:[HomeTeam]],$A8, Table1[[AwayTeam]:[AwayTeam]], Y$1, Table1[[ActualResult]:[ActualResult]], "OT") + SUMIFS(Table1[[HomeWon]:[HomeWon]], Table1[[GameIsOver]:[GameIsOver]],1,Table1[[AwayTeam]:[AwayTeam]],$A8, Table1[[HomeTeam]:[HomeTeam]], Y$1, Table1[[ActualResult]:[ActualResult]], "SO") + SUMIFS(Table1[[AwayWon]:[AwayWon]], Table1[[GameIsOver]:[GameIsOver]],1,Table1[[HomeTeam]:[HomeTeam]],$A8, Table1[[AwayTeam]:[AwayTeam]], Y$1, Table1[[ActualResult]:[ActualResult]], "SO"),0))</f>
        <v>0-0-0</v>
      </c>
      <c r="Z8" s="57" t="str">
        <f>_xlfn.CONCAT(TEXT(SUMIFS(Table1[[AwayWon]:[AwayWon]], Table1[[GameIsOver]:[GameIsOver]],1,Table1[[AwayTeam]:[AwayTeam]],$A8, Table1[[HomeTeam]:[HomeTeam]], Z$1) + SUMIFS(Table1[[HomeWon]:[HomeWon]], Table1[[GameIsOver]:[GameIsOver]],1,Table1[[HomeTeam]:[HomeTeam]],$A8, Table1[[AwayTeam]:[AwayTeam]], Z$1),0), "-", TEXT(SUMIFS(Table1[[HomeWon]:[HomeWon]], Table1[[GameIsOver]:[GameIsOver]],1,Table1[[AwayTeam]:[AwayTeam]],$A8, Table1[[HomeTeam]:[HomeTeam]], Z$1, Table1[[ActualResult]:[ActualResult]], "REG") + SUMIFS(Table1[[AwayWon]:[AwayWon]], Table1[[GameIsOver]:[GameIsOver]],1,Table1[[HomeTeam]:[HomeTeam]],$A8, Table1[[AwayTeam]:[AwayTeam]], Z$1, Table1[[ActualResult]:[ActualResult]], "REG"),0), "-", TEXT(SUMIFS(Table1[[HomeWon]:[HomeWon]], Table1[[GameIsOver]:[GameIsOver]],1,Table1[[AwayTeam]:[AwayTeam]],$A8, Table1[[HomeTeam]:[HomeTeam]], Z$1, Table1[[ActualResult]:[ActualResult]], "OT") + SUMIFS(Table1[[AwayWon]:[AwayWon]], Table1[[GameIsOver]:[GameIsOver]],1,Table1[[HomeTeam]:[HomeTeam]],$A8, Table1[[AwayTeam]:[AwayTeam]], Z$1, Table1[[ActualResult]:[ActualResult]], "OT") + SUMIFS(Table1[[HomeWon]:[HomeWon]], Table1[[GameIsOver]:[GameIsOver]],1,Table1[[AwayTeam]:[AwayTeam]],$A8, Table1[[HomeTeam]:[HomeTeam]], Z$1, Table1[[ActualResult]:[ActualResult]], "SO") + SUMIFS(Table1[[AwayWon]:[AwayWon]], Table1[[GameIsOver]:[GameIsOver]],1,Table1[[HomeTeam]:[HomeTeam]],$A8, Table1[[AwayTeam]:[AwayTeam]], Z$1, Table1[[ActualResult]:[ActualResult]], "SO"),0))</f>
        <v>0-0-0</v>
      </c>
      <c r="AA8" s="57" t="str">
        <f>_xlfn.CONCAT(TEXT(SUMIFS(Table1[[AwayWon]:[AwayWon]], Table1[[GameIsOver]:[GameIsOver]],1,Table1[[AwayTeam]:[AwayTeam]],$A8, Table1[[HomeTeam]:[HomeTeam]], AA$1) + SUMIFS(Table1[[HomeWon]:[HomeWon]], Table1[[GameIsOver]:[GameIsOver]],1,Table1[[HomeTeam]:[HomeTeam]],$A8, Table1[[AwayTeam]:[AwayTeam]], AA$1),0), "-", TEXT(SUMIFS(Table1[[HomeWon]:[HomeWon]], Table1[[GameIsOver]:[GameIsOver]],1,Table1[[AwayTeam]:[AwayTeam]],$A8, Table1[[HomeTeam]:[HomeTeam]], AA$1, Table1[[ActualResult]:[ActualResult]], "REG") + SUMIFS(Table1[[AwayWon]:[AwayWon]], Table1[[GameIsOver]:[GameIsOver]],1,Table1[[HomeTeam]:[HomeTeam]],$A8, Table1[[AwayTeam]:[AwayTeam]], AA$1, Table1[[ActualResult]:[ActualResult]], "REG"),0), "-", TEXT(SUMIFS(Table1[[HomeWon]:[HomeWon]], Table1[[GameIsOver]:[GameIsOver]],1,Table1[[AwayTeam]:[AwayTeam]],$A8, Table1[[HomeTeam]:[HomeTeam]], AA$1, Table1[[ActualResult]:[ActualResult]], "OT") + SUMIFS(Table1[[AwayWon]:[AwayWon]], Table1[[GameIsOver]:[GameIsOver]],1,Table1[[HomeTeam]:[HomeTeam]],$A8, Table1[[AwayTeam]:[AwayTeam]], AA$1, Table1[[ActualResult]:[ActualResult]], "OT") + SUMIFS(Table1[[HomeWon]:[HomeWon]], Table1[[GameIsOver]:[GameIsOver]],1,Table1[[AwayTeam]:[AwayTeam]],$A8, Table1[[HomeTeam]:[HomeTeam]], AA$1, Table1[[ActualResult]:[ActualResult]], "SO") + SUMIFS(Table1[[AwayWon]:[AwayWon]], Table1[[GameIsOver]:[GameIsOver]],1,Table1[[HomeTeam]:[HomeTeam]],$A8, Table1[[AwayTeam]:[AwayTeam]], AA$1, Table1[[ActualResult]:[ActualResult]], "SO"),0))</f>
        <v>0-0-0</v>
      </c>
      <c r="AB8" s="57" t="str">
        <f>_xlfn.CONCAT(TEXT(SUMIFS(Table1[[AwayWon]:[AwayWon]], Table1[[GameIsOver]:[GameIsOver]],1,Table1[[AwayTeam]:[AwayTeam]],$A8, Table1[[HomeTeam]:[HomeTeam]], AB$1) + SUMIFS(Table1[[HomeWon]:[HomeWon]], Table1[[GameIsOver]:[GameIsOver]],1,Table1[[HomeTeam]:[HomeTeam]],$A8, Table1[[AwayTeam]:[AwayTeam]], AB$1),0), "-", TEXT(SUMIFS(Table1[[HomeWon]:[HomeWon]], Table1[[GameIsOver]:[GameIsOver]],1,Table1[[AwayTeam]:[AwayTeam]],$A8, Table1[[HomeTeam]:[HomeTeam]], AB$1, Table1[[ActualResult]:[ActualResult]], "REG") + SUMIFS(Table1[[AwayWon]:[AwayWon]], Table1[[GameIsOver]:[GameIsOver]],1,Table1[[HomeTeam]:[HomeTeam]],$A8, Table1[[AwayTeam]:[AwayTeam]], AB$1, Table1[[ActualResult]:[ActualResult]], "REG"),0), "-", TEXT(SUMIFS(Table1[[HomeWon]:[HomeWon]], Table1[[GameIsOver]:[GameIsOver]],1,Table1[[AwayTeam]:[AwayTeam]],$A8, Table1[[HomeTeam]:[HomeTeam]], AB$1, Table1[[ActualResult]:[ActualResult]], "OT") + SUMIFS(Table1[[AwayWon]:[AwayWon]], Table1[[GameIsOver]:[GameIsOver]],1,Table1[[HomeTeam]:[HomeTeam]],$A8, Table1[[AwayTeam]:[AwayTeam]], AB$1, Table1[[ActualResult]:[ActualResult]], "OT") + SUMIFS(Table1[[HomeWon]:[HomeWon]], Table1[[GameIsOver]:[GameIsOver]],1,Table1[[AwayTeam]:[AwayTeam]],$A8, Table1[[HomeTeam]:[HomeTeam]], AB$1, Table1[[ActualResult]:[ActualResult]], "SO") + SUMIFS(Table1[[AwayWon]:[AwayWon]], Table1[[GameIsOver]:[GameIsOver]],1,Table1[[HomeTeam]:[HomeTeam]],$A8, Table1[[AwayTeam]:[AwayTeam]], AB$1, Table1[[ActualResult]:[ActualResult]], "SO"),0))</f>
        <v>0-0-0</v>
      </c>
      <c r="AC8" s="57" t="str">
        <f>_xlfn.CONCAT(TEXT(SUMIFS(Table1[[AwayWon]:[AwayWon]], Table1[[GameIsOver]:[GameIsOver]],1,Table1[[AwayTeam]:[AwayTeam]],$A8, Table1[[HomeTeam]:[HomeTeam]], AC$1) + SUMIFS(Table1[[HomeWon]:[HomeWon]], Table1[[GameIsOver]:[GameIsOver]],1,Table1[[HomeTeam]:[HomeTeam]],$A8, Table1[[AwayTeam]:[AwayTeam]], AC$1),0), "-", TEXT(SUMIFS(Table1[[HomeWon]:[HomeWon]], Table1[[GameIsOver]:[GameIsOver]],1,Table1[[AwayTeam]:[AwayTeam]],$A8, Table1[[HomeTeam]:[HomeTeam]], AC$1, Table1[[ActualResult]:[ActualResult]], "REG") + SUMIFS(Table1[[AwayWon]:[AwayWon]], Table1[[GameIsOver]:[GameIsOver]],1,Table1[[HomeTeam]:[HomeTeam]],$A8, Table1[[AwayTeam]:[AwayTeam]], AC$1, Table1[[ActualResult]:[ActualResult]], "REG"),0), "-", TEXT(SUMIFS(Table1[[HomeWon]:[HomeWon]], Table1[[GameIsOver]:[GameIsOver]],1,Table1[[AwayTeam]:[AwayTeam]],$A8, Table1[[HomeTeam]:[HomeTeam]], AC$1, Table1[[ActualResult]:[ActualResult]], "OT") + SUMIFS(Table1[[AwayWon]:[AwayWon]], Table1[[GameIsOver]:[GameIsOver]],1,Table1[[HomeTeam]:[HomeTeam]],$A8, Table1[[AwayTeam]:[AwayTeam]], AC$1, Table1[[ActualResult]:[ActualResult]], "OT") + SUMIFS(Table1[[HomeWon]:[HomeWon]], Table1[[GameIsOver]:[GameIsOver]],1,Table1[[AwayTeam]:[AwayTeam]],$A8, Table1[[HomeTeam]:[HomeTeam]], AC$1, Table1[[ActualResult]:[ActualResult]], "SO") + SUMIFS(Table1[[AwayWon]:[AwayWon]], Table1[[GameIsOver]:[GameIsOver]],1,Table1[[HomeTeam]:[HomeTeam]],$A8, Table1[[AwayTeam]:[AwayTeam]], AC$1, Table1[[ActualResult]:[ActualResult]], "SO"),0))</f>
        <v>0-0-0</v>
      </c>
      <c r="AD8" s="57" t="str">
        <f>_xlfn.CONCAT(TEXT(SUMIFS(Table1[[AwayWon]:[AwayWon]], Table1[[GameIsOver]:[GameIsOver]],1,Table1[[AwayTeam]:[AwayTeam]],$A8, Table1[[HomeTeam]:[HomeTeam]], AD$1) + SUMIFS(Table1[[HomeWon]:[HomeWon]], Table1[[GameIsOver]:[GameIsOver]],1,Table1[[HomeTeam]:[HomeTeam]],$A8, Table1[[AwayTeam]:[AwayTeam]], AD$1),0), "-", TEXT(SUMIFS(Table1[[HomeWon]:[HomeWon]], Table1[[GameIsOver]:[GameIsOver]],1,Table1[[AwayTeam]:[AwayTeam]],$A8, Table1[[HomeTeam]:[HomeTeam]], AD$1, Table1[[ActualResult]:[ActualResult]], "REG") + SUMIFS(Table1[[AwayWon]:[AwayWon]], Table1[[GameIsOver]:[GameIsOver]],1,Table1[[HomeTeam]:[HomeTeam]],$A8, Table1[[AwayTeam]:[AwayTeam]], AD$1, Table1[[ActualResult]:[ActualResult]], "REG"),0), "-", TEXT(SUMIFS(Table1[[HomeWon]:[HomeWon]], Table1[[GameIsOver]:[GameIsOver]],1,Table1[[AwayTeam]:[AwayTeam]],$A8, Table1[[HomeTeam]:[HomeTeam]], AD$1, Table1[[ActualResult]:[ActualResult]], "OT") + SUMIFS(Table1[[AwayWon]:[AwayWon]], Table1[[GameIsOver]:[GameIsOver]],1,Table1[[HomeTeam]:[HomeTeam]],$A8, Table1[[AwayTeam]:[AwayTeam]], AD$1, Table1[[ActualResult]:[ActualResult]], "OT") + SUMIFS(Table1[[HomeWon]:[HomeWon]], Table1[[GameIsOver]:[GameIsOver]],1,Table1[[AwayTeam]:[AwayTeam]],$A8, Table1[[HomeTeam]:[HomeTeam]], AD$1, Table1[[ActualResult]:[ActualResult]], "SO") + SUMIFS(Table1[[AwayWon]:[AwayWon]], Table1[[GameIsOver]:[GameIsOver]],1,Table1[[HomeTeam]:[HomeTeam]],$A8, Table1[[AwayTeam]:[AwayTeam]], AD$1, Table1[[ActualResult]:[ActualResult]], "SO"),0))</f>
        <v>0-0-0</v>
      </c>
      <c r="AE8" s="57" t="str">
        <f>_xlfn.CONCAT(TEXT(SUMIFS(Table1[[AwayWon]:[AwayWon]], Table1[[GameIsOver]:[GameIsOver]],1,Table1[[AwayTeam]:[AwayTeam]],$A8, Table1[[HomeTeam]:[HomeTeam]], AE$1) + SUMIFS(Table1[[HomeWon]:[HomeWon]], Table1[[GameIsOver]:[GameIsOver]],1,Table1[[HomeTeam]:[HomeTeam]],$A8, Table1[[AwayTeam]:[AwayTeam]], AE$1),0), "-", TEXT(SUMIFS(Table1[[HomeWon]:[HomeWon]], Table1[[GameIsOver]:[GameIsOver]],1,Table1[[AwayTeam]:[AwayTeam]],$A8, Table1[[HomeTeam]:[HomeTeam]], AE$1, Table1[[ActualResult]:[ActualResult]], "REG") + SUMIFS(Table1[[AwayWon]:[AwayWon]], Table1[[GameIsOver]:[GameIsOver]],1,Table1[[HomeTeam]:[HomeTeam]],$A8, Table1[[AwayTeam]:[AwayTeam]], AE$1, Table1[[ActualResult]:[ActualResult]], "REG"),0), "-", TEXT(SUMIFS(Table1[[HomeWon]:[HomeWon]], Table1[[GameIsOver]:[GameIsOver]],1,Table1[[AwayTeam]:[AwayTeam]],$A8, Table1[[HomeTeam]:[HomeTeam]], AE$1, Table1[[ActualResult]:[ActualResult]], "OT") + SUMIFS(Table1[[AwayWon]:[AwayWon]], Table1[[GameIsOver]:[GameIsOver]],1,Table1[[HomeTeam]:[HomeTeam]],$A8, Table1[[AwayTeam]:[AwayTeam]], AE$1, Table1[[ActualResult]:[ActualResult]], "OT") + SUMIFS(Table1[[HomeWon]:[HomeWon]], Table1[[GameIsOver]:[GameIsOver]],1,Table1[[AwayTeam]:[AwayTeam]],$A8, Table1[[HomeTeam]:[HomeTeam]], AE$1, Table1[[ActualResult]:[ActualResult]], "SO") + SUMIFS(Table1[[AwayWon]:[AwayWon]], Table1[[GameIsOver]:[GameIsOver]],1,Table1[[HomeTeam]:[HomeTeam]],$A8, Table1[[AwayTeam]:[AwayTeam]], AE$1, Table1[[ActualResult]:[ActualResult]], "SO"),0))</f>
        <v>0-0-0</v>
      </c>
      <c r="AF8" s="57" t="str">
        <f>_xlfn.CONCAT(TEXT(SUMIFS(Table1[[AwayWon]:[AwayWon]], Table1[[GameIsOver]:[GameIsOver]],1,Table1[[AwayTeam]:[AwayTeam]],$A8, Table1[[HomeTeam]:[HomeTeam]], AF$1) + SUMIFS(Table1[[HomeWon]:[HomeWon]], Table1[[GameIsOver]:[GameIsOver]],1,Table1[[HomeTeam]:[HomeTeam]],$A8, Table1[[AwayTeam]:[AwayTeam]], AF$1),0), "-", TEXT(SUMIFS(Table1[[HomeWon]:[HomeWon]], Table1[[GameIsOver]:[GameIsOver]],1,Table1[[AwayTeam]:[AwayTeam]],$A8, Table1[[HomeTeam]:[HomeTeam]], AF$1, Table1[[ActualResult]:[ActualResult]], "REG") + SUMIFS(Table1[[AwayWon]:[AwayWon]], Table1[[GameIsOver]:[GameIsOver]],1,Table1[[HomeTeam]:[HomeTeam]],$A8, Table1[[AwayTeam]:[AwayTeam]], AF$1, Table1[[ActualResult]:[ActualResult]], "REG"),0), "-", TEXT(SUMIFS(Table1[[HomeWon]:[HomeWon]], Table1[[GameIsOver]:[GameIsOver]],1,Table1[[AwayTeam]:[AwayTeam]],$A8, Table1[[HomeTeam]:[HomeTeam]], AF$1, Table1[[ActualResult]:[ActualResult]], "OT") + SUMIFS(Table1[[AwayWon]:[AwayWon]], Table1[[GameIsOver]:[GameIsOver]],1,Table1[[HomeTeam]:[HomeTeam]],$A8, Table1[[AwayTeam]:[AwayTeam]], AF$1, Table1[[ActualResult]:[ActualResult]], "OT") + SUMIFS(Table1[[HomeWon]:[HomeWon]], Table1[[GameIsOver]:[GameIsOver]],1,Table1[[AwayTeam]:[AwayTeam]],$A8, Table1[[HomeTeam]:[HomeTeam]], AF$1, Table1[[ActualResult]:[ActualResult]], "SO") + SUMIFS(Table1[[AwayWon]:[AwayWon]], Table1[[GameIsOver]:[GameIsOver]],1,Table1[[HomeTeam]:[HomeTeam]],$A8, Table1[[AwayTeam]:[AwayTeam]], AF$1, Table1[[ActualResult]:[ActualResult]], "SO"),0))</f>
        <v>0-0-0</v>
      </c>
      <c r="AG8" s="57" t="str">
        <f>_xlfn.CONCAT(TEXT(SUMIFS(Table1[[AwayWon]:[AwayWon]], Table1[[GameIsOver]:[GameIsOver]],1,Table1[[AwayTeam]:[AwayTeam]],$A8, Table1[[HomeTeam]:[HomeTeam]], AG$1) + SUMIFS(Table1[[HomeWon]:[HomeWon]], Table1[[GameIsOver]:[GameIsOver]],1,Table1[[HomeTeam]:[HomeTeam]],$A8, Table1[[AwayTeam]:[AwayTeam]], AG$1),0), "-", TEXT(SUMIFS(Table1[[HomeWon]:[HomeWon]], Table1[[GameIsOver]:[GameIsOver]],1,Table1[[AwayTeam]:[AwayTeam]],$A8, Table1[[HomeTeam]:[HomeTeam]], AG$1, Table1[[ActualResult]:[ActualResult]], "REG") + SUMIFS(Table1[[AwayWon]:[AwayWon]], Table1[[GameIsOver]:[GameIsOver]],1,Table1[[HomeTeam]:[HomeTeam]],$A8, Table1[[AwayTeam]:[AwayTeam]], AG$1, Table1[[ActualResult]:[ActualResult]], "REG"),0), "-", TEXT(SUMIFS(Table1[[HomeWon]:[HomeWon]], Table1[[GameIsOver]:[GameIsOver]],1,Table1[[AwayTeam]:[AwayTeam]],$A8, Table1[[HomeTeam]:[HomeTeam]], AG$1, Table1[[ActualResult]:[ActualResult]], "OT") + SUMIFS(Table1[[AwayWon]:[AwayWon]], Table1[[GameIsOver]:[GameIsOver]],1,Table1[[HomeTeam]:[HomeTeam]],$A8, Table1[[AwayTeam]:[AwayTeam]], AG$1, Table1[[ActualResult]:[ActualResult]], "OT") + SUMIFS(Table1[[HomeWon]:[HomeWon]], Table1[[GameIsOver]:[GameIsOver]],1,Table1[[AwayTeam]:[AwayTeam]],$A8, Table1[[HomeTeam]:[HomeTeam]], AG$1, Table1[[ActualResult]:[ActualResult]], "SO") + SUMIFS(Table1[[AwayWon]:[AwayWon]], Table1[[GameIsOver]:[GameIsOver]],1,Table1[[HomeTeam]:[HomeTeam]],$A8, Table1[[AwayTeam]:[AwayTeam]], AG$1, Table1[[ActualResult]:[ActualResult]], "SO"),0))</f>
        <v>0-0-0</v>
      </c>
    </row>
    <row r="9" spans="1:33" ht="15.75" thickBot="1" x14ac:dyDescent="0.3">
      <c r="A9" s="29" t="s">
        <v>25</v>
      </c>
      <c r="B9" s="60" t="str">
        <f>_xlfn.CONCAT(TEXT(SUMIFS(Table1[[AwayWon]:[AwayWon]], Table1[[GameIsOver]:[GameIsOver]],1,Table1[[AwayTeam]:[AwayTeam]],$A9, Table1[[HomeTeam]:[HomeTeam]], B$1) + SUMIFS(Table1[[HomeWon]:[HomeWon]], Table1[[GameIsOver]:[GameIsOver]],1,Table1[[HomeTeam]:[HomeTeam]],$A9, Table1[[AwayTeam]:[AwayTeam]], B$1),0), "-", TEXT(SUMIFS(Table1[[HomeWon]:[HomeWon]], Table1[[GameIsOver]:[GameIsOver]],1,Table1[[AwayTeam]:[AwayTeam]],$A9, Table1[[HomeTeam]:[HomeTeam]], B$1, Table1[[ActualResult]:[ActualResult]], "REG") + SUMIFS(Table1[[AwayWon]:[AwayWon]], Table1[[GameIsOver]:[GameIsOver]],1,Table1[[HomeTeam]:[HomeTeam]],$A9, Table1[[AwayTeam]:[AwayTeam]], B$1, Table1[[ActualResult]:[ActualResult]], "REG"),0), "-", TEXT(SUMIFS(Table1[[HomeWon]:[HomeWon]], Table1[[GameIsOver]:[GameIsOver]],1,Table1[[AwayTeam]:[AwayTeam]],$A9, Table1[[HomeTeam]:[HomeTeam]], B$1, Table1[[ActualResult]:[ActualResult]], "OT") + SUMIFS(Table1[[AwayWon]:[AwayWon]], Table1[[GameIsOver]:[GameIsOver]],1,Table1[[HomeTeam]:[HomeTeam]],$A9, Table1[[AwayTeam]:[AwayTeam]], B$1, Table1[[ActualResult]:[ActualResult]], "OT") + SUMIFS(Table1[[HomeWon]:[HomeWon]], Table1[[GameIsOver]:[GameIsOver]],1,Table1[[AwayTeam]:[AwayTeam]],$A9, Table1[[HomeTeam]:[HomeTeam]], B$1, Table1[[ActualResult]:[ActualResult]], "SO") + SUMIFS(Table1[[AwayWon]:[AwayWon]], Table1[[GameIsOver]:[GameIsOver]],1,Table1[[HomeTeam]:[HomeTeam]],$A9, Table1[[AwayTeam]:[AwayTeam]], B$1, Table1[[ActualResult]:[ActualResult]], "SO"),0))</f>
        <v>0-0-0</v>
      </c>
      <c r="C9" s="61" t="str">
        <f>_xlfn.CONCAT(TEXT(SUMIFS(Table1[[AwayWon]:[AwayWon]], Table1[[GameIsOver]:[GameIsOver]],1,Table1[[AwayTeam]:[AwayTeam]],$A9, Table1[[HomeTeam]:[HomeTeam]], C$1) + SUMIFS(Table1[[HomeWon]:[HomeWon]], Table1[[GameIsOver]:[GameIsOver]],1,Table1[[HomeTeam]:[HomeTeam]],$A9, Table1[[AwayTeam]:[AwayTeam]], C$1),0), "-", TEXT(SUMIFS(Table1[[HomeWon]:[HomeWon]], Table1[[GameIsOver]:[GameIsOver]],1,Table1[[AwayTeam]:[AwayTeam]],$A9, Table1[[HomeTeam]:[HomeTeam]], C$1, Table1[[ActualResult]:[ActualResult]], "REG") + SUMIFS(Table1[[AwayWon]:[AwayWon]], Table1[[GameIsOver]:[GameIsOver]],1,Table1[[HomeTeam]:[HomeTeam]],$A9, Table1[[AwayTeam]:[AwayTeam]], C$1, Table1[[ActualResult]:[ActualResult]], "REG"),0), "-", TEXT(SUMIFS(Table1[[HomeWon]:[HomeWon]], Table1[[GameIsOver]:[GameIsOver]],1,Table1[[AwayTeam]:[AwayTeam]],$A9, Table1[[HomeTeam]:[HomeTeam]], C$1, Table1[[ActualResult]:[ActualResult]], "OT") + SUMIFS(Table1[[AwayWon]:[AwayWon]], Table1[[GameIsOver]:[GameIsOver]],1,Table1[[HomeTeam]:[HomeTeam]],$A9, Table1[[AwayTeam]:[AwayTeam]], C$1, Table1[[ActualResult]:[ActualResult]], "OT") + SUMIFS(Table1[[HomeWon]:[HomeWon]], Table1[[GameIsOver]:[GameIsOver]],1,Table1[[AwayTeam]:[AwayTeam]],$A9, Table1[[HomeTeam]:[HomeTeam]], C$1, Table1[[ActualResult]:[ActualResult]], "SO") + SUMIFS(Table1[[AwayWon]:[AwayWon]], Table1[[GameIsOver]:[GameIsOver]],1,Table1[[HomeTeam]:[HomeTeam]],$A9, Table1[[AwayTeam]:[AwayTeam]], C$1, Table1[[ActualResult]:[ActualResult]], "SO"),0))</f>
        <v>0-0-0</v>
      </c>
      <c r="D9" s="61" t="str">
        <f>_xlfn.CONCAT(TEXT(SUMIFS(Table1[[AwayWon]:[AwayWon]], Table1[[GameIsOver]:[GameIsOver]],1,Table1[[AwayTeam]:[AwayTeam]],$A9, Table1[[HomeTeam]:[HomeTeam]], D$1) + SUMIFS(Table1[[HomeWon]:[HomeWon]], Table1[[GameIsOver]:[GameIsOver]],1,Table1[[HomeTeam]:[HomeTeam]],$A9, Table1[[AwayTeam]:[AwayTeam]], D$1),0), "-", TEXT(SUMIFS(Table1[[HomeWon]:[HomeWon]], Table1[[GameIsOver]:[GameIsOver]],1,Table1[[AwayTeam]:[AwayTeam]],$A9, Table1[[HomeTeam]:[HomeTeam]], D$1, Table1[[ActualResult]:[ActualResult]], "REG") + SUMIFS(Table1[[AwayWon]:[AwayWon]], Table1[[GameIsOver]:[GameIsOver]],1,Table1[[HomeTeam]:[HomeTeam]],$A9, Table1[[AwayTeam]:[AwayTeam]], D$1, Table1[[ActualResult]:[ActualResult]], "REG"),0), "-", TEXT(SUMIFS(Table1[[HomeWon]:[HomeWon]], Table1[[GameIsOver]:[GameIsOver]],1,Table1[[AwayTeam]:[AwayTeam]],$A9, Table1[[HomeTeam]:[HomeTeam]], D$1, Table1[[ActualResult]:[ActualResult]], "OT") + SUMIFS(Table1[[AwayWon]:[AwayWon]], Table1[[GameIsOver]:[GameIsOver]],1,Table1[[HomeTeam]:[HomeTeam]],$A9, Table1[[AwayTeam]:[AwayTeam]], D$1, Table1[[ActualResult]:[ActualResult]], "OT") + SUMIFS(Table1[[HomeWon]:[HomeWon]], Table1[[GameIsOver]:[GameIsOver]],1,Table1[[AwayTeam]:[AwayTeam]],$A9, Table1[[HomeTeam]:[HomeTeam]], D$1, Table1[[ActualResult]:[ActualResult]], "SO") + SUMIFS(Table1[[AwayWon]:[AwayWon]], Table1[[GameIsOver]:[GameIsOver]],1,Table1[[HomeTeam]:[HomeTeam]],$A9, Table1[[AwayTeam]:[AwayTeam]], D$1, Table1[[ActualResult]:[ActualResult]], "SO"),0))</f>
        <v>0-0-0</v>
      </c>
      <c r="E9" s="61" t="str">
        <f>_xlfn.CONCAT(TEXT(SUMIFS(Table1[[AwayWon]:[AwayWon]], Table1[[GameIsOver]:[GameIsOver]],1,Table1[[AwayTeam]:[AwayTeam]],$A9, Table1[[HomeTeam]:[HomeTeam]], E$1) + SUMIFS(Table1[[HomeWon]:[HomeWon]], Table1[[GameIsOver]:[GameIsOver]],1,Table1[[HomeTeam]:[HomeTeam]],$A9, Table1[[AwayTeam]:[AwayTeam]], E$1),0), "-", TEXT(SUMIFS(Table1[[HomeWon]:[HomeWon]], Table1[[GameIsOver]:[GameIsOver]],1,Table1[[AwayTeam]:[AwayTeam]],$A9, Table1[[HomeTeam]:[HomeTeam]], E$1, Table1[[ActualResult]:[ActualResult]], "REG") + SUMIFS(Table1[[AwayWon]:[AwayWon]], Table1[[GameIsOver]:[GameIsOver]],1,Table1[[HomeTeam]:[HomeTeam]],$A9, Table1[[AwayTeam]:[AwayTeam]], E$1, Table1[[ActualResult]:[ActualResult]], "REG"),0), "-", TEXT(SUMIFS(Table1[[HomeWon]:[HomeWon]], Table1[[GameIsOver]:[GameIsOver]],1,Table1[[AwayTeam]:[AwayTeam]],$A9, Table1[[HomeTeam]:[HomeTeam]], E$1, Table1[[ActualResult]:[ActualResult]], "OT") + SUMIFS(Table1[[AwayWon]:[AwayWon]], Table1[[GameIsOver]:[GameIsOver]],1,Table1[[HomeTeam]:[HomeTeam]],$A9, Table1[[AwayTeam]:[AwayTeam]], E$1, Table1[[ActualResult]:[ActualResult]], "OT") + SUMIFS(Table1[[HomeWon]:[HomeWon]], Table1[[GameIsOver]:[GameIsOver]],1,Table1[[AwayTeam]:[AwayTeam]],$A9, Table1[[HomeTeam]:[HomeTeam]], E$1, Table1[[ActualResult]:[ActualResult]], "SO") + SUMIFS(Table1[[AwayWon]:[AwayWon]], Table1[[GameIsOver]:[GameIsOver]],1,Table1[[HomeTeam]:[HomeTeam]],$A9, Table1[[AwayTeam]:[AwayTeam]], E$1, Table1[[ActualResult]:[ActualResult]], "SO"),0))</f>
        <v>0-0-0</v>
      </c>
      <c r="F9" s="61" t="str">
        <f>_xlfn.CONCAT(TEXT(SUMIFS(Table1[[AwayWon]:[AwayWon]], Table1[[GameIsOver]:[GameIsOver]],1,Table1[[AwayTeam]:[AwayTeam]],$A9, Table1[[HomeTeam]:[HomeTeam]], F$1) + SUMIFS(Table1[[HomeWon]:[HomeWon]], Table1[[GameIsOver]:[GameIsOver]],1,Table1[[HomeTeam]:[HomeTeam]],$A9, Table1[[AwayTeam]:[AwayTeam]], F$1),0), "-", TEXT(SUMIFS(Table1[[HomeWon]:[HomeWon]], Table1[[GameIsOver]:[GameIsOver]],1,Table1[[AwayTeam]:[AwayTeam]],$A9, Table1[[HomeTeam]:[HomeTeam]], F$1, Table1[[ActualResult]:[ActualResult]], "REG") + SUMIFS(Table1[[AwayWon]:[AwayWon]], Table1[[GameIsOver]:[GameIsOver]],1,Table1[[HomeTeam]:[HomeTeam]],$A9, Table1[[AwayTeam]:[AwayTeam]], F$1, Table1[[ActualResult]:[ActualResult]], "REG"),0), "-", TEXT(SUMIFS(Table1[[HomeWon]:[HomeWon]], Table1[[GameIsOver]:[GameIsOver]],1,Table1[[AwayTeam]:[AwayTeam]],$A9, Table1[[HomeTeam]:[HomeTeam]], F$1, Table1[[ActualResult]:[ActualResult]], "OT") + SUMIFS(Table1[[AwayWon]:[AwayWon]], Table1[[GameIsOver]:[GameIsOver]],1,Table1[[HomeTeam]:[HomeTeam]],$A9, Table1[[AwayTeam]:[AwayTeam]], F$1, Table1[[ActualResult]:[ActualResult]], "OT") + SUMIFS(Table1[[HomeWon]:[HomeWon]], Table1[[GameIsOver]:[GameIsOver]],1,Table1[[AwayTeam]:[AwayTeam]],$A9, Table1[[HomeTeam]:[HomeTeam]], F$1, Table1[[ActualResult]:[ActualResult]], "SO") + SUMIFS(Table1[[AwayWon]:[AwayWon]], Table1[[GameIsOver]:[GameIsOver]],1,Table1[[HomeTeam]:[HomeTeam]],$A9, Table1[[AwayTeam]:[AwayTeam]], F$1, Table1[[ActualResult]:[ActualResult]], "SO"),0))</f>
        <v>0-0-0</v>
      </c>
      <c r="G9" s="61" t="str">
        <f>_xlfn.CONCAT(TEXT(SUMIFS(Table1[[AwayWon]:[AwayWon]], Table1[[GameIsOver]:[GameIsOver]],1,Table1[[AwayTeam]:[AwayTeam]],$A9, Table1[[HomeTeam]:[HomeTeam]], G$1) + SUMIFS(Table1[[HomeWon]:[HomeWon]], Table1[[GameIsOver]:[GameIsOver]],1,Table1[[HomeTeam]:[HomeTeam]],$A9, Table1[[AwayTeam]:[AwayTeam]], G$1),0), "-", TEXT(SUMIFS(Table1[[HomeWon]:[HomeWon]], Table1[[GameIsOver]:[GameIsOver]],1,Table1[[AwayTeam]:[AwayTeam]],$A9, Table1[[HomeTeam]:[HomeTeam]], G$1, Table1[[ActualResult]:[ActualResult]], "REG") + SUMIFS(Table1[[AwayWon]:[AwayWon]], Table1[[GameIsOver]:[GameIsOver]],1,Table1[[HomeTeam]:[HomeTeam]],$A9, Table1[[AwayTeam]:[AwayTeam]], G$1, Table1[[ActualResult]:[ActualResult]], "REG"),0), "-", TEXT(SUMIFS(Table1[[HomeWon]:[HomeWon]], Table1[[GameIsOver]:[GameIsOver]],1,Table1[[AwayTeam]:[AwayTeam]],$A9, Table1[[HomeTeam]:[HomeTeam]], G$1, Table1[[ActualResult]:[ActualResult]], "OT") + SUMIFS(Table1[[AwayWon]:[AwayWon]], Table1[[GameIsOver]:[GameIsOver]],1,Table1[[HomeTeam]:[HomeTeam]],$A9, Table1[[AwayTeam]:[AwayTeam]], G$1, Table1[[ActualResult]:[ActualResult]], "OT") + SUMIFS(Table1[[HomeWon]:[HomeWon]], Table1[[GameIsOver]:[GameIsOver]],1,Table1[[AwayTeam]:[AwayTeam]],$A9, Table1[[HomeTeam]:[HomeTeam]], G$1, Table1[[ActualResult]:[ActualResult]], "SO") + SUMIFS(Table1[[AwayWon]:[AwayWon]], Table1[[GameIsOver]:[GameIsOver]],1,Table1[[HomeTeam]:[HomeTeam]],$A9, Table1[[AwayTeam]:[AwayTeam]], G$1, Table1[[ActualResult]:[ActualResult]], "SO"),0))</f>
        <v>0-0-0</v>
      </c>
      <c r="H9" s="61" t="str">
        <f>_xlfn.CONCAT(TEXT(SUMIFS(Table1[[AwayWon]:[AwayWon]], Table1[[GameIsOver]:[GameIsOver]],1,Table1[[AwayTeam]:[AwayTeam]],$A9, Table1[[HomeTeam]:[HomeTeam]], H$1) + SUMIFS(Table1[[HomeWon]:[HomeWon]], Table1[[GameIsOver]:[GameIsOver]],1,Table1[[HomeTeam]:[HomeTeam]],$A9, Table1[[AwayTeam]:[AwayTeam]], H$1),0), "-", TEXT(SUMIFS(Table1[[HomeWon]:[HomeWon]], Table1[[GameIsOver]:[GameIsOver]],1,Table1[[AwayTeam]:[AwayTeam]],$A9, Table1[[HomeTeam]:[HomeTeam]], H$1, Table1[[ActualResult]:[ActualResult]], "REG") + SUMIFS(Table1[[AwayWon]:[AwayWon]], Table1[[GameIsOver]:[GameIsOver]],1,Table1[[HomeTeam]:[HomeTeam]],$A9, Table1[[AwayTeam]:[AwayTeam]], H$1, Table1[[ActualResult]:[ActualResult]], "REG"),0), "-", TEXT(SUMIFS(Table1[[HomeWon]:[HomeWon]], Table1[[GameIsOver]:[GameIsOver]],1,Table1[[AwayTeam]:[AwayTeam]],$A9, Table1[[HomeTeam]:[HomeTeam]], H$1, Table1[[ActualResult]:[ActualResult]], "OT") + SUMIFS(Table1[[AwayWon]:[AwayWon]], Table1[[GameIsOver]:[GameIsOver]],1,Table1[[HomeTeam]:[HomeTeam]],$A9, Table1[[AwayTeam]:[AwayTeam]], H$1, Table1[[ActualResult]:[ActualResult]], "OT") + SUMIFS(Table1[[HomeWon]:[HomeWon]], Table1[[GameIsOver]:[GameIsOver]],1,Table1[[AwayTeam]:[AwayTeam]],$A9, Table1[[HomeTeam]:[HomeTeam]], H$1, Table1[[ActualResult]:[ActualResult]], "SO") + SUMIFS(Table1[[AwayWon]:[AwayWon]], Table1[[GameIsOver]:[GameIsOver]],1,Table1[[HomeTeam]:[HomeTeam]],$A9, Table1[[AwayTeam]:[AwayTeam]], H$1, Table1[[ActualResult]:[ActualResult]], "SO"),0))</f>
        <v>1-0-0</v>
      </c>
      <c r="I9" s="62" t="str">
        <f>_xlfn.CONCAT(TEXT(SUMIFS(Table1[[AwayWon]:[AwayWon]], Table1[[GameIsOver]:[GameIsOver]],1,Table1[[AwayTeam]:[AwayTeam]],$A9, Table1[[HomeTeam]:[HomeTeam]], I$1) + SUMIFS(Table1[[HomeWon]:[HomeWon]], Table1[[GameIsOver]:[GameIsOver]],1,Table1[[HomeTeam]:[HomeTeam]],$A9, Table1[[AwayTeam]:[AwayTeam]], I$1),0), "-", TEXT(SUMIFS(Table1[[HomeWon]:[HomeWon]], Table1[[GameIsOver]:[GameIsOver]],1,Table1[[AwayTeam]:[AwayTeam]],$A9, Table1[[HomeTeam]:[HomeTeam]], I$1, Table1[[ActualResult]:[ActualResult]], "REG") + SUMIFS(Table1[[AwayWon]:[AwayWon]], Table1[[GameIsOver]:[GameIsOver]],1,Table1[[HomeTeam]:[HomeTeam]],$A9, Table1[[AwayTeam]:[AwayTeam]], I$1, Table1[[ActualResult]:[ActualResult]], "REG"),0), "-", TEXT(SUMIFS(Table1[[HomeWon]:[HomeWon]], Table1[[GameIsOver]:[GameIsOver]],1,Table1[[AwayTeam]:[AwayTeam]],$A9, Table1[[HomeTeam]:[HomeTeam]], I$1, Table1[[ActualResult]:[ActualResult]], "OT") + SUMIFS(Table1[[AwayWon]:[AwayWon]], Table1[[GameIsOver]:[GameIsOver]],1,Table1[[HomeTeam]:[HomeTeam]],$A9, Table1[[AwayTeam]:[AwayTeam]], I$1, Table1[[ActualResult]:[ActualResult]], "OT") + SUMIFS(Table1[[HomeWon]:[HomeWon]], Table1[[GameIsOver]:[GameIsOver]],1,Table1[[AwayTeam]:[AwayTeam]],$A9, Table1[[HomeTeam]:[HomeTeam]], I$1, Table1[[ActualResult]:[ActualResult]], "SO") + SUMIFS(Table1[[AwayWon]:[AwayWon]], Table1[[GameIsOver]:[GameIsOver]],1,Table1[[HomeTeam]:[HomeTeam]],$A9, Table1[[AwayTeam]:[AwayTeam]], I$1, Table1[[ActualResult]:[ActualResult]], "SO"),0))</f>
        <v>0-0-0</v>
      </c>
      <c r="J9" s="61" t="str">
        <f>_xlfn.CONCAT(TEXT(SUMIFS(Table1[[AwayWon]:[AwayWon]], Table1[[GameIsOver]:[GameIsOver]],1,Table1[[AwayTeam]:[AwayTeam]],$A9, Table1[[HomeTeam]:[HomeTeam]], J$1) + SUMIFS(Table1[[HomeWon]:[HomeWon]], Table1[[GameIsOver]:[GameIsOver]],1,Table1[[HomeTeam]:[HomeTeam]],$A9, Table1[[AwayTeam]:[AwayTeam]], J$1),0), "-", TEXT(SUMIFS(Table1[[HomeWon]:[HomeWon]], Table1[[GameIsOver]:[GameIsOver]],1,Table1[[AwayTeam]:[AwayTeam]],$A9, Table1[[HomeTeam]:[HomeTeam]], J$1, Table1[[ActualResult]:[ActualResult]], "REG") + SUMIFS(Table1[[AwayWon]:[AwayWon]], Table1[[GameIsOver]:[GameIsOver]],1,Table1[[HomeTeam]:[HomeTeam]],$A9, Table1[[AwayTeam]:[AwayTeam]], J$1, Table1[[ActualResult]:[ActualResult]], "REG"),0), "-", TEXT(SUMIFS(Table1[[HomeWon]:[HomeWon]], Table1[[GameIsOver]:[GameIsOver]],1,Table1[[AwayTeam]:[AwayTeam]],$A9, Table1[[HomeTeam]:[HomeTeam]], J$1, Table1[[ActualResult]:[ActualResult]], "OT") + SUMIFS(Table1[[AwayWon]:[AwayWon]], Table1[[GameIsOver]:[GameIsOver]],1,Table1[[HomeTeam]:[HomeTeam]],$A9, Table1[[AwayTeam]:[AwayTeam]], J$1, Table1[[ActualResult]:[ActualResult]], "OT") + SUMIFS(Table1[[HomeWon]:[HomeWon]], Table1[[GameIsOver]:[GameIsOver]],1,Table1[[AwayTeam]:[AwayTeam]],$A9, Table1[[HomeTeam]:[HomeTeam]], J$1, Table1[[ActualResult]:[ActualResult]], "SO") + SUMIFS(Table1[[AwayWon]:[AwayWon]], Table1[[GameIsOver]:[GameIsOver]],1,Table1[[HomeTeam]:[HomeTeam]],$A9, Table1[[AwayTeam]:[AwayTeam]], J$1, Table1[[ActualResult]:[ActualResult]], "SO"),0))</f>
        <v>0-0-0</v>
      </c>
      <c r="K9" s="61" t="str">
        <f>_xlfn.CONCAT(TEXT(SUMIFS(Table1[[AwayWon]:[AwayWon]], Table1[[GameIsOver]:[GameIsOver]],1,Table1[[AwayTeam]:[AwayTeam]],$A9, Table1[[HomeTeam]:[HomeTeam]], K$1) + SUMIFS(Table1[[HomeWon]:[HomeWon]], Table1[[GameIsOver]:[GameIsOver]],1,Table1[[HomeTeam]:[HomeTeam]],$A9, Table1[[AwayTeam]:[AwayTeam]], K$1),0), "-", TEXT(SUMIFS(Table1[[HomeWon]:[HomeWon]], Table1[[GameIsOver]:[GameIsOver]],1,Table1[[AwayTeam]:[AwayTeam]],$A9, Table1[[HomeTeam]:[HomeTeam]], K$1, Table1[[ActualResult]:[ActualResult]], "REG") + SUMIFS(Table1[[AwayWon]:[AwayWon]], Table1[[GameIsOver]:[GameIsOver]],1,Table1[[HomeTeam]:[HomeTeam]],$A9, Table1[[AwayTeam]:[AwayTeam]], K$1, Table1[[ActualResult]:[ActualResult]], "REG"),0), "-", TEXT(SUMIFS(Table1[[HomeWon]:[HomeWon]], Table1[[GameIsOver]:[GameIsOver]],1,Table1[[AwayTeam]:[AwayTeam]],$A9, Table1[[HomeTeam]:[HomeTeam]], K$1, Table1[[ActualResult]:[ActualResult]], "OT") + SUMIFS(Table1[[AwayWon]:[AwayWon]], Table1[[GameIsOver]:[GameIsOver]],1,Table1[[HomeTeam]:[HomeTeam]],$A9, Table1[[AwayTeam]:[AwayTeam]], K$1, Table1[[ActualResult]:[ActualResult]], "OT") + SUMIFS(Table1[[HomeWon]:[HomeWon]], Table1[[GameIsOver]:[GameIsOver]],1,Table1[[AwayTeam]:[AwayTeam]],$A9, Table1[[HomeTeam]:[HomeTeam]], K$1, Table1[[ActualResult]:[ActualResult]], "SO") + SUMIFS(Table1[[AwayWon]:[AwayWon]], Table1[[GameIsOver]:[GameIsOver]],1,Table1[[HomeTeam]:[HomeTeam]],$A9, Table1[[AwayTeam]:[AwayTeam]], K$1, Table1[[ActualResult]:[ActualResult]], "SO"),0))</f>
        <v>0-0-0</v>
      </c>
      <c r="L9" s="61" t="str">
        <f>_xlfn.CONCAT(TEXT(SUMIFS(Table1[[AwayWon]:[AwayWon]], Table1[[GameIsOver]:[GameIsOver]],1,Table1[[AwayTeam]:[AwayTeam]],$A9, Table1[[HomeTeam]:[HomeTeam]], L$1) + SUMIFS(Table1[[HomeWon]:[HomeWon]], Table1[[GameIsOver]:[GameIsOver]],1,Table1[[HomeTeam]:[HomeTeam]],$A9, Table1[[AwayTeam]:[AwayTeam]], L$1),0), "-", TEXT(SUMIFS(Table1[[HomeWon]:[HomeWon]], Table1[[GameIsOver]:[GameIsOver]],1,Table1[[AwayTeam]:[AwayTeam]],$A9, Table1[[HomeTeam]:[HomeTeam]], L$1, Table1[[ActualResult]:[ActualResult]], "REG") + SUMIFS(Table1[[AwayWon]:[AwayWon]], Table1[[GameIsOver]:[GameIsOver]],1,Table1[[HomeTeam]:[HomeTeam]],$A9, Table1[[AwayTeam]:[AwayTeam]], L$1, Table1[[ActualResult]:[ActualResult]], "REG"),0), "-", TEXT(SUMIFS(Table1[[HomeWon]:[HomeWon]], Table1[[GameIsOver]:[GameIsOver]],1,Table1[[AwayTeam]:[AwayTeam]],$A9, Table1[[HomeTeam]:[HomeTeam]], L$1, Table1[[ActualResult]:[ActualResult]], "OT") + SUMIFS(Table1[[AwayWon]:[AwayWon]], Table1[[GameIsOver]:[GameIsOver]],1,Table1[[HomeTeam]:[HomeTeam]],$A9, Table1[[AwayTeam]:[AwayTeam]], L$1, Table1[[ActualResult]:[ActualResult]], "OT") + SUMIFS(Table1[[HomeWon]:[HomeWon]], Table1[[GameIsOver]:[GameIsOver]],1,Table1[[AwayTeam]:[AwayTeam]],$A9, Table1[[HomeTeam]:[HomeTeam]], L$1, Table1[[ActualResult]:[ActualResult]], "SO") + SUMIFS(Table1[[AwayWon]:[AwayWon]], Table1[[GameIsOver]:[GameIsOver]],1,Table1[[HomeTeam]:[HomeTeam]],$A9, Table1[[AwayTeam]:[AwayTeam]], L$1, Table1[[ActualResult]:[ActualResult]], "SO"),0))</f>
        <v>0-0-0</v>
      </c>
      <c r="M9" s="61" t="str">
        <f>_xlfn.CONCAT(TEXT(SUMIFS(Table1[[AwayWon]:[AwayWon]], Table1[[GameIsOver]:[GameIsOver]],1,Table1[[AwayTeam]:[AwayTeam]],$A9, Table1[[HomeTeam]:[HomeTeam]], M$1) + SUMIFS(Table1[[HomeWon]:[HomeWon]], Table1[[GameIsOver]:[GameIsOver]],1,Table1[[HomeTeam]:[HomeTeam]],$A9, Table1[[AwayTeam]:[AwayTeam]], M$1),0), "-", TEXT(SUMIFS(Table1[[HomeWon]:[HomeWon]], Table1[[GameIsOver]:[GameIsOver]],1,Table1[[AwayTeam]:[AwayTeam]],$A9, Table1[[HomeTeam]:[HomeTeam]], M$1, Table1[[ActualResult]:[ActualResult]], "REG") + SUMIFS(Table1[[AwayWon]:[AwayWon]], Table1[[GameIsOver]:[GameIsOver]],1,Table1[[HomeTeam]:[HomeTeam]],$A9, Table1[[AwayTeam]:[AwayTeam]], M$1, Table1[[ActualResult]:[ActualResult]], "REG"),0), "-", TEXT(SUMIFS(Table1[[HomeWon]:[HomeWon]], Table1[[GameIsOver]:[GameIsOver]],1,Table1[[AwayTeam]:[AwayTeam]],$A9, Table1[[HomeTeam]:[HomeTeam]], M$1, Table1[[ActualResult]:[ActualResult]], "OT") + SUMIFS(Table1[[AwayWon]:[AwayWon]], Table1[[GameIsOver]:[GameIsOver]],1,Table1[[HomeTeam]:[HomeTeam]],$A9, Table1[[AwayTeam]:[AwayTeam]], M$1, Table1[[ActualResult]:[ActualResult]], "OT") + SUMIFS(Table1[[HomeWon]:[HomeWon]], Table1[[GameIsOver]:[GameIsOver]],1,Table1[[AwayTeam]:[AwayTeam]],$A9, Table1[[HomeTeam]:[HomeTeam]], M$1, Table1[[ActualResult]:[ActualResult]], "SO") + SUMIFS(Table1[[AwayWon]:[AwayWon]], Table1[[GameIsOver]:[GameIsOver]],1,Table1[[HomeTeam]:[HomeTeam]],$A9, Table1[[AwayTeam]:[AwayTeam]], M$1, Table1[[ActualResult]:[ActualResult]], "SO"),0))</f>
        <v>0-0-0</v>
      </c>
      <c r="N9" s="61" t="str">
        <f>_xlfn.CONCAT(TEXT(SUMIFS(Table1[[AwayWon]:[AwayWon]], Table1[[GameIsOver]:[GameIsOver]],1,Table1[[AwayTeam]:[AwayTeam]],$A9, Table1[[HomeTeam]:[HomeTeam]], N$1) + SUMIFS(Table1[[HomeWon]:[HomeWon]], Table1[[GameIsOver]:[GameIsOver]],1,Table1[[HomeTeam]:[HomeTeam]],$A9, Table1[[AwayTeam]:[AwayTeam]], N$1),0), "-", TEXT(SUMIFS(Table1[[HomeWon]:[HomeWon]], Table1[[GameIsOver]:[GameIsOver]],1,Table1[[AwayTeam]:[AwayTeam]],$A9, Table1[[HomeTeam]:[HomeTeam]], N$1, Table1[[ActualResult]:[ActualResult]], "REG") + SUMIFS(Table1[[AwayWon]:[AwayWon]], Table1[[GameIsOver]:[GameIsOver]],1,Table1[[HomeTeam]:[HomeTeam]],$A9, Table1[[AwayTeam]:[AwayTeam]], N$1, Table1[[ActualResult]:[ActualResult]], "REG"),0), "-", TEXT(SUMIFS(Table1[[HomeWon]:[HomeWon]], Table1[[GameIsOver]:[GameIsOver]],1,Table1[[AwayTeam]:[AwayTeam]],$A9, Table1[[HomeTeam]:[HomeTeam]], N$1, Table1[[ActualResult]:[ActualResult]], "OT") + SUMIFS(Table1[[AwayWon]:[AwayWon]], Table1[[GameIsOver]:[GameIsOver]],1,Table1[[HomeTeam]:[HomeTeam]],$A9, Table1[[AwayTeam]:[AwayTeam]], N$1, Table1[[ActualResult]:[ActualResult]], "OT") + SUMIFS(Table1[[HomeWon]:[HomeWon]], Table1[[GameIsOver]:[GameIsOver]],1,Table1[[AwayTeam]:[AwayTeam]],$A9, Table1[[HomeTeam]:[HomeTeam]], N$1, Table1[[ActualResult]:[ActualResult]], "SO") + SUMIFS(Table1[[AwayWon]:[AwayWon]], Table1[[GameIsOver]:[GameIsOver]],1,Table1[[HomeTeam]:[HomeTeam]],$A9, Table1[[AwayTeam]:[AwayTeam]], N$1, Table1[[ActualResult]:[ActualResult]], "SO"),0))</f>
        <v>0-0-0</v>
      </c>
      <c r="O9" s="61" t="str">
        <f>_xlfn.CONCAT(TEXT(SUMIFS(Table1[[AwayWon]:[AwayWon]], Table1[[GameIsOver]:[GameIsOver]],1,Table1[[AwayTeam]:[AwayTeam]],$A9, Table1[[HomeTeam]:[HomeTeam]], O$1) + SUMIFS(Table1[[HomeWon]:[HomeWon]], Table1[[GameIsOver]:[GameIsOver]],1,Table1[[HomeTeam]:[HomeTeam]],$A9, Table1[[AwayTeam]:[AwayTeam]], O$1),0), "-", TEXT(SUMIFS(Table1[[HomeWon]:[HomeWon]], Table1[[GameIsOver]:[GameIsOver]],1,Table1[[AwayTeam]:[AwayTeam]],$A9, Table1[[HomeTeam]:[HomeTeam]], O$1, Table1[[ActualResult]:[ActualResult]], "REG") + SUMIFS(Table1[[AwayWon]:[AwayWon]], Table1[[GameIsOver]:[GameIsOver]],1,Table1[[HomeTeam]:[HomeTeam]],$A9, Table1[[AwayTeam]:[AwayTeam]], O$1, Table1[[ActualResult]:[ActualResult]], "REG"),0), "-", TEXT(SUMIFS(Table1[[HomeWon]:[HomeWon]], Table1[[GameIsOver]:[GameIsOver]],1,Table1[[AwayTeam]:[AwayTeam]],$A9, Table1[[HomeTeam]:[HomeTeam]], O$1, Table1[[ActualResult]:[ActualResult]], "OT") + SUMIFS(Table1[[AwayWon]:[AwayWon]], Table1[[GameIsOver]:[GameIsOver]],1,Table1[[HomeTeam]:[HomeTeam]],$A9, Table1[[AwayTeam]:[AwayTeam]], O$1, Table1[[ActualResult]:[ActualResult]], "OT") + SUMIFS(Table1[[HomeWon]:[HomeWon]], Table1[[GameIsOver]:[GameIsOver]],1,Table1[[AwayTeam]:[AwayTeam]],$A9, Table1[[HomeTeam]:[HomeTeam]], O$1, Table1[[ActualResult]:[ActualResult]], "SO") + SUMIFS(Table1[[AwayWon]:[AwayWon]], Table1[[GameIsOver]:[GameIsOver]],1,Table1[[HomeTeam]:[HomeTeam]],$A9, Table1[[AwayTeam]:[AwayTeam]], O$1, Table1[[ActualResult]:[ActualResult]], "SO"),0))</f>
        <v>0-0-0</v>
      </c>
      <c r="P9" s="61" t="str">
        <f>_xlfn.CONCAT(TEXT(SUMIFS(Table1[[AwayWon]:[AwayWon]], Table1[[GameIsOver]:[GameIsOver]],1,Table1[[AwayTeam]:[AwayTeam]],$A9, Table1[[HomeTeam]:[HomeTeam]], P$1) + SUMIFS(Table1[[HomeWon]:[HomeWon]], Table1[[GameIsOver]:[GameIsOver]],1,Table1[[HomeTeam]:[HomeTeam]],$A9, Table1[[AwayTeam]:[AwayTeam]], P$1),0), "-", TEXT(SUMIFS(Table1[[HomeWon]:[HomeWon]], Table1[[GameIsOver]:[GameIsOver]],1,Table1[[AwayTeam]:[AwayTeam]],$A9, Table1[[HomeTeam]:[HomeTeam]], P$1, Table1[[ActualResult]:[ActualResult]], "REG") + SUMIFS(Table1[[AwayWon]:[AwayWon]], Table1[[GameIsOver]:[GameIsOver]],1,Table1[[HomeTeam]:[HomeTeam]],$A9, Table1[[AwayTeam]:[AwayTeam]], P$1, Table1[[ActualResult]:[ActualResult]], "REG"),0), "-", TEXT(SUMIFS(Table1[[HomeWon]:[HomeWon]], Table1[[GameIsOver]:[GameIsOver]],1,Table1[[AwayTeam]:[AwayTeam]],$A9, Table1[[HomeTeam]:[HomeTeam]], P$1, Table1[[ActualResult]:[ActualResult]], "OT") + SUMIFS(Table1[[AwayWon]:[AwayWon]], Table1[[GameIsOver]:[GameIsOver]],1,Table1[[HomeTeam]:[HomeTeam]],$A9, Table1[[AwayTeam]:[AwayTeam]], P$1, Table1[[ActualResult]:[ActualResult]], "OT") + SUMIFS(Table1[[HomeWon]:[HomeWon]], Table1[[GameIsOver]:[GameIsOver]],1,Table1[[AwayTeam]:[AwayTeam]],$A9, Table1[[HomeTeam]:[HomeTeam]], P$1, Table1[[ActualResult]:[ActualResult]], "SO") + SUMIFS(Table1[[AwayWon]:[AwayWon]], Table1[[GameIsOver]:[GameIsOver]],1,Table1[[HomeTeam]:[HomeTeam]],$A9, Table1[[AwayTeam]:[AwayTeam]], P$1, Table1[[ActualResult]:[ActualResult]], "SO"),0))</f>
        <v>0-0-0</v>
      </c>
      <c r="Q9" s="62" t="str">
        <f>_xlfn.CONCAT(TEXT(SUMIFS(Table1[[AwayWon]:[AwayWon]], Table1[[GameIsOver]:[GameIsOver]],1,Table1[[AwayTeam]:[AwayTeam]],$A9, Table1[[HomeTeam]:[HomeTeam]], Q$1) + SUMIFS(Table1[[HomeWon]:[HomeWon]], Table1[[GameIsOver]:[GameIsOver]],1,Table1[[HomeTeam]:[HomeTeam]],$A9, Table1[[AwayTeam]:[AwayTeam]], Q$1),0), "-", TEXT(SUMIFS(Table1[[HomeWon]:[HomeWon]], Table1[[GameIsOver]:[GameIsOver]],1,Table1[[AwayTeam]:[AwayTeam]],$A9, Table1[[HomeTeam]:[HomeTeam]], Q$1, Table1[[ActualResult]:[ActualResult]], "REG") + SUMIFS(Table1[[AwayWon]:[AwayWon]], Table1[[GameIsOver]:[GameIsOver]],1,Table1[[HomeTeam]:[HomeTeam]],$A9, Table1[[AwayTeam]:[AwayTeam]], Q$1, Table1[[ActualResult]:[ActualResult]], "REG"),0), "-", TEXT(SUMIFS(Table1[[HomeWon]:[HomeWon]], Table1[[GameIsOver]:[GameIsOver]],1,Table1[[AwayTeam]:[AwayTeam]],$A9, Table1[[HomeTeam]:[HomeTeam]], Q$1, Table1[[ActualResult]:[ActualResult]], "OT") + SUMIFS(Table1[[AwayWon]:[AwayWon]], Table1[[GameIsOver]:[GameIsOver]],1,Table1[[HomeTeam]:[HomeTeam]],$A9, Table1[[AwayTeam]:[AwayTeam]], Q$1, Table1[[ActualResult]:[ActualResult]], "OT") + SUMIFS(Table1[[HomeWon]:[HomeWon]], Table1[[GameIsOver]:[GameIsOver]],1,Table1[[AwayTeam]:[AwayTeam]],$A9, Table1[[HomeTeam]:[HomeTeam]], Q$1, Table1[[ActualResult]:[ActualResult]], "SO") + SUMIFS(Table1[[AwayWon]:[AwayWon]], Table1[[GameIsOver]:[GameIsOver]],1,Table1[[HomeTeam]:[HomeTeam]],$A9, Table1[[AwayTeam]:[AwayTeam]], Q$1, Table1[[ActualResult]:[ActualResult]], "SO"),0))</f>
        <v>0-0-0</v>
      </c>
      <c r="R9" s="61" t="str">
        <f>_xlfn.CONCAT(TEXT(SUMIFS(Table1[[AwayWon]:[AwayWon]], Table1[[GameIsOver]:[GameIsOver]],1,Table1[[AwayTeam]:[AwayTeam]],$A9, Table1[[HomeTeam]:[HomeTeam]], R$1) + SUMIFS(Table1[[HomeWon]:[HomeWon]], Table1[[GameIsOver]:[GameIsOver]],1,Table1[[HomeTeam]:[HomeTeam]],$A9, Table1[[AwayTeam]:[AwayTeam]], R$1),0), "-", TEXT(SUMIFS(Table1[[HomeWon]:[HomeWon]], Table1[[GameIsOver]:[GameIsOver]],1,Table1[[AwayTeam]:[AwayTeam]],$A9, Table1[[HomeTeam]:[HomeTeam]], R$1, Table1[[ActualResult]:[ActualResult]], "REG") + SUMIFS(Table1[[AwayWon]:[AwayWon]], Table1[[GameIsOver]:[GameIsOver]],1,Table1[[HomeTeam]:[HomeTeam]],$A9, Table1[[AwayTeam]:[AwayTeam]], R$1, Table1[[ActualResult]:[ActualResult]], "REG"),0), "-", TEXT(SUMIFS(Table1[[HomeWon]:[HomeWon]], Table1[[GameIsOver]:[GameIsOver]],1,Table1[[AwayTeam]:[AwayTeam]],$A9, Table1[[HomeTeam]:[HomeTeam]], R$1, Table1[[ActualResult]:[ActualResult]], "OT") + SUMIFS(Table1[[AwayWon]:[AwayWon]], Table1[[GameIsOver]:[GameIsOver]],1,Table1[[HomeTeam]:[HomeTeam]],$A9, Table1[[AwayTeam]:[AwayTeam]], R$1, Table1[[ActualResult]:[ActualResult]], "OT") + SUMIFS(Table1[[HomeWon]:[HomeWon]], Table1[[GameIsOver]:[GameIsOver]],1,Table1[[AwayTeam]:[AwayTeam]],$A9, Table1[[HomeTeam]:[HomeTeam]], R$1, Table1[[ActualResult]:[ActualResult]], "SO") + SUMIFS(Table1[[AwayWon]:[AwayWon]], Table1[[GameIsOver]:[GameIsOver]],1,Table1[[HomeTeam]:[HomeTeam]],$A9, Table1[[AwayTeam]:[AwayTeam]], R$1, Table1[[ActualResult]:[ActualResult]], "SO"),0))</f>
        <v>0-0-0</v>
      </c>
      <c r="S9" s="61" t="str">
        <f>_xlfn.CONCAT(TEXT(SUMIFS(Table1[[AwayWon]:[AwayWon]], Table1[[GameIsOver]:[GameIsOver]],1,Table1[[AwayTeam]:[AwayTeam]],$A9, Table1[[HomeTeam]:[HomeTeam]], S$1) + SUMIFS(Table1[[HomeWon]:[HomeWon]], Table1[[GameIsOver]:[GameIsOver]],1,Table1[[HomeTeam]:[HomeTeam]],$A9, Table1[[AwayTeam]:[AwayTeam]], S$1),0), "-", TEXT(SUMIFS(Table1[[HomeWon]:[HomeWon]], Table1[[GameIsOver]:[GameIsOver]],1,Table1[[AwayTeam]:[AwayTeam]],$A9, Table1[[HomeTeam]:[HomeTeam]], S$1, Table1[[ActualResult]:[ActualResult]], "REG") + SUMIFS(Table1[[AwayWon]:[AwayWon]], Table1[[GameIsOver]:[GameIsOver]],1,Table1[[HomeTeam]:[HomeTeam]],$A9, Table1[[AwayTeam]:[AwayTeam]], S$1, Table1[[ActualResult]:[ActualResult]], "REG"),0), "-", TEXT(SUMIFS(Table1[[HomeWon]:[HomeWon]], Table1[[GameIsOver]:[GameIsOver]],1,Table1[[AwayTeam]:[AwayTeam]],$A9, Table1[[HomeTeam]:[HomeTeam]], S$1, Table1[[ActualResult]:[ActualResult]], "OT") + SUMIFS(Table1[[AwayWon]:[AwayWon]], Table1[[GameIsOver]:[GameIsOver]],1,Table1[[HomeTeam]:[HomeTeam]],$A9, Table1[[AwayTeam]:[AwayTeam]], S$1, Table1[[ActualResult]:[ActualResult]], "OT") + SUMIFS(Table1[[HomeWon]:[HomeWon]], Table1[[GameIsOver]:[GameIsOver]],1,Table1[[AwayTeam]:[AwayTeam]],$A9, Table1[[HomeTeam]:[HomeTeam]], S$1, Table1[[ActualResult]:[ActualResult]], "SO") + SUMIFS(Table1[[AwayWon]:[AwayWon]], Table1[[GameIsOver]:[GameIsOver]],1,Table1[[HomeTeam]:[HomeTeam]],$A9, Table1[[AwayTeam]:[AwayTeam]], S$1, Table1[[ActualResult]:[ActualResult]], "SO"),0))</f>
        <v>0-0-0</v>
      </c>
      <c r="T9" s="61" t="str">
        <f>_xlfn.CONCAT(TEXT(SUMIFS(Table1[[AwayWon]:[AwayWon]], Table1[[GameIsOver]:[GameIsOver]],1,Table1[[AwayTeam]:[AwayTeam]],$A9, Table1[[HomeTeam]:[HomeTeam]], T$1) + SUMIFS(Table1[[HomeWon]:[HomeWon]], Table1[[GameIsOver]:[GameIsOver]],1,Table1[[HomeTeam]:[HomeTeam]],$A9, Table1[[AwayTeam]:[AwayTeam]], T$1),0), "-", TEXT(SUMIFS(Table1[[HomeWon]:[HomeWon]], Table1[[GameIsOver]:[GameIsOver]],1,Table1[[AwayTeam]:[AwayTeam]],$A9, Table1[[HomeTeam]:[HomeTeam]], T$1, Table1[[ActualResult]:[ActualResult]], "REG") + SUMIFS(Table1[[AwayWon]:[AwayWon]], Table1[[GameIsOver]:[GameIsOver]],1,Table1[[HomeTeam]:[HomeTeam]],$A9, Table1[[AwayTeam]:[AwayTeam]], T$1, Table1[[ActualResult]:[ActualResult]], "REG"),0), "-", TEXT(SUMIFS(Table1[[HomeWon]:[HomeWon]], Table1[[GameIsOver]:[GameIsOver]],1,Table1[[AwayTeam]:[AwayTeam]],$A9, Table1[[HomeTeam]:[HomeTeam]], T$1, Table1[[ActualResult]:[ActualResult]], "OT") + SUMIFS(Table1[[AwayWon]:[AwayWon]], Table1[[GameIsOver]:[GameIsOver]],1,Table1[[HomeTeam]:[HomeTeam]],$A9, Table1[[AwayTeam]:[AwayTeam]], T$1, Table1[[ActualResult]:[ActualResult]], "OT") + SUMIFS(Table1[[HomeWon]:[HomeWon]], Table1[[GameIsOver]:[GameIsOver]],1,Table1[[AwayTeam]:[AwayTeam]],$A9, Table1[[HomeTeam]:[HomeTeam]], T$1, Table1[[ActualResult]:[ActualResult]], "SO") + SUMIFS(Table1[[AwayWon]:[AwayWon]], Table1[[GameIsOver]:[GameIsOver]],1,Table1[[HomeTeam]:[HomeTeam]],$A9, Table1[[AwayTeam]:[AwayTeam]], T$1, Table1[[ActualResult]:[ActualResult]], "SO"),0))</f>
        <v>0-0-0</v>
      </c>
      <c r="U9" s="61" t="str">
        <f>_xlfn.CONCAT(TEXT(SUMIFS(Table1[[AwayWon]:[AwayWon]], Table1[[GameIsOver]:[GameIsOver]],1,Table1[[AwayTeam]:[AwayTeam]],$A9, Table1[[HomeTeam]:[HomeTeam]], U$1) + SUMIFS(Table1[[HomeWon]:[HomeWon]], Table1[[GameIsOver]:[GameIsOver]],1,Table1[[HomeTeam]:[HomeTeam]],$A9, Table1[[AwayTeam]:[AwayTeam]], U$1),0), "-", TEXT(SUMIFS(Table1[[HomeWon]:[HomeWon]], Table1[[GameIsOver]:[GameIsOver]],1,Table1[[AwayTeam]:[AwayTeam]],$A9, Table1[[HomeTeam]:[HomeTeam]], U$1, Table1[[ActualResult]:[ActualResult]], "REG") + SUMIFS(Table1[[AwayWon]:[AwayWon]], Table1[[GameIsOver]:[GameIsOver]],1,Table1[[HomeTeam]:[HomeTeam]],$A9, Table1[[AwayTeam]:[AwayTeam]], U$1, Table1[[ActualResult]:[ActualResult]], "REG"),0), "-", TEXT(SUMIFS(Table1[[HomeWon]:[HomeWon]], Table1[[GameIsOver]:[GameIsOver]],1,Table1[[AwayTeam]:[AwayTeam]],$A9, Table1[[HomeTeam]:[HomeTeam]], U$1, Table1[[ActualResult]:[ActualResult]], "OT") + SUMIFS(Table1[[AwayWon]:[AwayWon]], Table1[[GameIsOver]:[GameIsOver]],1,Table1[[HomeTeam]:[HomeTeam]],$A9, Table1[[AwayTeam]:[AwayTeam]], U$1, Table1[[ActualResult]:[ActualResult]], "OT") + SUMIFS(Table1[[HomeWon]:[HomeWon]], Table1[[GameIsOver]:[GameIsOver]],1,Table1[[AwayTeam]:[AwayTeam]],$A9, Table1[[HomeTeam]:[HomeTeam]], U$1, Table1[[ActualResult]:[ActualResult]], "SO") + SUMIFS(Table1[[AwayWon]:[AwayWon]], Table1[[GameIsOver]:[GameIsOver]],1,Table1[[HomeTeam]:[HomeTeam]],$A9, Table1[[AwayTeam]:[AwayTeam]], U$1, Table1[[ActualResult]:[ActualResult]], "SO"),0))</f>
        <v>0-0-0</v>
      </c>
      <c r="V9" s="61" t="str">
        <f>_xlfn.CONCAT(TEXT(SUMIFS(Table1[[AwayWon]:[AwayWon]], Table1[[GameIsOver]:[GameIsOver]],1,Table1[[AwayTeam]:[AwayTeam]],$A9, Table1[[HomeTeam]:[HomeTeam]], V$1) + SUMIFS(Table1[[HomeWon]:[HomeWon]], Table1[[GameIsOver]:[GameIsOver]],1,Table1[[HomeTeam]:[HomeTeam]],$A9, Table1[[AwayTeam]:[AwayTeam]], V$1),0), "-", TEXT(SUMIFS(Table1[[HomeWon]:[HomeWon]], Table1[[GameIsOver]:[GameIsOver]],1,Table1[[AwayTeam]:[AwayTeam]],$A9, Table1[[HomeTeam]:[HomeTeam]], V$1, Table1[[ActualResult]:[ActualResult]], "REG") + SUMIFS(Table1[[AwayWon]:[AwayWon]], Table1[[GameIsOver]:[GameIsOver]],1,Table1[[HomeTeam]:[HomeTeam]],$A9, Table1[[AwayTeam]:[AwayTeam]], V$1, Table1[[ActualResult]:[ActualResult]], "REG"),0), "-", TEXT(SUMIFS(Table1[[HomeWon]:[HomeWon]], Table1[[GameIsOver]:[GameIsOver]],1,Table1[[AwayTeam]:[AwayTeam]],$A9, Table1[[HomeTeam]:[HomeTeam]], V$1, Table1[[ActualResult]:[ActualResult]], "OT") + SUMIFS(Table1[[AwayWon]:[AwayWon]], Table1[[GameIsOver]:[GameIsOver]],1,Table1[[HomeTeam]:[HomeTeam]],$A9, Table1[[AwayTeam]:[AwayTeam]], V$1, Table1[[ActualResult]:[ActualResult]], "OT") + SUMIFS(Table1[[HomeWon]:[HomeWon]], Table1[[GameIsOver]:[GameIsOver]],1,Table1[[AwayTeam]:[AwayTeam]],$A9, Table1[[HomeTeam]:[HomeTeam]], V$1, Table1[[ActualResult]:[ActualResult]], "SO") + SUMIFS(Table1[[AwayWon]:[AwayWon]], Table1[[GameIsOver]:[GameIsOver]],1,Table1[[HomeTeam]:[HomeTeam]],$A9, Table1[[AwayTeam]:[AwayTeam]], V$1, Table1[[ActualResult]:[ActualResult]], "SO"),0))</f>
        <v>0-0-0</v>
      </c>
      <c r="W9" s="61" t="str">
        <f>_xlfn.CONCAT(TEXT(SUMIFS(Table1[[AwayWon]:[AwayWon]], Table1[[GameIsOver]:[GameIsOver]],1,Table1[[AwayTeam]:[AwayTeam]],$A9, Table1[[HomeTeam]:[HomeTeam]], W$1) + SUMIFS(Table1[[HomeWon]:[HomeWon]], Table1[[GameIsOver]:[GameIsOver]],1,Table1[[HomeTeam]:[HomeTeam]],$A9, Table1[[AwayTeam]:[AwayTeam]], W$1),0), "-", TEXT(SUMIFS(Table1[[HomeWon]:[HomeWon]], Table1[[GameIsOver]:[GameIsOver]],1,Table1[[AwayTeam]:[AwayTeam]],$A9, Table1[[HomeTeam]:[HomeTeam]], W$1, Table1[[ActualResult]:[ActualResult]], "REG") + SUMIFS(Table1[[AwayWon]:[AwayWon]], Table1[[GameIsOver]:[GameIsOver]],1,Table1[[HomeTeam]:[HomeTeam]],$A9, Table1[[AwayTeam]:[AwayTeam]], W$1, Table1[[ActualResult]:[ActualResult]], "REG"),0), "-", TEXT(SUMIFS(Table1[[HomeWon]:[HomeWon]], Table1[[GameIsOver]:[GameIsOver]],1,Table1[[AwayTeam]:[AwayTeam]],$A9, Table1[[HomeTeam]:[HomeTeam]], W$1, Table1[[ActualResult]:[ActualResult]], "OT") + SUMIFS(Table1[[AwayWon]:[AwayWon]], Table1[[GameIsOver]:[GameIsOver]],1,Table1[[HomeTeam]:[HomeTeam]],$A9, Table1[[AwayTeam]:[AwayTeam]], W$1, Table1[[ActualResult]:[ActualResult]], "OT") + SUMIFS(Table1[[HomeWon]:[HomeWon]], Table1[[GameIsOver]:[GameIsOver]],1,Table1[[AwayTeam]:[AwayTeam]],$A9, Table1[[HomeTeam]:[HomeTeam]], W$1, Table1[[ActualResult]:[ActualResult]], "SO") + SUMIFS(Table1[[AwayWon]:[AwayWon]], Table1[[GameIsOver]:[GameIsOver]],1,Table1[[HomeTeam]:[HomeTeam]],$A9, Table1[[AwayTeam]:[AwayTeam]], W$1, Table1[[ActualResult]:[ActualResult]], "SO"),0))</f>
        <v>0-0-0</v>
      </c>
      <c r="X9" s="61" t="str">
        <f>_xlfn.CONCAT(TEXT(SUMIFS(Table1[[AwayWon]:[AwayWon]], Table1[[GameIsOver]:[GameIsOver]],1,Table1[[AwayTeam]:[AwayTeam]],$A9, Table1[[HomeTeam]:[HomeTeam]], X$1) + SUMIFS(Table1[[HomeWon]:[HomeWon]], Table1[[GameIsOver]:[GameIsOver]],1,Table1[[HomeTeam]:[HomeTeam]],$A9, Table1[[AwayTeam]:[AwayTeam]], X$1),0), "-", TEXT(SUMIFS(Table1[[HomeWon]:[HomeWon]], Table1[[GameIsOver]:[GameIsOver]],1,Table1[[AwayTeam]:[AwayTeam]],$A9, Table1[[HomeTeam]:[HomeTeam]], X$1, Table1[[ActualResult]:[ActualResult]], "REG") + SUMIFS(Table1[[AwayWon]:[AwayWon]], Table1[[GameIsOver]:[GameIsOver]],1,Table1[[HomeTeam]:[HomeTeam]],$A9, Table1[[AwayTeam]:[AwayTeam]], X$1, Table1[[ActualResult]:[ActualResult]], "REG"),0), "-", TEXT(SUMIFS(Table1[[HomeWon]:[HomeWon]], Table1[[GameIsOver]:[GameIsOver]],1,Table1[[AwayTeam]:[AwayTeam]],$A9, Table1[[HomeTeam]:[HomeTeam]], X$1, Table1[[ActualResult]:[ActualResult]], "OT") + SUMIFS(Table1[[AwayWon]:[AwayWon]], Table1[[GameIsOver]:[GameIsOver]],1,Table1[[HomeTeam]:[HomeTeam]],$A9, Table1[[AwayTeam]:[AwayTeam]], X$1, Table1[[ActualResult]:[ActualResult]], "OT") + SUMIFS(Table1[[HomeWon]:[HomeWon]], Table1[[GameIsOver]:[GameIsOver]],1,Table1[[AwayTeam]:[AwayTeam]],$A9, Table1[[HomeTeam]:[HomeTeam]], X$1, Table1[[ActualResult]:[ActualResult]], "SO") + SUMIFS(Table1[[AwayWon]:[AwayWon]], Table1[[GameIsOver]:[GameIsOver]],1,Table1[[HomeTeam]:[HomeTeam]],$A9, Table1[[AwayTeam]:[AwayTeam]], X$1, Table1[[ActualResult]:[ActualResult]], "SO"),0))</f>
        <v>0-0-0</v>
      </c>
      <c r="Y9" s="62" t="str">
        <f>_xlfn.CONCAT(TEXT(SUMIFS(Table1[[AwayWon]:[AwayWon]], Table1[[GameIsOver]:[GameIsOver]],1,Table1[[AwayTeam]:[AwayTeam]],$A9, Table1[[HomeTeam]:[HomeTeam]], Y$1) + SUMIFS(Table1[[HomeWon]:[HomeWon]], Table1[[GameIsOver]:[GameIsOver]],1,Table1[[HomeTeam]:[HomeTeam]],$A9, Table1[[AwayTeam]:[AwayTeam]], Y$1),0), "-", TEXT(SUMIFS(Table1[[HomeWon]:[HomeWon]], Table1[[GameIsOver]:[GameIsOver]],1,Table1[[AwayTeam]:[AwayTeam]],$A9, Table1[[HomeTeam]:[HomeTeam]], Y$1, Table1[[ActualResult]:[ActualResult]], "REG") + SUMIFS(Table1[[AwayWon]:[AwayWon]], Table1[[GameIsOver]:[GameIsOver]],1,Table1[[HomeTeam]:[HomeTeam]],$A9, Table1[[AwayTeam]:[AwayTeam]], Y$1, Table1[[ActualResult]:[ActualResult]], "REG"),0), "-", TEXT(SUMIFS(Table1[[HomeWon]:[HomeWon]], Table1[[GameIsOver]:[GameIsOver]],1,Table1[[AwayTeam]:[AwayTeam]],$A9, Table1[[HomeTeam]:[HomeTeam]], Y$1, Table1[[ActualResult]:[ActualResult]], "OT") + SUMIFS(Table1[[AwayWon]:[AwayWon]], Table1[[GameIsOver]:[GameIsOver]],1,Table1[[HomeTeam]:[HomeTeam]],$A9, Table1[[AwayTeam]:[AwayTeam]], Y$1, Table1[[ActualResult]:[ActualResult]], "OT") + SUMIFS(Table1[[HomeWon]:[HomeWon]], Table1[[GameIsOver]:[GameIsOver]],1,Table1[[AwayTeam]:[AwayTeam]],$A9, Table1[[HomeTeam]:[HomeTeam]], Y$1, Table1[[ActualResult]:[ActualResult]], "SO") + SUMIFS(Table1[[AwayWon]:[AwayWon]], Table1[[GameIsOver]:[GameIsOver]],1,Table1[[HomeTeam]:[HomeTeam]],$A9, Table1[[AwayTeam]:[AwayTeam]], Y$1, Table1[[ActualResult]:[ActualResult]], "SO"),0))</f>
        <v>0-0-0</v>
      </c>
      <c r="Z9" s="61" t="str">
        <f>_xlfn.CONCAT(TEXT(SUMIFS(Table1[[AwayWon]:[AwayWon]], Table1[[GameIsOver]:[GameIsOver]],1,Table1[[AwayTeam]:[AwayTeam]],$A9, Table1[[HomeTeam]:[HomeTeam]], Z$1) + SUMIFS(Table1[[HomeWon]:[HomeWon]], Table1[[GameIsOver]:[GameIsOver]],1,Table1[[HomeTeam]:[HomeTeam]],$A9, Table1[[AwayTeam]:[AwayTeam]], Z$1),0), "-", TEXT(SUMIFS(Table1[[HomeWon]:[HomeWon]], Table1[[GameIsOver]:[GameIsOver]],1,Table1[[AwayTeam]:[AwayTeam]],$A9, Table1[[HomeTeam]:[HomeTeam]], Z$1, Table1[[ActualResult]:[ActualResult]], "REG") + SUMIFS(Table1[[AwayWon]:[AwayWon]], Table1[[GameIsOver]:[GameIsOver]],1,Table1[[HomeTeam]:[HomeTeam]],$A9, Table1[[AwayTeam]:[AwayTeam]], Z$1, Table1[[ActualResult]:[ActualResult]], "REG"),0), "-", TEXT(SUMIFS(Table1[[HomeWon]:[HomeWon]], Table1[[GameIsOver]:[GameIsOver]],1,Table1[[AwayTeam]:[AwayTeam]],$A9, Table1[[HomeTeam]:[HomeTeam]], Z$1, Table1[[ActualResult]:[ActualResult]], "OT") + SUMIFS(Table1[[AwayWon]:[AwayWon]], Table1[[GameIsOver]:[GameIsOver]],1,Table1[[HomeTeam]:[HomeTeam]],$A9, Table1[[AwayTeam]:[AwayTeam]], Z$1, Table1[[ActualResult]:[ActualResult]], "OT") + SUMIFS(Table1[[HomeWon]:[HomeWon]], Table1[[GameIsOver]:[GameIsOver]],1,Table1[[AwayTeam]:[AwayTeam]],$A9, Table1[[HomeTeam]:[HomeTeam]], Z$1, Table1[[ActualResult]:[ActualResult]], "SO") + SUMIFS(Table1[[AwayWon]:[AwayWon]], Table1[[GameIsOver]:[GameIsOver]],1,Table1[[HomeTeam]:[HomeTeam]],$A9, Table1[[AwayTeam]:[AwayTeam]], Z$1, Table1[[ActualResult]:[ActualResult]], "SO"),0))</f>
        <v>0-0-0</v>
      </c>
      <c r="AA9" s="61" t="str">
        <f>_xlfn.CONCAT(TEXT(SUMIFS(Table1[[AwayWon]:[AwayWon]], Table1[[GameIsOver]:[GameIsOver]],1,Table1[[AwayTeam]:[AwayTeam]],$A9, Table1[[HomeTeam]:[HomeTeam]], AA$1) + SUMIFS(Table1[[HomeWon]:[HomeWon]], Table1[[GameIsOver]:[GameIsOver]],1,Table1[[HomeTeam]:[HomeTeam]],$A9, Table1[[AwayTeam]:[AwayTeam]], AA$1),0), "-", TEXT(SUMIFS(Table1[[HomeWon]:[HomeWon]], Table1[[GameIsOver]:[GameIsOver]],1,Table1[[AwayTeam]:[AwayTeam]],$A9, Table1[[HomeTeam]:[HomeTeam]], AA$1, Table1[[ActualResult]:[ActualResult]], "REG") + SUMIFS(Table1[[AwayWon]:[AwayWon]], Table1[[GameIsOver]:[GameIsOver]],1,Table1[[HomeTeam]:[HomeTeam]],$A9, Table1[[AwayTeam]:[AwayTeam]], AA$1, Table1[[ActualResult]:[ActualResult]], "REG"),0), "-", TEXT(SUMIFS(Table1[[HomeWon]:[HomeWon]], Table1[[GameIsOver]:[GameIsOver]],1,Table1[[AwayTeam]:[AwayTeam]],$A9, Table1[[HomeTeam]:[HomeTeam]], AA$1, Table1[[ActualResult]:[ActualResult]], "OT") + SUMIFS(Table1[[AwayWon]:[AwayWon]], Table1[[GameIsOver]:[GameIsOver]],1,Table1[[HomeTeam]:[HomeTeam]],$A9, Table1[[AwayTeam]:[AwayTeam]], AA$1, Table1[[ActualResult]:[ActualResult]], "OT") + SUMIFS(Table1[[HomeWon]:[HomeWon]], Table1[[GameIsOver]:[GameIsOver]],1,Table1[[AwayTeam]:[AwayTeam]],$A9, Table1[[HomeTeam]:[HomeTeam]], AA$1, Table1[[ActualResult]:[ActualResult]], "SO") + SUMIFS(Table1[[AwayWon]:[AwayWon]], Table1[[GameIsOver]:[GameIsOver]],1,Table1[[HomeTeam]:[HomeTeam]],$A9, Table1[[AwayTeam]:[AwayTeam]], AA$1, Table1[[ActualResult]:[ActualResult]], "SO"),0))</f>
        <v>0-0-0</v>
      </c>
      <c r="AB9" s="61" t="str">
        <f>_xlfn.CONCAT(TEXT(SUMIFS(Table1[[AwayWon]:[AwayWon]], Table1[[GameIsOver]:[GameIsOver]],1,Table1[[AwayTeam]:[AwayTeam]],$A9, Table1[[HomeTeam]:[HomeTeam]], AB$1) + SUMIFS(Table1[[HomeWon]:[HomeWon]], Table1[[GameIsOver]:[GameIsOver]],1,Table1[[HomeTeam]:[HomeTeam]],$A9, Table1[[AwayTeam]:[AwayTeam]], AB$1),0), "-", TEXT(SUMIFS(Table1[[HomeWon]:[HomeWon]], Table1[[GameIsOver]:[GameIsOver]],1,Table1[[AwayTeam]:[AwayTeam]],$A9, Table1[[HomeTeam]:[HomeTeam]], AB$1, Table1[[ActualResult]:[ActualResult]], "REG") + SUMIFS(Table1[[AwayWon]:[AwayWon]], Table1[[GameIsOver]:[GameIsOver]],1,Table1[[HomeTeam]:[HomeTeam]],$A9, Table1[[AwayTeam]:[AwayTeam]], AB$1, Table1[[ActualResult]:[ActualResult]], "REG"),0), "-", TEXT(SUMIFS(Table1[[HomeWon]:[HomeWon]], Table1[[GameIsOver]:[GameIsOver]],1,Table1[[AwayTeam]:[AwayTeam]],$A9, Table1[[HomeTeam]:[HomeTeam]], AB$1, Table1[[ActualResult]:[ActualResult]], "OT") + SUMIFS(Table1[[AwayWon]:[AwayWon]], Table1[[GameIsOver]:[GameIsOver]],1,Table1[[HomeTeam]:[HomeTeam]],$A9, Table1[[AwayTeam]:[AwayTeam]], AB$1, Table1[[ActualResult]:[ActualResult]], "OT") + SUMIFS(Table1[[HomeWon]:[HomeWon]], Table1[[GameIsOver]:[GameIsOver]],1,Table1[[AwayTeam]:[AwayTeam]],$A9, Table1[[HomeTeam]:[HomeTeam]], AB$1, Table1[[ActualResult]:[ActualResult]], "SO") + SUMIFS(Table1[[AwayWon]:[AwayWon]], Table1[[GameIsOver]:[GameIsOver]],1,Table1[[HomeTeam]:[HomeTeam]],$A9, Table1[[AwayTeam]:[AwayTeam]], AB$1, Table1[[ActualResult]:[ActualResult]], "SO"),0))</f>
        <v>0-0-0</v>
      </c>
      <c r="AC9" s="61" t="str">
        <f>_xlfn.CONCAT(TEXT(SUMIFS(Table1[[AwayWon]:[AwayWon]], Table1[[GameIsOver]:[GameIsOver]],1,Table1[[AwayTeam]:[AwayTeam]],$A9, Table1[[HomeTeam]:[HomeTeam]], AC$1) + SUMIFS(Table1[[HomeWon]:[HomeWon]], Table1[[GameIsOver]:[GameIsOver]],1,Table1[[HomeTeam]:[HomeTeam]],$A9, Table1[[AwayTeam]:[AwayTeam]], AC$1),0), "-", TEXT(SUMIFS(Table1[[HomeWon]:[HomeWon]], Table1[[GameIsOver]:[GameIsOver]],1,Table1[[AwayTeam]:[AwayTeam]],$A9, Table1[[HomeTeam]:[HomeTeam]], AC$1, Table1[[ActualResult]:[ActualResult]], "REG") + SUMIFS(Table1[[AwayWon]:[AwayWon]], Table1[[GameIsOver]:[GameIsOver]],1,Table1[[HomeTeam]:[HomeTeam]],$A9, Table1[[AwayTeam]:[AwayTeam]], AC$1, Table1[[ActualResult]:[ActualResult]], "REG"),0), "-", TEXT(SUMIFS(Table1[[HomeWon]:[HomeWon]], Table1[[GameIsOver]:[GameIsOver]],1,Table1[[AwayTeam]:[AwayTeam]],$A9, Table1[[HomeTeam]:[HomeTeam]], AC$1, Table1[[ActualResult]:[ActualResult]], "OT") + SUMIFS(Table1[[AwayWon]:[AwayWon]], Table1[[GameIsOver]:[GameIsOver]],1,Table1[[HomeTeam]:[HomeTeam]],$A9, Table1[[AwayTeam]:[AwayTeam]], AC$1, Table1[[ActualResult]:[ActualResult]], "OT") + SUMIFS(Table1[[HomeWon]:[HomeWon]], Table1[[GameIsOver]:[GameIsOver]],1,Table1[[AwayTeam]:[AwayTeam]],$A9, Table1[[HomeTeam]:[HomeTeam]], AC$1, Table1[[ActualResult]:[ActualResult]], "SO") + SUMIFS(Table1[[AwayWon]:[AwayWon]], Table1[[GameIsOver]:[GameIsOver]],1,Table1[[HomeTeam]:[HomeTeam]],$A9, Table1[[AwayTeam]:[AwayTeam]], AC$1, Table1[[ActualResult]:[ActualResult]], "SO"),0))</f>
        <v>0-0-0</v>
      </c>
      <c r="AD9" s="61" t="str">
        <f>_xlfn.CONCAT(TEXT(SUMIFS(Table1[[AwayWon]:[AwayWon]], Table1[[GameIsOver]:[GameIsOver]],1,Table1[[AwayTeam]:[AwayTeam]],$A9, Table1[[HomeTeam]:[HomeTeam]], AD$1) + SUMIFS(Table1[[HomeWon]:[HomeWon]], Table1[[GameIsOver]:[GameIsOver]],1,Table1[[HomeTeam]:[HomeTeam]],$A9, Table1[[AwayTeam]:[AwayTeam]], AD$1),0), "-", TEXT(SUMIFS(Table1[[HomeWon]:[HomeWon]], Table1[[GameIsOver]:[GameIsOver]],1,Table1[[AwayTeam]:[AwayTeam]],$A9, Table1[[HomeTeam]:[HomeTeam]], AD$1, Table1[[ActualResult]:[ActualResult]], "REG") + SUMIFS(Table1[[AwayWon]:[AwayWon]], Table1[[GameIsOver]:[GameIsOver]],1,Table1[[HomeTeam]:[HomeTeam]],$A9, Table1[[AwayTeam]:[AwayTeam]], AD$1, Table1[[ActualResult]:[ActualResult]], "REG"),0), "-", TEXT(SUMIFS(Table1[[HomeWon]:[HomeWon]], Table1[[GameIsOver]:[GameIsOver]],1,Table1[[AwayTeam]:[AwayTeam]],$A9, Table1[[HomeTeam]:[HomeTeam]], AD$1, Table1[[ActualResult]:[ActualResult]], "OT") + SUMIFS(Table1[[AwayWon]:[AwayWon]], Table1[[GameIsOver]:[GameIsOver]],1,Table1[[HomeTeam]:[HomeTeam]],$A9, Table1[[AwayTeam]:[AwayTeam]], AD$1, Table1[[ActualResult]:[ActualResult]], "OT") + SUMIFS(Table1[[HomeWon]:[HomeWon]], Table1[[GameIsOver]:[GameIsOver]],1,Table1[[AwayTeam]:[AwayTeam]],$A9, Table1[[HomeTeam]:[HomeTeam]], AD$1, Table1[[ActualResult]:[ActualResult]], "SO") + SUMIFS(Table1[[AwayWon]:[AwayWon]], Table1[[GameIsOver]:[GameIsOver]],1,Table1[[HomeTeam]:[HomeTeam]],$A9, Table1[[AwayTeam]:[AwayTeam]], AD$1, Table1[[ActualResult]:[ActualResult]], "SO"),0))</f>
        <v>0-0-0</v>
      </c>
      <c r="AE9" s="61" t="str">
        <f>_xlfn.CONCAT(TEXT(SUMIFS(Table1[[AwayWon]:[AwayWon]], Table1[[GameIsOver]:[GameIsOver]],1,Table1[[AwayTeam]:[AwayTeam]],$A9, Table1[[HomeTeam]:[HomeTeam]], AE$1) + SUMIFS(Table1[[HomeWon]:[HomeWon]], Table1[[GameIsOver]:[GameIsOver]],1,Table1[[HomeTeam]:[HomeTeam]],$A9, Table1[[AwayTeam]:[AwayTeam]], AE$1),0), "-", TEXT(SUMIFS(Table1[[HomeWon]:[HomeWon]], Table1[[GameIsOver]:[GameIsOver]],1,Table1[[AwayTeam]:[AwayTeam]],$A9, Table1[[HomeTeam]:[HomeTeam]], AE$1, Table1[[ActualResult]:[ActualResult]], "REG") + SUMIFS(Table1[[AwayWon]:[AwayWon]], Table1[[GameIsOver]:[GameIsOver]],1,Table1[[HomeTeam]:[HomeTeam]],$A9, Table1[[AwayTeam]:[AwayTeam]], AE$1, Table1[[ActualResult]:[ActualResult]], "REG"),0), "-", TEXT(SUMIFS(Table1[[HomeWon]:[HomeWon]], Table1[[GameIsOver]:[GameIsOver]],1,Table1[[AwayTeam]:[AwayTeam]],$A9, Table1[[HomeTeam]:[HomeTeam]], AE$1, Table1[[ActualResult]:[ActualResult]], "OT") + SUMIFS(Table1[[AwayWon]:[AwayWon]], Table1[[GameIsOver]:[GameIsOver]],1,Table1[[HomeTeam]:[HomeTeam]],$A9, Table1[[AwayTeam]:[AwayTeam]], AE$1, Table1[[ActualResult]:[ActualResult]], "OT") + SUMIFS(Table1[[HomeWon]:[HomeWon]], Table1[[GameIsOver]:[GameIsOver]],1,Table1[[AwayTeam]:[AwayTeam]],$A9, Table1[[HomeTeam]:[HomeTeam]], AE$1, Table1[[ActualResult]:[ActualResult]], "SO") + SUMIFS(Table1[[AwayWon]:[AwayWon]], Table1[[GameIsOver]:[GameIsOver]],1,Table1[[HomeTeam]:[HomeTeam]],$A9, Table1[[AwayTeam]:[AwayTeam]], AE$1, Table1[[ActualResult]:[ActualResult]], "SO"),0))</f>
        <v>0-0-0</v>
      </c>
      <c r="AF9" s="61" t="str">
        <f>_xlfn.CONCAT(TEXT(SUMIFS(Table1[[AwayWon]:[AwayWon]], Table1[[GameIsOver]:[GameIsOver]],1,Table1[[AwayTeam]:[AwayTeam]],$A9, Table1[[HomeTeam]:[HomeTeam]], AF$1) + SUMIFS(Table1[[HomeWon]:[HomeWon]], Table1[[GameIsOver]:[GameIsOver]],1,Table1[[HomeTeam]:[HomeTeam]],$A9, Table1[[AwayTeam]:[AwayTeam]], AF$1),0), "-", TEXT(SUMIFS(Table1[[HomeWon]:[HomeWon]], Table1[[GameIsOver]:[GameIsOver]],1,Table1[[AwayTeam]:[AwayTeam]],$A9, Table1[[HomeTeam]:[HomeTeam]], AF$1, Table1[[ActualResult]:[ActualResult]], "REG") + SUMIFS(Table1[[AwayWon]:[AwayWon]], Table1[[GameIsOver]:[GameIsOver]],1,Table1[[HomeTeam]:[HomeTeam]],$A9, Table1[[AwayTeam]:[AwayTeam]], AF$1, Table1[[ActualResult]:[ActualResult]], "REG"),0), "-", TEXT(SUMIFS(Table1[[HomeWon]:[HomeWon]], Table1[[GameIsOver]:[GameIsOver]],1,Table1[[AwayTeam]:[AwayTeam]],$A9, Table1[[HomeTeam]:[HomeTeam]], AF$1, Table1[[ActualResult]:[ActualResult]], "OT") + SUMIFS(Table1[[AwayWon]:[AwayWon]], Table1[[GameIsOver]:[GameIsOver]],1,Table1[[HomeTeam]:[HomeTeam]],$A9, Table1[[AwayTeam]:[AwayTeam]], AF$1, Table1[[ActualResult]:[ActualResult]], "OT") + SUMIFS(Table1[[HomeWon]:[HomeWon]], Table1[[GameIsOver]:[GameIsOver]],1,Table1[[AwayTeam]:[AwayTeam]],$A9, Table1[[HomeTeam]:[HomeTeam]], AF$1, Table1[[ActualResult]:[ActualResult]], "SO") + SUMIFS(Table1[[AwayWon]:[AwayWon]], Table1[[GameIsOver]:[GameIsOver]],1,Table1[[HomeTeam]:[HomeTeam]],$A9, Table1[[AwayTeam]:[AwayTeam]], AF$1, Table1[[ActualResult]:[ActualResult]], "SO"),0))</f>
        <v>0-0-0</v>
      </c>
      <c r="AG9" s="61" t="str">
        <f>_xlfn.CONCAT(TEXT(SUMIFS(Table1[[AwayWon]:[AwayWon]], Table1[[GameIsOver]:[GameIsOver]],1,Table1[[AwayTeam]:[AwayTeam]],$A9, Table1[[HomeTeam]:[HomeTeam]], AG$1) + SUMIFS(Table1[[HomeWon]:[HomeWon]], Table1[[GameIsOver]:[GameIsOver]],1,Table1[[HomeTeam]:[HomeTeam]],$A9, Table1[[AwayTeam]:[AwayTeam]], AG$1),0), "-", TEXT(SUMIFS(Table1[[HomeWon]:[HomeWon]], Table1[[GameIsOver]:[GameIsOver]],1,Table1[[AwayTeam]:[AwayTeam]],$A9, Table1[[HomeTeam]:[HomeTeam]], AG$1, Table1[[ActualResult]:[ActualResult]], "REG") + SUMIFS(Table1[[AwayWon]:[AwayWon]], Table1[[GameIsOver]:[GameIsOver]],1,Table1[[HomeTeam]:[HomeTeam]],$A9, Table1[[AwayTeam]:[AwayTeam]], AG$1, Table1[[ActualResult]:[ActualResult]], "REG"),0), "-", TEXT(SUMIFS(Table1[[HomeWon]:[HomeWon]], Table1[[GameIsOver]:[GameIsOver]],1,Table1[[AwayTeam]:[AwayTeam]],$A9, Table1[[HomeTeam]:[HomeTeam]], AG$1, Table1[[ActualResult]:[ActualResult]], "OT") + SUMIFS(Table1[[AwayWon]:[AwayWon]], Table1[[GameIsOver]:[GameIsOver]],1,Table1[[HomeTeam]:[HomeTeam]],$A9, Table1[[AwayTeam]:[AwayTeam]], AG$1, Table1[[ActualResult]:[ActualResult]], "OT") + SUMIFS(Table1[[HomeWon]:[HomeWon]], Table1[[GameIsOver]:[GameIsOver]],1,Table1[[AwayTeam]:[AwayTeam]],$A9, Table1[[HomeTeam]:[HomeTeam]], AG$1, Table1[[ActualResult]:[ActualResult]], "SO") + SUMIFS(Table1[[AwayWon]:[AwayWon]], Table1[[GameIsOver]:[GameIsOver]],1,Table1[[HomeTeam]:[HomeTeam]],$A9, Table1[[AwayTeam]:[AwayTeam]], AG$1, Table1[[ActualResult]:[ActualResult]], "SO"),0))</f>
        <v>0-0-0</v>
      </c>
    </row>
    <row r="10" spans="1:33" ht="15.75" thickTop="1" x14ac:dyDescent="0.25">
      <c r="A10" s="28" t="s">
        <v>16</v>
      </c>
      <c r="B10" s="57" t="str">
        <f>_xlfn.CONCAT(TEXT(SUMIFS(Table1[[AwayWon]:[AwayWon]], Table1[[GameIsOver]:[GameIsOver]],1,Table1[[AwayTeam]:[AwayTeam]],$A10, Table1[[HomeTeam]:[HomeTeam]], B$1) + SUMIFS(Table1[[HomeWon]:[HomeWon]], Table1[[GameIsOver]:[GameIsOver]],1,Table1[[HomeTeam]:[HomeTeam]],$A10, Table1[[AwayTeam]:[AwayTeam]], B$1),0), "-", TEXT(SUMIFS(Table1[[HomeWon]:[HomeWon]], Table1[[GameIsOver]:[GameIsOver]],1,Table1[[AwayTeam]:[AwayTeam]],$A10, Table1[[HomeTeam]:[HomeTeam]], B$1, Table1[[ActualResult]:[ActualResult]], "REG") + SUMIFS(Table1[[AwayWon]:[AwayWon]], Table1[[GameIsOver]:[GameIsOver]],1,Table1[[HomeTeam]:[HomeTeam]],$A10, Table1[[AwayTeam]:[AwayTeam]], B$1, Table1[[ActualResult]:[ActualResult]], "REG"),0), "-", TEXT(SUMIFS(Table1[[HomeWon]:[HomeWon]], Table1[[GameIsOver]:[GameIsOver]],1,Table1[[AwayTeam]:[AwayTeam]],$A10, Table1[[HomeTeam]:[HomeTeam]], B$1, Table1[[ActualResult]:[ActualResult]], "OT") + SUMIFS(Table1[[AwayWon]:[AwayWon]], Table1[[GameIsOver]:[GameIsOver]],1,Table1[[HomeTeam]:[HomeTeam]],$A10, Table1[[AwayTeam]:[AwayTeam]], B$1, Table1[[ActualResult]:[ActualResult]], "OT") + SUMIFS(Table1[[HomeWon]:[HomeWon]], Table1[[GameIsOver]:[GameIsOver]],1,Table1[[AwayTeam]:[AwayTeam]],$A10, Table1[[HomeTeam]:[HomeTeam]], B$1, Table1[[ActualResult]:[ActualResult]], "SO") + SUMIFS(Table1[[AwayWon]:[AwayWon]], Table1[[GameIsOver]:[GameIsOver]],1,Table1[[HomeTeam]:[HomeTeam]],$A10, Table1[[AwayTeam]:[AwayTeam]], B$1, Table1[[ActualResult]:[ActualResult]], "SO"),0))</f>
        <v>0-0-0</v>
      </c>
      <c r="C10" s="57" t="str">
        <f>_xlfn.CONCAT(TEXT(SUMIFS(Table1[[AwayWon]:[AwayWon]], Table1[[GameIsOver]:[GameIsOver]],1,Table1[[AwayTeam]:[AwayTeam]],$A10, Table1[[HomeTeam]:[HomeTeam]], C$1) + SUMIFS(Table1[[HomeWon]:[HomeWon]], Table1[[GameIsOver]:[GameIsOver]],1,Table1[[HomeTeam]:[HomeTeam]],$A10, Table1[[AwayTeam]:[AwayTeam]], C$1),0), "-", TEXT(SUMIFS(Table1[[HomeWon]:[HomeWon]], Table1[[GameIsOver]:[GameIsOver]],1,Table1[[AwayTeam]:[AwayTeam]],$A10, Table1[[HomeTeam]:[HomeTeam]], C$1, Table1[[ActualResult]:[ActualResult]], "REG") + SUMIFS(Table1[[AwayWon]:[AwayWon]], Table1[[GameIsOver]:[GameIsOver]],1,Table1[[HomeTeam]:[HomeTeam]],$A10, Table1[[AwayTeam]:[AwayTeam]], C$1, Table1[[ActualResult]:[ActualResult]], "REG"),0), "-", TEXT(SUMIFS(Table1[[HomeWon]:[HomeWon]], Table1[[GameIsOver]:[GameIsOver]],1,Table1[[AwayTeam]:[AwayTeam]],$A10, Table1[[HomeTeam]:[HomeTeam]], C$1, Table1[[ActualResult]:[ActualResult]], "OT") + SUMIFS(Table1[[AwayWon]:[AwayWon]], Table1[[GameIsOver]:[GameIsOver]],1,Table1[[HomeTeam]:[HomeTeam]],$A10, Table1[[AwayTeam]:[AwayTeam]], C$1, Table1[[ActualResult]:[ActualResult]], "OT") + SUMIFS(Table1[[HomeWon]:[HomeWon]], Table1[[GameIsOver]:[GameIsOver]],1,Table1[[AwayTeam]:[AwayTeam]],$A10, Table1[[HomeTeam]:[HomeTeam]], C$1, Table1[[ActualResult]:[ActualResult]], "SO") + SUMIFS(Table1[[AwayWon]:[AwayWon]], Table1[[GameIsOver]:[GameIsOver]],1,Table1[[HomeTeam]:[HomeTeam]],$A10, Table1[[AwayTeam]:[AwayTeam]], C$1, Table1[[ActualResult]:[ActualResult]], "SO"),0))</f>
        <v>0-0-0</v>
      </c>
      <c r="D10" s="57" t="str">
        <f>_xlfn.CONCAT(TEXT(SUMIFS(Table1[[AwayWon]:[AwayWon]], Table1[[GameIsOver]:[GameIsOver]],1,Table1[[AwayTeam]:[AwayTeam]],$A10, Table1[[HomeTeam]:[HomeTeam]], D$1) + SUMIFS(Table1[[HomeWon]:[HomeWon]], Table1[[GameIsOver]:[GameIsOver]],1,Table1[[HomeTeam]:[HomeTeam]],$A10, Table1[[AwayTeam]:[AwayTeam]], D$1),0), "-", TEXT(SUMIFS(Table1[[HomeWon]:[HomeWon]], Table1[[GameIsOver]:[GameIsOver]],1,Table1[[AwayTeam]:[AwayTeam]],$A10, Table1[[HomeTeam]:[HomeTeam]], D$1, Table1[[ActualResult]:[ActualResult]], "REG") + SUMIFS(Table1[[AwayWon]:[AwayWon]], Table1[[GameIsOver]:[GameIsOver]],1,Table1[[HomeTeam]:[HomeTeam]],$A10, Table1[[AwayTeam]:[AwayTeam]], D$1, Table1[[ActualResult]:[ActualResult]], "REG"),0), "-", TEXT(SUMIFS(Table1[[HomeWon]:[HomeWon]], Table1[[GameIsOver]:[GameIsOver]],1,Table1[[AwayTeam]:[AwayTeam]],$A10, Table1[[HomeTeam]:[HomeTeam]], D$1, Table1[[ActualResult]:[ActualResult]], "OT") + SUMIFS(Table1[[AwayWon]:[AwayWon]], Table1[[GameIsOver]:[GameIsOver]],1,Table1[[HomeTeam]:[HomeTeam]],$A10, Table1[[AwayTeam]:[AwayTeam]], D$1, Table1[[ActualResult]:[ActualResult]], "OT") + SUMIFS(Table1[[HomeWon]:[HomeWon]], Table1[[GameIsOver]:[GameIsOver]],1,Table1[[AwayTeam]:[AwayTeam]],$A10, Table1[[HomeTeam]:[HomeTeam]], D$1, Table1[[ActualResult]:[ActualResult]], "SO") + SUMIFS(Table1[[AwayWon]:[AwayWon]], Table1[[GameIsOver]:[GameIsOver]],1,Table1[[HomeTeam]:[HomeTeam]],$A10, Table1[[AwayTeam]:[AwayTeam]], D$1, Table1[[ActualResult]:[ActualResult]], "SO"),0))</f>
        <v>0-0-0</v>
      </c>
      <c r="E10" s="57" t="str">
        <f>_xlfn.CONCAT(TEXT(SUMIFS(Table1[[AwayWon]:[AwayWon]], Table1[[GameIsOver]:[GameIsOver]],1,Table1[[AwayTeam]:[AwayTeam]],$A10, Table1[[HomeTeam]:[HomeTeam]], E$1) + SUMIFS(Table1[[HomeWon]:[HomeWon]], Table1[[GameIsOver]:[GameIsOver]],1,Table1[[HomeTeam]:[HomeTeam]],$A10, Table1[[AwayTeam]:[AwayTeam]], E$1),0), "-", TEXT(SUMIFS(Table1[[HomeWon]:[HomeWon]], Table1[[GameIsOver]:[GameIsOver]],1,Table1[[AwayTeam]:[AwayTeam]],$A10, Table1[[HomeTeam]:[HomeTeam]], E$1, Table1[[ActualResult]:[ActualResult]], "REG") + SUMIFS(Table1[[AwayWon]:[AwayWon]], Table1[[GameIsOver]:[GameIsOver]],1,Table1[[HomeTeam]:[HomeTeam]],$A10, Table1[[AwayTeam]:[AwayTeam]], E$1, Table1[[ActualResult]:[ActualResult]], "REG"),0), "-", TEXT(SUMIFS(Table1[[HomeWon]:[HomeWon]], Table1[[GameIsOver]:[GameIsOver]],1,Table1[[AwayTeam]:[AwayTeam]],$A10, Table1[[HomeTeam]:[HomeTeam]], E$1, Table1[[ActualResult]:[ActualResult]], "OT") + SUMIFS(Table1[[AwayWon]:[AwayWon]], Table1[[GameIsOver]:[GameIsOver]],1,Table1[[HomeTeam]:[HomeTeam]],$A10, Table1[[AwayTeam]:[AwayTeam]], E$1, Table1[[ActualResult]:[ActualResult]], "OT") + SUMIFS(Table1[[HomeWon]:[HomeWon]], Table1[[GameIsOver]:[GameIsOver]],1,Table1[[AwayTeam]:[AwayTeam]],$A10, Table1[[HomeTeam]:[HomeTeam]], E$1, Table1[[ActualResult]:[ActualResult]], "SO") + SUMIFS(Table1[[AwayWon]:[AwayWon]], Table1[[GameIsOver]:[GameIsOver]],1,Table1[[HomeTeam]:[HomeTeam]],$A10, Table1[[AwayTeam]:[AwayTeam]], E$1, Table1[[ActualResult]:[ActualResult]], "SO"),0))</f>
        <v>0-0-0</v>
      </c>
      <c r="F10" s="57" t="str">
        <f>_xlfn.CONCAT(TEXT(SUMIFS(Table1[[AwayWon]:[AwayWon]], Table1[[GameIsOver]:[GameIsOver]],1,Table1[[AwayTeam]:[AwayTeam]],$A10, Table1[[HomeTeam]:[HomeTeam]], F$1) + SUMIFS(Table1[[HomeWon]:[HomeWon]], Table1[[GameIsOver]:[GameIsOver]],1,Table1[[HomeTeam]:[HomeTeam]],$A10, Table1[[AwayTeam]:[AwayTeam]], F$1),0), "-", TEXT(SUMIFS(Table1[[HomeWon]:[HomeWon]], Table1[[GameIsOver]:[GameIsOver]],1,Table1[[AwayTeam]:[AwayTeam]],$A10, Table1[[HomeTeam]:[HomeTeam]], F$1, Table1[[ActualResult]:[ActualResult]], "REG") + SUMIFS(Table1[[AwayWon]:[AwayWon]], Table1[[GameIsOver]:[GameIsOver]],1,Table1[[HomeTeam]:[HomeTeam]],$A10, Table1[[AwayTeam]:[AwayTeam]], F$1, Table1[[ActualResult]:[ActualResult]], "REG"),0), "-", TEXT(SUMIFS(Table1[[HomeWon]:[HomeWon]], Table1[[GameIsOver]:[GameIsOver]],1,Table1[[AwayTeam]:[AwayTeam]],$A10, Table1[[HomeTeam]:[HomeTeam]], F$1, Table1[[ActualResult]:[ActualResult]], "OT") + SUMIFS(Table1[[AwayWon]:[AwayWon]], Table1[[GameIsOver]:[GameIsOver]],1,Table1[[HomeTeam]:[HomeTeam]],$A10, Table1[[AwayTeam]:[AwayTeam]], F$1, Table1[[ActualResult]:[ActualResult]], "OT") + SUMIFS(Table1[[HomeWon]:[HomeWon]], Table1[[GameIsOver]:[GameIsOver]],1,Table1[[AwayTeam]:[AwayTeam]],$A10, Table1[[HomeTeam]:[HomeTeam]], F$1, Table1[[ActualResult]:[ActualResult]], "SO") + SUMIFS(Table1[[AwayWon]:[AwayWon]], Table1[[GameIsOver]:[GameIsOver]],1,Table1[[HomeTeam]:[HomeTeam]],$A10, Table1[[AwayTeam]:[AwayTeam]], F$1, Table1[[ActualResult]:[ActualResult]], "SO"),0))</f>
        <v>0-0-0</v>
      </c>
      <c r="G10" s="57" t="str">
        <f>_xlfn.CONCAT(TEXT(SUMIFS(Table1[[AwayWon]:[AwayWon]], Table1[[GameIsOver]:[GameIsOver]],1,Table1[[AwayTeam]:[AwayTeam]],$A10, Table1[[HomeTeam]:[HomeTeam]], G$1) + SUMIFS(Table1[[HomeWon]:[HomeWon]], Table1[[GameIsOver]:[GameIsOver]],1,Table1[[HomeTeam]:[HomeTeam]],$A10, Table1[[AwayTeam]:[AwayTeam]], G$1),0), "-", TEXT(SUMIFS(Table1[[HomeWon]:[HomeWon]], Table1[[GameIsOver]:[GameIsOver]],1,Table1[[AwayTeam]:[AwayTeam]],$A10, Table1[[HomeTeam]:[HomeTeam]], G$1, Table1[[ActualResult]:[ActualResult]], "REG") + SUMIFS(Table1[[AwayWon]:[AwayWon]], Table1[[GameIsOver]:[GameIsOver]],1,Table1[[HomeTeam]:[HomeTeam]],$A10, Table1[[AwayTeam]:[AwayTeam]], G$1, Table1[[ActualResult]:[ActualResult]], "REG"),0), "-", TEXT(SUMIFS(Table1[[HomeWon]:[HomeWon]], Table1[[GameIsOver]:[GameIsOver]],1,Table1[[AwayTeam]:[AwayTeam]],$A10, Table1[[HomeTeam]:[HomeTeam]], G$1, Table1[[ActualResult]:[ActualResult]], "OT") + SUMIFS(Table1[[AwayWon]:[AwayWon]], Table1[[GameIsOver]:[GameIsOver]],1,Table1[[HomeTeam]:[HomeTeam]],$A10, Table1[[AwayTeam]:[AwayTeam]], G$1, Table1[[ActualResult]:[ActualResult]], "OT") + SUMIFS(Table1[[HomeWon]:[HomeWon]], Table1[[GameIsOver]:[GameIsOver]],1,Table1[[AwayTeam]:[AwayTeam]],$A10, Table1[[HomeTeam]:[HomeTeam]], G$1, Table1[[ActualResult]:[ActualResult]], "SO") + SUMIFS(Table1[[AwayWon]:[AwayWon]], Table1[[GameIsOver]:[GameIsOver]],1,Table1[[HomeTeam]:[HomeTeam]],$A10, Table1[[AwayTeam]:[AwayTeam]], G$1, Table1[[ActualResult]:[ActualResult]], "SO"),0))</f>
        <v>0-0-0</v>
      </c>
      <c r="H10" s="57" t="str">
        <f>_xlfn.CONCAT(TEXT(SUMIFS(Table1[[AwayWon]:[AwayWon]], Table1[[GameIsOver]:[GameIsOver]],1,Table1[[AwayTeam]:[AwayTeam]],$A10, Table1[[HomeTeam]:[HomeTeam]], H$1) + SUMIFS(Table1[[HomeWon]:[HomeWon]], Table1[[GameIsOver]:[GameIsOver]],1,Table1[[HomeTeam]:[HomeTeam]],$A10, Table1[[AwayTeam]:[AwayTeam]], H$1),0), "-", TEXT(SUMIFS(Table1[[HomeWon]:[HomeWon]], Table1[[GameIsOver]:[GameIsOver]],1,Table1[[AwayTeam]:[AwayTeam]],$A10, Table1[[HomeTeam]:[HomeTeam]], H$1, Table1[[ActualResult]:[ActualResult]], "REG") + SUMIFS(Table1[[AwayWon]:[AwayWon]], Table1[[GameIsOver]:[GameIsOver]],1,Table1[[HomeTeam]:[HomeTeam]],$A10, Table1[[AwayTeam]:[AwayTeam]], H$1, Table1[[ActualResult]:[ActualResult]], "REG"),0), "-", TEXT(SUMIFS(Table1[[HomeWon]:[HomeWon]], Table1[[GameIsOver]:[GameIsOver]],1,Table1[[AwayTeam]:[AwayTeam]],$A10, Table1[[HomeTeam]:[HomeTeam]], H$1, Table1[[ActualResult]:[ActualResult]], "OT") + SUMIFS(Table1[[AwayWon]:[AwayWon]], Table1[[GameIsOver]:[GameIsOver]],1,Table1[[HomeTeam]:[HomeTeam]],$A10, Table1[[AwayTeam]:[AwayTeam]], H$1, Table1[[ActualResult]:[ActualResult]], "OT") + SUMIFS(Table1[[HomeWon]:[HomeWon]], Table1[[GameIsOver]:[GameIsOver]],1,Table1[[AwayTeam]:[AwayTeam]],$A10, Table1[[HomeTeam]:[HomeTeam]], H$1, Table1[[ActualResult]:[ActualResult]], "SO") + SUMIFS(Table1[[AwayWon]:[AwayWon]], Table1[[GameIsOver]:[GameIsOver]],1,Table1[[HomeTeam]:[HomeTeam]],$A10, Table1[[AwayTeam]:[AwayTeam]], H$1, Table1[[ActualResult]:[ActualResult]], "SO"),0))</f>
        <v>0-0-0</v>
      </c>
      <c r="I10" s="59" t="str">
        <f>_xlfn.CONCAT(TEXT(SUMIFS(Table1[[AwayWon]:[AwayWon]], Table1[[GameIsOver]:[GameIsOver]],1,Table1[[AwayTeam]:[AwayTeam]],$A10, Table1[[HomeTeam]:[HomeTeam]], I$1) + SUMIFS(Table1[[HomeWon]:[HomeWon]], Table1[[GameIsOver]:[GameIsOver]],1,Table1[[HomeTeam]:[HomeTeam]],$A10, Table1[[AwayTeam]:[AwayTeam]], I$1),0), "-", TEXT(SUMIFS(Table1[[HomeWon]:[HomeWon]], Table1[[GameIsOver]:[GameIsOver]],1,Table1[[AwayTeam]:[AwayTeam]],$A10, Table1[[HomeTeam]:[HomeTeam]], I$1, Table1[[ActualResult]:[ActualResult]], "REG") + SUMIFS(Table1[[AwayWon]:[AwayWon]], Table1[[GameIsOver]:[GameIsOver]],1,Table1[[HomeTeam]:[HomeTeam]],$A10, Table1[[AwayTeam]:[AwayTeam]], I$1, Table1[[ActualResult]:[ActualResult]], "REG"),0), "-", TEXT(SUMIFS(Table1[[HomeWon]:[HomeWon]], Table1[[GameIsOver]:[GameIsOver]],1,Table1[[AwayTeam]:[AwayTeam]],$A10, Table1[[HomeTeam]:[HomeTeam]], I$1, Table1[[ActualResult]:[ActualResult]], "OT") + SUMIFS(Table1[[AwayWon]:[AwayWon]], Table1[[GameIsOver]:[GameIsOver]],1,Table1[[HomeTeam]:[HomeTeam]],$A10, Table1[[AwayTeam]:[AwayTeam]], I$1, Table1[[ActualResult]:[ActualResult]], "OT") + SUMIFS(Table1[[HomeWon]:[HomeWon]], Table1[[GameIsOver]:[GameIsOver]],1,Table1[[AwayTeam]:[AwayTeam]],$A10, Table1[[HomeTeam]:[HomeTeam]], I$1, Table1[[ActualResult]:[ActualResult]], "SO") + SUMIFS(Table1[[AwayWon]:[AwayWon]], Table1[[GameIsOver]:[GameIsOver]],1,Table1[[HomeTeam]:[HomeTeam]],$A10, Table1[[AwayTeam]:[AwayTeam]], I$1, Table1[[ActualResult]:[ActualResult]], "SO"),0))</f>
        <v>0-0-0</v>
      </c>
      <c r="J10" s="57" t="str">
        <f>_xlfn.CONCAT(TEXT(SUMIFS(Table1[[AwayWon]:[AwayWon]], Table1[[GameIsOver]:[GameIsOver]],1,Table1[[AwayTeam]:[AwayTeam]],$A10, Table1[[HomeTeam]:[HomeTeam]], J$1) + SUMIFS(Table1[[HomeWon]:[HomeWon]], Table1[[GameIsOver]:[GameIsOver]],1,Table1[[HomeTeam]:[HomeTeam]],$A10, Table1[[AwayTeam]:[AwayTeam]], J$1),0), "-", TEXT(SUMIFS(Table1[[HomeWon]:[HomeWon]], Table1[[GameIsOver]:[GameIsOver]],1,Table1[[AwayTeam]:[AwayTeam]],$A10, Table1[[HomeTeam]:[HomeTeam]], J$1, Table1[[ActualResult]:[ActualResult]], "REG") + SUMIFS(Table1[[AwayWon]:[AwayWon]], Table1[[GameIsOver]:[GameIsOver]],1,Table1[[HomeTeam]:[HomeTeam]],$A10, Table1[[AwayTeam]:[AwayTeam]], J$1, Table1[[ActualResult]:[ActualResult]], "REG"),0), "-", TEXT(SUMIFS(Table1[[HomeWon]:[HomeWon]], Table1[[GameIsOver]:[GameIsOver]],1,Table1[[AwayTeam]:[AwayTeam]],$A10, Table1[[HomeTeam]:[HomeTeam]], J$1, Table1[[ActualResult]:[ActualResult]], "OT") + SUMIFS(Table1[[AwayWon]:[AwayWon]], Table1[[GameIsOver]:[GameIsOver]],1,Table1[[HomeTeam]:[HomeTeam]],$A10, Table1[[AwayTeam]:[AwayTeam]], J$1, Table1[[ActualResult]:[ActualResult]], "OT") + SUMIFS(Table1[[HomeWon]:[HomeWon]], Table1[[GameIsOver]:[GameIsOver]],1,Table1[[AwayTeam]:[AwayTeam]],$A10, Table1[[HomeTeam]:[HomeTeam]], J$1, Table1[[ActualResult]:[ActualResult]], "SO") + SUMIFS(Table1[[AwayWon]:[AwayWon]], Table1[[GameIsOver]:[GameIsOver]],1,Table1[[HomeTeam]:[HomeTeam]],$A10, Table1[[AwayTeam]:[AwayTeam]], J$1, Table1[[ActualResult]:[ActualResult]], "SO"),0))</f>
        <v>0-0-0</v>
      </c>
      <c r="K10" s="57" t="str">
        <f>_xlfn.CONCAT(TEXT(SUMIFS(Table1[[AwayWon]:[AwayWon]], Table1[[GameIsOver]:[GameIsOver]],1,Table1[[AwayTeam]:[AwayTeam]],$A10, Table1[[HomeTeam]:[HomeTeam]], K$1) + SUMIFS(Table1[[HomeWon]:[HomeWon]], Table1[[GameIsOver]:[GameIsOver]],1,Table1[[HomeTeam]:[HomeTeam]],$A10, Table1[[AwayTeam]:[AwayTeam]], K$1),0), "-", TEXT(SUMIFS(Table1[[HomeWon]:[HomeWon]], Table1[[GameIsOver]:[GameIsOver]],1,Table1[[AwayTeam]:[AwayTeam]],$A10, Table1[[HomeTeam]:[HomeTeam]], K$1, Table1[[ActualResult]:[ActualResult]], "REG") + SUMIFS(Table1[[AwayWon]:[AwayWon]], Table1[[GameIsOver]:[GameIsOver]],1,Table1[[HomeTeam]:[HomeTeam]],$A10, Table1[[AwayTeam]:[AwayTeam]], K$1, Table1[[ActualResult]:[ActualResult]], "REG"),0), "-", TEXT(SUMIFS(Table1[[HomeWon]:[HomeWon]], Table1[[GameIsOver]:[GameIsOver]],1,Table1[[AwayTeam]:[AwayTeam]],$A10, Table1[[HomeTeam]:[HomeTeam]], K$1, Table1[[ActualResult]:[ActualResult]], "OT") + SUMIFS(Table1[[AwayWon]:[AwayWon]], Table1[[GameIsOver]:[GameIsOver]],1,Table1[[HomeTeam]:[HomeTeam]],$A10, Table1[[AwayTeam]:[AwayTeam]], K$1, Table1[[ActualResult]:[ActualResult]], "OT") + SUMIFS(Table1[[HomeWon]:[HomeWon]], Table1[[GameIsOver]:[GameIsOver]],1,Table1[[AwayTeam]:[AwayTeam]],$A10, Table1[[HomeTeam]:[HomeTeam]], K$1, Table1[[ActualResult]:[ActualResult]], "SO") + SUMIFS(Table1[[AwayWon]:[AwayWon]], Table1[[GameIsOver]:[GameIsOver]],1,Table1[[HomeTeam]:[HomeTeam]],$A10, Table1[[AwayTeam]:[AwayTeam]], K$1, Table1[[ActualResult]:[ActualResult]], "SO"),0))</f>
        <v>0-0-0</v>
      </c>
      <c r="L10" s="57" t="str">
        <f>_xlfn.CONCAT(TEXT(SUMIFS(Table1[[AwayWon]:[AwayWon]], Table1[[GameIsOver]:[GameIsOver]],1,Table1[[AwayTeam]:[AwayTeam]],$A10, Table1[[HomeTeam]:[HomeTeam]], L$1) + SUMIFS(Table1[[HomeWon]:[HomeWon]], Table1[[GameIsOver]:[GameIsOver]],1,Table1[[HomeTeam]:[HomeTeam]],$A10, Table1[[AwayTeam]:[AwayTeam]], L$1),0), "-", TEXT(SUMIFS(Table1[[HomeWon]:[HomeWon]], Table1[[GameIsOver]:[GameIsOver]],1,Table1[[AwayTeam]:[AwayTeam]],$A10, Table1[[HomeTeam]:[HomeTeam]], L$1, Table1[[ActualResult]:[ActualResult]], "REG") + SUMIFS(Table1[[AwayWon]:[AwayWon]], Table1[[GameIsOver]:[GameIsOver]],1,Table1[[HomeTeam]:[HomeTeam]],$A10, Table1[[AwayTeam]:[AwayTeam]], L$1, Table1[[ActualResult]:[ActualResult]], "REG"),0), "-", TEXT(SUMIFS(Table1[[HomeWon]:[HomeWon]], Table1[[GameIsOver]:[GameIsOver]],1,Table1[[AwayTeam]:[AwayTeam]],$A10, Table1[[HomeTeam]:[HomeTeam]], L$1, Table1[[ActualResult]:[ActualResult]], "OT") + SUMIFS(Table1[[AwayWon]:[AwayWon]], Table1[[GameIsOver]:[GameIsOver]],1,Table1[[HomeTeam]:[HomeTeam]],$A10, Table1[[AwayTeam]:[AwayTeam]], L$1, Table1[[ActualResult]:[ActualResult]], "OT") + SUMIFS(Table1[[HomeWon]:[HomeWon]], Table1[[GameIsOver]:[GameIsOver]],1,Table1[[AwayTeam]:[AwayTeam]],$A10, Table1[[HomeTeam]:[HomeTeam]], L$1, Table1[[ActualResult]:[ActualResult]], "SO") + SUMIFS(Table1[[AwayWon]:[AwayWon]], Table1[[GameIsOver]:[GameIsOver]],1,Table1[[HomeTeam]:[HomeTeam]],$A10, Table1[[AwayTeam]:[AwayTeam]], L$1, Table1[[ActualResult]:[ActualResult]], "SO"),0))</f>
        <v>0-0-0</v>
      </c>
      <c r="M10" s="57" t="str">
        <f>_xlfn.CONCAT(TEXT(SUMIFS(Table1[[AwayWon]:[AwayWon]], Table1[[GameIsOver]:[GameIsOver]],1,Table1[[AwayTeam]:[AwayTeam]],$A10, Table1[[HomeTeam]:[HomeTeam]], M$1) + SUMIFS(Table1[[HomeWon]:[HomeWon]], Table1[[GameIsOver]:[GameIsOver]],1,Table1[[HomeTeam]:[HomeTeam]],$A10, Table1[[AwayTeam]:[AwayTeam]], M$1),0), "-", TEXT(SUMIFS(Table1[[HomeWon]:[HomeWon]], Table1[[GameIsOver]:[GameIsOver]],1,Table1[[AwayTeam]:[AwayTeam]],$A10, Table1[[HomeTeam]:[HomeTeam]], M$1, Table1[[ActualResult]:[ActualResult]], "REG") + SUMIFS(Table1[[AwayWon]:[AwayWon]], Table1[[GameIsOver]:[GameIsOver]],1,Table1[[HomeTeam]:[HomeTeam]],$A10, Table1[[AwayTeam]:[AwayTeam]], M$1, Table1[[ActualResult]:[ActualResult]], "REG"),0), "-", TEXT(SUMIFS(Table1[[HomeWon]:[HomeWon]], Table1[[GameIsOver]:[GameIsOver]],1,Table1[[AwayTeam]:[AwayTeam]],$A10, Table1[[HomeTeam]:[HomeTeam]], M$1, Table1[[ActualResult]:[ActualResult]], "OT") + SUMIFS(Table1[[AwayWon]:[AwayWon]], Table1[[GameIsOver]:[GameIsOver]],1,Table1[[HomeTeam]:[HomeTeam]],$A10, Table1[[AwayTeam]:[AwayTeam]], M$1, Table1[[ActualResult]:[ActualResult]], "OT") + SUMIFS(Table1[[HomeWon]:[HomeWon]], Table1[[GameIsOver]:[GameIsOver]],1,Table1[[AwayTeam]:[AwayTeam]],$A10, Table1[[HomeTeam]:[HomeTeam]], M$1, Table1[[ActualResult]:[ActualResult]], "SO") + SUMIFS(Table1[[AwayWon]:[AwayWon]], Table1[[GameIsOver]:[GameIsOver]],1,Table1[[HomeTeam]:[HomeTeam]],$A10, Table1[[AwayTeam]:[AwayTeam]], M$1, Table1[[ActualResult]:[ActualResult]], "SO"),0))</f>
        <v>0-0-0</v>
      </c>
      <c r="N10" s="57" t="str">
        <f>_xlfn.CONCAT(TEXT(SUMIFS(Table1[[AwayWon]:[AwayWon]], Table1[[GameIsOver]:[GameIsOver]],1,Table1[[AwayTeam]:[AwayTeam]],$A10, Table1[[HomeTeam]:[HomeTeam]], N$1) + SUMIFS(Table1[[HomeWon]:[HomeWon]], Table1[[GameIsOver]:[GameIsOver]],1,Table1[[HomeTeam]:[HomeTeam]],$A10, Table1[[AwayTeam]:[AwayTeam]], N$1),0), "-", TEXT(SUMIFS(Table1[[HomeWon]:[HomeWon]], Table1[[GameIsOver]:[GameIsOver]],1,Table1[[AwayTeam]:[AwayTeam]],$A10, Table1[[HomeTeam]:[HomeTeam]], N$1, Table1[[ActualResult]:[ActualResult]], "REG") + SUMIFS(Table1[[AwayWon]:[AwayWon]], Table1[[GameIsOver]:[GameIsOver]],1,Table1[[HomeTeam]:[HomeTeam]],$A10, Table1[[AwayTeam]:[AwayTeam]], N$1, Table1[[ActualResult]:[ActualResult]], "REG"),0), "-", TEXT(SUMIFS(Table1[[HomeWon]:[HomeWon]], Table1[[GameIsOver]:[GameIsOver]],1,Table1[[AwayTeam]:[AwayTeam]],$A10, Table1[[HomeTeam]:[HomeTeam]], N$1, Table1[[ActualResult]:[ActualResult]], "OT") + SUMIFS(Table1[[AwayWon]:[AwayWon]], Table1[[GameIsOver]:[GameIsOver]],1,Table1[[HomeTeam]:[HomeTeam]],$A10, Table1[[AwayTeam]:[AwayTeam]], N$1, Table1[[ActualResult]:[ActualResult]], "OT") + SUMIFS(Table1[[HomeWon]:[HomeWon]], Table1[[GameIsOver]:[GameIsOver]],1,Table1[[AwayTeam]:[AwayTeam]],$A10, Table1[[HomeTeam]:[HomeTeam]], N$1, Table1[[ActualResult]:[ActualResult]], "SO") + SUMIFS(Table1[[AwayWon]:[AwayWon]], Table1[[GameIsOver]:[GameIsOver]],1,Table1[[HomeTeam]:[HomeTeam]],$A10, Table1[[AwayTeam]:[AwayTeam]], N$1, Table1[[ActualResult]:[ActualResult]], "SO"),0))</f>
        <v>0-0-0</v>
      </c>
      <c r="O10" s="57" t="str">
        <f>_xlfn.CONCAT(TEXT(SUMIFS(Table1[[AwayWon]:[AwayWon]], Table1[[GameIsOver]:[GameIsOver]],1,Table1[[AwayTeam]:[AwayTeam]],$A10, Table1[[HomeTeam]:[HomeTeam]], O$1) + SUMIFS(Table1[[HomeWon]:[HomeWon]], Table1[[GameIsOver]:[GameIsOver]],1,Table1[[HomeTeam]:[HomeTeam]],$A10, Table1[[AwayTeam]:[AwayTeam]], O$1),0), "-", TEXT(SUMIFS(Table1[[HomeWon]:[HomeWon]], Table1[[GameIsOver]:[GameIsOver]],1,Table1[[AwayTeam]:[AwayTeam]],$A10, Table1[[HomeTeam]:[HomeTeam]], O$1, Table1[[ActualResult]:[ActualResult]], "REG") + SUMIFS(Table1[[AwayWon]:[AwayWon]], Table1[[GameIsOver]:[GameIsOver]],1,Table1[[HomeTeam]:[HomeTeam]],$A10, Table1[[AwayTeam]:[AwayTeam]], O$1, Table1[[ActualResult]:[ActualResult]], "REG"),0), "-", TEXT(SUMIFS(Table1[[HomeWon]:[HomeWon]], Table1[[GameIsOver]:[GameIsOver]],1,Table1[[AwayTeam]:[AwayTeam]],$A10, Table1[[HomeTeam]:[HomeTeam]], O$1, Table1[[ActualResult]:[ActualResult]], "OT") + SUMIFS(Table1[[AwayWon]:[AwayWon]], Table1[[GameIsOver]:[GameIsOver]],1,Table1[[HomeTeam]:[HomeTeam]],$A10, Table1[[AwayTeam]:[AwayTeam]], O$1, Table1[[ActualResult]:[ActualResult]], "OT") + SUMIFS(Table1[[HomeWon]:[HomeWon]], Table1[[GameIsOver]:[GameIsOver]],1,Table1[[AwayTeam]:[AwayTeam]],$A10, Table1[[HomeTeam]:[HomeTeam]], O$1, Table1[[ActualResult]:[ActualResult]], "SO") + SUMIFS(Table1[[AwayWon]:[AwayWon]], Table1[[GameIsOver]:[GameIsOver]],1,Table1[[HomeTeam]:[HomeTeam]],$A10, Table1[[AwayTeam]:[AwayTeam]], O$1, Table1[[ActualResult]:[ActualResult]], "SO"),0))</f>
        <v>0-0-0</v>
      </c>
      <c r="P10" s="57" t="str">
        <f>_xlfn.CONCAT(TEXT(SUMIFS(Table1[[AwayWon]:[AwayWon]], Table1[[GameIsOver]:[GameIsOver]],1,Table1[[AwayTeam]:[AwayTeam]],$A10, Table1[[HomeTeam]:[HomeTeam]], P$1) + SUMIFS(Table1[[HomeWon]:[HomeWon]], Table1[[GameIsOver]:[GameIsOver]],1,Table1[[HomeTeam]:[HomeTeam]],$A10, Table1[[AwayTeam]:[AwayTeam]], P$1),0), "-", TEXT(SUMIFS(Table1[[HomeWon]:[HomeWon]], Table1[[GameIsOver]:[GameIsOver]],1,Table1[[AwayTeam]:[AwayTeam]],$A10, Table1[[HomeTeam]:[HomeTeam]], P$1, Table1[[ActualResult]:[ActualResult]], "REG") + SUMIFS(Table1[[AwayWon]:[AwayWon]], Table1[[GameIsOver]:[GameIsOver]],1,Table1[[HomeTeam]:[HomeTeam]],$A10, Table1[[AwayTeam]:[AwayTeam]], P$1, Table1[[ActualResult]:[ActualResult]], "REG"),0), "-", TEXT(SUMIFS(Table1[[HomeWon]:[HomeWon]], Table1[[GameIsOver]:[GameIsOver]],1,Table1[[AwayTeam]:[AwayTeam]],$A10, Table1[[HomeTeam]:[HomeTeam]], P$1, Table1[[ActualResult]:[ActualResult]], "OT") + SUMIFS(Table1[[AwayWon]:[AwayWon]], Table1[[GameIsOver]:[GameIsOver]],1,Table1[[HomeTeam]:[HomeTeam]],$A10, Table1[[AwayTeam]:[AwayTeam]], P$1, Table1[[ActualResult]:[ActualResult]], "OT") + SUMIFS(Table1[[HomeWon]:[HomeWon]], Table1[[GameIsOver]:[GameIsOver]],1,Table1[[AwayTeam]:[AwayTeam]],$A10, Table1[[HomeTeam]:[HomeTeam]], P$1, Table1[[ActualResult]:[ActualResult]], "SO") + SUMIFS(Table1[[AwayWon]:[AwayWon]], Table1[[GameIsOver]:[GameIsOver]],1,Table1[[HomeTeam]:[HomeTeam]],$A10, Table1[[AwayTeam]:[AwayTeam]], P$1, Table1[[ActualResult]:[ActualResult]], "SO"),0))</f>
        <v>0-0-0</v>
      </c>
      <c r="Q10" s="59" t="str">
        <f>_xlfn.CONCAT(TEXT(SUMIFS(Table1[[AwayWon]:[AwayWon]], Table1[[GameIsOver]:[GameIsOver]],1,Table1[[AwayTeam]:[AwayTeam]],$A10, Table1[[HomeTeam]:[HomeTeam]], Q$1) + SUMIFS(Table1[[HomeWon]:[HomeWon]], Table1[[GameIsOver]:[GameIsOver]],1,Table1[[HomeTeam]:[HomeTeam]],$A10, Table1[[AwayTeam]:[AwayTeam]], Q$1),0), "-", TEXT(SUMIFS(Table1[[HomeWon]:[HomeWon]], Table1[[GameIsOver]:[GameIsOver]],1,Table1[[AwayTeam]:[AwayTeam]],$A10, Table1[[HomeTeam]:[HomeTeam]], Q$1, Table1[[ActualResult]:[ActualResult]], "REG") + SUMIFS(Table1[[AwayWon]:[AwayWon]], Table1[[GameIsOver]:[GameIsOver]],1,Table1[[HomeTeam]:[HomeTeam]],$A10, Table1[[AwayTeam]:[AwayTeam]], Q$1, Table1[[ActualResult]:[ActualResult]], "REG"),0), "-", TEXT(SUMIFS(Table1[[HomeWon]:[HomeWon]], Table1[[GameIsOver]:[GameIsOver]],1,Table1[[AwayTeam]:[AwayTeam]],$A10, Table1[[HomeTeam]:[HomeTeam]], Q$1, Table1[[ActualResult]:[ActualResult]], "OT") + SUMIFS(Table1[[AwayWon]:[AwayWon]], Table1[[GameIsOver]:[GameIsOver]],1,Table1[[HomeTeam]:[HomeTeam]],$A10, Table1[[AwayTeam]:[AwayTeam]], Q$1, Table1[[ActualResult]:[ActualResult]], "OT") + SUMIFS(Table1[[HomeWon]:[HomeWon]], Table1[[GameIsOver]:[GameIsOver]],1,Table1[[AwayTeam]:[AwayTeam]],$A10, Table1[[HomeTeam]:[HomeTeam]], Q$1, Table1[[ActualResult]:[ActualResult]], "SO") + SUMIFS(Table1[[AwayWon]:[AwayWon]], Table1[[GameIsOver]:[GameIsOver]],1,Table1[[HomeTeam]:[HomeTeam]],$A10, Table1[[AwayTeam]:[AwayTeam]], Q$1, Table1[[ActualResult]:[ActualResult]], "SO"),0))</f>
        <v>0-0-0</v>
      </c>
      <c r="R10" s="57" t="str">
        <f>_xlfn.CONCAT(TEXT(SUMIFS(Table1[[AwayWon]:[AwayWon]], Table1[[GameIsOver]:[GameIsOver]],1,Table1[[AwayTeam]:[AwayTeam]],$A10, Table1[[HomeTeam]:[HomeTeam]], R$1) + SUMIFS(Table1[[HomeWon]:[HomeWon]], Table1[[GameIsOver]:[GameIsOver]],1,Table1[[HomeTeam]:[HomeTeam]],$A10, Table1[[AwayTeam]:[AwayTeam]], R$1),0), "-", TEXT(SUMIFS(Table1[[HomeWon]:[HomeWon]], Table1[[GameIsOver]:[GameIsOver]],1,Table1[[AwayTeam]:[AwayTeam]],$A10, Table1[[HomeTeam]:[HomeTeam]], R$1, Table1[[ActualResult]:[ActualResult]], "REG") + SUMIFS(Table1[[AwayWon]:[AwayWon]], Table1[[GameIsOver]:[GameIsOver]],1,Table1[[HomeTeam]:[HomeTeam]],$A10, Table1[[AwayTeam]:[AwayTeam]], R$1, Table1[[ActualResult]:[ActualResult]], "REG"),0), "-", TEXT(SUMIFS(Table1[[HomeWon]:[HomeWon]], Table1[[GameIsOver]:[GameIsOver]],1,Table1[[AwayTeam]:[AwayTeam]],$A10, Table1[[HomeTeam]:[HomeTeam]], R$1, Table1[[ActualResult]:[ActualResult]], "OT") + SUMIFS(Table1[[AwayWon]:[AwayWon]], Table1[[GameIsOver]:[GameIsOver]],1,Table1[[HomeTeam]:[HomeTeam]],$A10, Table1[[AwayTeam]:[AwayTeam]], R$1, Table1[[ActualResult]:[ActualResult]], "OT") + SUMIFS(Table1[[HomeWon]:[HomeWon]], Table1[[GameIsOver]:[GameIsOver]],1,Table1[[AwayTeam]:[AwayTeam]],$A10, Table1[[HomeTeam]:[HomeTeam]], R$1, Table1[[ActualResult]:[ActualResult]], "SO") + SUMIFS(Table1[[AwayWon]:[AwayWon]], Table1[[GameIsOver]:[GameIsOver]],1,Table1[[HomeTeam]:[HomeTeam]],$A10, Table1[[AwayTeam]:[AwayTeam]], R$1, Table1[[ActualResult]:[ActualResult]], "SO"),0))</f>
        <v>0-0-0</v>
      </c>
      <c r="S10" s="57" t="str">
        <f>_xlfn.CONCAT(TEXT(SUMIFS(Table1[[AwayWon]:[AwayWon]], Table1[[GameIsOver]:[GameIsOver]],1,Table1[[AwayTeam]:[AwayTeam]],$A10, Table1[[HomeTeam]:[HomeTeam]], S$1) + SUMIFS(Table1[[HomeWon]:[HomeWon]], Table1[[GameIsOver]:[GameIsOver]],1,Table1[[HomeTeam]:[HomeTeam]],$A10, Table1[[AwayTeam]:[AwayTeam]], S$1),0), "-", TEXT(SUMIFS(Table1[[HomeWon]:[HomeWon]], Table1[[GameIsOver]:[GameIsOver]],1,Table1[[AwayTeam]:[AwayTeam]],$A10, Table1[[HomeTeam]:[HomeTeam]], S$1, Table1[[ActualResult]:[ActualResult]], "REG") + SUMIFS(Table1[[AwayWon]:[AwayWon]], Table1[[GameIsOver]:[GameIsOver]],1,Table1[[HomeTeam]:[HomeTeam]],$A10, Table1[[AwayTeam]:[AwayTeam]], S$1, Table1[[ActualResult]:[ActualResult]], "REG"),0), "-", TEXT(SUMIFS(Table1[[HomeWon]:[HomeWon]], Table1[[GameIsOver]:[GameIsOver]],1,Table1[[AwayTeam]:[AwayTeam]],$A10, Table1[[HomeTeam]:[HomeTeam]], S$1, Table1[[ActualResult]:[ActualResult]], "OT") + SUMIFS(Table1[[AwayWon]:[AwayWon]], Table1[[GameIsOver]:[GameIsOver]],1,Table1[[HomeTeam]:[HomeTeam]],$A10, Table1[[AwayTeam]:[AwayTeam]], S$1, Table1[[ActualResult]:[ActualResult]], "OT") + SUMIFS(Table1[[HomeWon]:[HomeWon]], Table1[[GameIsOver]:[GameIsOver]],1,Table1[[AwayTeam]:[AwayTeam]],$A10, Table1[[HomeTeam]:[HomeTeam]], S$1, Table1[[ActualResult]:[ActualResult]], "SO") + SUMIFS(Table1[[AwayWon]:[AwayWon]], Table1[[GameIsOver]:[GameIsOver]],1,Table1[[HomeTeam]:[HomeTeam]],$A10, Table1[[AwayTeam]:[AwayTeam]], S$1, Table1[[ActualResult]:[ActualResult]], "SO"),0))</f>
        <v>0-0-0</v>
      </c>
      <c r="T10" s="57" t="str">
        <f>_xlfn.CONCAT(TEXT(SUMIFS(Table1[[AwayWon]:[AwayWon]], Table1[[GameIsOver]:[GameIsOver]],1,Table1[[AwayTeam]:[AwayTeam]],$A10, Table1[[HomeTeam]:[HomeTeam]], T$1) + SUMIFS(Table1[[HomeWon]:[HomeWon]], Table1[[GameIsOver]:[GameIsOver]],1,Table1[[HomeTeam]:[HomeTeam]],$A10, Table1[[AwayTeam]:[AwayTeam]], T$1),0), "-", TEXT(SUMIFS(Table1[[HomeWon]:[HomeWon]], Table1[[GameIsOver]:[GameIsOver]],1,Table1[[AwayTeam]:[AwayTeam]],$A10, Table1[[HomeTeam]:[HomeTeam]], T$1, Table1[[ActualResult]:[ActualResult]], "REG") + SUMIFS(Table1[[AwayWon]:[AwayWon]], Table1[[GameIsOver]:[GameIsOver]],1,Table1[[HomeTeam]:[HomeTeam]],$A10, Table1[[AwayTeam]:[AwayTeam]], T$1, Table1[[ActualResult]:[ActualResult]], "REG"),0), "-", TEXT(SUMIFS(Table1[[HomeWon]:[HomeWon]], Table1[[GameIsOver]:[GameIsOver]],1,Table1[[AwayTeam]:[AwayTeam]],$A10, Table1[[HomeTeam]:[HomeTeam]], T$1, Table1[[ActualResult]:[ActualResult]], "OT") + SUMIFS(Table1[[AwayWon]:[AwayWon]], Table1[[GameIsOver]:[GameIsOver]],1,Table1[[HomeTeam]:[HomeTeam]],$A10, Table1[[AwayTeam]:[AwayTeam]], T$1, Table1[[ActualResult]:[ActualResult]], "OT") + SUMIFS(Table1[[HomeWon]:[HomeWon]], Table1[[GameIsOver]:[GameIsOver]],1,Table1[[AwayTeam]:[AwayTeam]],$A10, Table1[[HomeTeam]:[HomeTeam]], T$1, Table1[[ActualResult]:[ActualResult]], "SO") + SUMIFS(Table1[[AwayWon]:[AwayWon]], Table1[[GameIsOver]:[GameIsOver]],1,Table1[[HomeTeam]:[HomeTeam]],$A10, Table1[[AwayTeam]:[AwayTeam]], T$1, Table1[[ActualResult]:[ActualResult]], "SO"),0))</f>
        <v>0-0-0</v>
      </c>
      <c r="U10" s="57" t="str">
        <f>_xlfn.CONCAT(TEXT(SUMIFS(Table1[[AwayWon]:[AwayWon]], Table1[[GameIsOver]:[GameIsOver]],1,Table1[[AwayTeam]:[AwayTeam]],$A10, Table1[[HomeTeam]:[HomeTeam]], U$1) + SUMIFS(Table1[[HomeWon]:[HomeWon]], Table1[[GameIsOver]:[GameIsOver]],1,Table1[[HomeTeam]:[HomeTeam]],$A10, Table1[[AwayTeam]:[AwayTeam]], U$1),0), "-", TEXT(SUMIFS(Table1[[HomeWon]:[HomeWon]], Table1[[GameIsOver]:[GameIsOver]],1,Table1[[AwayTeam]:[AwayTeam]],$A10, Table1[[HomeTeam]:[HomeTeam]], U$1, Table1[[ActualResult]:[ActualResult]], "REG") + SUMIFS(Table1[[AwayWon]:[AwayWon]], Table1[[GameIsOver]:[GameIsOver]],1,Table1[[HomeTeam]:[HomeTeam]],$A10, Table1[[AwayTeam]:[AwayTeam]], U$1, Table1[[ActualResult]:[ActualResult]], "REG"),0), "-", TEXT(SUMIFS(Table1[[HomeWon]:[HomeWon]], Table1[[GameIsOver]:[GameIsOver]],1,Table1[[AwayTeam]:[AwayTeam]],$A10, Table1[[HomeTeam]:[HomeTeam]], U$1, Table1[[ActualResult]:[ActualResult]], "OT") + SUMIFS(Table1[[AwayWon]:[AwayWon]], Table1[[GameIsOver]:[GameIsOver]],1,Table1[[HomeTeam]:[HomeTeam]],$A10, Table1[[AwayTeam]:[AwayTeam]], U$1, Table1[[ActualResult]:[ActualResult]], "OT") + SUMIFS(Table1[[HomeWon]:[HomeWon]], Table1[[GameIsOver]:[GameIsOver]],1,Table1[[AwayTeam]:[AwayTeam]],$A10, Table1[[HomeTeam]:[HomeTeam]], U$1, Table1[[ActualResult]:[ActualResult]], "SO") + SUMIFS(Table1[[AwayWon]:[AwayWon]], Table1[[GameIsOver]:[GameIsOver]],1,Table1[[HomeTeam]:[HomeTeam]],$A10, Table1[[AwayTeam]:[AwayTeam]], U$1, Table1[[ActualResult]:[ActualResult]], "SO"),0))</f>
        <v>0-0-0</v>
      </c>
      <c r="V10" s="57" t="str">
        <f>_xlfn.CONCAT(TEXT(SUMIFS(Table1[[AwayWon]:[AwayWon]], Table1[[GameIsOver]:[GameIsOver]],1,Table1[[AwayTeam]:[AwayTeam]],$A10, Table1[[HomeTeam]:[HomeTeam]], V$1) + SUMIFS(Table1[[HomeWon]:[HomeWon]], Table1[[GameIsOver]:[GameIsOver]],1,Table1[[HomeTeam]:[HomeTeam]],$A10, Table1[[AwayTeam]:[AwayTeam]], V$1),0), "-", TEXT(SUMIFS(Table1[[HomeWon]:[HomeWon]], Table1[[GameIsOver]:[GameIsOver]],1,Table1[[AwayTeam]:[AwayTeam]],$A10, Table1[[HomeTeam]:[HomeTeam]], V$1, Table1[[ActualResult]:[ActualResult]], "REG") + SUMIFS(Table1[[AwayWon]:[AwayWon]], Table1[[GameIsOver]:[GameIsOver]],1,Table1[[HomeTeam]:[HomeTeam]],$A10, Table1[[AwayTeam]:[AwayTeam]], V$1, Table1[[ActualResult]:[ActualResult]], "REG"),0), "-", TEXT(SUMIFS(Table1[[HomeWon]:[HomeWon]], Table1[[GameIsOver]:[GameIsOver]],1,Table1[[AwayTeam]:[AwayTeam]],$A10, Table1[[HomeTeam]:[HomeTeam]], V$1, Table1[[ActualResult]:[ActualResult]], "OT") + SUMIFS(Table1[[AwayWon]:[AwayWon]], Table1[[GameIsOver]:[GameIsOver]],1,Table1[[HomeTeam]:[HomeTeam]],$A10, Table1[[AwayTeam]:[AwayTeam]], V$1, Table1[[ActualResult]:[ActualResult]], "OT") + SUMIFS(Table1[[HomeWon]:[HomeWon]], Table1[[GameIsOver]:[GameIsOver]],1,Table1[[AwayTeam]:[AwayTeam]],$A10, Table1[[HomeTeam]:[HomeTeam]], V$1, Table1[[ActualResult]:[ActualResult]], "SO") + SUMIFS(Table1[[AwayWon]:[AwayWon]], Table1[[GameIsOver]:[GameIsOver]],1,Table1[[HomeTeam]:[HomeTeam]],$A10, Table1[[AwayTeam]:[AwayTeam]], V$1, Table1[[ActualResult]:[ActualResult]], "SO"),0))</f>
        <v>0-0-0</v>
      </c>
      <c r="W10" s="57" t="str">
        <f>_xlfn.CONCAT(TEXT(SUMIFS(Table1[[AwayWon]:[AwayWon]], Table1[[GameIsOver]:[GameIsOver]],1,Table1[[AwayTeam]:[AwayTeam]],$A10, Table1[[HomeTeam]:[HomeTeam]], W$1) + SUMIFS(Table1[[HomeWon]:[HomeWon]], Table1[[GameIsOver]:[GameIsOver]],1,Table1[[HomeTeam]:[HomeTeam]],$A10, Table1[[AwayTeam]:[AwayTeam]], W$1),0), "-", TEXT(SUMIFS(Table1[[HomeWon]:[HomeWon]], Table1[[GameIsOver]:[GameIsOver]],1,Table1[[AwayTeam]:[AwayTeam]],$A10, Table1[[HomeTeam]:[HomeTeam]], W$1, Table1[[ActualResult]:[ActualResult]], "REG") + SUMIFS(Table1[[AwayWon]:[AwayWon]], Table1[[GameIsOver]:[GameIsOver]],1,Table1[[HomeTeam]:[HomeTeam]],$A10, Table1[[AwayTeam]:[AwayTeam]], W$1, Table1[[ActualResult]:[ActualResult]], "REG"),0), "-", TEXT(SUMIFS(Table1[[HomeWon]:[HomeWon]], Table1[[GameIsOver]:[GameIsOver]],1,Table1[[AwayTeam]:[AwayTeam]],$A10, Table1[[HomeTeam]:[HomeTeam]], W$1, Table1[[ActualResult]:[ActualResult]], "OT") + SUMIFS(Table1[[AwayWon]:[AwayWon]], Table1[[GameIsOver]:[GameIsOver]],1,Table1[[HomeTeam]:[HomeTeam]],$A10, Table1[[AwayTeam]:[AwayTeam]], W$1, Table1[[ActualResult]:[ActualResult]], "OT") + SUMIFS(Table1[[HomeWon]:[HomeWon]], Table1[[GameIsOver]:[GameIsOver]],1,Table1[[AwayTeam]:[AwayTeam]],$A10, Table1[[HomeTeam]:[HomeTeam]], W$1, Table1[[ActualResult]:[ActualResult]], "SO") + SUMIFS(Table1[[AwayWon]:[AwayWon]], Table1[[GameIsOver]:[GameIsOver]],1,Table1[[HomeTeam]:[HomeTeam]],$A10, Table1[[AwayTeam]:[AwayTeam]], W$1, Table1[[ActualResult]:[ActualResult]], "SO"),0))</f>
        <v>0-0-0</v>
      </c>
      <c r="X10" s="57" t="str">
        <f>_xlfn.CONCAT(TEXT(SUMIFS(Table1[[AwayWon]:[AwayWon]], Table1[[GameIsOver]:[GameIsOver]],1,Table1[[AwayTeam]:[AwayTeam]],$A10, Table1[[HomeTeam]:[HomeTeam]], X$1) + SUMIFS(Table1[[HomeWon]:[HomeWon]], Table1[[GameIsOver]:[GameIsOver]],1,Table1[[HomeTeam]:[HomeTeam]],$A10, Table1[[AwayTeam]:[AwayTeam]], X$1),0), "-", TEXT(SUMIFS(Table1[[HomeWon]:[HomeWon]], Table1[[GameIsOver]:[GameIsOver]],1,Table1[[AwayTeam]:[AwayTeam]],$A10, Table1[[HomeTeam]:[HomeTeam]], X$1, Table1[[ActualResult]:[ActualResult]], "REG") + SUMIFS(Table1[[AwayWon]:[AwayWon]], Table1[[GameIsOver]:[GameIsOver]],1,Table1[[HomeTeam]:[HomeTeam]],$A10, Table1[[AwayTeam]:[AwayTeam]], X$1, Table1[[ActualResult]:[ActualResult]], "REG"),0), "-", TEXT(SUMIFS(Table1[[HomeWon]:[HomeWon]], Table1[[GameIsOver]:[GameIsOver]],1,Table1[[AwayTeam]:[AwayTeam]],$A10, Table1[[HomeTeam]:[HomeTeam]], X$1, Table1[[ActualResult]:[ActualResult]], "OT") + SUMIFS(Table1[[AwayWon]:[AwayWon]], Table1[[GameIsOver]:[GameIsOver]],1,Table1[[HomeTeam]:[HomeTeam]],$A10, Table1[[AwayTeam]:[AwayTeam]], X$1, Table1[[ActualResult]:[ActualResult]], "OT") + SUMIFS(Table1[[HomeWon]:[HomeWon]], Table1[[GameIsOver]:[GameIsOver]],1,Table1[[AwayTeam]:[AwayTeam]],$A10, Table1[[HomeTeam]:[HomeTeam]], X$1, Table1[[ActualResult]:[ActualResult]], "SO") + SUMIFS(Table1[[AwayWon]:[AwayWon]], Table1[[GameIsOver]:[GameIsOver]],1,Table1[[HomeTeam]:[HomeTeam]],$A10, Table1[[AwayTeam]:[AwayTeam]], X$1, Table1[[ActualResult]:[ActualResult]], "SO"),0))</f>
        <v>0-0-0</v>
      </c>
      <c r="Y10" s="59" t="str">
        <f>_xlfn.CONCAT(TEXT(SUMIFS(Table1[[AwayWon]:[AwayWon]], Table1[[GameIsOver]:[GameIsOver]],1,Table1[[AwayTeam]:[AwayTeam]],$A10, Table1[[HomeTeam]:[HomeTeam]], Y$1) + SUMIFS(Table1[[HomeWon]:[HomeWon]], Table1[[GameIsOver]:[GameIsOver]],1,Table1[[HomeTeam]:[HomeTeam]],$A10, Table1[[AwayTeam]:[AwayTeam]], Y$1),0), "-", TEXT(SUMIFS(Table1[[HomeWon]:[HomeWon]], Table1[[GameIsOver]:[GameIsOver]],1,Table1[[AwayTeam]:[AwayTeam]],$A10, Table1[[HomeTeam]:[HomeTeam]], Y$1, Table1[[ActualResult]:[ActualResult]], "REG") + SUMIFS(Table1[[AwayWon]:[AwayWon]], Table1[[GameIsOver]:[GameIsOver]],1,Table1[[HomeTeam]:[HomeTeam]],$A10, Table1[[AwayTeam]:[AwayTeam]], Y$1, Table1[[ActualResult]:[ActualResult]], "REG"),0), "-", TEXT(SUMIFS(Table1[[HomeWon]:[HomeWon]], Table1[[GameIsOver]:[GameIsOver]],1,Table1[[AwayTeam]:[AwayTeam]],$A10, Table1[[HomeTeam]:[HomeTeam]], Y$1, Table1[[ActualResult]:[ActualResult]], "OT") + SUMIFS(Table1[[AwayWon]:[AwayWon]], Table1[[GameIsOver]:[GameIsOver]],1,Table1[[HomeTeam]:[HomeTeam]],$A10, Table1[[AwayTeam]:[AwayTeam]], Y$1, Table1[[ActualResult]:[ActualResult]], "OT") + SUMIFS(Table1[[HomeWon]:[HomeWon]], Table1[[GameIsOver]:[GameIsOver]],1,Table1[[AwayTeam]:[AwayTeam]],$A10, Table1[[HomeTeam]:[HomeTeam]], Y$1, Table1[[ActualResult]:[ActualResult]], "SO") + SUMIFS(Table1[[AwayWon]:[AwayWon]], Table1[[GameIsOver]:[GameIsOver]],1,Table1[[HomeTeam]:[HomeTeam]],$A10, Table1[[AwayTeam]:[AwayTeam]], Y$1, Table1[[ActualResult]:[ActualResult]], "SO"),0))</f>
        <v>0-0-0</v>
      </c>
      <c r="Z10" s="57" t="str">
        <f>_xlfn.CONCAT(TEXT(SUMIFS(Table1[[AwayWon]:[AwayWon]], Table1[[GameIsOver]:[GameIsOver]],1,Table1[[AwayTeam]:[AwayTeam]],$A10, Table1[[HomeTeam]:[HomeTeam]], Z$1) + SUMIFS(Table1[[HomeWon]:[HomeWon]], Table1[[GameIsOver]:[GameIsOver]],1,Table1[[HomeTeam]:[HomeTeam]],$A10, Table1[[AwayTeam]:[AwayTeam]], Z$1),0), "-", TEXT(SUMIFS(Table1[[HomeWon]:[HomeWon]], Table1[[GameIsOver]:[GameIsOver]],1,Table1[[AwayTeam]:[AwayTeam]],$A10, Table1[[HomeTeam]:[HomeTeam]], Z$1, Table1[[ActualResult]:[ActualResult]], "REG") + SUMIFS(Table1[[AwayWon]:[AwayWon]], Table1[[GameIsOver]:[GameIsOver]],1,Table1[[HomeTeam]:[HomeTeam]],$A10, Table1[[AwayTeam]:[AwayTeam]], Z$1, Table1[[ActualResult]:[ActualResult]], "REG"),0), "-", TEXT(SUMIFS(Table1[[HomeWon]:[HomeWon]], Table1[[GameIsOver]:[GameIsOver]],1,Table1[[AwayTeam]:[AwayTeam]],$A10, Table1[[HomeTeam]:[HomeTeam]], Z$1, Table1[[ActualResult]:[ActualResult]], "OT") + SUMIFS(Table1[[AwayWon]:[AwayWon]], Table1[[GameIsOver]:[GameIsOver]],1,Table1[[HomeTeam]:[HomeTeam]],$A10, Table1[[AwayTeam]:[AwayTeam]], Z$1, Table1[[ActualResult]:[ActualResult]], "OT") + SUMIFS(Table1[[HomeWon]:[HomeWon]], Table1[[GameIsOver]:[GameIsOver]],1,Table1[[AwayTeam]:[AwayTeam]],$A10, Table1[[HomeTeam]:[HomeTeam]], Z$1, Table1[[ActualResult]:[ActualResult]], "SO") + SUMIFS(Table1[[AwayWon]:[AwayWon]], Table1[[GameIsOver]:[GameIsOver]],1,Table1[[HomeTeam]:[HomeTeam]],$A10, Table1[[AwayTeam]:[AwayTeam]], Z$1, Table1[[ActualResult]:[ActualResult]], "SO"),0))</f>
        <v>0-0-0</v>
      </c>
      <c r="AA10" s="57" t="str">
        <f>_xlfn.CONCAT(TEXT(SUMIFS(Table1[[AwayWon]:[AwayWon]], Table1[[GameIsOver]:[GameIsOver]],1,Table1[[AwayTeam]:[AwayTeam]],$A10, Table1[[HomeTeam]:[HomeTeam]], AA$1) + SUMIFS(Table1[[HomeWon]:[HomeWon]], Table1[[GameIsOver]:[GameIsOver]],1,Table1[[HomeTeam]:[HomeTeam]],$A10, Table1[[AwayTeam]:[AwayTeam]], AA$1),0), "-", TEXT(SUMIFS(Table1[[HomeWon]:[HomeWon]], Table1[[GameIsOver]:[GameIsOver]],1,Table1[[AwayTeam]:[AwayTeam]],$A10, Table1[[HomeTeam]:[HomeTeam]], AA$1, Table1[[ActualResult]:[ActualResult]], "REG") + SUMIFS(Table1[[AwayWon]:[AwayWon]], Table1[[GameIsOver]:[GameIsOver]],1,Table1[[HomeTeam]:[HomeTeam]],$A10, Table1[[AwayTeam]:[AwayTeam]], AA$1, Table1[[ActualResult]:[ActualResult]], "REG"),0), "-", TEXT(SUMIFS(Table1[[HomeWon]:[HomeWon]], Table1[[GameIsOver]:[GameIsOver]],1,Table1[[AwayTeam]:[AwayTeam]],$A10, Table1[[HomeTeam]:[HomeTeam]], AA$1, Table1[[ActualResult]:[ActualResult]], "OT") + SUMIFS(Table1[[AwayWon]:[AwayWon]], Table1[[GameIsOver]:[GameIsOver]],1,Table1[[HomeTeam]:[HomeTeam]],$A10, Table1[[AwayTeam]:[AwayTeam]], AA$1, Table1[[ActualResult]:[ActualResult]], "OT") + SUMIFS(Table1[[HomeWon]:[HomeWon]], Table1[[GameIsOver]:[GameIsOver]],1,Table1[[AwayTeam]:[AwayTeam]],$A10, Table1[[HomeTeam]:[HomeTeam]], AA$1, Table1[[ActualResult]:[ActualResult]], "SO") + SUMIFS(Table1[[AwayWon]:[AwayWon]], Table1[[GameIsOver]:[GameIsOver]],1,Table1[[HomeTeam]:[HomeTeam]],$A10, Table1[[AwayTeam]:[AwayTeam]], AA$1, Table1[[ActualResult]:[ActualResult]], "SO"),0))</f>
        <v>0-0-0</v>
      </c>
      <c r="AB10" s="57" t="str">
        <f>_xlfn.CONCAT(TEXT(SUMIFS(Table1[[AwayWon]:[AwayWon]], Table1[[GameIsOver]:[GameIsOver]],1,Table1[[AwayTeam]:[AwayTeam]],$A10, Table1[[HomeTeam]:[HomeTeam]], AB$1) + SUMIFS(Table1[[HomeWon]:[HomeWon]], Table1[[GameIsOver]:[GameIsOver]],1,Table1[[HomeTeam]:[HomeTeam]],$A10, Table1[[AwayTeam]:[AwayTeam]], AB$1),0), "-", TEXT(SUMIFS(Table1[[HomeWon]:[HomeWon]], Table1[[GameIsOver]:[GameIsOver]],1,Table1[[AwayTeam]:[AwayTeam]],$A10, Table1[[HomeTeam]:[HomeTeam]], AB$1, Table1[[ActualResult]:[ActualResult]], "REG") + SUMIFS(Table1[[AwayWon]:[AwayWon]], Table1[[GameIsOver]:[GameIsOver]],1,Table1[[HomeTeam]:[HomeTeam]],$A10, Table1[[AwayTeam]:[AwayTeam]], AB$1, Table1[[ActualResult]:[ActualResult]], "REG"),0), "-", TEXT(SUMIFS(Table1[[HomeWon]:[HomeWon]], Table1[[GameIsOver]:[GameIsOver]],1,Table1[[AwayTeam]:[AwayTeam]],$A10, Table1[[HomeTeam]:[HomeTeam]], AB$1, Table1[[ActualResult]:[ActualResult]], "OT") + SUMIFS(Table1[[AwayWon]:[AwayWon]], Table1[[GameIsOver]:[GameIsOver]],1,Table1[[HomeTeam]:[HomeTeam]],$A10, Table1[[AwayTeam]:[AwayTeam]], AB$1, Table1[[ActualResult]:[ActualResult]], "OT") + SUMIFS(Table1[[HomeWon]:[HomeWon]], Table1[[GameIsOver]:[GameIsOver]],1,Table1[[AwayTeam]:[AwayTeam]],$A10, Table1[[HomeTeam]:[HomeTeam]], AB$1, Table1[[ActualResult]:[ActualResult]], "SO") + SUMIFS(Table1[[AwayWon]:[AwayWon]], Table1[[GameIsOver]:[GameIsOver]],1,Table1[[HomeTeam]:[HomeTeam]],$A10, Table1[[AwayTeam]:[AwayTeam]], AB$1, Table1[[ActualResult]:[ActualResult]], "SO"),0))</f>
        <v>0-0-0</v>
      </c>
      <c r="AC10" s="57" t="str">
        <f>_xlfn.CONCAT(TEXT(SUMIFS(Table1[[AwayWon]:[AwayWon]], Table1[[GameIsOver]:[GameIsOver]],1,Table1[[AwayTeam]:[AwayTeam]],$A10, Table1[[HomeTeam]:[HomeTeam]], AC$1) + SUMIFS(Table1[[HomeWon]:[HomeWon]], Table1[[GameIsOver]:[GameIsOver]],1,Table1[[HomeTeam]:[HomeTeam]],$A10, Table1[[AwayTeam]:[AwayTeam]], AC$1),0), "-", TEXT(SUMIFS(Table1[[HomeWon]:[HomeWon]], Table1[[GameIsOver]:[GameIsOver]],1,Table1[[AwayTeam]:[AwayTeam]],$A10, Table1[[HomeTeam]:[HomeTeam]], AC$1, Table1[[ActualResult]:[ActualResult]], "REG") + SUMIFS(Table1[[AwayWon]:[AwayWon]], Table1[[GameIsOver]:[GameIsOver]],1,Table1[[HomeTeam]:[HomeTeam]],$A10, Table1[[AwayTeam]:[AwayTeam]], AC$1, Table1[[ActualResult]:[ActualResult]], "REG"),0), "-", TEXT(SUMIFS(Table1[[HomeWon]:[HomeWon]], Table1[[GameIsOver]:[GameIsOver]],1,Table1[[AwayTeam]:[AwayTeam]],$A10, Table1[[HomeTeam]:[HomeTeam]], AC$1, Table1[[ActualResult]:[ActualResult]], "OT") + SUMIFS(Table1[[AwayWon]:[AwayWon]], Table1[[GameIsOver]:[GameIsOver]],1,Table1[[HomeTeam]:[HomeTeam]],$A10, Table1[[AwayTeam]:[AwayTeam]], AC$1, Table1[[ActualResult]:[ActualResult]], "OT") + SUMIFS(Table1[[HomeWon]:[HomeWon]], Table1[[GameIsOver]:[GameIsOver]],1,Table1[[AwayTeam]:[AwayTeam]],$A10, Table1[[HomeTeam]:[HomeTeam]], AC$1, Table1[[ActualResult]:[ActualResult]], "SO") + SUMIFS(Table1[[AwayWon]:[AwayWon]], Table1[[GameIsOver]:[GameIsOver]],1,Table1[[HomeTeam]:[HomeTeam]],$A10, Table1[[AwayTeam]:[AwayTeam]], AC$1, Table1[[ActualResult]:[ActualResult]], "SO"),0))</f>
        <v>1-0-0</v>
      </c>
      <c r="AD10" s="57" t="str">
        <f>_xlfn.CONCAT(TEXT(SUMIFS(Table1[[AwayWon]:[AwayWon]], Table1[[GameIsOver]:[GameIsOver]],1,Table1[[AwayTeam]:[AwayTeam]],$A10, Table1[[HomeTeam]:[HomeTeam]], AD$1) + SUMIFS(Table1[[HomeWon]:[HomeWon]], Table1[[GameIsOver]:[GameIsOver]],1,Table1[[HomeTeam]:[HomeTeam]],$A10, Table1[[AwayTeam]:[AwayTeam]], AD$1),0), "-", TEXT(SUMIFS(Table1[[HomeWon]:[HomeWon]], Table1[[GameIsOver]:[GameIsOver]],1,Table1[[AwayTeam]:[AwayTeam]],$A10, Table1[[HomeTeam]:[HomeTeam]], AD$1, Table1[[ActualResult]:[ActualResult]], "REG") + SUMIFS(Table1[[AwayWon]:[AwayWon]], Table1[[GameIsOver]:[GameIsOver]],1,Table1[[HomeTeam]:[HomeTeam]],$A10, Table1[[AwayTeam]:[AwayTeam]], AD$1, Table1[[ActualResult]:[ActualResult]], "REG"),0), "-", TEXT(SUMIFS(Table1[[HomeWon]:[HomeWon]], Table1[[GameIsOver]:[GameIsOver]],1,Table1[[AwayTeam]:[AwayTeam]],$A10, Table1[[HomeTeam]:[HomeTeam]], AD$1, Table1[[ActualResult]:[ActualResult]], "OT") + SUMIFS(Table1[[AwayWon]:[AwayWon]], Table1[[GameIsOver]:[GameIsOver]],1,Table1[[HomeTeam]:[HomeTeam]],$A10, Table1[[AwayTeam]:[AwayTeam]], AD$1, Table1[[ActualResult]:[ActualResult]], "OT") + SUMIFS(Table1[[HomeWon]:[HomeWon]], Table1[[GameIsOver]:[GameIsOver]],1,Table1[[AwayTeam]:[AwayTeam]],$A10, Table1[[HomeTeam]:[HomeTeam]], AD$1, Table1[[ActualResult]:[ActualResult]], "SO") + SUMIFS(Table1[[AwayWon]:[AwayWon]], Table1[[GameIsOver]:[GameIsOver]],1,Table1[[HomeTeam]:[HomeTeam]],$A10, Table1[[AwayTeam]:[AwayTeam]], AD$1, Table1[[ActualResult]:[ActualResult]], "SO"),0))</f>
        <v>0-0-0</v>
      </c>
      <c r="AE10" s="57" t="str">
        <f>_xlfn.CONCAT(TEXT(SUMIFS(Table1[[AwayWon]:[AwayWon]], Table1[[GameIsOver]:[GameIsOver]],1,Table1[[AwayTeam]:[AwayTeam]],$A10, Table1[[HomeTeam]:[HomeTeam]], AE$1) + SUMIFS(Table1[[HomeWon]:[HomeWon]], Table1[[GameIsOver]:[GameIsOver]],1,Table1[[HomeTeam]:[HomeTeam]],$A10, Table1[[AwayTeam]:[AwayTeam]], AE$1),0), "-", TEXT(SUMIFS(Table1[[HomeWon]:[HomeWon]], Table1[[GameIsOver]:[GameIsOver]],1,Table1[[AwayTeam]:[AwayTeam]],$A10, Table1[[HomeTeam]:[HomeTeam]], AE$1, Table1[[ActualResult]:[ActualResult]], "REG") + SUMIFS(Table1[[AwayWon]:[AwayWon]], Table1[[GameIsOver]:[GameIsOver]],1,Table1[[HomeTeam]:[HomeTeam]],$A10, Table1[[AwayTeam]:[AwayTeam]], AE$1, Table1[[ActualResult]:[ActualResult]], "REG"),0), "-", TEXT(SUMIFS(Table1[[HomeWon]:[HomeWon]], Table1[[GameIsOver]:[GameIsOver]],1,Table1[[AwayTeam]:[AwayTeam]],$A10, Table1[[HomeTeam]:[HomeTeam]], AE$1, Table1[[ActualResult]:[ActualResult]], "OT") + SUMIFS(Table1[[AwayWon]:[AwayWon]], Table1[[GameIsOver]:[GameIsOver]],1,Table1[[HomeTeam]:[HomeTeam]],$A10, Table1[[AwayTeam]:[AwayTeam]], AE$1, Table1[[ActualResult]:[ActualResult]], "OT") + SUMIFS(Table1[[HomeWon]:[HomeWon]], Table1[[GameIsOver]:[GameIsOver]],1,Table1[[AwayTeam]:[AwayTeam]],$A10, Table1[[HomeTeam]:[HomeTeam]], AE$1, Table1[[ActualResult]:[ActualResult]], "SO") + SUMIFS(Table1[[AwayWon]:[AwayWon]], Table1[[GameIsOver]:[GameIsOver]],1,Table1[[HomeTeam]:[HomeTeam]],$A10, Table1[[AwayTeam]:[AwayTeam]], AE$1, Table1[[ActualResult]:[ActualResult]], "SO"),0))</f>
        <v>0-0-0</v>
      </c>
      <c r="AF10" s="57" t="str">
        <f>_xlfn.CONCAT(TEXT(SUMIFS(Table1[[AwayWon]:[AwayWon]], Table1[[GameIsOver]:[GameIsOver]],1,Table1[[AwayTeam]:[AwayTeam]],$A10, Table1[[HomeTeam]:[HomeTeam]], AF$1) + SUMIFS(Table1[[HomeWon]:[HomeWon]], Table1[[GameIsOver]:[GameIsOver]],1,Table1[[HomeTeam]:[HomeTeam]],$A10, Table1[[AwayTeam]:[AwayTeam]], AF$1),0), "-", TEXT(SUMIFS(Table1[[HomeWon]:[HomeWon]], Table1[[GameIsOver]:[GameIsOver]],1,Table1[[AwayTeam]:[AwayTeam]],$A10, Table1[[HomeTeam]:[HomeTeam]], AF$1, Table1[[ActualResult]:[ActualResult]], "REG") + SUMIFS(Table1[[AwayWon]:[AwayWon]], Table1[[GameIsOver]:[GameIsOver]],1,Table1[[HomeTeam]:[HomeTeam]],$A10, Table1[[AwayTeam]:[AwayTeam]], AF$1, Table1[[ActualResult]:[ActualResult]], "REG"),0), "-", TEXT(SUMIFS(Table1[[HomeWon]:[HomeWon]], Table1[[GameIsOver]:[GameIsOver]],1,Table1[[AwayTeam]:[AwayTeam]],$A10, Table1[[HomeTeam]:[HomeTeam]], AF$1, Table1[[ActualResult]:[ActualResult]], "OT") + SUMIFS(Table1[[AwayWon]:[AwayWon]], Table1[[GameIsOver]:[GameIsOver]],1,Table1[[HomeTeam]:[HomeTeam]],$A10, Table1[[AwayTeam]:[AwayTeam]], AF$1, Table1[[ActualResult]:[ActualResult]], "OT") + SUMIFS(Table1[[HomeWon]:[HomeWon]], Table1[[GameIsOver]:[GameIsOver]],1,Table1[[AwayTeam]:[AwayTeam]],$A10, Table1[[HomeTeam]:[HomeTeam]], AF$1, Table1[[ActualResult]:[ActualResult]], "SO") + SUMIFS(Table1[[AwayWon]:[AwayWon]], Table1[[GameIsOver]:[GameIsOver]],1,Table1[[HomeTeam]:[HomeTeam]],$A10, Table1[[AwayTeam]:[AwayTeam]], AF$1, Table1[[ActualResult]:[ActualResult]], "SO"),0))</f>
        <v>0-0-0</v>
      </c>
      <c r="AG10" s="57" t="str">
        <f>_xlfn.CONCAT(TEXT(SUMIFS(Table1[[AwayWon]:[AwayWon]], Table1[[GameIsOver]:[GameIsOver]],1,Table1[[AwayTeam]:[AwayTeam]],$A10, Table1[[HomeTeam]:[HomeTeam]], AG$1) + SUMIFS(Table1[[HomeWon]:[HomeWon]], Table1[[GameIsOver]:[GameIsOver]],1,Table1[[HomeTeam]:[HomeTeam]],$A10, Table1[[AwayTeam]:[AwayTeam]], AG$1),0), "-", TEXT(SUMIFS(Table1[[HomeWon]:[HomeWon]], Table1[[GameIsOver]:[GameIsOver]],1,Table1[[AwayTeam]:[AwayTeam]],$A10, Table1[[HomeTeam]:[HomeTeam]], AG$1, Table1[[ActualResult]:[ActualResult]], "REG") + SUMIFS(Table1[[AwayWon]:[AwayWon]], Table1[[GameIsOver]:[GameIsOver]],1,Table1[[HomeTeam]:[HomeTeam]],$A10, Table1[[AwayTeam]:[AwayTeam]], AG$1, Table1[[ActualResult]:[ActualResult]], "REG"),0), "-", TEXT(SUMIFS(Table1[[HomeWon]:[HomeWon]], Table1[[GameIsOver]:[GameIsOver]],1,Table1[[AwayTeam]:[AwayTeam]],$A10, Table1[[HomeTeam]:[HomeTeam]], AG$1, Table1[[ActualResult]:[ActualResult]], "OT") + SUMIFS(Table1[[AwayWon]:[AwayWon]], Table1[[GameIsOver]:[GameIsOver]],1,Table1[[HomeTeam]:[HomeTeam]],$A10, Table1[[AwayTeam]:[AwayTeam]], AG$1, Table1[[ActualResult]:[ActualResult]], "OT") + SUMIFS(Table1[[HomeWon]:[HomeWon]], Table1[[GameIsOver]:[GameIsOver]],1,Table1[[AwayTeam]:[AwayTeam]],$A10, Table1[[HomeTeam]:[HomeTeam]], AG$1, Table1[[ActualResult]:[ActualResult]], "SO") + SUMIFS(Table1[[AwayWon]:[AwayWon]], Table1[[GameIsOver]:[GameIsOver]],1,Table1[[HomeTeam]:[HomeTeam]],$A10, Table1[[AwayTeam]:[AwayTeam]], AG$1, Table1[[ActualResult]:[ActualResult]], "SO"),0))</f>
        <v>0-0-0</v>
      </c>
    </row>
    <row r="11" spans="1:33" x14ac:dyDescent="0.25">
      <c r="A11" s="28" t="s">
        <v>41</v>
      </c>
      <c r="B11" s="57" t="str">
        <f>_xlfn.CONCAT(TEXT(SUMIFS(Table1[[AwayWon]:[AwayWon]], Table1[[GameIsOver]:[GameIsOver]],1,Table1[[AwayTeam]:[AwayTeam]],$A11, Table1[[HomeTeam]:[HomeTeam]], B$1) + SUMIFS(Table1[[HomeWon]:[HomeWon]], Table1[[GameIsOver]:[GameIsOver]],1,Table1[[HomeTeam]:[HomeTeam]],$A11, Table1[[AwayTeam]:[AwayTeam]], B$1),0), "-", TEXT(SUMIFS(Table1[[HomeWon]:[HomeWon]], Table1[[GameIsOver]:[GameIsOver]],1,Table1[[AwayTeam]:[AwayTeam]],$A11, Table1[[HomeTeam]:[HomeTeam]], B$1, Table1[[ActualResult]:[ActualResult]], "REG") + SUMIFS(Table1[[AwayWon]:[AwayWon]], Table1[[GameIsOver]:[GameIsOver]],1,Table1[[HomeTeam]:[HomeTeam]],$A11, Table1[[AwayTeam]:[AwayTeam]], B$1, Table1[[ActualResult]:[ActualResult]], "REG"),0), "-", TEXT(SUMIFS(Table1[[HomeWon]:[HomeWon]], Table1[[GameIsOver]:[GameIsOver]],1,Table1[[AwayTeam]:[AwayTeam]],$A11, Table1[[HomeTeam]:[HomeTeam]], B$1, Table1[[ActualResult]:[ActualResult]], "OT") + SUMIFS(Table1[[AwayWon]:[AwayWon]], Table1[[GameIsOver]:[GameIsOver]],1,Table1[[HomeTeam]:[HomeTeam]],$A11, Table1[[AwayTeam]:[AwayTeam]], B$1, Table1[[ActualResult]:[ActualResult]], "OT") + SUMIFS(Table1[[HomeWon]:[HomeWon]], Table1[[GameIsOver]:[GameIsOver]],1,Table1[[AwayTeam]:[AwayTeam]],$A11, Table1[[HomeTeam]:[HomeTeam]], B$1, Table1[[ActualResult]:[ActualResult]], "SO") + SUMIFS(Table1[[AwayWon]:[AwayWon]], Table1[[GameIsOver]:[GameIsOver]],1,Table1[[HomeTeam]:[HomeTeam]],$A11, Table1[[AwayTeam]:[AwayTeam]], B$1, Table1[[ActualResult]:[ActualResult]], "SO"),0))</f>
        <v>0-0-0</v>
      </c>
      <c r="C11" s="57" t="str">
        <f>_xlfn.CONCAT(TEXT(SUMIFS(Table1[[AwayWon]:[AwayWon]], Table1[[GameIsOver]:[GameIsOver]],1,Table1[[AwayTeam]:[AwayTeam]],$A11, Table1[[HomeTeam]:[HomeTeam]], C$1) + SUMIFS(Table1[[HomeWon]:[HomeWon]], Table1[[GameIsOver]:[GameIsOver]],1,Table1[[HomeTeam]:[HomeTeam]],$A11, Table1[[AwayTeam]:[AwayTeam]], C$1),0), "-", TEXT(SUMIFS(Table1[[HomeWon]:[HomeWon]], Table1[[GameIsOver]:[GameIsOver]],1,Table1[[AwayTeam]:[AwayTeam]],$A11, Table1[[HomeTeam]:[HomeTeam]], C$1, Table1[[ActualResult]:[ActualResult]], "REG") + SUMIFS(Table1[[AwayWon]:[AwayWon]], Table1[[GameIsOver]:[GameIsOver]],1,Table1[[HomeTeam]:[HomeTeam]],$A11, Table1[[AwayTeam]:[AwayTeam]], C$1, Table1[[ActualResult]:[ActualResult]], "REG"),0), "-", TEXT(SUMIFS(Table1[[HomeWon]:[HomeWon]], Table1[[GameIsOver]:[GameIsOver]],1,Table1[[AwayTeam]:[AwayTeam]],$A11, Table1[[HomeTeam]:[HomeTeam]], C$1, Table1[[ActualResult]:[ActualResult]], "OT") + SUMIFS(Table1[[AwayWon]:[AwayWon]], Table1[[GameIsOver]:[GameIsOver]],1,Table1[[HomeTeam]:[HomeTeam]],$A11, Table1[[AwayTeam]:[AwayTeam]], C$1, Table1[[ActualResult]:[ActualResult]], "OT") + SUMIFS(Table1[[HomeWon]:[HomeWon]], Table1[[GameIsOver]:[GameIsOver]],1,Table1[[AwayTeam]:[AwayTeam]],$A11, Table1[[HomeTeam]:[HomeTeam]], C$1, Table1[[ActualResult]:[ActualResult]], "SO") + SUMIFS(Table1[[AwayWon]:[AwayWon]], Table1[[GameIsOver]:[GameIsOver]],1,Table1[[HomeTeam]:[HomeTeam]],$A11, Table1[[AwayTeam]:[AwayTeam]], C$1, Table1[[ActualResult]:[ActualResult]], "SO"),0))</f>
        <v>0-0-0</v>
      </c>
      <c r="D11" s="57" t="str">
        <f>_xlfn.CONCAT(TEXT(SUMIFS(Table1[[AwayWon]:[AwayWon]], Table1[[GameIsOver]:[GameIsOver]],1,Table1[[AwayTeam]:[AwayTeam]],$A11, Table1[[HomeTeam]:[HomeTeam]], D$1) + SUMIFS(Table1[[HomeWon]:[HomeWon]], Table1[[GameIsOver]:[GameIsOver]],1,Table1[[HomeTeam]:[HomeTeam]],$A11, Table1[[AwayTeam]:[AwayTeam]], D$1),0), "-", TEXT(SUMIFS(Table1[[HomeWon]:[HomeWon]], Table1[[GameIsOver]:[GameIsOver]],1,Table1[[AwayTeam]:[AwayTeam]],$A11, Table1[[HomeTeam]:[HomeTeam]], D$1, Table1[[ActualResult]:[ActualResult]], "REG") + SUMIFS(Table1[[AwayWon]:[AwayWon]], Table1[[GameIsOver]:[GameIsOver]],1,Table1[[HomeTeam]:[HomeTeam]],$A11, Table1[[AwayTeam]:[AwayTeam]], D$1, Table1[[ActualResult]:[ActualResult]], "REG"),0), "-", TEXT(SUMIFS(Table1[[HomeWon]:[HomeWon]], Table1[[GameIsOver]:[GameIsOver]],1,Table1[[AwayTeam]:[AwayTeam]],$A11, Table1[[HomeTeam]:[HomeTeam]], D$1, Table1[[ActualResult]:[ActualResult]], "OT") + SUMIFS(Table1[[AwayWon]:[AwayWon]], Table1[[GameIsOver]:[GameIsOver]],1,Table1[[HomeTeam]:[HomeTeam]],$A11, Table1[[AwayTeam]:[AwayTeam]], D$1, Table1[[ActualResult]:[ActualResult]], "OT") + SUMIFS(Table1[[HomeWon]:[HomeWon]], Table1[[GameIsOver]:[GameIsOver]],1,Table1[[AwayTeam]:[AwayTeam]],$A11, Table1[[HomeTeam]:[HomeTeam]], D$1, Table1[[ActualResult]:[ActualResult]], "SO") + SUMIFS(Table1[[AwayWon]:[AwayWon]], Table1[[GameIsOver]:[GameIsOver]],1,Table1[[HomeTeam]:[HomeTeam]],$A11, Table1[[AwayTeam]:[AwayTeam]], D$1, Table1[[ActualResult]:[ActualResult]], "SO"),0))</f>
        <v>0-0-0</v>
      </c>
      <c r="E11" s="57" t="str">
        <f>_xlfn.CONCAT(TEXT(SUMIFS(Table1[[AwayWon]:[AwayWon]], Table1[[GameIsOver]:[GameIsOver]],1,Table1[[AwayTeam]:[AwayTeam]],$A11, Table1[[HomeTeam]:[HomeTeam]], E$1) + SUMIFS(Table1[[HomeWon]:[HomeWon]], Table1[[GameIsOver]:[GameIsOver]],1,Table1[[HomeTeam]:[HomeTeam]],$A11, Table1[[AwayTeam]:[AwayTeam]], E$1),0), "-", TEXT(SUMIFS(Table1[[HomeWon]:[HomeWon]], Table1[[GameIsOver]:[GameIsOver]],1,Table1[[AwayTeam]:[AwayTeam]],$A11, Table1[[HomeTeam]:[HomeTeam]], E$1, Table1[[ActualResult]:[ActualResult]], "REG") + SUMIFS(Table1[[AwayWon]:[AwayWon]], Table1[[GameIsOver]:[GameIsOver]],1,Table1[[HomeTeam]:[HomeTeam]],$A11, Table1[[AwayTeam]:[AwayTeam]], E$1, Table1[[ActualResult]:[ActualResult]], "REG"),0), "-", TEXT(SUMIFS(Table1[[HomeWon]:[HomeWon]], Table1[[GameIsOver]:[GameIsOver]],1,Table1[[AwayTeam]:[AwayTeam]],$A11, Table1[[HomeTeam]:[HomeTeam]], E$1, Table1[[ActualResult]:[ActualResult]], "OT") + SUMIFS(Table1[[AwayWon]:[AwayWon]], Table1[[GameIsOver]:[GameIsOver]],1,Table1[[HomeTeam]:[HomeTeam]],$A11, Table1[[AwayTeam]:[AwayTeam]], E$1, Table1[[ActualResult]:[ActualResult]], "OT") + SUMIFS(Table1[[HomeWon]:[HomeWon]], Table1[[GameIsOver]:[GameIsOver]],1,Table1[[AwayTeam]:[AwayTeam]],$A11, Table1[[HomeTeam]:[HomeTeam]], E$1, Table1[[ActualResult]:[ActualResult]], "SO") + SUMIFS(Table1[[AwayWon]:[AwayWon]], Table1[[GameIsOver]:[GameIsOver]],1,Table1[[HomeTeam]:[HomeTeam]],$A11, Table1[[AwayTeam]:[AwayTeam]], E$1, Table1[[ActualResult]:[ActualResult]], "SO"),0))</f>
        <v>0-0-0</v>
      </c>
      <c r="F11" s="57" t="str">
        <f>_xlfn.CONCAT(TEXT(SUMIFS(Table1[[AwayWon]:[AwayWon]], Table1[[GameIsOver]:[GameIsOver]],1,Table1[[AwayTeam]:[AwayTeam]],$A11, Table1[[HomeTeam]:[HomeTeam]], F$1) + SUMIFS(Table1[[HomeWon]:[HomeWon]], Table1[[GameIsOver]:[GameIsOver]],1,Table1[[HomeTeam]:[HomeTeam]],$A11, Table1[[AwayTeam]:[AwayTeam]], F$1),0), "-", TEXT(SUMIFS(Table1[[HomeWon]:[HomeWon]], Table1[[GameIsOver]:[GameIsOver]],1,Table1[[AwayTeam]:[AwayTeam]],$A11, Table1[[HomeTeam]:[HomeTeam]], F$1, Table1[[ActualResult]:[ActualResult]], "REG") + SUMIFS(Table1[[AwayWon]:[AwayWon]], Table1[[GameIsOver]:[GameIsOver]],1,Table1[[HomeTeam]:[HomeTeam]],$A11, Table1[[AwayTeam]:[AwayTeam]], F$1, Table1[[ActualResult]:[ActualResult]], "REG"),0), "-", TEXT(SUMIFS(Table1[[HomeWon]:[HomeWon]], Table1[[GameIsOver]:[GameIsOver]],1,Table1[[AwayTeam]:[AwayTeam]],$A11, Table1[[HomeTeam]:[HomeTeam]], F$1, Table1[[ActualResult]:[ActualResult]], "OT") + SUMIFS(Table1[[AwayWon]:[AwayWon]], Table1[[GameIsOver]:[GameIsOver]],1,Table1[[HomeTeam]:[HomeTeam]],$A11, Table1[[AwayTeam]:[AwayTeam]], F$1, Table1[[ActualResult]:[ActualResult]], "OT") + SUMIFS(Table1[[HomeWon]:[HomeWon]], Table1[[GameIsOver]:[GameIsOver]],1,Table1[[AwayTeam]:[AwayTeam]],$A11, Table1[[HomeTeam]:[HomeTeam]], F$1, Table1[[ActualResult]:[ActualResult]], "SO") + SUMIFS(Table1[[AwayWon]:[AwayWon]], Table1[[GameIsOver]:[GameIsOver]],1,Table1[[HomeTeam]:[HomeTeam]],$A11, Table1[[AwayTeam]:[AwayTeam]], F$1, Table1[[ActualResult]:[ActualResult]], "SO"),0))</f>
        <v>0-0-0</v>
      </c>
      <c r="G11" s="57" t="str">
        <f>_xlfn.CONCAT(TEXT(SUMIFS(Table1[[AwayWon]:[AwayWon]], Table1[[GameIsOver]:[GameIsOver]],1,Table1[[AwayTeam]:[AwayTeam]],$A11, Table1[[HomeTeam]:[HomeTeam]], G$1) + SUMIFS(Table1[[HomeWon]:[HomeWon]], Table1[[GameIsOver]:[GameIsOver]],1,Table1[[HomeTeam]:[HomeTeam]],$A11, Table1[[AwayTeam]:[AwayTeam]], G$1),0), "-", TEXT(SUMIFS(Table1[[HomeWon]:[HomeWon]], Table1[[GameIsOver]:[GameIsOver]],1,Table1[[AwayTeam]:[AwayTeam]],$A11, Table1[[HomeTeam]:[HomeTeam]], G$1, Table1[[ActualResult]:[ActualResult]], "REG") + SUMIFS(Table1[[AwayWon]:[AwayWon]], Table1[[GameIsOver]:[GameIsOver]],1,Table1[[HomeTeam]:[HomeTeam]],$A11, Table1[[AwayTeam]:[AwayTeam]], G$1, Table1[[ActualResult]:[ActualResult]], "REG"),0), "-", TEXT(SUMIFS(Table1[[HomeWon]:[HomeWon]], Table1[[GameIsOver]:[GameIsOver]],1,Table1[[AwayTeam]:[AwayTeam]],$A11, Table1[[HomeTeam]:[HomeTeam]], G$1, Table1[[ActualResult]:[ActualResult]], "OT") + SUMIFS(Table1[[AwayWon]:[AwayWon]], Table1[[GameIsOver]:[GameIsOver]],1,Table1[[HomeTeam]:[HomeTeam]],$A11, Table1[[AwayTeam]:[AwayTeam]], G$1, Table1[[ActualResult]:[ActualResult]], "OT") + SUMIFS(Table1[[HomeWon]:[HomeWon]], Table1[[GameIsOver]:[GameIsOver]],1,Table1[[AwayTeam]:[AwayTeam]],$A11, Table1[[HomeTeam]:[HomeTeam]], G$1, Table1[[ActualResult]:[ActualResult]], "SO") + SUMIFS(Table1[[AwayWon]:[AwayWon]], Table1[[GameIsOver]:[GameIsOver]],1,Table1[[HomeTeam]:[HomeTeam]],$A11, Table1[[AwayTeam]:[AwayTeam]], G$1, Table1[[ActualResult]:[ActualResult]], "SO"),0))</f>
        <v>0-0-0</v>
      </c>
      <c r="H11" s="57" t="str">
        <f>_xlfn.CONCAT(TEXT(SUMIFS(Table1[[AwayWon]:[AwayWon]], Table1[[GameIsOver]:[GameIsOver]],1,Table1[[AwayTeam]:[AwayTeam]],$A11, Table1[[HomeTeam]:[HomeTeam]], H$1) + SUMIFS(Table1[[HomeWon]:[HomeWon]], Table1[[GameIsOver]:[GameIsOver]],1,Table1[[HomeTeam]:[HomeTeam]],$A11, Table1[[AwayTeam]:[AwayTeam]], H$1),0), "-", TEXT(SUMIFS(Table1[[HomeWon]:[HomeWon]], Table1[[GameIsOver]:[GameIsOver]],1,Table1[[AwayTeam]:[AwayTeam]],$A11, Table1[[HomeTeam]:[HomeTeam]], H$1, Table1[[ActualResult]:[ActualResult]], "REG") + SUMIFS(Table1[[AwayWon]:[AwayWon]], Table1[[GameIsOver]:[GameIsOver]],1,Table1[[HomeTeam]:[HomeTeam]],$A11, Table1[[AwayTeam]:[AwayTeam]], H$1, Table1[[ActualResult]:[ActualResult]], "REG"),0), "-", TEXT(SUMIFS(Table1[[HomeWon]:[HomeWon]], Table1[[GameIsOver]:[GameIsOver]],1,Table1[[AwayTeam]:[AwayTeam]],$A11, Table1[[HomeTeam]:[HomeTeam]], H$1, Table1[[ActualResult]:[ActualResult]], "OT") + SUMIFS(Table1[[AwayWon]:[AwayWon]], Table1[[GameIsOver]:[GameIsOver]],1,Table1[[HomeTeam]:[HomeTeam]],$A11, Table1[[AwayTeam]:[AwayTeam]], H$1, Table1[[ActualResult]:[ActualResult]], "OT") + SUMIFS(Table1[[HomeWon]:[HomeWon]], Table1[[GameIsOver]:[GameIsOver]],1,Table1[[AwayTeam]:[AwayTeam]],$A11, Table1[[HomeTeam]:[HomeTeam]], H$1, Table1[[ActualResult]:[ActualResult]], "SO") + SUMIFS(Table1[[AwayWon]:[AwayWon]], Table1[[GameIsOver]:[GameIsOver]],1,Table1[[HomeTeam]:[HomeTeam]],$A11, Table1[[AwayTeam]:[AwayTeam]], H$1, Table1[[ActualResult]:[ActualResult]], "SO"),0))</f>
        <v>0-0-0</v>
      </c>
      <c r="I11" s="59" t="str">
        <f>_xlfn.CONCAT(TEXT(SUMIFS(Table1[[AwayWon]:[AwayWon]], Table1[[GameIsOver]:[GameIsOver]],1,Table1[[AwayTeam]:[AwayTeam]],$A11, Table1[[HomeTeam]:[HomeTeam]], I$1) + SUMIFS(Table1[[HomeWon]:[HomeWon]], Table1[[GameIsOver]:[GameIsOver]],1,Table1[[HomeTeam]:[HomeTeam]],$A11, Table1[[AwayTeam]:[AwayTeam]], I$1),0), "-", TEXT(SUMIFS(Table1[[HomeWon]:[HomeWon]], Table1[[GameIsOver]:[GameIsOver]],1,Table1[[AwayTeam]:[AwayTeam]],$A11, Table1[[HomeTeam]:[HomeTeam]], I$1, Table1[[ActualResult]:[ActualResult]], "REG") + SUMIFS(Table1[[AwayWon]:[AwayWon]], Table1[[GameIsOver]:[GameIsOver]],1,Table1[[HomeTeam]:[HomeTeam]],$A11, Table1[[AwayTeam]:[AwayTeam]], I$1, Table1[[ActualResult]:[ActualResult]], "REG"),0), "-", TEXT(SUMIFS(Table1[[HomeWon]:[HomeWon]], Table1[[GameIsOver]:[GameIsOver]],1,Table1[[AwayTeam]:[AwayTeam]],$A11, Table1[[HomeTeam]:[HomeTeam]], I$1, Table1[[ActualResult]:[ActualResult]], "OT") + SUMIFS(Table1[[AwayWon]:[AwayWon]], Table1[[GameIsOver]:[GameIsOver]],1,Table1[[HomeTeam]:[HomeTeam]],$A11, Table1[[AwayTeam]:[AwayTeam]], I$1, Table1[[ActualResult]:[ActualResult]], "OT") + SUMIFS(Table1[[HomeWon]:[HomeWon]], Table1[[GameIsOver]:[GameIsOver]],1,Table1[[AwayTeam]:[AwayTeam]],$A11, Table1[[HomeTeam]:[HomeTeam]], I$1, Table1[[ActualResult]:[ActualResult]], "SO") + SUMIFS(Table1[[AwayWon]:[AwayWon]], Table1[[GameIsOver]:[GameIsOver]],1,Table1[[HomeTeam]:[HomeTeam]],$A11, Table1[[AwayTeam]:[AwayTeam]], I$1, Table1[[ActualResult]:[ActualResult]], "SO"),0))</f>
        <v>0-0-0</v>
      </c>
      <c r="J11" s="57" t="str">
        <f>_xlfn.CONCAT(TEXT(SUMIFS(Table1[[AwayWon]:[AwayWon]], Table1[[GameIsOver]:[GameIsOver]],1,Table1[[AwayTeam]:[AwayTeam]],$A11, Table1[[HomeTeam]:[HomeTeam]], J$1) + SUMIFS(Table1[[HomeWon]:[HomeWon]], Table1[[GameIsOver]:[GameIsOver]],1,Table1[[HomeTeam]:[HomeTeam]],$A11, Table1[[AwayTeam]:[AwayTeam]], J$1),0), "-", TEXT(SUMIFS(Table1[[HomeWon]:[HomeWon]], Table1[[GameIsOver]:[GameIsOver]],1,Table1[[AwayTeam]:[AwayTeam]],$A11, Table1[[HomeTeam]:[HomeTeam]], J$1, Table1[[ActualResult]:[ActualResult]], "REG") + SUMIFS(Table1[[AwayWon]:[AwayWon]], Table1[[GameIsOver]:[GameIsOver]],1,Table1[[HomeTeam]:[HomeTeam]],$A11, Table1[[AwayTeam]:[AwayTeam]], J$1, Table1[[ActualResult]:[ActualResult]], "REG"),0), "-", TEXT(SUMIFS(Table1[[HomeWon]:[HomeWon]], Table1[[GameIsOver]:[GameIsOver]],1,Table1[[AwayTeam]:[AwayTeam]],$A11, Table1[[HomeTeam]:[HomeTeam]], J$1, Table1[[ActualResult]:[ActualResult]], "OT") + SUMIFS(Table1[[AwayWon]:[AwayWon]], Table1[[GameIsOver]:[GameIsOver]],1,Table1[[HomeTeam]:[HomeTeam]],$A11, Table1[[AwayTeam]:[AwayTeam]], J$1, Table1[[ActualResult]:[ActualResult]], "OT") + SUMIFS(Table1[[HomeWon]:[HomeWon]], Table1[[GameIsOver]:[GameIsOver]],1,Table1[[AwayTeam]:[AwayTeam]],$A11, Table1[[HomeTeam]:[HomeTeam]], J$1, Table1[[ActualResult]:[ActualResult]], "SO") + SUMIFS(Table1[[AwayWon]:[AwayWon]], Table1[[GameIsOver]:[GameIsOver]],1,Table1[[HomeTeam]:[HomeTeam]],$A11, Table1[[AwayTeam]:[AwayTeam]], J$1, Table1[[ActualResult]:[ActualResult]], "SO"),0))</f>
        <v>0-0-0</v>
      </c>
      <c r="K11" s="57" t="str">
        <f>_xlfn.CONCAT(TEXT(SUMIFS(Table1[[AwayWon]:[AwayWon]], Table1[[GameIsOver]:[GameIsOver]],1,Table1[[AwayTeam]:[AwayTeam]],$A11, Table1[[HomeTeam]:[HomeTeam]], K$1) + SUMIFS(Table1[[HomeWon]:[HomeWon]], Table1[[GameIsOver]:[GameIsOver]],1,Table1[[HomeTeam]:[HomeTeam]],$A11, Table1[[AwayTeam]:[AwayTeam]], K$1),0), "-", TEXT(SUMIFS(Table1[[HomeWon]:[HomeWon]], Table1[[GameIsOver]:[GameIsOver]],1,Table1[[AwayTeam]:[AwayTeam]],$A11, Table1[[HomeTeam]:[HomeTeam]], K$1, Table1[[ActualResult]:[ActualResult]], "REG") + SUMIFS(Table1[[AwayWon]:[AwayWon]], Table1[[GameIsOver]:[GameIsOver]],1,Table1[[HomeTeam]:[HomeTeam]],$A11, Table1[[AwayTeam]:[AwayTeam]], K$1, Table1[[ActualResult]:[ActualResult]], "REG"),0), "-", TEXT(SUMIFS(Table1[[HomeWon]:[HomeWon]], Table1[[GameIsOver]:[GameIsOver]],1,Table1[[AwayTeam]:[AwayTeam]],$A11, Table1[[HomeTeam]:[HomeTeam]], K$1, Table1[[ActualResult]:[ActualResult]], "OT") + SUMIFS(Table1[[AwayWon]:[AwayWon]], Table1[[GameIsOver]:[GameIsOver]],1,Table1[[HomeTeam]:[HomeTeam]],$A11, Table1[[AwayTeam]:[AwayTeam]], K$1, Table1[[ActualResult]:[ActualResult]], "OT") + SUMIFS(Table1[[HomeWon]:[HomeWon]], Table1[[GameIsOver]:[GameIsOver]],1,Table1[[AwayTeam]:[AwayTeam]],$A11, Table1[[HomeTeam]:[HomeTeam]], K$1, Table1[[ActualResult]:[ActualResult]], "SO") + SUMIFS(Table1[[AwayWon]:[AwayWon]], Table1[[GameIsOver]:[GameIsOver]],1,Table1[[HomeTeam]:[HomeTeam]],$A11, Table1[[AwayTeam]:[AwayTeam]], K$1, Table1[[ActualResult]:[ActualResult]], "SO"),0))</f>
        <v>0-0-0</v>
      </c>
      <c r="L11" s="57" t="str">
        <f>_xlfn.CONCAT(TEXT(SUMIFS(Table1[[AwayWon]:[AwayWon]], Table1[[GameIsOver]:[GameIsOver]],1,Table1[[AwayTeam]:[AwayTeam]],$A11, Table1[[HomeTeam]:[HomeTeam]], L$1) + SUMIFS(Table1[[HomeWon]:[HomeWon]], Table1[[GameIsOver]:[GameIsOver]],1,Table1[[HomeTeam]:[HomeTeam]],$A11, Table1[[AwayTeam]:[AwayTeam]], L$1),0), "-", TEXT(SUMIFS(Table1[[HomeWon]:[HomeWon]], Table1[[GameIsOver]:[GameIsOver]],1,Table1[[AwayTeam]:[AwayTeam]],$A11, Table1[[HomeTeam]:[HomeTeam]], L$1, Table1[[ActualResult]:[ActualResult]], "REG") + SUMIFS(Table1[[AwayWon]:[AwayWon]], Table1[[GameIsOver]:[GameIsOver]],1,Table1[[HomeTeam]:[HomeTeam]],$A11, Table1[[AwayTeam]:[AwayTeam]], L$1, Table1[[ActualResult]:[ActualResult]], "REG"),0), "-", TEXT(SUMIFS(Table1[[HomeWon]:[HomeWon]], Table1[[GameIsOver]:[GameIsOver]],1,Table1[[AwayTeam]:[AwayTeam]],$A11, Table1[[HomeTeam]:[HomeTeam]], L$1, Table1[[ActualResult]:[ActualResult]], "OT") + SUMIFS(Table1[[AwayWon]:[AwayWon]], Table1[[GameIsOver]:[GameIsOver]],1,Table1[[HomeTeam]:[HomeTeam]],$A11, Table1[[AwayTeam]:[AwayTeam]], L$1, Table1[[ActualResult]:[ActualResult]], "OT") + SUMIFS(Table1[[HomeWon]:[HomeWon]], Table1[[GameIsOver]:[GameIsOver]],1,Table1[[AwayTeam]:[AwayTeam]],$A11, Table1[[HomeTeam]:[HomeTeam]], L$1, Table1[[ActualResult]:[ActualResult]], "SO") + SUMIFS(Table1[[AwayWon]:[AwayWon]], Table1[[GameIsOver]:[GameIsOver]],1,Table1[[HomeTeam]:[HomeTeam]],$A11, Table1[[AwayTeam]:[AwayTeam]], L$1, Table1[[ActualResult]:[ActualResult]], "SO"),0))</f>
        <v>0-0-0</v>
      </c>
      <c r="M11" s="57" t="str">
        <f>_xlfn.CONCAT(TEXT(SUMIFS(Table1[[AwayWon]:[AwayWon]], Table1[[GameIsOver]:[GameIsOver]],1,Table1[[AwayTeam]:[AwayTeam]],$A11, Table1[[HomeTeam]:[HomeTeam]], M$1) + SUMIFS(Table1[[HomeWon]:[HomeWon]], Table1[[GameIsOver]:[GameIsOver]],1,Table1[[HomeTeam]:[HomeTeam]],$A11, Table1[[AwayTeam]:[AwayTeam]], M$1),0), "-", TEXT(SUMIFS(Table1[[HomeWon]:[HomeWon]], Table1[[GameIsOver]:[GameIsOver]],1,Table1[[AwayTeam]:[AwayTeam]],$A11, Table1[[HomeTeam]:[HomeTeam]], M$1, Table1[[ActualResult]:[ActualResult]], "REG") + SUMIFS(Table1[[AwayWon]:[AwayWon]], Table1[[GameIsOver]:[GameIsOver]],1,Table1[[HomeTeam]:[HomeTeam]],$A11, Table1[[AwayTeam]:[AwayTeam]], M$1, Table1[[ActualResult]:[ActualResult]], "REG"),0), "-", TEXT(SUMIFS(Table1[[HomeWon]:[HomeWon]], Table1[[GameIsOver]:[GameIsOver]],1,Table1[[AwayTeam]:[AwayTeam]],$A11, Table1[[HomeTeam]:[HomeTeam]], M$1, Table1[[ActualResult]:[ActualResult]], "OT") + SUMIFS(Table1[[AwayWon]:[AwayWon]], Table1[[GameIsOver]:[GameIsOver]],1,Table1[[HomeTeam]:[HomeTeam]],$A11, Table1[[AwayTeam]:[AwayTeam]], M$1, Table1[[ActualResult]:[ActualResult]], "OT") + SUMIFS(Table1[[HomeWon]:[HomeWon]], Table1[[GameIsOver]:[GameIsOver]],1,Table1[[AwayTeam]:[AwayTeam]],$A11, Table1[[HomeTeam]:[HomeTeam]], M$1, Table1[[ActualResult]:[ActualResult]], "SO") + SUMIFS(Table1[[AwayWon]:[AwayWon]], Table1[[GameIsOver]:[GameIsOver]],1,Table1[[HomeTeam]:[HomeTeam]],$A11, Table1[[AwayTeam]:[AwayTeam]], M$1, Table1[[ActualResult]:[ActualResult]], "SO"),0))</f>
        <v>0-0-0</v>
      </c>
      <c r="N11" s="57" t="str">
        <f>_xlfn.CONCAT(TEXT(SUMIFS(Table1[[AwayWon]:[AwayWon]], Table1[[GameIsOver]:[GameIsOver]],1,Table1[[AwayTeam]:[AwayTeam]],$A11, Table1[[HomeTeam]:[HomeTeam]], N$1) + SUMIFS(Table1[[HomeWon]:[HomeWon]], Table1[[GameIsOver]:[GameIsOver]],1,Table1[[HomeTeam]:[HomeTeam]],$A11, Table1[[AwayTeam]:[AwayTeam]], N$1),0), "-", TEXT(SUMIFS(Table1[[HomeWon]:[HomeWon]], Table1[[GameIsOver]:[GameIsOver]],1,Table1[[AwayTeam]:[AwayTeam]],$A11, Table1[[HomeTeam]:[HomeTeam]], N$1, Table1[[ActualResult]:[ActualResult]], "REG") + SUMIFS(Table1[[AwayWon]:[AwayWon]], Table1[[GameIsOver]:[GameIsOver]],1,Table1[[HomeTeam]:[HomeTeam]],$A11, Table1[[AwayTeam]:[AwayTeam]], N$1, Table1[[ActualResult]:[ActualResult]], "REG"),0), "-", TEXT(SUMIFS(Table1[[HomeWon]:[HomeWon]], Table1[[GameIsOver]:[GameIsOver]],1,Table1[[AwayTeam]:[AwayTeam]],$A11, Table1[[HomeTeam]:[HomeTeam]], N$1, Table1[[ActualResult]:[ActualResult]], "OT") + SUMIFS(Table1[[AwayWon]:[AwayWon]], Table1[[GameIsOver]:[GameIsOver]],1,Table1[[HomeTeam]:[HomeTeam]],$A11, Table1[[AwayTeam]:[AwayTeam]], N$1, Table1[[ActualResult]:[ActualResult]], "OT") + SUMIFS(Table1[[HomeWon]:[HomeWon]], Table1[[GameIsOver]:[GameIsOver]],1,Table1[[AwayTeam]:[AwayTeam]],$A11, Table1[[HomeTeam]:[HomeTeam]], N$1, Table1[[ActualResult]:[ActualResult]], "SO") + SUMIFS(Table1[[AwayWon]:[AwayWon]], Table1[[GameIsOver]:[GameIsOver]],1,Table1[[HomeTeam]:[HomeTeam]],$A11, Table1[[AwayTeam]:[AwayTeam]], N$1, Table1[[ActualResult]:[ActualResult]], "SO"),0))</f>
        <v>0-0-0</v>
      </c>
      <c r="O11" s="57" t="str">
        <f>_xlfn.CONCAT(TEXT(SUMIFS(Table1[[AwayWon]:[AwayWon]], Table1[[GameIsOver]:[GameIsOver]],1,Table1[[AwayTeam]:[AwayTeam]],$A11, Table1[[HomeTeam]:[HomeTeam]], O$1) + SUMIFS(Table1[[HomeWon]:[HomeWon]], Table1[[GameIsOver]:[GameIsOver]],1,Table1[[HomeTeam]:[HomeTeam]],$A11, Table1[[AwayTeam]:[AwayTeam]], O$1),0), "-", TEXT(SUMIFS(Table1[[HomeWon]:[HomeWon]], Table1[[GameIsOver]:[GameIsOver]],1,Table1[[AwayTeam]:[AwayTeam]],$A11, Table1[[HomeTeam]:[HomeTeam]], O$1, Table1[[ActualResult]:[ActualResult]], "REG") + SUMIFS(Table1[[AwayWon]:[AwayWon]], Table1[[GameIsOver]:[GameIsOver]],1,Table1[[HomeTeam]:[HomeTeam]],$A11, Table1[[AwayTeam]:[AwayTeam]], O$1, Table1[[ActualResult]:[ActualResult]], "REG"),0), "-", TEXT(SUMIFS(Table1[[HomeWon]:[HomeWon]], Table1[[GameIsOver]:[GameIsOver]],1,Table1[[AwayTeam]:[AwayTeam]],$A11, Table1[[HomeTeam]:[HomeTeam]], O$1, Table1[[ActualResult]:[ActualResult]], "OT") + SUMIFS(Table1[[AwayWon]:[AwayWon]], Table1[[GameIsOver]:[GameIsOver]],1,Table1[[HomeTeam]:[HomeTeam]],$A11, Table1[[AwayTeam]:[AwayTeam]], O$1, Table1[[ActualResult]:[ActualResult]], "OT") + SUMIFS(Table1[[HomeWon]:[HomeWon]], Table1[[GameIsOver]:[GameIsOver]],1,Table1[[AwayTeam]:[AwayTeam]],$A11, Table1[[HomeTeam]:[HomeTeam]], O$1, Table1[[ActualResult]:[ActualResult]], "SO") + SUMIFS(Table1[[AwayWon]:[AwayWon]], Table1[[GameIsOver]:[GameIsOver]],1,Table1[[HomeTeam]:[HomeTeam]],$A11, Table1[[AwayTeam]:[AwayTeam]], O$1, Table1[[ActualResult]:[ActualResult]], "SO"),0))</f>
        <v>0-0-0</v>
      </c>
      <c r="P11" s="57" t="str">
        <f>_xlfn.CONCAT(TEXT(SUMIFS(Table1[[AwayWon]:[AwayWon]], Table1[[GameIsOver]:[GameIsOver]],1,Table1[[AwayTeam]:[AwayTeam]],$A11, Table1[[HomeTeam]:[HomeTeam]], P$1) + SUMIFS(Table1[[HomeWon]:[HomeWon]], Table1[[GameIsOver]:[GameIsOver]],1,Table1[[HomeTeam]:[HomeTeam]],$A11, Table1[[AwayTeam]:[AwayTeam]], P$1),0), "-", TEXT(SUMIFS(Table1[[HomeWon]:[HomeWon]], Table1[[GameIsOver]:[GameIsOver]],1,Table1[[AwayTeam]:[AwayTeam]],$A11, Table1[[HomeTeam]:[HomeTeam]], P$1, Table1[[ActualResult]:[ActualResult]], "REG") + SUMIFS(Table1[[AwayWon]:[AwayWon]], Table1[[GameIsOver]:[GameIsOver]],1,Table1[[HomeTeam]:[HomeTeam]],$A11, Table1[[AwayTeam]:[AwayTeam]], P$1, Table1[[ActualResult]:[ActualResult]], "REG"),0), "-", TEXT(SUMIFS(Table1[[HomeWon]:[HomeWon]], Table1[[GameIsOver]:[GameIsOver]],1,Table1[[AwayTeam]:[AwayTeam]],$A11, Table1[[HomeTeam]:[HomeTeam]], P$1, Table1[[ActualResult]:[ActualResult]], "OT") + SUMIFS(Table1[[AwayWon]:[AwayWon]], Table1[[GameIsOver]:[GameIsOver]],1,Table1[[HomeTeam]:[HomeTeam]],$A11, Table1[[AwayTeam]:[AwayTeam]], P$1, Table1[[ActualResult]:[ActualResult]], "OT") + SUMIFS(Table1[[HomeWon]:[HomeWon]], Table1[[GameIsOver]:[GameIsOver]],1,Table1[[AwayTeam]:[AwayTeam]],$A11, Table1[[HomeTeam]:[HomeTeam]], P$1, Table1[[ActualResult]:[ActualResult]], "SO") + SUMIFS(Table1[[AwayWon]:[AwayWon]], Table1[[GameIsOver]:[GameIsOver]],1,Table1[[HomeTeam]:[HomeTeam]],$A11, Table1[[AwayTeam]:[AwayTeam]], P$1, Table1[[ActualResult]:[ActualResult]], "SO"),0))</f>
        <v>0-0-0</v>
      </c>
      <c r="Q11" s="59" t="str">
        <f>_xlfn.CONCAT(TEXT(SUMIFS(Table1[[AwayWon]:[AwayWon]], Table1[[GameIsOver]:[GameIsOver]],1,Table1[[AwayTeam]:[AwayTeam]],$A11, Table1[[HomeTeam]:[HomeTeam]], Q$1) + SUMIFS(Table1[[HomeWon]:[HomeWon]], Table1[[GameIsOver]:[GameIsOver]],1,Table1[[HomeTeam]:[HomeTeam]],$A11, Table1[[AwayTeam]:[AwayTeam]], Q$1),0), "-", TEXT(SUMIFS(Table1[[HomeWon]:[HomeWon]], Table1[[GameIsOver]:[GameIsOver]],1,Table1[[AwayTeam]:[AwayTeam]],$A11, Table1[[HomeTeam]:[HomeTeam]], Q$1, Table1[[ActualResult]:[ActualResult]], "REG") + SUMIFS(Table1[[AwayWon]:[AwayWon]], Table1[[GameIsOver]:[GameIsOver]],1,Table1[[HomeTeam]:[HomeTeam]],$A11, Table1[[AwayTeam]:[AwayTeam]], Q$1, Table1[[ActualResult]:[ActualResult]], "REG"),0), "-", TEXT(SUMIFS(Table1[[HomeWon]:[HomeWon]], Table1[[GameIsOver]:[GameIsOver]],1,Table1[[AwayTeam]:[AwayTeam]],$A11, Table1[[HomeTeam]:[HomeTeam]], Q$1, Table1[[ActualResult]:[ActualResult]], "OT") + SUMIFS(Table1[[AwayWon]:[AwayWon]], Table1[[GameIsOver]:[GameIsOver]],1,Table1[[HomeTeam]:[HomeTeam]],$A11, Table1[[AwayTeam]:[AwayTeam]], Q$1, Table1[[ActualResult]:[ActualResult]], "OT") + SUMIFS(Table1[[HomeWon]:[HomeWon]], Table1[[GameIsOver]:[GameIsOver]],1,Table1[[AwayTeam]:[AwayTeam]],$A11, Table1[[HomeTeam]:[HomeTeam]], Q$1, Table1[[ActualResult]:[ActualResult]], "SO") + SUMIFS(Table1[[AwayWon]:[AwayWon]], Table1[[GameIsOver]:[GameIsOver]],1,Table1[[HomeTeam]:[HomeTeam]],$A11, Table1[[AwayTeam]:[AwayTeam]], Q$1, Table1[[ActualResult]:[ActualResult]], "SO"),0))</f>
        <v>0-0-0</v>
      </c>
      <c r="R11" s="57" t="str">
        <f>_xlfn.CONCAT(TEXT(SUMIFS(Table1[[AwayWon]:[AwayWon]], Table1[[GameIsOver]:[GameIsOver]],1,Table1[[AwayTeam]:[AwayTeam]],$A11, Table1[[HomeTeam]:[HomeTeam]], R$1) + SUMIFS(Table1[[HomeWon]:[HomeWon]], Table1[[GameIsOver]:[GameIsOver]],1,Table1[[HomeTeam]:[HomeTeam]],$A11, Table1[[AwayTeam]:[AwayTeam]], R$1),0), "-", TEXT(SUMIFS(Table1[[HomeWon]:[HomeWon]], Table1[[GameIsOver]:[GameIsOver]],1,Table1[[AwayTeam]:[AwayTeam]],$A11, Table1[[HomeTeam]:[HomeTeam]], R$1, Table1[[ActualResult]:[ActualResult]], "REG") + SUMIFS(Table1[[AwayWon]:[AwayWon]], Table1[[GameIsOver]:[GameIsOver]],1,Table1[[HomeTeam]:[HomeTeam]],$A11, Table1[[AwayTeam]:[AwayTeam]], R$1, Table1[[ActualResult]:[ActualResult]], "REG"),0), "-", TEXT(SUMIFS(Table1[[HomeWon]:[HomeWon]], Table1[[GameIsOver]:[GameIsOver]],1,Table1[[AwayTeam]:[AwayTeam]],$A11, Table1[[HomeTeam]:[HomeTeam]], R$1, Table1[[ActualResult]:[ActualResult]], "OT") + SUMIFS(Table1[[AwayWon]:[AwayWon]], Table1[[GameIsOver]:[GameIsOver]],1,Table1[[HomeTeam]:[HomeTeam]],$A11, Table1[[AwayTeam]:[AwayTeam]], R$1, Table1[[ActualResult]:[ActualResult]], "OT") + SUMIFS(Table1[[HomeWon]:[HomeWon]], Table1[[GameIsOver]:[GameIsOver]],1,Table1[[AwayTeam]:[AwayTeam]],$A11, Table1[[HomeTeam]:[HomeTeam]], R$1, Table1[[ActualResult]:[ActualResult]], "SO") + SUMIFS(Table1[[AwayWon]:[AwayWon]], Table1[[GameIsOver]:[GameIsOver]],1,Table1[[HomeTeam]:[HomeTeam]],$A11, Table1[[AwayTeam]:[AwayTeam]], R$1, Table1[[ActualResult]:[ActualResult]], "SO"),0))</f>
        <v>0-0-0</v>
      </c>
      <c r="S11" s="57" t="str">
        <f>_xlfn.CONCAT(TEXT(SUMIFS(Table1[[AwayWon]:[AwayWon]], Table1[[GameIsOver]:[GameIsOver]],1,Table1[[AwayTeam]:[AwayTeam]],$A11, Table1[[HomeTeam]:[HomeTeam]], S$1) + SUMIFS(Table1[[HomeWon]:[HomeWon]], Table1[[GameIsOver]:[GameIsOver]],1,Table1[[HomeTeam]:[HomeTeam]],$A11, Table1[[AwayTeam]:[AwayTeam]], S$1),0), "-", TEXT(SUMIFS(Table1[[HomeWon]:[HomeWon]], Table1[[GameIsOver]:[GameIsOver]],1,Table1[[AwayTeam]:[AwayTeam]],$A11, Table1[[HomeTeam]:[HomeTeam]], S$1, Table1[[ActualResult]:[ActualResult]], "REG") + SUMIFS(Table1[[AwayWon]:[AwayWon]], Table1[[GameIsOver]:[GameIsOver]],1,Table1[[HomeTeam]:[HomeTeam]],$A11, Table1[[AwayTeam]:[AwayTeam]], S$1, Table1[[ActualResult]:[ActualResult]], "REG"),0), "-", TEXT(SUMIFS(Table1[[HomeWon]:[HomeWon]], Table1[[GameIsOver]:[GameIsOver]],1,Table1[[AwayTeam]:[AwayTeam]],$A11, Table1[[HomeTeam]:[HomeTeam]], S$1, Table1[[ActualResult]:[ActualResult]], "OT") + SUMIFS(Table1[[AwayWon]:[AwayWon]], Table1[[GameIsOver]:[GameIsOver]],1,Table1[[HomeTeam]:[HomeTeam]],$A11, Table1[[AwayTeam]:[AwayTeam]], S$1, Table1[[ActualResult]:[ActualResult]], "OT") + SUMIFS(Table1[[HomeWon]:[HomeWon]], Table1[[GameIsOver]:[GameIsOver]],1,Table1[[AwayTeam]:[AwayTeam]],$A11, Table1[[HomeTeam]:[HomeTeam]], S$1, Table1[[ActualResult]:[ActualResult]], "SO") + SUMIFS(Table1[[AwayWon]:[AwayWon]], Table1[[GameIsOver]:[GameIsOver]],1,Table1[[HomeTeam]:[HomeTeam]],$A11, Table1[[AwayTeam]:[AwayTeam]], S$1, Table1[[ActualResult]:[ActualResult]], "SO"),0))</f>
        <v>0-0-0</v>
      </c>
      <c r="T11" s="57" t="str">
        <f>_xlfn.CONCAT(TEXT(SUMIFS(Table1[[AwayWon]:[AwayWon]], Table1[[GameIsOver]:[GameIsOver]],1,Table1[[AwayTeam]:[AwayTeam]],$A11, Table1[[HomeTeam]:[HomeTeam]], T$1) + SUMIFS(Table1[[HomeWon]:[HomeWon]], Table1[[GameIsOver]:[GameIsOver]],1,Table1[[HomeTeam]:[HomeTeam]],$A11, Table1[[AwayTeam]:[AwayTeam]], T$1),0), "-", TEXT(SUMIFS(Table1[[HomeWon]:[HomeWon]], Table1[[GameIsOver]:[GameIsOver]],1,Table1[[AwayTeam]:[AwayTeam]],$A11, Table1[[HomeTeam]:[HomeTeam]], T$1, Table1[[ActualResult]:[ActualResult]], "REG") + SUMIFS(Table1[[AwayWon]:[AwayWon]], Table1[[GameIsOver]:[GameIsOver]],1,Table1[[HomeTeam]:[HomeTeam]],$A11, Table1[[AwayTeam]:[AwayTeam]], T$1, Table1[[ActualResult]:[ActualResult]], "REG"),0), "-", TEXT(SUMIFS(Table1[[HomeWon]:[HomeWon]], Table1[[GameIsOver]:[GameIsOver]],1,Table1[[AwayTeam]:[AwayTeam]],$A11, Table1[[HomeTeam]:[HomeTeam]], T$1, Table1[[ActualResult]:[ActualResult]], "OT") + SUMIFS(Table1[[AwayWon]:[AwayWon]], Table1[[GameIsOver]:[GameIsOver]],1,Table1[[HomeTeam]:[HomeTeam]],$A11, Table1[[AwayTeam]:[AwayTeam]], T$1, Table1[[ActualResult]:[ActualResult]], "OT") + SUMIFS(Table1[[HomeWon]:[HomeWon]], Table1[[GameIsOver]:[GameIsOver]],1,Table1[[AwayTeam]:[AwayTeam]],$A11, Table1[[HomeTeam]:[HomeTeam]], T$1, Table1[[ActualResult]:[ActualResult]], "SO") + SUMIFS(Table1[[AwayWon]:[AwayWon]], Table1[[GameIsOver]:[GameIsOver]],1,Table1[[HomeTeam]:[HomeTeam]],$A11, Table1[[AwayTeam]:[AwayTeam]], T$1, Table1[[ActualResult]:[ActualResult]], "SO"),0))</f>
        <v>0-0-0</v>
      </c>
      <c r="U11" s="57" t="str">
        <f>_xlfn.CONCAT(TEXT(SUMIFS(Table1[[AwayWon]:[AwayWon]], Table1[[GameIsOver]:[GameIsOver]],1,Table1[[AwayTeam]:[AwayTeam]],$A11, Table1[[HomeTeam]:[HomeTeam]], U$1) + SUMIFS(Table1[[HomeWon]:[HomeWon]], Table1[[GameIsOver]:[GameIsOver]],1,Table1[[HomeTeam]:[HomeTeam]],$A11, Table1[[AwayTeam]:[AwayTeam]], U$1),0), "-", TEXT(SUMIFS(Table1[[HomeWon]:[HomeWon]], Table1[[GameIsOver]:[GameIsOver]],1,Table1[[AwayTeam]:[AwayTeam]],$A11, Table1[[HomeTeam]:[HomeTeam]], U$1, Table1[[ActualResult]:[ActualResult]], "REG") + SUMIFS(Table1[[AwayWon]:[AwayWon]], Table1[[GameIsOver]:[GameIsOver]],1,Table1[[HomeTeam]:[HomeTeam]],$A11, Table1[[AwayTeam]:[AwayTeam]], U$1, Table1[[ActualResult]:[ActualResult]], "REG"),0), "-", TEXT(SUMIFS(Table1[[HomeWon]:[HomeWon]], Table1[[GameIsOver]:[GameIsOver]],1,Table1[[AwayTeam]:[AwayTeam]],$A11, Table1[[HomeTeam]:[HomeTeam]], U$1, Table1[[ActualResult]:[ActualResult]], "OT") + SUMIFS(Table1[[AwayWon]:[AwayWon]], Table1[[GameIsOver]:[GameIsOver]],1,Table1[[HomeTeam]:[HomeTeam]],$A11, Table1[[AwayTeam]:[AwayTeam]], U$1, Table1[[ActualResult]:[ActualResult]], "OT") + SUMIFS(Table1[[HomeWon]:[HomeWon]], Table1[[GameIsOver]:[GameIsOver]],1,Table1[[AwayTeam]:[AwayTeam]],$A11, Table1[[HomeTeam]:[HomeTeam]], U$1, Table1[[ActualResult]:[ActualResult]], "SO") + SUMIFS(Table1[[AwayWon]:[AwayWon]], Table1[[GameIsOver]:[GameIsOver]],1,Table1[[HomeTeam]:[HomeTeam]],$A11, Table1[[AwayTeam]:[AwayTeam]], U$1, Table1[[ActualResult]:[ActualResult]], "SO"),0))</f>
        <v>0-0-0</v>
      </c>
      <c r="V11" s="57" t="str">
        <f>_xlfn.CONCAT(TEXT(SUMIFS(Table1[[AwayWon]:[AwayWon]], Table1[[GameIsOver]:[GameIsOver]],1,Table1[[AwayTeam]:[AwayTeam]],$A11, Table1[[HomeTeam]:[HomeTeam]], V$1) + SUMIFS(Table1[[HomeWon]:[HomeWon]], Table1[[GameIsOver]:[GameIsOver]],1,Table1[[HomeTeam]:[HomeTeam]],$A11, Table1[[AwayTeam]:[AwayTeam]], V$1),0), "-", TEXT(SUMIFS(Table1[[HomeWon]:[HomeWon]], Table1[[GameIsOver]:[GameIsOver]],1,Table1[[AwayTeam]:[AwayTeam]],$A11, Table1[[HomeTeam]:[HomeTeam]], V$1, Table1[[ActualResult]:[ActualResult]], "REG") + SUMIFS(Table1[[AwayWon]:[AwayWon]], Table1[[GameIsOver]:[GameIsOver]],1,Table1[[HomeTeam]:[HomeTeam]],$A11, Table1[[AwayTeam]:[AwayTeam]], V$1, Table1[[ActualResult]:[ActualResult]], "REG"),0), "-", TEXT(SUMIFS(Table1[[HomeWon]:[HomeWon]], Table1[[GameIsOver]:[GameIsOver]],1,Table1[[AwayTeam]:[AwayTeam]],$A11, Table1[[HomeTeam]:[HomeTeam]], V$1, Table1[[ActualResult]:[ActualResult]], "OT") + SUMIFS(Table1[[AwayWon]:[AwayWon]], Table1[[GameIsOver]:[GameIsOver]],1,Table1[[HomeTeam]:[HomeTeam]],$A11, Table1[[AwayTeam]:[AwayTeam]], V$1, Table1[[ActualResult]:[ActualResult]], "OT") + SUMIFS(Table1[[HomeWon]:[HomeWon]], Table1[[GameIsOver]:[GameIsOver]],1,Table1[[AwayTeam]:[AwayTeam]],$A11, Table1[[HomeTeam]:[HomeTeam]], V$1, Table1[[ActualResult]:[ActualResult]], "SO") + SUMIFS(Table1[[AwayWon]:[AwayWon]], Table1[[GameIsOver]:[GameIsOver]],1,Table1[[HomeTeam]:[HomeTeam]],$A11, Table1[[AwayTeam]:[AwayTeam]], V$1, Table1[[ActualResult]:[ActualResult]], "SO"),0))</f>
        <v>0-0-0</v>
      </c>
      <c r="W11" s="57" t="str">
        <f>_xlfn.CONCAT(TEXT(SUMIFS(Table1[[AwayWon]:[AwayWon]], Table1[[GameIsOver]:[GameIsOver]],1,Table1[[AwayTeam]:[AwayTeam]],$A11, Table1[[HomeTeam]:[HomeTeam]], W$1) + SUMIFS(Table1[[HomeWon]:[HomeWon]], Table1[[GameIsOver]:[GameIsOver]],1,Table1[[HomeTeam]:[HomeTeam]],$A11, Table1[[AwayTeam]:[AwayTeam]], W$1),0), "-", TEXT(SUMIFS(Table1[[HomeWon]:[HomeWon]], Table1[[GameIsOver]:[GameIsOver]],1,Table1[[AwayTeam]:[AwayTeam]],$A11, Table1[[HomeTeam]:[HomeTeam]], W$1, Table1[[ActualResult]:[ActualResult]], "REG") + SUMIFS(Table1[[AwayWon]:[AwayWon]], Table1[[GameIsOver]:[GameIsOver]],1,Table1[[HomeTeam]:[HomeTeam]],$A11, Table1[[AwayTeam]:[AwayTeam]], W$1, Table1[[ActualResult]:[ActualResult]], "REG"),0), "-", TEXT(SUMIFS(Table1[[HomeWon]:[HomeWon]], Table1[[GameIsOver]:[GameIsOver]],1,Table1[[AwayTeam]:[AwayTeam]],$A11, Table1[[HomeTeam]:[HomeTeam]], W$1, Table1[[ActualResult]:[ActualResult]], "OT") + SUMIFS(Table1[[AwayWon]:[AwayWon]], Table1[[GameIsOver]:[GameIsOver]],1,Table1[[HomeTeam]:[HomeTeam]],$A11, Table1[[AwayTeam]:[AwayTeam]], W$1, Table1[[ActualResult]:[ActualResult]], "OT") + SUMIFS(Table1[[HomeWon]:[HomeWon]], Table1[[GameIsOver]:[GameIsOver]],1,Table1[[AwayTeam]:[AwayTeam]],$A11, Table1[[HomeTeam]:[HomeTeam]], W$1, Table1[[ActualResult]:[ActualResult]], "SO") + SUMIFS(Table1[[AwayWon]:[AwayWon]], Table1[[GameIsOver]:[GameIsOver]],1,Table1[[HomeTeam]:[HomeTeam]],$A11, Table1[[AwayTeam]:[AwayTeam]], W$1, Table1[[ActualResult]:[ActualResult]], "SO"),0))</f>
        <v>0-0-0</v>
      </c>
      <c r="X11" s="57" t="str">
        <f>_xlfn.CONCAT(TEXT(SUMIFS(Table1[[AwayWon]:[AwayWon]], Table1[[GameIsOver]:[GameIsOver]],1,Table1[[AwayTeam]:[AwayTeam]],$A11, Table1[[HomeTeam]:[HomeTeam]], X$1) + SUMIFS(Table1[[HomeWon]:[HomeWon]], Table1[[GameIsOver]:[GameIsOver]],1,Table1[[HomeTeam]:[HomeTeam]],$A11, Table1[[AwayTeam]:[AwayTeam]], X$1),0), "-", TEXT(SUMIFS(Table1[[HomeWon]:[HomeWon]], Table1[[GameIsOver]:[GameIsOver]],1,Table1[[AwayTeam]:[AwayTeam]],$A11, Table1[[HomeTeam]:[HomeTeam]], X$1, Table1[[ActualResult]:[ActualResult]], "REG") + SUMIFS(Table1[[AwayWon]:[AwayWon]], Table1[[GameIsOver]:[GameIsOver]],1,Table1[[HomeTeam]:[HomeTeam]],$A11, Table1[[AwayTeam]:[AwayTeam]], X$1, Table1[[ActualResult]:[ActualResult]], "REG"),0), "-", TEXT(SUMIFS(Table1[[HomeWon]:[HomeWon]], Table1[[GameIsOver]:[GameIsOver]],1,Table1[[AwayTeam]:[AwayTeam]],$A11, Table1[[HomeTeam]:[HomeTeam]], X$1, Table1[[ActualResult]:[ActualResult]], "OT") + SUMIFS(Table1[[AwayWon]:[AwayWon]], Table1[[GameIsOver]:[GameIsOver]],1,Table1[[HomeTeam]:[HomeTeam]],$A11, Table1[[AwayTeam]:[AwayTeam]], X$1, Table1[[ActualResult]:[ActualResult]], "OT") + SUMIFS(Table1[[HomeWon]:[HomeWon]], Table1[[GameIsOver]:[GameIsOver]],1,Table1[[AwayTeam]:[AwayTeam]],$A11, Table1[[HomeTeam]:[HomeTeam]], X$1, Table1[[ActualResult]:[ActualResult]], "SO") + SUMIFS(Table1[[AwayWon]:[AwayWon]], Table1[[GameIsOver]:[GameIsOver]],1,Table1[[HomeTeam]:[HomeTeam]],$A11, Table1[[AwayTeam]:[AwayTeam]], X$1, Table1[[ActualResult]:[ActualResult]], "SO"),0))</f>
        <v>0-0-0</v>
      </c>
      <c r="Y11" s="59" t="str">
        <f>_xlfn.CONCAT(TEXT(SUMIFS(Table1[[AwayWon]:[AwayWon]], Table1[[GameIsOver]:[GameIsOver]],1,Table1[[AwayTeam]:[AwayTeam]],$A11, Table1[[HomeTeam]:[HomeTeam]], Y$1) + SUMIFS(Table1[[HomeWon]:[HomeWon]], Table1[[GameIsOver]:[GameIsOver]],1,Table1[[HomeTeam]:[HomeTeam]],$A11, Table1[[AwayTeam]:[AwayTeam]], Y$1),0), "-", TEXT(SUMIFS(Table1[[HomeWon]:[HomeWon]], Table1[[GameIsOver]:[GameIsOver]],1,Table1[[AwayTeam]:[AwayTeam]],$A11, Table1[[HomeTeam]:[HomeTeam]], Y$1, Table1[[ActualResult]:[ActualResult]], "REG") + SUMIFS(Table1[[AwayWon]:[AwayWon]], Table1[[GameIsOver]:[GameIsOver]],1,Table1[[HomeTeam]:[HomeTeam]],$A11, Table1[[AwayTeam]:[AwayTeam]], Y$1, Table1[[ActualResult]:[ActualResult]], "REG"),0), "-", TEXT(SUMIFS(Table1[[HomeWon]:[HomeWon]], Table1[[GameIsOver]:[GameIsOver]],1,Table1[[AwayTeam]:[AwayTeam]],$A11, Table1[[HomeTeam]:[HomeTeam]], Y$1, Table1[[ActualResult]:[ActualResult]], "OT") + SUMIFS(Table1[[AwayWon]:[AwayWon]], Table1[[GameIsOver]:[GameIsOver]],1,Table1[[HomeTeam]:[HomeTeam]],$A11, Table1[[AwayTeam]:[AwayTeam]], Y$1, Table1[[ActualResult]:[ActualResult]], "OT") + SUMIFS(Table1[[HomeWon]:[HomeWon]], Table1[[GameIsOver]:[GameIsOver]],1,Table1[[AwayTeam]:[AwayTeam]],$A11, Table1[[HomeTeam]:[HomeTeam]], Y$1, Table1[[ActualResult]:[ActualResult]], "SO") + SUMIFS(Table1[[AwayWon]:[AwayWon]], Table1[[GameIsOver]:[GameIsOver]],1,Table1[[HomeTeam]:[HomeTeam]],$A11, Table1[[AwayTeam]:[AwayTeam]], Y$1, Table1[[ActualResult]:[ActualResult]], "SO"),0))</f>
        <v>0-0-1</v>
      </c>
      <c r="Z11" s="57" t="str">
        <f>_xlfn.CONCAT(TEXT(SUMIFS(Table1[[AwayWon]:[AwayWon]], Table1[[GameIsOver]:[GameIsOver]],1,Table1[[AwayTeam]:[AwayTeam]],$A11, Table1[[HomeTeam]:[HomeTeam]], Z$1) + SUMIFS(Table1[[HomeWon]:[HomeWon]], Table1[[GameIsOver]:[GameIsOver]],1,Table1[[HomeTeam]:[HomeTeam]],$A11, Table1[[AwayTeam]:[AwayTeam]], Z$1),0), "-", TEXT(SUMIFS(Table1[[HomeWon]:[HomeWon]], Table1[[GameIsOver]:[GameIsOver]],1,Table1[[AwayTeam]:[AwayTeam]],$A11, Table1[[HomeTeam]:[HomeTeam]], Z$1, Table1[[ActualResult]:[ActualResult]], "REG") + SUMIFS(Table1[[AwayWon]:[AwayWon]], Table1[[GameIsOver]:[GameIsOver]],1,Table1[[HomeTeam]:[HomeTeam]],$A11, Table1[[AwayTeam]:[AwayTeam]], Z$1, Table1[[ActualResult]:[ActualResult]], "REG"),0), "-", TEXT(SUMIFS(Table1[[HomeWon]:[HomeWon]], Table1[[GameIsOver]:[GameIsOver]],1,Table1[[AwayTeam]:[AwayTeam]],$A11, Table1[[HomeTeam]:[HomeTeam]], Z$1, Table1[[ActualResult]:[ActualResult]], "OT") + SUMIFS(Table1[[AwayWon]:[AwayWon]], Table1[[GameIsOver]:[GameIsOver]],1,Table1[[HomeTeam]:[HomeTeam]],$A11, Table1[[AwayTeam]:[AwayTeam]], Z$1, Table1[[ActualResult]:[ActualResult]], "OT") + SUMIFS(Table1[[HomeWon]:[HomeWon]], Table1[[GameIsOver]:[GameIsOver]],1,Table1[[AwayTeam]:[AwayTeam]],$A11, Table1[[HomeTeam]:[HomeTeam]], Z$1, Table1[[ActualResult]:[ActualResult]], "SO") + SUMIFS(Table1[[AwayWon]:[AwayWon]], Table1[[GameIsOver]:[GameIsOver]],1,Table1[[HomeTeam]:[HomeTeam]],$A11, Table1[[AwayTeam]:[AwayTeam]], Z$1, Table1[[ActualResult]:[ActualResult]], "SO"),0))</f>
        <v>0-0-0</v>
      </c>
      <c r="AA11" s="57" t="str">
        <f>_xlfn.CONCAT(TEXT(SUMIFS(Table1[[AwayWon]:[AwayWon]], Table1[[GameIsOver]:[GameIsOver]],1,Table1[[AwayTeam]:[AwayTeam]],$A11, Table1[[HomeTeam]:[HomeTeam]], AA$1) + SUMIFS(Table1[[HomeWon]:[HomeWon]], Table1[[GameIsOver]:[GameIsOver]],1,Table1[[HomeTeam]:[HomeTeam]],$A11, Table1[[AwayTeam]:[AwayTeam]], AA$1),0), "-", TEXT(SUMIFS(Table1[[HomeWon]:[HomeWon]], Table1[[GameIsOver]:[GameIsOver]],1,Table1[[AwayTeam]:[AwayTeam]],$A11, Table1[[HomeTeam]:[HomeTeam]], AA$1, Table1[[ActualResult]:[ActualResult]], "REG") + SUMIFS(Table1[[AwayWon]:[AwayWon]], Table1[[GameIsOver]:[GameIsOver]],1,Table1[[HomeTeam]:[HomeTeam]],$A11, Table1[[AwayTeam]:[AwayTeam]], AA$1, Table1[[ActualResult]:[ActualResult]], "REG"),0), "-", TEXT(SUMIFS(Table1[[HomeWon]:[HomeWon]], Table1[[GameIsOver]:[GameIsOver]],1,Table1[[AwayTeam]:[AwayTeam]],$A11, Table1[[HomeTeam]:[HomeTeam]], AA$1, Table1[[ActualResult]:[ActualResult]], "OT") + SUMIFS(Table1[[AwayWon]:[AwayWon]], Table1[[GameIsOver]:[GameIsOver]],1,Table1[[HomeTeam]:[HomeTeam]],$A11, Table1[[AwayTeam]:[AwayTeam]], AA$1, Table1[[ActualResult]:[ActualResult]], "OT") + SUMIFS(Table1[[HomeWon]:[HomeWon]], Table1[[GameIsOver]:[GameIsOver]],1,Table1[[AwayTeam]:[AwayTeam]],$A11, Table1[[HomeTeam]:[HomeTeam]], AA$1, Table1[[ActualResult]:[ActualResult]], "SO") + SUMIFS(Table1[[AwayWon]:[AwayWon]], Table1[[GameIsOver]:[GameIsOver]],1,Table1[[HomeTeam]:[HomeTeam]],$A11, Table1[[AwayTeam]:[AwayTeam]], AA$1, Table1[[ActualResult]:[ActualResult]], "SO"),0))</f>
        <v>0-0-0</v>
      </c>
      <c r="AB11" s="57" t="str">
        <f>_xlfn.CONCAT(TEXT(SUMIFS(Table1[[AwayWon]:[AwayWon]], Table1[[GameIsOver]:[GameIsOver]],1,Table1[[AwayTeam]:[AwayTeam]],$A11, Table1[[HomeTeam]:[HomeTeam]], AB$1) + SUMIFS(Table1[[HomeWon]:[HomeWon]], Table1[[GameIsOver]:[GameIsOver]],1,Table1[[HomeTeam]:[HomeTeam]],$A11, Table1[[AwayTeam]:[AwayTeam]], AB$1),0), "-", TEXT(SUMIFS(Table1[[HomeWon]:[HomeWon]], Table1[[GameIsOver]:[GameIsOver]],1,Table1[[AwayTeam]:[AwayTeam]],$A11, Table1[[HomeTeam]:[HomeTeam]], AB$1, Table1[[ActualResult]:[ActualResult]], "REG") + SUMIFS(Table1[[AwayWon]:[AwayWon]], Table1[[GameIsOver]:[GameIsOver]],1,Table1[[HomeTeam]:[HomeTeam]],$A11, Table1[[AwayTeam]:[AwayTeam]], AB$1, Table1[[ActualResult]:[ActualResult]], "REG"),0), "-", TEXT(SUMIFS(Table1[[HomeWon]:[HomeWon]], Table1[[GameIsOver]:[GameIsOver]],1,Table1[[AwayTeam]:[AwayTeam]],$A11, Table1[[HomeTeam]:[HomeTeam]], AB$1, Table1[[ActualResult]:[ActualResult]], "OT") + SUMIFS(Table1[[AwayWon]:[AwayWon]], Table1[[GameIsOver]:[GameIsOver]],1,Table1[[HomeTeam]:[HomeTeam]],$A11, Table1[[AwayTeam]:[AwayTeam]], AB$1, Table1[[ActualResult]:[ActualResult]], "OT") + SUMIFS(Table1[[HomeWon]:[HomeWon]], Table1[[GameIsOver]:[GameIsOver]],1,Table1[[AwayTeam]:[AwayTeam]],$A11, Table1[[HomeTeam]:[HomeTeam]], AB$1, Table1[[ActualResult]:[ActualResult]], "SO") + SUMIFS(Table1[[AwayWon]:[AwayWon]], Table1[[GameIsOver]:[GameIsOver]],1,Table1[[HomeTeam]:[HomeTeam]],$A11, Table1[[AwayTeam]:[AwayTeam]], AB$1, Table1[[ActualResult]:[ActualResult]], "SO"),0))</f>
        <v>0-0-0</v>
      </c>
      <c r="AC11" s="57" t="str">
        <f>_xlfn.CONCAT(TEXT(SUMIFS(Table1[[AwayWon]:[AwayWon]], Table1[[GameIsOver]:[GameIsOver]],1,Table1[[AwayTeam]:[AwayTeam]],$A11, Table1[[HomeTeam]:[HomeTeam]], AC$1) + SUMIFS(Table1[[HomeWon]:[HomeWon]], Table1[[GameIsOver]:[GameIsOver]],1,Table1[[HomeTeam]:[HomeTeam]],$A11, Table1[[AwayTeam]:[AwayTeam]], AC$1),0), "-", TEXT(SUMIFS(Table1[[HomeWon]:[HomeWon]], Table1[[GameIsOver]:[GameIsOver]],1,Table1[[AwayTeam]:[AwayTeam]],$A11, Table1[[HomeTeam]:[HomeTeam]], AC$1, Table1[[ActualResult]:[ActualResult]], "REG") + SUMIFS(Table1[[AwayWon]:[AwayWon]], Table1[[GameIsOver]:[GameIsOver]],1,Table1[[HomeTeam]:[HomeTeam]],$A11, Table1[[AwayTeam]:[AwayTeam]], AC$1, Table1[[ActualResult]:[ActualResult]], "REG"),0), "-", TEXT(SUMIFS(Table1[[HomeWon]:[HomeWon]], Table1[[GameIsOver]:[GameIsOver]],1,Table1[[AwayTeam]:[AwayTeam]],$A11, Table1[[HomeTeam]:[HomeTeam]], AC$1, Table1[[ActualResult]:[ActualResult]], "OT") + SUMIFS(Table1[[AwayWon]:[AwayWon]], Table1[[GameIsOver]:[GameIsOver]],1,Table1[[HomeTeam]:[HomeTeam]],$A11, Table1[[AwayTeam]:[AwayTeam]], AC$1, Table1[[ActualResult]:[ActualResult]], "OT") + SUMIFS(Table1[[HomeWon]:[HomeWon]], Table1[[GameIsOver]:[GameIsOver]],1,Table1[[AwayTeam]:[AwayTeam]],$A11, Table1[[HomeTeam]:[HomeTeam]], AC$1, Table1[[ActualResult]:[ActualResult]], "SO") + SUMIFS(Table1[[AwayWon]:[AwayWon]], Table1[[GameIsOver]:[GameIsOver]],1,Table1[[HomeTeam]:[HomeTeam]],$A11, Table1[[AwayTeam]:[AwayTeam]], AC$1, Table1[[ActualResult]:[ActualResult]], "SO"),0))</f>
        <v>0-0-0</v>
      </c>
      <c r="AD11" s="57" t="str">
        <f>_xlfn.CONCAT(TEXT(SUMIFS(Table1[[AwayWon]:[AwayWon]], Table1[[GameIsOver]:[GameIsOver]],1,Table1[[AwayTeam]:[AwayTeam]],$A11, Table1[[HomeTeam]:[HomeTeam]], AD$1) + SUMIFS(Table1[[HomeWon]:[HomeWon]], Table1[[GameIsOver]:[GameIsOver]],1,Table1[[HomeTeam]:[HomeTeam]],$A11, Table1[[AwayTeam]:[AwayTeam]], AD$1),0), "-", TEXT(SUMIFS(Table1[[HomeWon]:[HomeWon]], Table1[[GameIsOver]:[GameIsOver]],1,Table1[[AwayTeam]:[AwayTeam]],$A11, Table1[[HomeTeam]:[HomeTeam]], AD$1, Table1[[ActualResult]:[ActualResult]], "REG") + SUMIFS(Table1[[AwayWon]:[AwayWon]], Table1[[GameIsOver]:[GameIsOver]],1,Table1[[HomeTeam]:[HomeTeam]],$A11, Table1[[AwayTeam]:[AwayTeam]], AD$1, Table1[[ActualResult]:[ActualResult]], "REG"),0), "-", TEXT(SUMIFS(Table1[[HomeWon]:[HomeWon]], Table1[[GameIsOver]:[GameIsOver]],1,Table1[[AwayTeam]:[AwayTeam]],$A11, Table1[[HomeTeam]:[HomeTeam]], AD$1, Table1[[ActualResult]:[ActualResult]], "OT") + SUMIFS(Table1[[AwayWon]:[AwayWon]], Table1[[GameIsOver]:[GameIsOver]],1,Table1[[HomeTeam]:[HomeTeam]],$A11, Table1[[AwayTeam]:[AwayTeam]], AD$1, Table1[[ActualResult]:[ActualResult]], "OT") + SUMIFS(Table1[[HomeWon]:[HomeWon]], Table1[[GameIsOver]:[GameIsOver]],1,Table1[[AwayTeam]:[AwayTeam]],$A11, Table1[[HomeTeam]:[HomeTeam]], AD$1, Table1[[ActualResult]:[ActualResult]], "SO") + SUMIFS(Table1[[AwayWon]:[AwayWon]], Table1[[GameIsOver]:[GameIsOver]],1,Table1[[HomeTeam]:[HomeTeam]],$A11, Table1[[AwayTeam]:[AwayTeam]], AD$1, Table1[[ActualResult]:[ActualResult]], "SO"),0))</f>
        <v>0-0-0</v>
      </c>
      <c r="AE11" s="57" t="str">
        <f>_xlfn.CONCAT(TEXT(SUMIFS(Table1[[AwayWon]:[AwayWon]], Table1[[GameIsOver]:[GameIsOver]],1,Table1[[AwayTeam]:[AwayTeam]],$A11, Table1[[HomeTeam]:[HomeTeam]], AE$1) + SUMIFS(Table1[[HomeWon]:[HomeWon]], Table1[[GameIsOver]:[GameIsOver]],1,Table1[[HomeTeam]:[HomeTeam]],$A11, Table1[[AwayTeam]:[AwayTeam]], AE$1),0), "-", TEXT(SUMIFS(Table1[[HomeWon]:[HomeWon]], Table1[[GameIsOver]:[GameIsOver]],1,Table1[[AwayTeam]:[AwayTeam]],$A11, Table1[[HomeTeam]:[HomeTeam]], AE$1, Table1[[ActualResult]:[ActualResult]], "REG") + SUMIFS(Table1[[AwayWon]:[AwayWon]], Table1[[GameIsOver]:[GameIsOver]],1,Table1[[HomeTeam]:[HomeTeam]],$A11, Table1[[AwayTeam]:[AwayTeam]], AE$1, Table1[[ActualResult]:[ActualResult]], "REG"),0), "-", TEXT(SUMIFS(Table1[[HomeWon]:[HomeWon]], Table1[[GameIsOver]:[GameIsOver]],1,Table1[[AwayTeam]:[AwayTeam]],$A11, Table1[[HomeTeam]:[HomeTeam]], AE$1, Table1[[ActualResult]:[ActualResult]], "OT") + SUMIFS(Table1[[AwayWon]:[AwayWon]], Table1[[GameIsOver]:[GameIsOver]],1,Table1[[HomeTeam]:[HomeTeam]],$A11, Table1[[AwayTeam]:[AwayTeam]], AE$1, Table1[[ActualResult]:[ActualResult]], "OT") + SUMIFS(Table1[[HomeWon]:[HomeWon]], Table1[[GameIsOver]:[GameIsOver]],1,Table1[[AwayTeam]:[AwayTeam]],$A11, Table1[[HomeTeam]:[HomeTeam]], AE$1, Table1[[ActualResult]:[ActualResult]], "SO") + SUMIFS(Table1[[AwayWon]:[AwayWon]], Table1[[GameIsOver]:[GameIsOver]],1,Table1[[HomeTeam]:[HomeTeam]],$A11, Table1[[AwayTeam]:[AwayTeam]], AE$1, Table1[[ActualResult]:[ActualResult]], "SO"),0))</f>
        <v>0-0-0</v>
      </c>
      <c r="AF11" s="57" t="str">
        <f>_xlfn.CONCAT(TEXT(SUMIFS(Table1[[AwayWon]:[AwayWon]], Table1[[GameIsOver]:[GameIsOver]],1,Table1[[AwayTeam]:[AwayTeam]],$A11, Table1[[HomeTeam]:[HomeTeam]], AF$1) + SUMIFS(Table1[[HomeWon]:[HomeWon]], Table1[[GameIsOver]:[GameIsOver]],1,Table1[[HomeTeam]:[HomeTeam]],$A11, Table1[[AwayTeam]:[AwayTeam]], AF$1),0), "-", TEXT(SUMIFS(Table1[[HomeWon]:[HomeWon]], Table1[[GameIsOver]:[GameIsOver]],1,Table1[[AwayTeam]:[AwayTeam]],$A11, Table1[[HomeTeam]:[HomeTeam]], AF$1, Table1[[ActualResult]:[ActualResult]], "REG") + SUMIFS(Table1[[AwayWon]:[AwayWon]], Table1[[GameIsOver]:[GameIsOver]],1,Table1[[HomeTeam]:[HomeTeam]],$A11, Table1[[AwayTeam]:[AwayTeam]], AF$1, Table1[[ActualResult]:[ActualResult]], "REG"),0), "-", TEXT(SUMIFS(Table1[[HomeWon]:[HomeWon]], Table1[[GameIsOver]:[GameIsOver]],1,Table1[[AwayTeam]:[AwayTeam]],$A11, Table1[[HomeTeam]:[HomeTeam]], AF$1, Table1[[ActualResult]:[ActualResult]], "OT") + SUMIFS(Table1[[AwayWon]:[AwayWon]], Table1[[GameIsOver]:[GameIsOver]],1,Table1[[HomeTeam]:[HomeTeam]],$A11, Table1[[AwayTeam]:[AwayTeam]], AF$1, Table1[[ActualResult]:[ActualResult]], "OT") + SUMIFS(Table1[[HomeWon]:[HomeWon]], Table1[[GameIsOver]:[GameIsOver]],1,Table1[[AwayTeam]:[AwayTeam]],$A11, Table1[[HomeTeam]:[HomeTeam]], AF$1, Table1[[ActualResult]:[ActualResult]], "SO") + SUMIFS(Table1[[AwayWon]:[AwayWon]], Table1[[GameIsOver]:[GameIsOver]],1,Table1[[HomeTeam]:[HomeTeam]],$A11, Table1[[AwayTeam]:[AwayTeam]], AF$1, Table1[[ActualResult]:[ActualResult]], "SO"),0))</f>
        <v>0-0-0</v>
      </c>
      <c r="AG11" s="57" t="str">
        <f>_xlfn.CONCAT(TEXT(SUMIFS(Table1[[AwayWon]:[AwayWon]], Table1[[GameIsOver]:[GameIsOver]],1,Table1[[AwayTeam]:[AwayTeam]],$A11, Table1[[HomeTeam]:[HomeTeam]], AG$1) + SUMIFS(Table1[[HomeWon]:[HomeWon]], Table1[[GameIsOver]:[GameIsOver]],1,Table1[[HomeTeam]:[HomeTeam]],$A11, Table1[[AwayTeam]:[AwayTeam]], AG$1),0), "-", TEXT(SUMIFS(Table1[[HomeWon]:[HomeWon]], Table1[[GameIsOver]:[GameIsOver]],1,Table1[[AwayTeam]:[AwayTeam]],$A11, Table1[[HomeTeam]:[HomeTeam]], AG$1, Table1[[ActualResult]:[ActualResult]], "REG") + SUMIFS(Table1[[AwayWon]:[AwayWon]], Table1[[GameIsOver]:[GameIsOver]],1,Table1[[HomeTeam]:[HomeTeam]],$A11, Table1[[AwayTeam]:[AwayTeam]], AG$1, Table1[[ActualResult]:[ActualResult]], "REG"),0), "-", TEXT(SUMIFS(Table1[[HomeWon]:[HomeWon]], Table1[[GameIsOver]:[GameIsOver]],1,Table1[[AwayTeam]:[AwayTeam]],$A11, Table1[[HomeTeam]:[HomeTeam]], AG$1, Table1[[ActualResult]:[ActualResult]], "OT") + SUMIFS(Table1[[AwayWon]:[AwayWon]], Table1[[GameIsOver]:[GameIsOver]],1,Table1[[HomeTeam]:[HomeTeam]],$A11, Table1[[AwayTeam]:[AwayTeam]], AG$1, Table1[[ActualResult]:[ActualResult]], "OT") + SUMIFS(Table1[[HomeWon]:[HomeWon]], Table1[[GameIsOver]:[GameIsOver]],1,Table1[[AwayTeam]:[AwayTeam]],$A11, Table1[[HomeTeam]:[HomeTeam]], AG$1, Table1[[ActualResult]:[ActualResult]], "SO") + SUMIFS(Table1[[AwayWon]:[AwayWon]], Table1[[GameIsOver]:[GameIsOver]],1,Table1[[HomeTeam]:[HomeTeam]],$A11, Table1[[AwayTeam]:[AwayTeam]], AG$1, Table1[[ActualResult]:[ActualResult]], "SO"),0))</f>
        <v>0-0-0</v>
      </c>
    </row>
    <row r="12" spans="1:33" x14ac:dyDescent="0.25">
      <c r="A12" s="28" t="s">
        <v>43</v>
      </c>
      <c r="B12" s="57" t="str">
        <f>_xlfn.CONCAT(TEXT(SUMIFS(Table1[[AwayWon]:[AwayWon]], Table1[[GameIsOver]:[GameIsOver]],1,Table1[[AwayTeam]:[AwayTeam]],$A12, Table1[[HomeTeam]:[HomeTeam]], B$1) + SUMIFS(Table1[[HomeWon]:[HomeWon]], Table1[[GameIsOver]:[GameIsOver]],1,Table1[[HomeTeam]:[HomeTeam]],$A12, Table1[[AwayTeam]:[AwayTeam]], B$1),0), "-", TEXT(SUMIFS(Table1[[HomeWon]:[HomeWon]], Table1[[GameIsOver]:[GameIsOver]],1,Table1[[AwayTeam]:[AwayTeam]],$A12, Table1[[HomeTeam]:[HomeTeam]], B$1, Table1[[ActualResult]:[ActualResult]], "REG") + SUMIFS(Table1[[AwayWon]:[AwayWon]], Table1[[GameIsOver]:[GameIsOver]],1,Table1[[HomeTeam]:[HomeTeam]],$A12, Table1[[AwayTeam]:[AwayTeam]], B$1, Table1[[ActualResult]:[ActualResult]], "REG"),0), "-", TEXT(SUMIFS(Table1[[HomeWon]:[HomeWon]], Table1[[GameIsOver]:[GameIsOver]],1,Table1[[AwayTeam]:[AwayTeam]],$A12, Table1[[HomeTeam]:[HomeTeam]], B$1, Table1[[ActualResult]:[ActualResult]], "OT") + SUMIFS(Table1[[AwayWon]:[AwayWon]], Table1[[GameIsOver]:[GameIsOver]],1,Table1[[HomeTeam]:[HomeTeam]],$A12, Table1[[AwayTeam]:[AwayTeam]], B$1, Table1[[ActualResult]:[ActualResult]], "OT") + SUMIFS(Table1[[HomeWon]:[HomeWon]], Table1[[GameIsOver]:[GameIsOver]],1,Table1[[AwayTeam]:[AwayTeam]],$A12, Table1[[HomeTeam]:[HomeTeam]], B$1, Table1[[ActualResult]:[ActualResult]], "SO") + SUMIFS(Table1[[AwayWon]:[AwayWon]], Table1[[GameIsOver]:[GameIsOver]],1,Table1[[HomeTeam]:[HomeTeam]],$A12, Table1[[AwayTeam]:[AwayTeam]], B$1, Table1[[ActualResult]:[ActualResult]], "SO"),0))</f>
        <v>0-0-0</v>
      </c>
      <c r="C12" s="57" t="str">
        <f>_xlfn.CONCAT(TEXT(SUMIFS(Table1[[AwayWon]:[AwayWon]], Table1[[GameIsOver]:[GameIsOver]],1,Table1[[AwayTeam]:[AwayTeam]],$A12, Table1[[HomeTeam]:[HomeTeam]], C$1) + SUMIFS(Table1[[HomeWon]:[HomeWon]], Table1[[GameIsOver]:[GameIsOver]],1,Table1[[HomeTeam]:[HomeTeam]],$A12, Table1[[AwayTeam]:[AwayTeam]], C$1),0), "-", TEXT(SUMIFS(Table1[[HomeWon]:[HomeWon]], Table1[[GameIsOver]:[GameIsOver]],1,Table1[[AwayTeam]:[AwayTeam]],$A12, Table1[[HomeTeam]:[HomeTeam]], C$1, Table1[[ActualResult]:[ActualResult]], "REG") + SUMIFS(Table1[[AwayWon]:[AwayWon]], Table1[[GameIsOver]:[GameIsOver]],1,Table1[[HomeTeam]:[HomeTeam]],$A12, Table1[[AwayTeam]:[AwayTeam]], C$1, Table1[[ActualResult]:[ActualResult]], "REG"),0), "-", TEXT(SUMIFS(Table1[[HomeWon]:[HomeWon]], Table1[[GameIsOver]:[GameIsOver]],1,Table1[[AwayTeam]:[AwayTeam]],$A12, Table1[[HomeTeam]:[HomeTeam]], C$1, Table1[[ActualResult]:[ActualResult]], "OT") + SUMIFS(Table1[[AwayWon]:[AwayWon]], Table1[[GameIsOver]:[GameIsOver]],1,Table1[[HomeTeam]:[HomeTeam]],$A12, Table1[[AwayTeam]:[AwayTeam]], C$1, Table1[[ActualResult]:[ActualResult]], "OT") + SUMIFS(Table1[[HomeWon]:[HomeWon]], Table1[[GameIsOver]:[GameIsOver]],1,Table1[[AwayTeam]:[AwayTeam]],$A12, Table1[[HomeTeam]:[HomeTeam]], C$1, Table1[[ActualResult]:[ActualResult]], "SO") + SUMIFS(Table1[[AwayWon]:[AwayWon]], Table1[[GameIsOver]:[GameIsOver]],1,Table1[[HomeTeam]:[HomeTeam]],$A12, Table1[[AwayTeam]:[AwayTeam]], C$1, Table1[[ActualResult]:[ActualResult]], "SO"),0))</f>
        <v>0-0-0</v>
      </c>
      <c r="D12" s="57" t="str">
        <f>_xlfn.CONCAT(TEXT(SUMIFS(Table1[[AwayWon]:[AwayWon]], Table1[[GameIsOver]:[GameIsOver]],1,Table1[[AwayTeam]:[AwayTeam]],$A12, Table1[[HomeTeam]:[HomeTeam]], D$1) + SUMIFS(Table1[[HomeWon]:[HomeWon]], Table1[[GameIsOver]:[GameIsOver]],1,Table1[[HomeTeam]:[HomeTeam]],$A12, Table1[[AwayTeam]:[AwayTeam]], D$1),0), "-", TEXT(SUMIFS(Table1[[HomeWon]:[HomeWon]], Table1[[GameIsOver]:[GameIsOver]],1,Table1[[AwayTeam]:[AwayTeam]],$A12, Table1[[HomeTeam]:[HomeTeam]], D$1, Table1[[ActualResult]:[ActualResult]], "REG") + SUMIFS(Table1[[AwayWon]:[AwayWon]], Table1[[GameIsOver]:[GameIsOver]],1,Table1[[HomeTeam]:[HomeTeam]],$A12, Table1[[AwayTeam]:[AwayTeam]], D$1, Table1[[ActualResult]:[ActualResult]], "REG"),0), "-", TEXT(SUMIFS(Table1[[HomeWon]:[HomeWon]], Table1[[GameIsOver]:[GameIsOver]],1,Table1[[AwayTeam]:[AwayTeam]],$A12, Table1[[HomeTeam]:[HomeTeam]], D$1, Table1[[ActualResult]:[ActualResult]], "OT") + SUMIFS(Table1[[AwayWon]:[AwayWon]], Table1[[GameIsOver]:[GameIsOver]],1,Table1[[HomeTeam]:[HomeTeam]],$A12, Table1[[AwayTeam]:[AwayTeam]], D$1, Table1[[ActualResult]:[ActualResult]], "OT") + SUMIFS(Table1[[HomeWon]:[HomeWon]], Table1[[GameIsOver]:[GameIsOver]],1,Table1[[AwayTeam]:[AwayTeam]],$A12, Table1[[HomeTeam]:[HomeTeam]], D$1, Table1[[ActualResult]:[ActualResult]], "SO") + SUMIFS(Table1[[AwayWon]:[AwayWon]], Table1[[GameIsOver]:[GameIsOver]],1,Table1[[HomeTeam]:[HomeTeam]],$A12, Table1[[AwayTeam]:[AwayTeam]], D$1, Table1[[ActualResult]:[ActualResult]], "SO"),0))</f>
        <v>0-0-0</v>
      </c>
      <c r="E12" s="57" t="str">
        <f>_xlfn.CONCAT(TEXT(SUMIFS(Table1[[AwayWon]:[AwayWon]], Table1[[GameIsOver]:[GameIsOver]],1,Table1[[AwayTeam]:[AwayTeam]],$A12, Table1[[HomeTeam]:[HomeTeam]], E$1) + SUMIFS(Table1[[HomeWon]:[HomeWon]], Table1[[GameIsOver]:[GameIsOver]],1,Table1[[HomeTeam]:[HomeTeam]],$A12, Table1[[AwayTeam]:[AwayTeam]], E$1),0), "-", TEXT(SUMIFS(Table1[[HomeWon]:[HomeWon]], Table1[[GameIsOver]:[GameIsOver]],1,Table1[[AwayTeam]:[AwayTeam]],$A12, Table1[[HomeTeam]:[HomeTeam]], E$1, Table1[[ActualResult]:[ActualResult]], "REG") + SUMIFS(Table1[[AwayWon]:[AwayWon]], Table1[[GameIsOver]:[GameIsOver]],1,Table1[[HomeTeam]:[HomeTeam]],$A12, Table1[[AwayTeam]:[AwayTeam]], E$1, Table1[[ActualResult]:[ActualResult]], "REG"),0), "-", TEXT(SUMIFS(Table1[[HomeWon]:[HomeWon]], Table1[[GameIsOver]:[GameIsOver]],1,Table1[[AwayTeam]:[AwayTeam]],$A12, Table1[[HomeTeam]:[HomeTeam]], E$1, Table1[[ActualResult]:[ActualResult]], "OT") + SUMIFS(Table1[[AwayWon]:[AwayWon]], Table1[[GameIsOver]:[GameIsOver]],1,Table1[[HomeTeam]:[HomeTeam]],$A12, Table1[[AwayTeam]:[AwayTeam]], E$1, Table1[[ActualResult]:[ActualResult]], "OT") + SUMIFS(Table1[[HomeWon]:[HomeWon]], Table1[[GameIsOver]:[GameIsOver]],1,Table1[[AwayTeam]:[AwayTeam]],$A12, Table1[[HomeTeam]:[HomeTeam]], E$1, Table1[[ActualResult]:[ActualResult]], "SO") + SUMIFS(Table1[[AwayWon]:[AwayWon]], Table1[[GameIsOver]:[GameIsOver]],1,Table1[[HomeTeam]:[HomeTeam]],$A12, Table1[[AwayTeam]:[AwayTeam]], E$1, Table1[[ActualResult]:[ActualResult]], "SO"),0))</f>
        <v>0-0-0</v>
      </c>
      <c r="F12" s="57" t="str">
        <f>_xlfn.CONCAT(TEXT(SUMIFS(Table1[[AwayWon]:[AwayWon]], Table1[[GameIsOver]:[GameIsOver]],1,Table1[[AwayTeam]:[AwayTeam]],$A12, Table1[[HomeTeam]:[HomeTeam]], F$1) + SUMIFS(Table1[[HomeWon]:[HomeWon]], Table1[[GameIsOver]:[GameIsOver]],1,Table1[[HomeTeam]:[HomeTeam]],$A12, Table1[[AwayTeam]:[AwayTeam]], F$1),0), "-", TEXT(SUMIFS(Table1[[HomeWon]:[HomeWon]], Table1[[GameIsOver]:[GameIsOver]],1,Table1[[AwayTeam]:[AwayTeam]],$A12, Table1[[HomeTeam]:[HomeTeam]], F$1, Table1[[ActualResult]:[ActualResult]], "REG") + SUMIFS(Table1[[AwayWon]:[AwayWon]], Table1[[GameIsOver]:[GameIsOver]],1,Table1[[HomeTeam]:[HomeTeam]],$A12, Table1[[AwayTeam]:[AwayTeam]], F$1, Table1[[ActualResult]:[ActualResult]], "REG"),0), "-", TEXT(SUMIFS(Table1[[HomeWon]:[HomeWon]], Table1[[GameIsOver]:[GameIsOver]],1,Table1[[AwayTeam]:[AwayTeam]],$A12, Table1[[HomeTeam]:[HomeTeam]], F$1, Table1[[ActualResult]:[ActualResult]], "OT") + SUMIFS(Table1[[AwayWon]:[AwayWon]], Table1[[GameIsOver]:[GameIsOver]],1,Table1[[HomeTeam]:[HomeTeam]],$A12, Table1[[AwayTeam]:[AwayTeam]], F$1, Table1[[ActualResult]:[ActualResult]], "OT") + SUMIFS(Table1[[HomeWon]:[HomeWon]], Table1[[GameIsOver]:[GameIsOver]],1,Table1[[AwayTeam]:[AwayTeam]],$A12, Table1[[HomeTeam]:[HomeTeam]], F$1, Table1[[ActualResult]:[ActualResult]], "SO") + SUMIFS(Table1[[AwayWon]:[AwayWon]], Table1[[GameIsOver]:[GameIsOver]],1,Table1[[HomeTeam]:[HomeTeam]],$A12, Table1[[AwayTeam]:[AwayTeam]], F$1, Table1[[ActualResult]:[ActualResult]], "SO"),0))</f>
        <v>0-1-0</v>
      </c>
      <c r="G12" s="57" t="str">
        <f>_xlfn.CONCAT(TEXT(SUMIFS(Table1[[AwayWon]:[AwayWon]], Table1[[GameIsOver]:[GameIsOver]],1,Table1[[AwayTeam]:[AwayTeam]],$A12, Table1[[HomeTeam]:[HomeTeam]], G$1) + SUMIFS(Table1[[HomeWon]:[HomeWon]], Table1[[GameIsOver]:[GameIsOver]],1,Table1[[HomeTeam]:[HomeTeam]],$A12, Table1[[AwayTeam]:[AwayTeam]], G$1),0), "-", TEXT(SUMIFS(Table1[[HomeWon]:[HomeWon]], Table1[[GameIsOver]:[GameIsOver]],1,Table1[[AwayTeam]:[AwayTeam]],$A12, Table1[[HomeTeam]:[HomeTeam]], G$1, Table1[[ActualResult]:[ActualResult]], "REG") + SUMIFS(Table1[[AwayWon]:[AwayWon]], Table1[[GameIsOver]:[GameIsOver]],1,Table1[[HomeTeam]:[HomeTeam]],$A12, Table1[[AwayTeam]:[AwayTeam]], G$1, Table1[[ActualResult]:[ActualResult]], "REG"),0), "-", TEXT(SUMIFS(Table1[[HomeWon]:[HomeWon]], Table1[[GameIsOver]:[GameIsOver]],1,Table1[[AwayTeam]:[AwayTeam]],$A12, Table1[[HomeTeam]:[HomeTeam]], G$1, Table1[[ActualResult]:[ActualResult]], "OT") + SUMIFS(Table1[[AwayWon]:[AwayWon]], Table1[[GameIsOver]:[GameIsOver]],1,Table1[[HomeTeam]:[HomeTeam]],$A12, Table1[[AwayTeam]:[AwayTeam]], G$1, Table1[[ActualResult]:[ActualResult]], "OT") + SUMIFS(Table1[[HomeWon]:[HomeWon]], Table1[[GameIsOver]:[GameIsOver]],1,Table1[[AwayTeam]:[AwayTeam]],$A12, Table1[[HomeTeam]:[HomeTeam]], G$1, Table1[[ActualResult]:[ActualResult]], "SO") + SUMIFS(Table1[[AwayWon]:[AwayWon]], Table1[[GameIsOver]:[GameIsOver]],1,Table1[[HomeTeam]:[HomeTeam]],$A12, Table1[[AwayTeam]:[AwayTeam]], G$1, Table1[[ActualResult]:[ActualResult]], "SO"),0))</f>
        <v>0-0-0</v>
      </c>
      <c r="H12" s="57" t="str">
        <f>_xlfn.CONCAT(TEXT(SUMIFS(Table1[[AwayWon]:[AwayWon]], Table1[[GameIsOver]:[GameIsOver]],1,Table1[[AwayTeam]:[AwayTeam]],$A12, Table1[[HomeTeam]:[HomeTeam]], H$1) + SUMIFS(Table1[[HomeWon]:[HomeWon]], Table1[[GameIsOver]:[GameIsOver]],1,Table1[[HomeTeam]:[HomeTeam]],$A12, Table1[[AwayTeam]:[AwayTeam]], H$1),0), "-", TEXT(SUMIFS(Table1[[HomeWon]:[HomeWon]], Table1[[GameIsOver]:[GameIsOver]],1,Table1[[AwayTeam]:[AwayTeam]],$A12, Table1[[HomeTeam]:[HomeTeam]], H$1, Table1[[ActualResult]:[ActualResult]], "REG") + SUMIFS(Table1[[AwayWon]:[AwayWon]], Table1[[GameIsOver]:[GameIsOver]],1,Table1[[HomeTeam]:[HomeTeam]],$A12, Table1[[AwayTeam]:[AwayTeam]], H$1, Table1[[ActualResult]:[ActualResult]], "REG"),0), "-", TEXT(SUMIFS(Table1[[HomeWon]:[HomeWon]], Table1[[GameIsOver]:[GameIsOver]],1,Table1[[AwayTeam]:[AwayTeam]],$A12, Table1[[HomeTeam]:[HomeTeam]], H$1, Table1[[ActualResult]:[ActualResult]], "OT") + SUMIFS(Table1[[AwayWon]:[AwayWon]], Table1[[GameIsOver]:[GameIsOver]],1,Table1[[HomeTeam]:[HomeTeam]],$A12, Table1[[AwayTeam]:[AwayTeam]], H$1, Table1[[ActualResult]:[ActualResult]], "OT") + SUMIFS(Table1[[HomeWon]:[HomeWon]], Table1[[GameIsOver]:[GameIsOver]],1,Table1[[AwayTeam]:[AwayTeam]],$A12, Table1[[HomeTeam]:[HomeTeam]], H$1, Table1[[ActualResult]:[ActualResult]], "SO") + SUMIFS(Table1[[AwayWon]:[AwayWon]], Table1[[GameIsOver]:[GameIsOver]],1,Table1[[HomeTeam]:[HomeTeam]],$A12, Table1[[AwayTeam]:[AwayTeam]], H$1, Table1[[ActualResult]:[ActualResult]], "SO"),0))</f>
        <v>0-0-0</v>
      </c>
      <c r="I12" s="59" t="str">
        <f>_xlfn.CONCAT(TEXT(SUMIFS(Table1[[AwayWon]:[AwayWon]], Table1[[GameIsOver]:[GameIsOver]],1,Table1[[AwayTeam]:[AwayTeam]],$A12, Table1[[HomeTeam]:[HomeTeam]], I$1) + SUMIFS(Table1[[HomeWon]:[HomeWon]], Table1[[GameIsOver]:[GameIsOver]],1,Table1[[HomeTeam]:[HomeTeam]],$A12, Table1[[AwayTeam]:[AwayTeam]], I$1),0), "-", TEXT(SUMIFS(Table1[[HomeWon]:[HomeWon]], Table1[[GameIsOver]:[GameIsOver]],1,Table1[[AwayTeam]:[AwayTeam]],$A12, Table1[[HomeTeam]:[HomeTeam]], I$1, Table1[[ActualResult]:[ActualResult]], "REG") + SUMIFS(Table1[[AwayWon]:[AwayWon]], Table1[[GameIsOver]:[GameIsOver]],1,Table1[[HomeTeam]:[HomeTeam]],$A12, Table1[[AwayTeam]:[AwayTeam]], I$1, Table1[[ActualResult]:[ActualResult]], "REG"),0), "-", TEXT(SUMIFS(Table1[[HomeWon]:[HomeWon]], Table1[[GameIsOver]:[GameIsOver]],1,Table1[[AwayTeam]:[AwayTeam]],$A12, Table1[[HomeTeam]:[HomeTeam]], I$1, Table1[[ActualResult]:[ActualResult]], "OT") + SUMIFS(Table1[[AwayWon]:[AwayWon]], Table1[[GameIsOver]:[GameIsOver]],1,Table1[[HomeTeam]:[HomeTeam]],$A12, Table1[[AwayTeam]:[AwayTeam]], I$1, Table1[[ActualResult]:[ActualResult]], "OT") + SUMIFS(Table1[[HomeWon]:[HomeWon]], Table1[[GameIsOver]:[GameIsOver]],1,Table1[[AwayTeam]:[AwayTeam]],$A12, Table1[[HomeTeam]:[HomeTeam]], I$1, Table1[[ActualResult]:[ActualResult]], "SO") + SUMIFS(Table1[[AwayWon]:[AwayWon]], Table1[[GameIsOver]:[GameIsOver]],1,Table1[[HomeTeam]:[HomeTeam]],$A12, Table1[[AwayTeam]:[AwayTeam]], I$1, Table1[[ActualResult]:[ActualResult]], "SO"),0))</f>
        <v>0-0-0</v>
      </c>
      <c r="J12" s="57" t="str">
        <f>_xlfn.CONCAT(TEXT(SUMIFS(Table1[[AwayWon]:[AwayWon]], Table1[[GameIsOver]:[GameIsOver]],1,Table1[[AwayTeam]:[AwayTeam]],$A12, Table1[[HomeTeam]:[HomeTeam]], J$1) + SUMIFS(Table1[[HomeWon]:[HomeWon]], Table1[[GameIsOver]:[GameIsOver]],1,Table1[[HomeTeam]:[HomeTeam]],$A12, Table1[[AwayTeam]:[AwayTeam]], J$1),0), "-", TEXT(SUMIFS(Table1[[HomeWon]:[HomeWon]], Table1[[GameIsOver]:[GameIsOver]],1,Table1[[AwayTeam]:[AwayTeam]],$A12, Table1[[HomeTeam]:[HomeTeam]], J$1, Table1[[ActualResult]:[ActualResult]], "REG") + SUMIFS(Table1[[AwayWon]:[AwayWon]], Table1[[GameIsOver]:[GameIsOver]],1,Table1[[HomeTeam]:[HomeTeam]],$A12, Table1[[AwayTeam]:[AwayTeam]], J$1, Table1[[ActualResult]:[ActualResult]], "REG"),0), "-", TEXT(SUMIFS(Table1[[HomeWon]:[HomeWon]], Table1[[GameIsOver]:[GameIsOver]],1,Table1[[AwayTeam]:[AwayTeam]],$A12, Table1[[HomeTeam]:[HomeTeam]], J$1, Table1[[ActualResult]:[ActualResult]], "OT") + SUMIFS(Table1[[AwayWon]:[AwayWon]], Table1[[GameIsOver]:[GameIsOver]],1,Table1[[HomeTeam]:[HomeTeam]],$A12, Table1[[AwayTeam]:[AwayTeam]], J$1, Table1[[ActualResult]:[ActualResult]], "OT") + SUMIFS(Table1[[HomeWon]:[HomeWon]], Table1[[GameIsOver]:[GameIsOver]],1,Table1[[AwayTeam]:[AwayTeam]],$A12, Table1[[HomeTeam]:[HomeTeam]], J$1, Table1[[ActualResult]:[ActualResult]], "SO") + SUMIFS(Table1[[AwayWon]:[AwayWon]], Table1[[GameIsOver]:[GameIsOver]],1,Table1[[HomeTeam]:[HomeTeam]],$A12, Table1[[AwayTeam]:[AwayTeam]], J$1, Table1[[ActualResult]:[ActualResult]], "SO"),0))</f>
        <v>0-0-0</v>
      </c>
      <c r="K12" s="57" t="str">
        <f>_xlfn.CONCAT(TEXT(SUMIFS(Table1[[AwayWon]:[AwayWon]], Table1[[GameIsOver]:[GameIsOver]],1,Table1[[AwayTeam]:[AwayTeam]],$A12, Table1[[HomeTeam]:[HomeTeam]], K$1) + SUMIFS(Table1[[HomeWon]:[HomeWon]], Table1[[GameIsOver]:[GameIsOver]],1,Table1[[HomeTeam]:[HomeTeam]],$A12, Table1[[AwayTeam]:[AwayTeam]], K$1),0), "-", TEXT(SUMIFS(Table1[[HomeWon]:[HomeWon]], Table1[[GameIsOver]:[GameIsOver]],1,Table1[[AwayTeam]:[AwayTeam]],$A12, Table1[[HomeTeam]:[HomeTeam]], K$1, Table1[[ActualResult]:[ActualResult]], "REG") + SUMIFS(Table1[[AwayWon]:[AwayWon]], Table1[[GameIsOver]:[GameIsOver]],1,Table1[[HomeTeam]:[HomeTeam]],$A12, Table1[[AwayTeam]:[AwayTeam]], K$1, Table1[[ActualResult]:[ActualResult]], "REG"),0), "-", TEXT(SUMIFS(Table1[[HomeWon]:[HomeWon]], Table1[[GameIsOver]:[GameIsOver]],1,Table1[[AwayTeam]:[AwayTeam]],$A12, Table1[[HomeTeam]:[HomeTeam]], K$1, Table1[[ActualResult]:[ActualResult]], "OT") + SUMIFS(Table1[[AwayWon]:[AwayWon]], Table1[[GameIsOver]:[GameIsOver]],1,Table1[[HomeTeam]:[HomeTeam]],$A12, Table1[[AwayTeam]:[AwayTeam]], K$1, Table1[[ActualResult]:[ActualResult]], "OT") + SUMIFS(Table1[[HomeWon]:[HomeWon]], Table1[[GameIsOver]:[GameIsOver]],1,Table1[[AwayTeam]:[AwayTeam]],$A12, Table1[[HomeTeam]:[HomeTeam]], K$1, Table1[[ActualResult]:[ActualResult]], "SO") + SUMIFS(Table1[[AwayWon]:[AwayWon]], Table1[[GameIsOver]:[GameIsOver]],1,Table1[[HomeTeam]:[HomeTeam]],$A12, Table1[[AwayTeam]:[AwayTeam]], K$1, Table1[[ActualResult]:[ActualResult]], "SO"),0))</f>
        <v>0-0-0</v>
      </c>
      <c r="L12" s="57" t="str">
        <f>_xlfn.CONCAT(TEXT(SUMIFS(Table1[[AwayWon]:[AwayWon]], Table1[[GameIsOver]:[GameIsOver]],1,Table1[[AwayTeam]:[AwayTeam]],$A12, Table1[[HomeTeam]:[HomeTeam]], L$1) + SUMIFS(Table1[[HomeWon]:[HomeWon]], Table1[[GameIsOver]:[GameIsOver]],1,Table1[[HomeTeam]:[HomeTeam]],$A12, Table1[[AwayTeam]:[AwayTeam]], L$1),0), "-", TEXT(SUMIFS(Table1[[HomeWon]:[HomeWon]], Table1[[GameIsOver]:[GameIsOver]],1,Table1[[AwayTeam]:[AwayTeam]],$A12, Table1[[HomeTeam]:[HomeTeam]], L$1, Table1[[ActualResult]:[ActualResult]], "REG") + SUMIFS(Table1[[AwayWon]:[AwayWon]], Table1[[GameIsOver]:[GameIsOver]],1,Table1[[HomeTeam]:[HomeTeam]],$A12, Table1[[AwayTeam]:[AwayTeam]], L$1, Table1[[ActualResult]:[ActualResult]], "REG"),0), "-", TEXT(SUMIFS(Table1[[HomeWon]:[HomeWon]], Table1[[GameIsOver]:[GameIsOver]],1,Table1[[AwayTeam]:[AwayTeam]],$A12, Table1[[HomeTeam]:[HomeTeam]], L$1, Table1[[ActualResult]:[ActualResult]], "OT") + SUMIFS(Table1[[AwayWon]:[AwayWon]], Table1[[GameIsOver]:[GameIsOver]],1,Table1[[HomeTeam]:[HomeTeam]],$A12, Table1[[AwayTeam]:[AwayTeam]], L$1, Table1[[ActualResult]:[ActualResult]], "OT") + SUMIFS(Table1[[HomeWon]:[HomeWon]], Table1[[GameIsOver]:[GameIsOver]],1,Table1[[AwayTeam]:[AwayTeam]],$A12, Table1[[HomeTeam]:[HomeTeam]], L$1, Table1[[ActualResult]:[ActualResult]], "SO") + SUMIFS(Table1[[AwayWon]:[AwayWon]], Table1[[GameIsOver]:[GameIsOver]],1,Table1[[HomeTeam]:[HomeTeam]],$A12, Table1[[AwayTeam]:[AwayTeam]], L$1, Table1[[ActualResult]:[ActualResult]], "SO"),0))</f>
        <v>0-0-0</v>
      </c>
      <c r="M12" s="57" t="str">
        <f>_xlfn.CONCAT(TEXT(SUMIFS(Table1[[AwayWon]:[AwayWon]], Table1[[GameIsOver]:[GameIsOver]],1,Table1[[AwayTeam]:[AwayTeam]],$A12, Table1[[HomeTeam]:[HomeTeam]], M$1) + SUMIFS(Table1[[HomeWon]:[HomeWon]], Table1[[GameIsOver]:[GameIsOver]],1,Table1[[HomeTeam]:[HomeTeam]],$A12, Table1[[AwayTeam]:[AwayTeam]], M$1),0), "-", TEXT(SUMIFS(Table1[[HomeWon]:[HomeWon]], Table1[[GameIsOver]:[GameIsOver]],1,Table1[[AwayTeam]:[AwayTeam]],$A12, Table1[[HomeTeam]:[HomeTeam]], M$1, Table1[[ActualResult]:[ActualResult]], "REG") + SUMIFS(Table1[[AwayWon]:[AwayWon]], Table1[[GameIsOver]:[GameIsOver]],1,Table1[[HomeTeam]:[HomeTeam]],$A12, Table1[[AwayTeam]:[AwayTeam]], M$1, Table1[[ActualResult]:[ActualResult]], "REG"),0), "-", TEXT(SUMIFS(Table1[[HomeWon]:[HomeWon]], Table1[[GameIsOver]:[GameIsOver]],1,Table1[[AwayTeam]:[AwayTeam]],$A12, Table1[[HomeTeam]:[HomeTeam]], M$1, Table1[[ActualResult]:[ActualResult]], "OT") + SUMIFS(Table1[[AwayWon]:[AwayWon]], Table1[[GameIsOver]:[GameIsOver]],1,Table1[[HomeTeam]:[HomeTeam]],$A12, Table1[[AwayTeam]:[AwayTeam]], M$1, Table1[[ActualResult]:[ActualResult]], "OT") + SUMIFS(Table1[[HomeWon]:[HomeWon]], Table1[[GameIsOver]:[GameIsOver]],1,Table1[[AwayTeam]:[AwayTeam]],$A12, Table1[[HomeTeam]:[HomeTeam]], M$1, Table1[[ActualResult]:[ActualResult]], "SO") + SUMIFS(Table1[[AwayWon]:[AwayWon]], Table1[[GameIsOver]:[GameIsOver]],1,Table1[[HomeTeam]:[HomeTeam]],$A12, Table1[[AwayTeam]:[AwayTeam]], M$1, Table1[[ActualResult]:[ActualResult]], "SO"),0))</f>
        <v>0-0-0</v>
      </c>
      <c r="N12" s="57" t="str">
        <f>_xlfn.CONCAT(TEXT(SUMIFS(Table1[[AwayWon]:[AwayWon]], Table1[[GameIsOver]:[GameIsOver]],1,Table1[[AwayTeam]:[AwayTeam]],$A12, Table1[[HomeTeam]:[HomeTeam]], N$1) + SUMIFS(Table1[[HomeWon]:[HomeWon]], Table1[[GameIsOver]:[GameIsOver]],1,Table1[[HomeTeam]:[HomeTeam]],$A12, Table1[[AwayTeam]:[AwayTeam]], N$1),0), "-", TEXT(SUMIFS(Table1[[HomeWon]:[HomeWon]], Table1[[GameIsOver]:[GameIsOver]],1,Table1[[AwayTeam]:[AwayTeam]],$A12, Table1[[HomeTeam]:[HomeTeam]], N$1, Table1[[ActualResult]:[ActualResult]], "REG") + SUMIFS(Table1[[AwayWon]:[AwayWon]], Table1[[GameIsOver]:[GameIsOver]],1,Table1[[HomeTeam]:[HomeTeam]],$A12, Table1[[AwayTeam]:[AwayTeam]], N$1, Table1[[ActualResult]:[ActualResult]], "REG"),0), "-", TEXT(SUMIFS(Table1[[HomeWon]:[HomeWon]], Table1[[GameIsOver]:[GameIsOver]],1,Table1[[AwayTeam]:[AwayTeam]],$A12, Table1[[HomeTeam]:[HomeTeam]], N$1, Table1[[ActualResult]:[ActualResult]], "OT") + SUMIFS(Table1[[AwayWon]:[AwayWon]], Table1[[GameIsOver]:[GameIsOver]],1,Table1[[HomeTeam]:[HomeTeam]],$A12, Table1[[AwayTeam]:[AwayTeam]], N$1, Table1[[ActualResult]:[ActualResult]], "OT") + SUMIFS(Table1[[HomeWon]:[HomeWon]], Table1[[GameIsOver]:[GameIsOver]],1,Table1[[AwayTeam]:[AwayTeam]],$A12, Table1[[HomeTeam]:[HomeTeam]], N$1, Table1[[ActualResult]:[ActualResult]], "SO") + SUMIFS(Table1[[AwayWon]:[AwayWon]], Table1[[GameIsOver]:[GameIsOver]],1,Table1[[HomeTeam]:[HomeTeam]],$A12, Table1[[AwayTeam]:[AwayTeam]], N$1, Table1[[ActualResult]:[ActualResult]], "SO"),0))</f>
        <v>0-0-0</v>
      </c>
      <c r="O12" s="57" t="str">
        <f>_xlfn.CONCAT(TEXT(SUMIFS(Table1[[AwayWon]:[AwayWon]], Table1[[GameIsOver]:[GameIsOver]],1,Table1[[AwayTeam]:[AwayTeam]],$A12, Table1[[HomeTeam]:[HomeTeam]], O$1) + SUMIFS(Table1[[HomeWon]:[HomeWon]], Table1[[GameIsOver]:[GameIsOver]],1,Table1[[HomeTeam]:[HomeTeam]],$A12, Table1[[AwayTeam]:[AwayTeam]], O$1),0), "-", TEXT(SUMIFS(Table1[[HomeWon]:[HomeWon]], Table1[[GameIsOver]:[GameIsOver]],1,Table1[[AwayTeam]:[AwayTeam]],$A12, Table1[[HomeTeam]:[HomeTeam]], O$1, Table1[[ActualResult]:[ActualResult]], "REG") + SUMIFS(Table1[[AwayWon]:[AwayWon]], Table1[[GameIsOver]:[GameIsOver]],1,Table1[[HomeTeam]:[HomeTeam]],$A12, Table1[[AwayTeam]:[AwayTeam]], O$1, Table1[[ActualResult]:[ActualResult]], "REG"),0), "-", TEXT(SUMIFS(Table1[[HomeWon]:[HomeWon]], Table1[[GameIsOver]:[GameIsOver]],1,Table1[[AwayTeam]:[AwayTeam]],$A12, Table1[[HomeTeam]:[HomeTeam]], O$1, Table1[[ActualResult]:[ActualResult]], "OT") + SUMIFS(Table1[[AwayWon]:[AwayWon]], Table1[[GameIsOver]:[GameIsOver]],1,Table1[[HomeTeam]:[HomeTeam]],$A12, Table1[[AwayTeam]:[AwayTeam]], O$1, Table1[[ActualResult]:[ActualResult]], "OT") + SUMIFS(Table1[[HomeWon]:[HomeWon]], Table1[[GameIsOver]:[GameIsOver]],1,Table1[[AwayTeam]:[AwayTeam]],$A12, Table1[[HomeTeam]:[HomeTeam]], O$1, Table1[[ActualResult]:[ActualResult]], "SO") + SUMIFS(Table1[[AwayWon]:[AwayWon]], Table1[[GameIsOver]:[GameIsOver]],1,Table1[[HomeTeam]:[HomeTeam]],$A12, Table1[[AwayTeam]:[AwayTeam]], O$1, Table1[[ActualResult]:[ActualResult]], "SO"),0))</f>
        <v>0-0-0</v>
      </c>
      <c r="P12" s="57" t="str">
        <f>_xlfn.CONCAT(TEXT(SUMIFS(Table1[[AwayWon]:[AwayWon]], Table1[[GameIsOver]:[GameIsOver]],1,Table1[[AwayTeam]:[AwayTeam]],$A12, Table1[[HomeTeam]:[HomeTeam]], P$1) + SUMIFS(Table1[[HomeWon]:[HomeWon]], Table1[[GameIsOver]:[GameIsOver]],1,Table1[[HomeTeam]:[HomeTeam]],$A12, Table1[[AwayTeam]:[AwayTeam]], P$1),0), "-", TEXT(SUMIFS(Table1[[HomeWon]:[HomeWon]], Table1[[GameIsOver]:[GameIsOver]],1,Table1[[AwayTeam]:[AwayTeam]],$A12, Table1[[HomeTeam]:[HomeTeam]], P$1, Table1[[ActualResult]:[ActualResult]], "REG") + SUMIFS(Table1[[AwayWon]:[AwayWon]], Table1[[GameIsOver]:[GameIsOver]],1,Table1[[HomeTeam]:[HomeTeam]],$A12, Table1[[AwayTeam]:[AwayTeam]], P$1, Table1[[ActualResult]:[ActualResult]], "REG"),0), "-", TEXT(SUMIFS(Table1[[HomeWon]:[HomeWon]], Table1[[GameIsOver]:[GameIsOver]],1,Table1[[AwayTeam]:[AwayTeam]],$A12, Table1[[HomeTeam]:[HomeTeam]], P$1, Table1[[ActualResult]:[ActualResult]], "OT") + SUMIFS(Table1[[AwayWon]:[AwayWon]], Table1[[GameIsOver]:[GameIsOver]],1,Table1[[HomeTeam]:[HomeTeam]],$A12, Table1[[AwayTeam]:[AwayTeam]], P$1, Table1[[ActualResult]:[ActualResult]], "OT") + SUMIFS(Table1[[HomeWon]:[HomeWon]], Table1[[GameIsOver]:[GameIsOver]],1,Table1[[AwayTeam]:[AwayTeam]],$A12, Table1[[HomeTeam]:[HomeTeam]], P$1, Table1[[ActualResult]:[ActualResult]], "SO") + SUMIFS(Table1[[AwayWon]:[AwayWon]], Table1[[GameIsOver]:[GameIsOver]],1,Table1[[HomeTeam]:[HomeTeam]],$A12, Table1[[AwayTeam]:[AwayTeam]], P$1, Table1[[ActualResult]:[ActualResult]], "SO"),0))</f>
        <v>0-0-0</v>
      </c>
      <c r="Q12" s="59" t="str">
        <f>_xlfn.CONCAT(TEXT(SUMIFS(Table1[[AwayWon]:[AwayWon]], Table1[[GameIsOver]:[GameIsOver]],1,Table1[[AwayTeam]:[AwayTeam]],$A12, Table1[[HomeTeam]:[HomeTeam]], Q$1) + SUMIFS(Table1[[HomeWon]:[HomeWon]], Table1[[GameIsOver]:[GameIsOver]],1,Table1[[HomeTeam]:[HomeTeam]],$A12, Table1[[AwayTeam]:[AwayTeam]], Q$1),0), "-", TEXT(SUMIFS(Table1[[HomeWon]:[HomeWon]], Table1[[GameIsOver]:[GameIsOver]],1,Table1[[AwayTeam]:[AwayTeam]],$A12, Table1[[HomeTeam]:[HomeTeam]], Q$1, Table1[[ActualResult]:[ActualResult]], "REG") + SUMIFS(Table1[[AwayWon]:[AwayWon]], Table1[[GameIsOver]:[GameIsOver]],1,Table1[[HomeTeam]:[HomeTeam]],$A12, Table1[[AwayTeam]:[AwayTeam]], Q$1, Table1[[ActualResult]:[ActualResult]], "REG"),0), "-", TEXT(SUMIFS(Table1[[HomeWon]:[HomeWon]], Table1[[GameIsOver]:[GameIsOver]],1,Table1[[AwayTeam]:[AwayTeam]],$A12, Table1[[HomeTeam]:[HomeTeam]], Q$1, Table1[[ActualResult]:[ActualResult]], "OT") + SUMIFS(Table1[[AwayWon]:[AwayWon]], Table1[[GameIsOver]:[GameIsOver]],1,Table1[[HomeTeam]:[HomeTeam]],$A12, Table1[[AwayTeam]:[AwayTeam]], Q$1, Table1[[ActualResult]:[ActualResult]], "OT") + SUMIFS(Table1[[HomeWon]:[HomeWon]], Table1[[GameIsOver]:[GameIsOver]],1,Table1[[AwayTeam]:[AwayTeam]],$A12, Table1[[HomeTeam]:[HomeTeam]], Q$1, Table1[[ActualResult]:[ActualResult]], "SO") + SUMIFS(Table1[[AwayWon]:[AwayWon]], Table1[[GameIsOver]:[GameIsOver]],1,Table1[[HomeTeam]:[HomeTeam]],$A12, Table1[[AwayTeam]:[AwayTeam]], Q$1, Table1[[ActualResult]:[ActualResult]], "SO"),0))</f>
        <v>0-0-0</v>
      </c>
      <c r="R12" s="57" t="str">
        <f>_xlfn.CONCAT(TEXT(SUMIFS(Table1[[AwayWon]:[AwayWon]], Table1[[GameIsOver]:[GameIsOver]],1,Table1[[AwayTeam]:[AwayTeam]],$A12, Table1[[HomeTeam]:[HomeTeam]], R$1) + SUMIFS(Table1[[HomeWon]:[HomeWon]], Table1[[GameIsOver]:[GameIsOver]],1,Table1[[HomeTeam]:[HomeTeam]],$A12, Table1[[AwayTeam]:[AwayTeam]], R$1),0), "-", TEXT(SUMIFS(Table1[[HomeWon]:[HomeWon]], Table1[[GameIsOver]:[GameIsOver]],1,Table1[[AwayTeam]:[AwayTeam]],$A12, Table1[[HomeTeam]:[HomeTeam]], R$1, Table1[[ActualResult]:[ActualResult]], "REG") + SUMIFS(Table1[[AwayWon]:[AwayWon]], Table1[[GameIsOver]:[GameIsOver]],1,Table1[[HomeTeam]:[HomeTeam]],$A12, Table1[[AwayTeam]:[AwayTeam]], R$1, Table1[[ActualResult]:[ActualResult]], "REG"),0), "-", TEXT(SUMIFS(Table1[[HomeWon]:[HomeWon]], Table1[[GameIsOver]:[GameIsOver]],1,Table1[[AwayTeam]:[AwayTeam]],$A12, Table1[[HomeTeam]:[HomeTeam]], R$1, Table1[[ActualResult]:[ActualResult]], "OT") + SUMIFS(Table1[[AwayWon]:[AwayWon]], Table1[[GameIsOver]:[GameIsOver]],1,Table1[[HomeTeam]:[HomeTeam]],$A12, Table1[[AwayTeam]:[AwayTeam]], R$1, Table1[[ActualResult]:[ActualResult]], "OT") + SUMIFS(Table1[[HomeWon]:[HomeWon]], Table1[[GameIsOver]:[GameIsOver]],1,Table1[[AwayTeam]:[AwayTeam]],$A12, Table1[[HomeTeam]:[HomeTeam]], R$1, Table1[[ActualResult]:[ActualResult]], "SO") + SUMIFS(Table1[[AwayWon]:[AwayWon]], Table1[[GameIsOver]:[GameIsOver]],1,Table1[[HomeTeam]:[HomeTeam]],$A12, Table1[[AwayTeam]:[AwayTeam]], R$1, Table1[[ActualResult]:[ActualResult]], "SO"),0))</f>
        <v>0-0-0</v>
      </c>
      <c r="S12" s="57" t="str">
        <f>_xlfn.CONCAT(TEXT(SUMIFS(Table1[[AwayWon]:[AwayWon]], Table1[[GameIsOver]:[GameIsOver]],1,Table1[[AwayTeam]:[AwayTeam]],$A12, Table1[[HomeTeam]:[HomeTeam]], S$1) + SUMIFS(Table1[[HomeWon]:[HomeWon]], Table1[[GameIsOver]:[GameIsOver]],1,Table1[[HomeTeam]:[HomeTeam]],$A12, Table1[[AwayTeam]:[AwayTeam]], S$1),0), "-", TEXT(SUMIFS(Table1[[HomeWon]:[HomeWon]], Table1[[GameIsOver]:[GameIsOver]],1,Table1[[AwayTeam]:[AwayTeam]],$A12, Table1[[HomeTeam]:[HomeTeam]], S$1, Table1[[ActualResult]:[ActualResult]], "REG") + SUMIFS(Table1[[AwayWon]:[AwayWon]], Table1[[GameIsOver]:[GameIsOver]],1,Table1[[HomeTeam]:[HomeTeam]],$A12, Table1[[AwayTeam]:[AwayTeam]], S$1, Table1[[ActualResult]:[ActualResult]], "REG"),0), "-", TEXT(SUMIFS(Table1[[HomeWon]:[HomeWon]], Table1[[GameIsOver]:[GameIsOver]],1,Table1[[AwayTeam]:[AwayTeam]],$A12, Table1[[HomeTeam]:[HomeTeam]], S$1, Table1[[ActualResult]:[ActualResult]], "OT") + SUMIFS(Table1[[AwayWon]:[AwayWon]], Table1[[GameIsOver]:[GameIsOver]],1,Table1[[HomeTeam]:[HomeTeam]],$A12, Table1[[AwayTeam]:[AwayTeam]], S$1, Table1[[ActualResult]:[ActualResult]], "OT") + SUMIFS(Table1[[HomeWon]:[HomeWon]], Table1[[GameIsOver]:[GameIsOver]],1,Table1[[AwayTeam]:[AwayTeam]],$A12, Table1[[HomeTeam]:[HomeTeam]], S$1, Table1[[ActualResult]:[ActualResult]], "SO") + SUMIFS(Table1[[AwayWon]:[AwayWon]], Table1[[GameIsOver]:[GameIsOver]],1,Table1[[HomeTeam]:[HomeTeam]],$A12, Table1[[AwayTeam]:[AwayTeam]], S$1, Table1[[ActualResult]:[ActualResult]], "SO"),0))</f>
        <v>0-0-0</v>
      </c>
      <c r="T12" s="57" t="str">
        <f>_xlfn.CONCAT(TEXT(SUMIFS(Table1[[AwayWon]:[AwayWon]], Table1[[GameIsOver]:[GameIsOver]],1,Table1[[AwayTeam]:[AwayTeam]],$A12, Table1[[HomeTeam]:[HomeTeam]], T$1) + SUMIFS(Table1[[HomeWon]:[HomeWon]], Table1[[GameIsOver]:[GameIsOver]],1,Table1[[HomeTeam]:[HomeTeam]],$A12, Table1[[AwayTeam]:[AwayTeam]], T$1),0), "-", TEXT(SUMIFS(Table1[[HomeWon]:[HomeWon]], Table1[[GameIsOver]:[GameIsOver]],1,Table1[[AwayTeam]:[AwayTeam]],$A12, Table1[[HomeTeam]:[HomeTeam]], T$1, Table1[[ActualResult]:[ActualResult]], "REG") + SUMIFS(Table1[[AwayWon]:[AwayWon]], Table1[[GameIsOver]:[GameIsOver]],1,Table1[[HomeTeam]:[HomeTeam]],$A12, Table1[[AwayTeam]:[AwayTeam]], T$1, Table1[[ActualResult]:[ActualResult]], "REG"),0), "-", TEXT(SUMIFS(Table1[[HomeWon]:[HomeWon]], Table1[[GameIsOver]:[GameIsOver]],1,Table1[[AwayTeam]:[AwayTeam]],$A12, Table1[[HomeTeam]:[HomeTeam]], T$1, Table1[[ActualResult]:[ActualResult]], "OT") + SUMIFS(Table1[[AwayWon]:[AwayWon]], Table1[[GameIsOver]:[GameIsOver]],1,Table1[[HomeTeam]:[HomeTeam]],$A12, Table1[[AwayTeam]:[AwayTeam]], T$1, Table1[[ActualResult]:[ActualResult]], "OT") + SUMIFS(Table1[[HomeWon]:[HomeWon]], Table1[[GameIsOver]:[GameIsOver]],1,Table1[[AwayTeam]:[AwayTeam]],$A12, Table1[[HomeTeam]:[HomeTeam]], T$1, Table1[[ActualResult]:[ActualResult]], "SO") + SUMIFS(Table1[[AwayWon]:[AwayWon]], Table1[[GameIsOver]:[GameIsOver]],1,Table1[[HomeTeam]:[HomeTeam]],$A12, Table1[[AwayTeam]:[AwayTeam]], T$1, Table1[[ActualResult]:[ActualResult]], "SO"),0))</f>
        <v>0-0-0</v>
      </c>
      <c r="U12" s="57" t="str">
        <f>_xlfn.CONCAT(TEXT(SUMIFS(Table1[[AwayWon]:[AwayWon]], Table1[[GameIsOver]:[GameIsOver]],1,Table1[[AwayTeam]:[AwayTeam]],$A12, Table1[[HomeTeam]:[HomeTeam]], U$1) + SUMIFS(Table1[[HomeWon]:[HomeWon]], Table1[[GameIsOver]:[GameIsOver]],1,Table1[[HomeTeam]:[HomeTeam]],$A12, Table1[[AwayTeam]:[AwayTeam]], U$1),0), "-", TEXT(SUMIFS(Table1[[HomeWon]:[HomeWon]], Table1[[GameIsOver]:[GameIsOver]],1,Table1[[AwayTeam]:[AwayTeam]],$A12, Table1[[HomeTeam]:[HomeTeam]], U$1, Table1[[ActualResult]:[ActualResult]], "REG") + SUMIFS(Table1[[AwayWon]:[AwayWon]], Table1[[GameIsOver]:[GameIsOver]],1,Table1[[HomeTeam]:[HomeTeam]],$A12, Table1[[AwayTeam]:[AwayTeam]], U$1, Table1[[ActualResult]:[ActualResult]], "REG"),0), "-", TEXT(SUMIFS(Table1[[HomeWon]:[HomeWon]], Table1[[GameIsOver]:[GameIsOver]],1,Table1[[AwayTeam]:[AwayTeam]],$A12, Table1[[HomeTeam]:[HomeTeam]], U$1, Table1[[ActualResult]:[ActualResult]], "OT") + SUMIFS(Table1[[AwayWon]:[AwayWon]], Table1[[GameIsOver]:[GameIsOver]],1,Table1[[HomeTeam]:[HomeTeam]],$A12, Table1[[AwayTeam]:[AwayTeam]], U$1, Table1[[ActualResult]:[ActualResult]], "OT") + SUMIFS(Table1[[HomeWon]:[HomeWon]], Table1[[GameIsOver]:[GameIsOver]],1,Table1[[AwayTeam]:[AwayTeam]],$A12, Table1[[HomeTeam]:[HomeTeam]], U$1, Table1[[ActualResult]:[ActualResult]], "SO") + SUMIFS(Table1[[AwayWon]:[AwayWon]], Table1[[GameIsOver]:[GameIsOver]],1,Table1[[HomeTeam]:[HomeTeam]],$A12, Table1[[AwayTeam]:[AwayTeam]], U$1, Table1[[ActualResult]:[ActualResult]], "SO"),0))</f>
        <v>0-0-0</v>
      </c>
      <c r="V12" s="57" t="str">
        <f>_xlfn.CONCAT(TEXT(SUMIFS(Table1[[AwayWon]:[AwayWon]], Table1[[GameIsOver]:[GameIsOver]],1,Table1[[AwayTeam]:[AwayTeam]],$A12, Table1[[HomeTeam]:[HomeTeam]], V$1) + SUMIFS(Table1[[HomeWon]:[HomeWon]], Table1[[GameIsOver]:[GameIsOver]],1,Table1[[HomeTeam]:[HomeTeam]],$A12, Table1[[AwayTeam]:[AwayTeam]], V$1),0), "-", TEXT(SUMIFS(Table1[[HomeWon]:[HomeWon]], Table1[[GameIsOver]:[GameIsOver]],1,Table1[[AwayTeam]:[AwayTeam]],$A12, Table1[[HomeTeam]:[HomeTeam]], V$1, Table1[[ActualResult]:[ActualResult]], "REG") + SUMIFS(Table1[[AwayWon]:[AwayWon]], Table1[[GameIsOver]:[GameIsOver]],1,Table1[[HomeTeam]:[HomeTeam]],$A12, Table1[[AwayTeam]:[AwayTeam]], V$1, Table1[[ActualResult]:[ActualResult]], "REG"),0), "-", TEXT(SUMIFS(Table1[[HomeWon]:[HomeWon]], Table1[[GameIsOver]:[GameIsOver]],1,Table1[[AwayTeam]:[AwayTeam]],$A12, Table1[[HomeTeam]:[HomeTeam]], V$1, Table1[[ActualResult]:[ActualResult]], "OT") + SUMIFS(Table1[[AwayWon]:[AwayWon]], Table1[[GameIsOver]:[GameIsOver]],1,Table1[[HomeTeam]:[HomeTeam]],$A12, Table1[[AwayTeam]:[AwayTeam]], V$1, Table1[[ActualResult]:[ActualResult]], "OT") + SUMIFS(Table1[[HomeWon]:[HomeWon]], Table1[[GameIsOver]:[GameIsOver]],1,Table1[[AwayTeam]:[AwayTeam]],$A12, Table1[[HomeTeam]:[HomeTeam]], V$1, Table1[[ActualResult]:[ActualResult]], "SO") + SUMIFS(Table1[[AwayWon]:[AwayWon]], Table1[[GameIsOver]:[GameIsOver]],1,Table1[[HomeTeam]:[HomeTeam]],$A12, Table1[[AwayTeam]:[AwayTeam]], V$1, Table1[[ActualResult]:[ActualResult]], "SO"),0))</f>
        <v>0-0-0</v>
      </c>
      <c r="W12" s="57" t="str">
        <f>_xlfn.CONCAT(TEXT(SUMIFS(Table1[[AwayWon]:[AwayWon]], Table1[[GameIsOver]:[GameIsOver]],1,Table1[[AwayTeam]:[AwayTeam]],$A12, Table1[[HomeTeam]:[HomeTeam]], W$1) + SUMIFS(Table1[[HomeWon]:[HomeWon]], Table1[[GameIsOver]:[GameIsOver]],1,Table1[[HomeTeam]:[HomeTeam]],$A12, Table1[[AwayTeam]:[AwayTeam]], W$1),0), "-", TEXT(SUMIFS(Table1[[HomeWon]:[HomeWon]], Table1[[GameIsOver]:[GameIsOver]],1,Table1[[AwayTeam]:[AwayTeam]],$A12, Table1[[HomeTeam]:[HomeTeam]], W$1, Table1[[ActualResult]:[ActualResult]], "REG") + SUMIFS(Table1[[AwayWon]:[AwayWon]], Table1[[GameIsOver]:[GameIsOver]],1,Table1[[HomeTeam]:[HomeTeam]],$A12, Table1[[AwayTeam]:[AwayTeam]], W$1, Table1[[ActualResult]:[ActualResult]], "REG"),0), "-", TEXT(SUMIFS(Table1[[HomeWon]:[HomeWon]], Table1[[GameIsOver]:[GameIsOver]],1,Table1[[AwayTeam]:[AwayTeam]],$A12, Table1[[HomeTeam]:[HomeTeam]], W$1, Table1[[ActualResult]:[ActualResult]], "OT") + SUMIFS(Table1[[AwayWon]:[AwayWon]], Table1[[GameIsOver]:[GameIsOver]],1,Table1[[HomeTeam]:[HomeTeam]],$A12, Table1[[AwayTeam]:[AwayTeam]], W$1, Table1[[ActualResult]:[ActualResult]], "OT") + SUMIFS(Table1[[HomeWon]:[HomeWon]], Table1[[GameIsOver]:[GameIsOver]],1,Table1[[AwayTeam]:[AwayTeam]],$A12, Table1[[HomeTeam]:[HomeTeam]], W$1, Table1[[ActualResult]:[ActualResult]], "SO") + SUMIFS(Table1[[AwayWon]:[AwayWon]], Table1[[GameIsOver]:[GameIsOver]],1,Table1[[HomeTeam]:[HomeTeam]],$A12, Table1[[AwayTeam]:[AwayTeam]], W$1, Table1[[ActualResult]:[ActualResult]], "SO"),0))</f>
        <v>0-0-0</v>
      </c>
      <c r="X12" s="57" t="str">
        <f>_xlfn.CONCAT(TEXT(SUMIFS(Table1[[AwayWon]:[AwayWon]], Table1[[GameIsOver]:[GameIsOver]],1,Table1[[AwayTeam]:[AwayTeam]],$A12, Table1[[HomeTeam]:[HomeTeam]], X$1) + SUMIFS(Table1[[HomeWon]:[HomeWon]], Table1[[GameIsOver]:[GameIsOver]],1,Table1[[HomeTeam]:[HomeTeam]],$A12, Table1[[AwayTeam]:[AwayTeam]], X$1),0), "-", TEXT(SUMIFS(Table1[[HomeWon]:[HomeWon]], Table1[[GameIsOver]:[GameIsOver]],1,Table1[[AwayTeam]:[AwayTeam]],$A12, Table1[[HomeTeam]:[HomeTeam]], X$1, Table1[[ActualResult]:[ActualResult]], "REG") + SUMIFS(Table1[[AwayWon]:[AwayWon]], Table1[[GameIsOver]:[GameIsOver]],1,Table1[[HomeTeam]:[HomeTeam]],$A12, Table1[[AwayTeam]:[AwayTeam]], X$1, Table1[[ActualResult]:[ActualResult]], "REG"),0), "-", TEXT(SUMIFS(Table1[[HomeWon]:[HomeWon]], Table1[[GameIsOver]:[GameIsOver]],1,Table1[[AwayTeam]:[AwayTeam]],$A12, Table1[[HomeTeam]:[HomeTeam]], X$1, Table1[[ActualResult]:[ActualResult]], "OT") + SUMIFS(Table1[[AwayWon]:[AwayWon]], Table1[[GameIsOver]:[GameIsOver]],1,Table1[[HomeTeam]:[HomeTeam]],$A12, Table1[[AwayTeam]:[AwayTeam]], X$1, Table1[[ActualResult]:[ActualResult]], "OT") + SUMIFS(Table1[[HomeWon]:[HomeWon]], Table1[[GameIsOver]:[GameIsOver]],1,Table1[[AwayTeam]:[AwayTeam]],$A12, Table1[[HomeTeam]:[HomeTeam]], X$1, Table1[[ActualResult]:[ActualResult]], "SO") + SUMIFS(Table1[[AwayWon]:[AwayWon]], Table1[[GameIsOver]:[GameIsOver]],1,Table1[[HomeTeam]:[HomeTeam]],$A12, Table1[[AwayTeam]:[AwayTeam]], X$1, Table1[[ActualResult]:[ActualResult]], "SO"),0))</f>
        <v>0-0-0</v>
      </c>
      <c r="Y12" s="59" t="str">
        <f>_xlfn.CONCAT(TEXT(SUMIFS(Table1[[AwayWon]:[AwayWon]], Table1[[GameIsOver]:[GameIsOver]],1,Table1[[AwayTeam]:[AwayTeam]],$A12, Table1[[HomeTeam]:[HomeTeam]], Y$1) + SUMIFS(Table1[[HomeWon]:[HomeWon]], Table1[[GameIsOver]:[GameIsOver]],1,Table1[[HomeTeam]:[HomeTeam]],$A12, Table1[[AwayTeam]:[AwayTeam]], Y$1),0), "-", TEXT(SUMIFS(Table1[[HomeWon]:[HomeWon]], Table1[[GameIsOver]:[GameIsOver]],1,Table1[[AwayTeam]:[AwayTeam]],$A12, Table1[[HomeTeam]:[HomeTeam]], Y$1, Table1[[ActualResult]:[ActualResult]], "REG") + SUMIFS(Table1[[AwayWon]:[AwayWon]], Table1[[GameIsOver]:[GameIsOver]],1,Table1[[HomeTeam]:[HomeTeam]],$A12, Table1[[AwayTeam]:[AwayTeam]], Y$1, Table1[[ActualResult]:[ActualResult]], "REG"),0), "-", TEXT(SUMIFS(Table1[[HomeWon]:[HomeWon]], Table1[[GameIsOver]:[GameIsOver]],1,Table1[[AwayTeam]:[AwayTeam]],$A12, Table1[[HomeTeam]:[HomeTeam]], Y$1, Table1[[ActualResult]:[ActualResult]], "OT") + SUMIFS(Table1[[AwayWon]:[AwayWon]], Table1[[GameIsOver]:[GameIsOver]],1,Table1[[HomeTeam]:[HomeTeam]],$A12, Table1[[AwayTeam]:[AwayTeam]], Y$1, Table1[[ActualResult]:[ActualResult]], "OT") + SUMIFS(Table1[[HomeWon]:[HomeWon]], Table1[[GameIsOver]:[GameIsOver]],1,Table1[[AwayTeam]:[AwayTeam]],$A12, Table1[[HomeTeam]:[HomeTeam]], Y$1, Table1[[ActualResult]:[ActualResult]], "SO") + SUMIFS(Table1[[AwayWon]:[AwayWon]], Table1[[GameIsOver]:[GameIsOver]],1,Table1[[HomeTeam]:[HomeTeam]],$A12, Table1[[AwayTeam]:[AwayTeam]], Y$1, Table1[[ActualResult]:[ActualResult]], "SO"),0))</f>
        <v>0-0-0</v>
      </c>
      <c r="Z12" s="57" t="str">
        <f>_xlfn.CONCAT(TEXT(SUMIFS(Table1[[AwayWon]:[AwayWon]], Table1[[GameIsOver]:[GameIsOver]],1,Table1[[AwayTeam]:[AwayTeam]],$A12, Table1[[HomeTeam]:[HomeTeam]], Z$1) + SUMIFS(Table1[[HomeWon]:[HomeWon]], Table1[[GameIsOver]:[GameIsOver]],1,Table1[[HomeTeam]:[HomeTeam]],$A12, Table1[[AwayTeam]:[AwayTeam]], Z$1),0), "-", TEXT(SUMIFS(Table1[[HomeWon]:[HomeWon]], Table1[[GameIsOver]:[GameIsOver]],1,Table1[[AwayTeam]:[AwayTeam]],$A12, Table1[[HomeTeam]:[HomeTeam]], Z$1, Table1[[ActualResult]:[ActualResult]], "REG") + SUMIFS(Table1[[AwayWon]:[AwayWon]], Table1[[GameIsOver]:[GameIsOver]],1,Table1[[HomeTeam]:[HomeTeam]],$A12, Table1[[AwayTeam]:[AwayTeam]], Z$1, Table1[[ActualResult]:[ActualResult]], "REG"),0), "-", TEXT(SUMIFS(Table1[[HomeWon]:[HomeWon]], Table1[[GameIsOver]:[GameIsOver]],1,Table1[[AwayTeam]:[AwayTeam]],$A12, Table1[[HomeTeam]:[HomeTeam]], Z$1, Table1[[ActualResult]:[ActualResult]], "OT") + SUMIFS(Table1[[AwayWon]:[AwayWon]], Table1[[GameIsOver]:[GameIsOver]],1,Table1[[HomeTeam]:[HomeTeam]],$A12, Table1[[AwayTeam]:[AwayTeam]], Z$1, Table1[[ActualResult]:[ActualResult]], "OT") + SUMIFS(Table1[[HomeWon]:[HomeWon]], Table1[[GameIsOver]:[GameIsOver]],1,Table1[[AwayTeam]:[AwayTeam]],$A12, Table1[[HomeTeam]:[HomeTeam]], Z$1, Table1[[ActualResult]:[ActualResult]], "SO") + SUMIFS(Table1[[AwayWon]:[AwayWon]], Table1[[GameIsOver]:[GameIsOver]],1,Table1[[HomeTeam]:[HomeTeam]],$A12, Table1[[AwayTeam]:[AwayTeam]], Z$1, Table1[[ActualResult]:[ActualResult]], "SO"),0))</f>
        <v>0-0-0</v>
      </c>
      <c r="AA12" s="57" t="str">
        <f>_xlfn.CONCAT(TEXT(SUMIFS(Table1[[AwayWon]:[AwayWon]], Table1[[GameIsOver]:[GameIsOver]],1,Table1[[AwayTeam]:[AwayTeam]],$A12, Table1[[HomeTeam]:[HomeTeam]], AA$1) + SUMIFS(Table1[[HomeWon]:[HomeWon]], Table1[[GameIsOver]:[GameIsOver]],1,Table1[[HomeTeam]:[HomeTeam]],$A12, Table1[[AwayTeam]:[AwayTeam]], AA$1),0), "-", TEXT(SUMIFS(Table1[[HomeWon]:[HomeWon]], Table1[[GameIsOver]:[GameIsOver]],1,Table1[[AwayTeam]:[AwayTeam]],$A12, Table1[[HomeTeam]:[HomeTeam]], AA$1, Table1[[ActualResult]:[ActualResult]], "REG") + SUMIFS(Table1[[AwayWon]:[AwayWon]], Table1[[GameIsOver]:[GameIsOver]],1,Table1[[HomeTeam]:[HomeTeam]],$A12, Table1[[AwayTeam]:[AwayTeam]], AA$1, Table1[[ActualResult]:[ActualResult]], "REG"),0), "-", TEXT(SUMIFS(Table1[[HomeWon]:[HomeWon]], Table1[[GameIsOver]:[GameIsOver]],1,Table1[[AwayTeam]:[AwayTeam]],$A12, Table1[[HomeTeam]:[HomeTeam]], AA$1, Table1[[ActualResult]:[ActualResult]], "OT") + SUMIFS(Table1[[AwayWon]:[AwayWon]], Table1[[GameIsOver]:[GameIsOver]],1,Table1[[HomeTeam]:[HomeTeam]],$A12, Table1[[AwayTeam]:[AwayTeam]], AA$1, Table1[[ActualResult]:[ActualResult]], "OT") + SUMIFS(Table1[[HomeWon]:[HomeWon]], Table1[[GameIsOver]:[GameIsOver]],1,Table1[[AwayTeam]:[AwayTeam]],$A12, Table1[[HomeTeam]:[HomeTeam]], AA$1, Table1[[ActualResult]:[ActualResult]], "SO") + SUMIFS(Table1[[AwayWon]:[AwayWon]], Table1[[GameIsOver]:[GameIsOver]],1,Table1[[HomeTeam]:[HomeTeam]],$A12, Table1[[AwayTeam]:[AwayTeam]], AA$1, Table1[[ActualResult]:[ActualResult]], "SO"),0))</f>
        <v>0-0-0</v>
      </c>
      <c r="AB12" s="57" t="str">
        <f>_xlfn.CONCAT(TEXT(SUMIFS(Table1[[AwayWon]:[AwayWon]], Table1[[GameIsOver]:[GameIsOver]],1,Table1[[AwayTeam]:[AwayTeam]],$A12, Table1[[HomeTeam]:[HomeTeam]], AB$1) + SUMIFS(Table1[[HomeWon]:[HomeWon]], Table1[[GameIsOver]:[GameIsOver]],1,Table1[[HomeTeam]:[HomeTeam]],$A12, Table1[[AwayTeam]:[AwayTeam]], AB$1),0), "-", TEXT(SUMIFS(Table1[[HomeWon]:[HomeWon]], Table1[[GameIsOver]:[GameIsOver]],1,Table1[[AwayTeam]:[AwayTeam]],$A12, Table1[[HomeTeam]:[HomeTeam]], AB$1, Table1[[ActualResult]:[ActualResult]], "REG") + SUMIFS(Table1[[AwayWon]:[AwayWon]], Table1[[GameIsOver]:[GameIsOver]],1,Table1[[HomeTeam]:[HomeTeam]],$A12, Table1[[AwayTeam]:[AwayTeam]], AB$1, Table1[[ActualResult]:[ActualResult]], "REG"),0), "-", TEXT(SUMIFS(Table1[[HomeWon]:[HomeWon]], Table1[[GameIsOver]:[GameIsOver]],1,Table1[[AwayTeam]:[AwayTeam]],$A12, Table1[[HomeTeam]:[HomeTeam]], AB$1, Table1[[ActualResult]:[ActualResult]], "OT") + SUMIFS(Table1[[AwayWon]:[AwayWon]], Table1[[GameIsOver]:[GameIsOver]],1,Table1[[HomeTeam]:[HomeTeam]],$A12, Table1[[AwayTeam]:[AwayTeam]], AB$1, Table1[[ActualResult]:[ActualResult]], "OT") + SUMIFS(Table1[[HomeWon]:[HomeWon]], Table1[[GameIsOver]:[GameIsOver]],1,Table1[[AwayTeam]:[AwayTeam]],$A12, Table1[[HomeTeam]:[HomeTeam]], AB$1, Table1[[ActualResult]:[ActualResult]], "SO") + SUMIFS(Table1[[AwayWon]:[AwayWon]], Table1[[GameIsOver]:[GameIsOver]],1,Table1[[HomeTeam]:[HomeTeam]],$A12, Table1[[AwayTeam]:[AwayTeam]], AB$1, Table1[[ActualResult]:[ActualResult]], "SO"),0))</f>
        <v>0-0-0</v>
      </c>
      <c r="AC12" s="57" t="str">
        <f>_xlfn.CONCAT(TEXT(SUMIFS(Table1[[AwayWon]:[AwayWon]], Table1[[GameIsOver]:[GameIsOver]],1,Table1[[AwayTeam]:[AwayTeam]],$A12, Table1[[HomeTeam]:[HomeTeam]], AC$1) + SUMIFS(Table1[[HomeWon]:[HomeWon]], Table1[[GameIsOver]:[GameIsOver]],1,Table1[[HomeTeam]:[HomeTeam]],$A12, Table1[[AwayTeam]:[AwayTeam]], AC$1),0), "-", TEXT(SUMIFS(Table1[[HomeWon]:[HomeWon]], Table1[[GameIsOver]:[GameIsOver]],1,Table1[[AwayTeam]:[AwayTeam]],$A12, Table1[[HomeTeam]:[HomeTeam]], AC$1, Table1[[ActualResult]:[ActualResult]], "REG") + SUMIFS(Table1[[AwayWon]:[AwayWon]], Table1[[GameIsOver]:[GameIsOver]],1,Table1[[HomeTeam]:[HomeTeam]],$A12, Table1[[AwayTeam]:[AwayTeam]], AC$1, Table1[[ActualResult]:[ActualResult]], "REG"),0), "-", TEXT(SUMIFS(Table1[[HomeWon]:[HomeWon]], Table1[[GameIsOver]:[GameIsOver]],1,Table1[[AwayTeam]:[AwayTeam]],$A12, Table1[[HomeTeam]:[HomeTeam]], AC$1, Table1[[ActualResult]:[ActualResult]], "OT") + SUMIFS(Table1[[AwayWon]:[AwayWon]], Table1[[GameIsOver]:[GameIsOver]],1,Table1[[HomeTeam]:[HomeTeam]],$A12, Table1[[AwayTeam]:[AwayTeam]], AC$1, Table1[[ActualResult]:[ActualResult]], "OT") + SUMIFS(Table1[[HomeWon]:[HomeWon]], Table1[[GameIsOver]:[GameIsOver]],1,Table1[[AwayTeam]:[AwayTeam]],$A12, Table1[[HomeTeam]:[HomeTeam]], AC$1, Table1[[ActualResult]:[ActualResult]], "SO") + SUMIFS(Table1[[AwayWon]:[AwayWon]], Table1[[GameIsOver]:[GameIsOver]],1,Table1[[HomeTeam]:[HomeTeam]],$A12, Table1[[AwayTeam]:[AwayTeam]], AC$1, Table1[[ActualResult]:[ActualResult]], "SO"),0))</f>
        <v>0-0-0</v>
      </c>
      <c r="AD12" s="57" t="str">
        <f>_xlfn.CONCAT(TEXT(SUMIFS(Table1[[AwayWon]:[AwayWon]], Table1[[GameIsOver]:[GameIsOver]],1,Table1[[AwayTeam]:[AwayTeam]],$A12, Table1[[HomeTeam]:[HomeTeam]], AD$1) + SUMIFS(Table1[[HomeWon]:[HomeWon]], Table1[[GameIsOver]:[GameIsOver]],1,Table1[[HomeTeam]:[HomeTeam]],$A12, Table1[[AwayTeam]:[AwayTeam]], AD$1),0), "-", TEXT(SUMIFS(Table1[[HomeWon]:[HomeWon]], Table1[[GameIsOver]:[GameIsOver]],1,Table1[[AwayTeam]:[AwayTeam]],$A12, Table1[[HomeTeam]:[HomeTeam]], AD$1, Table1[[ActualResult]:[ActualResult]], "REG") + SUMIFS(Table1[[AwayWon]:[AwayWon]], Table1[[GameIsOver]:[GameIsOver]],1,Table1[[HomeTeam]:[HomeTeam]],$A12, Table1[[AwayTeam]:[AwayTeam]], AD$1, Table1[[ActualResult]:[ActualResult]], "REG"),0), "-", TEXT(SUMIFS(Table1[[HomeWon]:[HomeWon]], Table1[[GameIsOver]:[GameIsOver]],1,Table1[[AwayTeam]:[AwayTeam]],$A12, Table1[[HomeTeam]:[HomeTeam]], AD$1, Table1[[ActualResult]:[ActualResult]], "OT") + SUMIFS(Table1[[AwayWon]:[AwayWon]], Table1[[GameIsOver]:[GameIsOver]],1,Table1[[HomeTeam]:[HomeTeam]],$A12, Table1[[AwayTeam]:[AwayTeam]], AD$1, Table1[[ActualResult]:[ActualResult]], "OT") + SUMIFS(Table1[[HomeWon]:[HomeWon]], Table1[[GameIsOver]:[GameIsOver]],1,Table1[[AwayTeam]:[AwayTeam]],$A12, Table1[[HomeTeam]:[HomeTeam]], AD$1, Table1[[ActualResult]:[ActualResult]], "SO") + SUMIFS(Table1[[AwayWon]:[AwayWon]], Table1[[GameIsOver]:[GameIsOver]],1,Table1[[HomeTeam]:[HomeTeam]],$A12, Table1[[AwayTeam]:[AwayTeam]], AD$1, Table1[[ActualResult]:[ActualResult]], "SO"),0))</f>
        <v>0-0-0</v>
      </c>
      <c r="AE12" s="57" t="str">
        <f>_xlfn.CONCAT(TEXT(SUMIFS(Table1[[AwayWon]:[AwayWon]], Table1[[GameIsOver]:[GameIsOver]],1,Table1[[AwayTeam]:[AwayTeam]],$A12, Table1[[HomeTeam]:[HomeTeam]], AE$1) + SUMIFS(Table1[[HomeWon]:[HomeWon]], Table1[[GameIsOver]:[GameIsOver]],1,Table1[[HomeTeam]:[HomeTeam]],$A12, Table1[[AwayTeam]:[AwayTeam]], AE$1),0), "-", TEXT(SUMIFS(Table1[[HomeWon]:[HomeWon]], Table1[[GameIsOver]:[GameIsOver]],1,Table1[[AwayTeam]:[AwayTeam]],$A12, Table1[[HomeTeam]:[HomeTeam]], AE$1, Table1[[ActualResult]:[ActualResult]], "REG") + SUMIFS(Table1[[AwayWon]:[AwayWon]], Table1[[GameIsOver]:[GameIsOver]],1,Table1[[HomeTeam]:[HomeTeam]],$A12, Table1[[AwayTeam]:[AwayTeam]], AE$1, Table1[[ActualResult]:[ActualResult]], "REG"),0), "-", TEXT(SUMIFS(Table1[[HomeWon]:[HomeWon]], Table1[[GameIsOver]:[GameIsOver]],1,Table1[[AwayTeam]:[AwayTeam]],$A12, Table1[[HomeTeam]:[HomeTeam]], AE$1, Table1[[ActualResult]:[ActualResult]], "OT") + SUMIFS(Table1[[AwayWon]:[AwayWon]], Table1[[GameIsOver]:[GameIsOver]],1,Table1[[HomeTeam]:[HomeTeam]],$A12, Table1[[AwayTeam]:[AwayTeam]], AE$1, Table1[[ActualResult]:[ActualResult]], "OT") + SUMIFS(Table1[[HomeWon]:[HomeWon]], Table1[[GameIsOver]:[GameIsOver]],1,Table1[[AwayTeam]:[AwayTeam]],$A12, Table1[[HomeTeam]:[HomeTeam]], AE$1, Table1[[ActualResult]:[ActualResult]], "SO") + SUMIFS(Table1[[AwayWon]:[AwayWon]], Table1[[GameIsOver]:[GameIsOver]],1,Table1[[HomeTeam]:[HomeTeam]],$A12, Table1[[AwayTeam]:[AwayTeam]], AE$1, Table1[[ActualResult]:[ActualResult]], "SO"),0))</f>
        <v>0-0-0</v>
      </c>
      <c r="AF12" s="57" t="str">
        <f>_xlfn.CONCAT(TEXT(SUMIFS(Table1[[AwayWon]:[AwayWon]], Table1[[GameIsOver]:[GameIsOver]],1,Table1[[AwayTeam]:[AwayTeam]],$A12, Table1[[HomeTeam]:[HomeTeam]], AF$1) + SUMIFS(Table1[[HomeWon]:[HomeWon]], Table1[[GameIsOver]:[GameIsOver]],1,Table1[[HomeTeam]:[HomeTeam]],$A12, Table1[[AwayTeam]:[AwayTeam]], AF$1),0), "-", TEXT(SUMIFS(Table1[[HomeWon]:[HomeWon]], Table1[[GameIsOver]:[GameIsOver]],1,Table1[[AwayTeam]:[AwayTeam]],$A12, Table1[[HomeTeam]:[HomeTeam]], AF$1, Table1[[ActualResult]:[ActualResult]], "REG") + SUMIFS(Table1[[AwayWon]:[AwayWon]], Table1[[GameIsOver]:[GameIsOver]],1,Table1[[HomeTeam]:[HomeTeam]],$A12, Table1[[AwayTeam]:[AwayTeam]], AF$1, Table1[[ActualResult]:[ActualResult]], "REG"),0), "-", TEXT(SUMIFS(Table1[[HomeWon]:[HomeWon]], Table1[[GameIsOver]:[GameIsOver]],1,Table1[[AwayTeam]:[AwayTeam]],$A12, Table1[[HomeTeam]:[HomeTeam]], AF$1, Table1[[ActualResult]:[ActualResult]], "OT") + SUMIFS(Table1[[AwayWon]:[AwayWon]], Table1[[GameIsOver]:[GameIsOver]],1,Table1[[HomeTeam]:[HomeTeam]],$A12, Table1[[AwayTeam]:[AwayTeam]], AF$1, Table1[[ActualResult]:[ActualResult]], "OT") + SUMIFS(Table1[[HomeWon]:[HomeWon]], Table1[[GameIsOver]:[GameIsOver]],1,Table1[[AwayTeam]:[AwayTeam]],$A12, Table1[[HomeTeam]:[HomeTeam]], AF$1, Table1[[ActualResult]:[ActualResult]], "SO") + SUMIFS(Table1[[AwayWon]:[AwayWon]], Table1[[GameIsOver]:[GameIsOver]],1,Table1[[HomeTeam]:[HomeTeam]],$A12, Table1[[AwayTeam]:[AwayTeam]], AF$1, Table1[[ActualResult]:[ActualResult]], "SO"),0))</f>
        <v>0-0-0</v>
      </c>
      <c r="AG12" s="57" t="str">
        <f>_xlfn.CONCAT(TEXT(SUMIFS(Table1[[AwayWon]:[AwayWon]], Table1[[GameIsOver]:[GameIsOver]],1,Table1[[AwayTeam]:[AwayTeam]],$A12, Table1[[HomeTeam]:[HomeTeam]], AG$1) + SUMIFS(Table1[[HomeWon]:[HomeWon]], Table1[[GameIsOver]:[GameIsOver]],1,Table1[[HomeTeam]:[HomeTeam]],$A12, Table1[[AwayTeam]:[AwayTeam]], AG$1),0), "-", TEXT(SUMIFS(Table1[[HomeWon]:[HomeWon]], Table1[[GameIsOver]:[GameIsOver]],1,Table1[[AwayTeam]:[AwayTeam]],$A12, Table1[[HomeTeam]:[HomeTeam]], AG$1, Table1[[ActualResult]:[ActualResult]], "REG") + SUMIFS(Table1[[AwayWon]:[AwayWon]], Table1[[GameIsOver]:[GameIsOver]],1,Table1[[HomeTeam]:[HomeTeam]],$A12, Table1[[AwayTeam]:[AwayTeam]], AG$1, Table1[[ActualResult]:[ActualResult]], "REG"),0), "-", TEXT(SUMIFS(Table1[[HomeWon]:[HomeWon]], Table1[[GameIsOver]:[GameIsOver]],1,Table1[[AwayTeam]:[AwayTeam]],$A12, Table1[[HomeTeam]:[HomeTeam]], AG$1, Table1[[ActualResult]:[ActualResult]], "OT") + SUMIFS(Table1[[AwayWon]:[AwayWon]], Table1[[GameIsOver]:[GameIsOver]],1,Table1[[HomeTeam]:[HomeTeam]],$A12, Table1[[AwayTeam]:[AwayTeam]], AG$1, Table1[[ActualResult]:[ActualResult]], "OT") + SUMIFS(Table1[[HomeWon]:[HomeWon]], Table1[[GameIsOver]:[GameIsOver]],1,Table1[[AwayTeam]:[AwayTeam]],$A12, Table1[[HomeTeam]:[HomeTeam]], AG$1, Table1[[ActualResult]:[ActualResult]], "SO") + SUMIFS(Table1[[AwayWon]:[AwayWon]], Table1[[GameIsOver]:[GameIsOver]],1,Table1[[HomeTeam]:[HomeTeam]],$A12, Table1[[AwayTeam]:[AwayTeam]], AG$1, Table1[[ActualResult]:[ActualResult]], "SO"),0))</f>
        <v>0-0-0</v>
      </c>
    </row>
    <row r="13" spans="1:33" x14ac:dyDescent="0.25">
      <c r="A13" s="28" t="s">
        <v>22</v>
      </c>
      <c r="B13" s="57" t="str">
        <f>_xlfn.CONCAT(TEXT(SUMIFS(Table1[[AwayWon]:[AwayWon]], Table1[[GameIsOver]:[GameIsOver]],1,Table1[[AwayTeam]:[AwayTeam]],$A13, Table1[[HomeTeam]:[HomeTeam]], B$1) + SUMIFS(Table1[[HomeWon]:[HomeWon]], Table1[[GameIsOver]:[GameIsOver]],1,Table1[[HomeTeam]:[HomeTeam]],$A13, Table1[[AwayTeam]:[AwayTeam]], B$1),0), "-", TEXT(SUMIFS(Table1[[HomeWon]:[HomeWon]], Table1[[GameIsOver]:[GameIsOver]],1,Table1[[AwayTeam]:[AwayTeam]],$A13, Table1[[HomeTeam]:[HomeTeam]], B$1, Table1[[ActualResult]:[ActualResult]], "REG") + SUMIFS(Table1[[AwayWon]:[AwayWon]], Table1[[GameIsOver]:[GameIsOver]],1,Table1[[HomeTeam]:[HomeTeam]],$A13, Table1[[AwayTeam]:[AwayTeam]], B$1, Table1[[ActualResult]:[ActualResult]], "REG"),0), "-", TEXT(SUMIFS(Table1[[HomeWon]:[HomeWon]], Table1[[GameIsOver]:[GameIsOver]],1,Table1[[AwayTeam]:[AwayTeam]],$A13, Table1[[HomeTeam]:[HomeTeam]], B$1, Table1[[ActualResult]:[ActualResult]], "OT") + SUMIFS(Table1[[AwayWon]:[AwayWon]], Table1[[GameIsOver]:[GameIsOver]],1,Table1[[HomeTeam]:[HomeTeam]],$A13, Table1[[AwayTeam]:[AwayTeam]], B$1, Table1[[ActualResult]:[ActualResult]], "OT") + SUMIFS(Table1[[HomeWon]:[HomeWon]], Table1[[GameIsOver]:[GameIsOver]],1,Table1[[AwayTeam]:[AwayTeam]],$A13, Table1[[HomeTeam]:[HomeTeam]], B$1, Table1[[ActualResult]:[ActualResult]], "SO") + SUMIFS(Table1[[AwayWon]:[AwayWon]], Table1[[GameIsOver]:[GameIsOver]],1,Table1[[HomeTeam]:[HomeTeam]],$A13, Table1[[AwayTeam]:[AwayTeam]], B$1, Table1[[ActualResult]:[ActualResult]], "SO"),0))</f>
        <v>0-0-0</v>
      </c>
      <c r="C13" s="57" t="str">
        <f>_xlfn.CONCAT(TEXT(SUMIFS(Table1[[AwayWon]:[AwayWon]], Table1[[GameIsOver]:[GameIsOver]],1,Table1[[AwayTeam]:[AwayTeam]],$A13, Table1[[HomeTeam]:[HomeTeam]], C$1) + SUMIFS(Table1[[HomeWon]:[HomeWon]], Table1[[GameIsOver]:[GameIsOver]],1,Table1[[HomeTeam]:[HomeTeam]],$A13, Table1[[AwayTeam]:[AwayTeam]], C$1),0), "-", TEXT(SUMIFS(Table1[[HomeWon]:[HomeWon]], Table1[[GameIsOver]:[GameIsOver]],1,Table1[[AwayTeam]:[AwayTeam]],$A13, Table1[[HomeTeam]:[HomeTeam]], C$1, Table1[[ActualResult]:[ActualResult]], "REG") + SUMIFS(Table1[[AwayWon]:[AwayWon]], Table1[[GameIsOver]:[GameIsOver]],1,Table1[[HomeTeam]:[HomeTeam]],$A13, Table1[[AwayTeam]:[AwayTeam]], C$1, Table1[[ActualResult]:[ActualResult]], "REG"),0), "-", TEXT(SUMIFS(Table1[[HomeWon]:[HomeWon]], Table1[[GameIsOver]:[GameIsOver]],1,Table1[[AwayTeam]:[AwayTeam]],$A13, Table1[[HomeTeam]:[HomeTeam]], C$1, Table1[[ActualResult]:[ActualResult]], "OT") + SUMIFS(Table1[[AwayWon]:[AwayWon]], Table1[[GameIsOver]:[GameIsOver]],1,Table1[[HomeTeam]:[HomeTeam]],$A13, Table1[[AwayTeam]:[AwayTeam]], C$1, Table1[[ActualResult]:[ActualResult]], "OT") + SUMIFS(Table1[[HomeWon]:[HomeWon]], Table1[[GameIsOver]:[GameIsOver]],1,Table1[[AwayTeam]:[AwayTeam]],$A13, Table1[[HomeTeam]:[HomeTeam]], C$1, Table1[[ActualResult]:[ActualResult]], "SO") + SUMIFS(Table1[[AwayWon]:[AwayWon]], Table1[[GameIsOver]:[GameIsOver]],1,Table1[[HomeTeam]:[HomeTeam]],$A13, Table1[[AwayTeam]:[AwayTeam]], C$1, Table1[[ActualResult]:[ActualResult]], "SO"),0))</f>
        <v>0-0-0</v>
      </c>
      <c r="D13" s="57" t="str">
        <f>_xlfn.CONCAT(TEXT(SUMIFS(Table1[[AwayWon]:[AwayWon]], Table1[[GameIsOver]:[GameIsOver]],1,Table1[[AwayTeam]:[AwayTeam]],$A13, Table1[[HomeTeam]:[HomeTeam]], D$1) + SUMIFS(Table1[[HomeWon]:[HomeWon]], Table1[[GameIsOver]:[GameIsOver]],1,Table1[[HomeTeam]:[HomeTeam]],$A13, Table1[[AwayTeam]:[AwayTeam]], D$1),0), "-", TEXT(SUMIFS(Table1[[HomeWon]:[HomeWon]], Table1[[GameIsOver]:[GameIsOver]],1,Table1[[AwayTeam]:[AwayTeam]],$A13, Table1[[HomeTeam]:[HomeTeam]], D$1, Table1[[ActualResult]:[ActualResult]], "REG") + SUMIFS(Table1[[AwayWon]:[AwayWon]], Table1[[GameIsOver]:[GameIsOver]],1,Table1[[HomeTeam]:[HomeTeam]],$A13, Table1[[AwayTeam]:[AwayTeam]], D$1, Table1[[ActualResult]:[ActualResult]], "REG"),0), "-", TEXT(SUMIFS(Table1[[HomeWon]:[HomeWon]], Table1[[GameIsOver]:[GameIsOver]],1,Table1[[AwayTeam]:[AwayTeam]],$A13, Table1[[HomeTeam]:[HomeTeam]], D$1, Table1[[ActualResult]:[ActualResult]], "OT") + SUMIFS(Table1[[AwayWon]:[AwayWon]], Table1[[GameIsOver]:[GameIsOver]],1,Table1[[HomeTeam]:[HomeTeam]],$A13, Table1[[AwayTeam]:[AwayTeam]], D$1, Table1[[ActualResult]:[ActualResult]], "OT") + SUMIFS(Table1[[HomeWon]:[HomeWon]], Table1[[GameIsOver]:[GameIsOver]],1,Table1[[AwayTeam]:[AwayTeam]],$A13, Table1[[HomeTeam]:[HomeTeam]], D$1, Table1[[ActualResult]:[ActualResult]], "SO") + SUMIFS(Table1[[AwayWon]:[AwayWon]], Table1[[GameIsOver]:[GameIsOver]],1,Table1[[HomeTeam]:[HomeTeam]],$A13, Table1[[AwayTeam]:[AwayTeam]], D$1, Table1[[ActualResult]:[ActualResult]], "SO"),0))</f>
        <v>0-0-0</v>
      </c>
      <c r="E13" s="57" t="str">
        <f>_xlfn.CONCAT(TEXT(SUMIFS(Table1[[AwayWon]:[AwayWon]], Table1[[GameIsOver]:[GameIsOver]],1,Table1[[AwayTeam]:[AwayTeam]],$A13, Table1[[HomeTeam]:[HomeTeam]], E$1) + SUMIFS(Table1[[HomeWon]:[HomeWon]], Table1[[GameIsOver]:[GameIsOver]],1,Table1[[HomeTeam]:[HomeTeam]],$A13, Table1[[AwayTeam]:[AwayTeam]], E$1),0), "-", TEXT(SUMIFS(Table1[[HomeWon]:[HomeWon]], Table1[[GameIsOver]:[GameIsOver]],1,Table1[[AwayTeam]:[AwayTeam]],$A13, Table1[[HomeTeam]:[HomeTeam]], E$1, Table1[[ActualResult]:[ActualResult]], "REG") + SUMIFS(Table1[[AwayWon]:[AwayWon]], Table1[[GameIsOver]:[GameIsOver]],1,Table1[[HomeTeam]:[HomeTeam]],$A13, Table1[[AwayTeam]:[AwayTeam]], E$1, Table1[[ActualResult]:[ActualResult]], "REG"),0), "-", TEXT(SUMIFS(Table1[[HomeWon]:[HomeWon]], Table1[[GameIsOver]:[GameIsOver]],1,Table1[[AwayTeam]:[AwayTeam]],$A13, Table1[[HomeTeam]:[HomeTeam]], E$1, Table1[[ActualResult]:[ActualResult]], "OT") + SUMIFS(Table1[[AwayWon]:[AwayWon]], Table1[[GameIsOver]:[GameIsOver]],1,Table1[[HomeTeam]:[HomeTeam]],$A13, Table1[[AwayTeam]:[AwayTeam]], E$1, Table1[[ActualResult]:[ActualResult]], "OT") + SUMIFS(Table1[[HomeWon]:[HomeWon]], Table1[[GameIsOver]:[GameIsOver]],1,Table1[[AwayTeam]:[AwayTeam]],$A13, Table1[[HomeTeam]:[HomeTeam]], E$1, Table1[[ActualResult]:[ActualResult]], "SO") + SUMIFS(Table1[[AwayWon]:[AwayWon]], Table1[[GameIsOver]:[GameIsOver]],1,Table1[[HomeTeam]:[HomeTeam]],$A13, Table1[[AwayTeam]:[AwayTeam]], E$1, Table1[[ActualResult]:[ActualResult]], "SO"),0))</f>
        <v>0-0-0</v>
      </c>
      <c r="F13" s="57" t="str">
        <f>_xlfn.CONCAT(TEXT(SUMIFS(Table1[[AwayWon]:[AwayWon]], Table1[[GameIsOver]:[GameIsOver]],1,Table1[[AwayTeam]:[AwayTeam]],$A13, Table1[[HomeTeam]:[HomeTeam]], F$1) + SUMIFS(Table1[[HomeWon]:[HomeWon]], Table1[[GameIsOver]:[GameIsOver]],1,Table1[[HomeTeam]:[HomeTeam]],$A13, Table1[[AwayTeam]:[AwayTeam]], F$1),0), "-", TEXT(SUMIFS(Table1[[HomeWon]:[HomeWon]], Table1[[GameIsOver]:[GameIsOver]],1,Table1[[AwayTeam]:[AwayTeam]],$A13, Table1[[HomeTeam]:[HomeTeam]], F$1, Table1[[ActualResult]:[ActualResult]], "REG") + SUMIFS(Table1[[AwayWon]:[AwayWon]], Table1[[GameIsOver]:[GameIsOver]],1,Table1[[HomeTeam]:[HomeTeam]],$A13, Table1[[AwayTeam]:[AwayTeam]], F$1, Table1[[ActualResult]:[ActualResult]], "REG"),0), "-", TEXT(SUMIFS(Table1[[HomeWon]:[HomeWon]], Table1[[GameIsOver]:[GameIsOver]],1,Table1[[AwayTeam]:[AwayTeam]],$A13, Table1[[HomeTeam]:[HomeTeam]], F$1, Table1[[ActualResult]:[ActualResult]], "OT") + SUMIFS(Table1[[AwayWon]:[AwayWon]], Table1[[GameIsOver]:[GameIsOver]],1,Table1[[HomeTeam]:[HomeTeam]],$A13, Table1[[AwayTeam]:[AwayTeam]], F$1, Table1[[ActualResult]:[ActualResult]], "OT") + SUMIFS(Table1[[HomeWon]:[HomeWon]], Table1[[GameIsOver]:[GameIsOver]],1,Table1[[AwayTeam]:[AwayTeam]],$A13, Table1[[HomeTeam]:[HomeTeam]], F$1, Table1[[ActualResult]:[ActualResult]], "SO") + SUMIFS(Table1[[AwayWon]:[AwayWon]], Table1[[GameIsOver]:[GameIsOver]],1,Table1[[HomeTeam]:[HomeTeam]],$A13, Table1[[AwayTeam]:[AwayTeam]], F$1, Table1[[ActualResult]:[ActualResult]], "SO"),0))</f>
        <v>0-0-0</v>
      </c>
      <c r="G13" s="57" t="str">
        <f>_xlfn.CONCAT(TEXT(SUMIFS(Table1[[AwayWon]:[AwayWon]], Table1[[GameIsOver]:[GameIsOver]],1,Table1[[AwayTeam]:[AwayTeam]],$A13, Table1[[HomeTeam]:[HomeTeam]], G$1) + SUMIFS(Table1[[HomeWon]:[HomeWon]], Table1[[GameIsOver]:[GameIsOver]],1,Table1[[HomeTeam]:[HomeTeam]],$A13, Table1[[AwayTeam]:[AwayTeam]], G$1),0), "-", TEXT(SUMIFS(Table1[[HomeWon]:[HomeWon]], Table1[[GameIsOver]:[GameIsOver]],1,Table1[[AwayTeam]:[AwayTeam]],$A13, Table1[[HomeTeam]:[HomeTeam]], G$1, Table1[[ActualResult]:[ActualResult]], "REG") + SUMIFS(Table1[[AwayWon]:[AwayWon]], Table1[[GameIsOver]:[GameIsOver]],1,Table1[[HomeTeam]:[HomeTeam]],$A13, Table1[[AwayTeam]:[AwayTeam]], G$1, Table1[[ActualResult]:[ActualResult]], "REG"),0), "-", TEXT(SUMIFS(Table1[[HomeWon]:[HomeWon]], Table1[[GameIsOver]:[GameIsOver]],1,Table1[[AwayTeam]:[AwayTeam]],$A13, Table1[[HomeTeam]:[HomeTeam]], G$1, Table1[[ActualResult]:[ActualResult]], "OT") + SUMIFS(Table1[[AwayWon]:[AwayWon]], Table1[[GameIsOver]:[GameIsOver]],1,Table1[[HomeTeam]:[HomeTeam]],$A13, Table1[[AwayTeam]:[AwayTeam]], G$1, Table1[[ActualResult]:[ActualResult]], "OT") + SUMIFS(Table1[[HomeWon]:[HomeWon]], Table1[[GameIsOver]:[GameIsOver]],1,Table1[[AwayTeam]:[AwayTeam]],$A13, Table1[[HomeTeam]:[HomeTeam]], G$1, Table1[[ActualResult]:[ActualResult]], "SO") + SUMIFS(Table1[[AwayWon]:[AwayWon]], Table1[[GameIsOver]:[GameIsOver]],1,Table1[[HomeTeam]:[HomeTeam]],$A13, Table1[[AwayTeam]:[AwayTeam]], G$1, Table1[[ActualResult]:[ActualResult]], "SO"),0))</f>
        <v>0-0-0</v>
      </c>
      <c r="H13" s="57" t="str">
        <f>_xlfn.CONCAT(TEXT(SUMIFS(Table1[[AwayWon]:[AwayWon]], Table1[[GameIsOver]:[GameIsOver]],1,Table1[[AwayTeam]:[AwayTeam]],$A13, Table1[[HomeTeam]:[HomeTeam]], H$1) + SUMIFS(Table1[[HomeWon]:[HomeWon]], Table1[[GameIsOver]:[GameIsOver]],1,Table1[[HomeTeam]:[HomeTeam]],$A13, Table1[[AwayTeam]:[AwayTeam]], H$1),0), "-", TEXT(SUMIFS(Table1[[HomeWon]:[HomeWon]], Table1[[GameIsOver]:[GameIsOver]],1,Table1[[AwayTeam]:[AwayTeam]],$A13, Table1[[HomeTeam]:[HomeTeam]], H$1, Table1[[ActualResult]:[ActualResult]], "REG") + SUMIFS(Table1[[AwayWon]:[AwayWon]], Table1[[GameIsOver]:[GameIsOver]],1,Table1[[HomeTeam]:[HomeTeam]],$A13, Table1[[AwayTeam]:[AwayTeam]], H$1, Table1[[ActualResult]:[ActualResult]], "REG"),0), "-", TEXT(SUMIFS(Table1[[HomeWon]:[HomeWon]], Table1[[GameIsOver]:[GameIsOver]],1,Table1[[AwayTeam]:[AwayTeam]],$A13, Table1[[HomeTeam]:[HomeTeam]], H$1, Table1[[ActualResult]:[ActualResult]], "OT") + SUMIFS(Table1[[AwayWon]:[AwayWon]], Table1[[GameIsOver]:[GameIsOver]],1,Table1[[HomeTeam]:[HomeTeam]],$A13, Table1[[AwayTeam]:[AwayTeam]], H$1, Table1[[ActualResult]:[ActualResult]], "OT") + SUMIFS(Table1[[HomeWon]:[HomeWon]], Table1[[GameIsOver]:[GameIsOver]],1,Table1[[AwayTeam]:[AwayTeam]],$A13, Table1[[HomeTeam]:[HomeTeam]], H$1, Table1[[ActualResult]:[ActualResult]], "SO") + SUMIFS(Table1[[AwayWon]:[AwayWon]], Table1[[GameIsOver]:[GameIsOver]],1,Table1[[HomeTeam]:[HomeTeam]],$A13, Table1[[AwayTeam]:[AwayTeam]], H$1, Table1[[ActualResult]:[ActualResult]], "SO"),0))</f>
        <v>0-0-0</v>
      </c>
      <c r="I13" s="59" t="str">
        <f>_xlfn.CONCAT(TEXT(SUMIFS(Table1[[AwayWon]:[AwayWon]], Table1[[GameIsOver]:[GameIsOver]],1,Table1[[AwayTeam]:[AwayTeam]],$A13, Table1[[HomeTeam]:[HomeTeam]], I$1) + SUMIFS(Table1[[HomeWon]:[HomeWon]], Table1[[GameIsOver]:[GameIsOver]],1,Table1[[HomeTeam]:[HomeTeam]],$A13, Table1[[AwayTeam]:[AwayTeam]], I$1),0), "-", TEXT(SUMIFS(Table1[[HomeWon]:[HomeWon]], Table1[[GameIsOver]:[GameIsOver]],1,Table1[[AwayTeam]:[AwayTeam]],$A13, Table1[[HomeTeam]:[HomeTeam]], I$1, Table1[[ActualResult]:[ActualResult]], "REG") + SUMIFS(Table1[[AwayWon]:[AwayWon]], Table1[[GameIsOver]:[GameIsOver]],1,Table1[[HomeTeam]:[HomeTeam]],$A13, Table1[[AwayTeam]:[AwayTeam]], I$1, Table1[[ActualResult]:[ActualResult]], "REG"),0), "-", TEXT(SUMIFS(Table1[[HomeWon]:[HomeWon]], Table1[[GameIsOver]:[GameIsOver]],1,Table1[[AwayTeam]:[AwayTeam]],$A13, Table1[[HomeTeam]:[HomeTeam]], I$1, Table1[[ActualResult]:[ActualResult]], "OT") + SUMIFS(Table1[[AwayWon]:[AwayWon]], Table1[[GameIsOver]:[GameIsOver]],1,Table1[[HomeTeam]:[HomeTeam]],$A13, Table1[[AwayTeam]:[AwayTeam]], I$1, Table1[[ActualResult]:[ActualResult]], "OT") + SUMIFS(Table1[[HomeWon]:[HomeWon]], Table1[[GameIsOver]:[GameIsOver]],1,Table1[[AwayTeam]:[AwayTeam]],$A13, Table1[[HomeTeam]:[HomeTeam]], I$1, Table1[[ActualResult]:[ActualResult]], "SO") + SUMIFS(Table1[[AwayWon]:[AwayWon]], Table1[[GameIsOver]:[GameIsOver]],1,Table1[[HomeTeam]:[HomeTeam]],$A13, Table1[[AwayTeam]:[AwayTeam]], I$1, Table1[[ActualResult]:[ActualResult]], "SO"),0))</f>
        <v>0-0-0</v>
      </c>
      <c r="J13" s="57" t="str">
        <f>_xlfn.CONCAT(TEXT(SUMIFS(Table1[[AwayWon]:[AwayWon]], Table1[[GameIsOver]:[GameIsOver]],1,Table1[[AwayTeam]:[AwayTeam]],$A13, Table1[[HomeTeam]:[HomeTeam]], J$1) + SUMIFS(Table1[[HomeWon]:[HomeWon]], Table1[[GameIsOver]:[GameIsOver]],1,Table1[[HomeTeam]:[HomeTeam]],$A13, Table1[[AwayTeam]:[AwayTeam]], J$1),0), "-", TEXT(SUMIFS(Table1[[HomeWon]:[HomeWon]], Table1[[GameIsOver]:[GameIsOver]],1,Table1[[AwayTeam]:[AwayTeam]],$A13, Table1[[HomeTeam]:[HomeTeam]], J$1, Table1[[ActualResult]:[ActualResult]], "REG") + SUMIFS(Table1[[AwayWon]:[AwayWon]], Table1[[GameIsOver]:[GameIsOver]],1,Table1[[HomeTeam]:[HomeTeam]],$A13, Table1[[AwayTeam]:[AwayTeam]], J$1, Table1[[ActualResult]:[ActualResult]], "REG"),0), "-", TEXT(SUMIFS(Table1[[HomeWon]:[HomeWon]], Table1[[GameIsOver]:[GameIsOver]],1,Table1[[AwayTeam]:[AwayTeam]],$A13, Table1[[HomeTeam]:[HomeTeam]], J$1, Table1[[ActualResult]:[ActualResult]], "OT") + SUMIFS(Table1[[AwayWon]:[AwayWon]], Table1[[GameIsOver]:[GameIsOver]],1,Table1[[HomeTeam]:[HomeTeam]],$A13, Table1[[AwayTeam]:[AwayTeam]], J$1, Table1[[ActualResult]:[ActualResult]], "OT") + SUMIFS(Table1[[HomeWon]:[HomeWon]], Table1[[GameIsOver]:[GameIsOver]],1,Table1[[AwayTeam]:[AwayTeam]],$A13, Table1[[HomeTeam]:[HomeTeam]], J$1, Table1[[ActualResult]:[ActualResult]], "SO") + SUMIFS(Table1[[AwayWon]:[AwayWon]], Table1[[GameIsOver]:[GameIsOver]],1,Table1[[HomeTeam]:[HomeTeam]],$A13, Table1[[AwayTeam]:[AwayTeam]], J$1, Table1[[ActualResult]:[ActualResult]], "SO"),0))</f>
        <v>0-0-0</v>
      </c>
      <c r="K13" s="57" t="str">
        <f>_xlfn.CONCAT(TEXT(SUMIFS(Table1[[AwayWon]:[AwayWon]], Table1[[GameIsOver]:[GameIsOver]],1,Table1[[AwayTeam]:[AwayTeam]],$A13, Table1[[HomeTeam]:[HomeTeam]], K$1) + SUMIFS(Table1[[HomeWon]:[HomeWon]], Table1[[GameIsOver]:[GameIsOver]],1,Table1[[HomeTeam]:[HomeTeam]],$A13, Table1[[AwayTeam]:[AwayTeam]], K$1),0), "-", TEXT(SUMIFS(Table1[[HomeWon]:[HomeWon]], Table1[[GameIsOver]:[GameIsOver]],1,Table1[[AwayTeam]:[AwayTeam]],$A13, Table1[[HomeTeam]:[HomeTeam]], K$1, Table1[[ActualResult]:[ActualResult]], "REG") + SUMIFS(Table1[[AwayWon]:[AwayWon]], Table1[[GameIsOver]:[GameIsOver]],1,Table1[[HomeTeam]:[HomeTeam]],$A13, Table1[[AwayTeam]:[AwayTeam]], K$1, Table1[[ActualResult]:[ActualResult]], "REG"),0), "-", TEXT(SUMIFS(Table1[[HomeWon]:[HomeWon]], Table1[[GameIsOver]:[GameIsOver]],1,Table1[[AwayTeam]:[AwayTeam]],$A13, Table1[[HomeTeam]:[HomeTeam]], K$1, Table1[[ActualResult]:[ActualResult]], "OT") + SUMIFS(Table1[[AwayWon]:[AwayWon]], Table1[[GameIsOver]:[GameIsOver]],1,Table1[[HomeTeam]:[HomeTeam]],$A13, Table1[[AwayTeam]:[AwayTeam]], K$1, Table1[[ActualResult]:[ActualResult]], "OT") + SUMIFS(Table1[[HomeWon]:[HomeWon]], Table1[[GameIsOver]:[GameIsOver]],1,Table1[[AwayTeam]:[AwayTeam]],$A13, Table1[[HomeTeam]:[HomeTeam]], K$1, Table1[[ActualResult]:[ActualResult]], "SO") + SUMIFS(Table1[[AwayWon]:[AwayWon]], Table1[[GameIsOver]:[GameIsOver]],1,Table1[[HomeTeam]:[HomeTeam]],$A13, Table1[[AwayTeam]:[AwayTeam]], K$1, Table1[[ActualResult]:[ActualResult]], "SO"),0))</f>
        <v>0-0-0</v>
      </c>
      <c r="L13" s="57" t="str">
        <f>_xlfn.CONCAT(TEXT(SUMIFS(Table1[[AwayWon]:[AwayWon]], Table1[[GameIsOver]:[GameIsOver]],1,Table1[[AwayTeam]:[AwayTeam]],$A13, Table1[[HomeTeam]:[HomeTeam]], L$1) + SUMIFS(Table1[[HomeWon]:[HomeWon]], Table1[[GameIsOver]:[GameIsOver]],1,Table1[[HomeTeam]:[HomeTeam]],$A13, Table1[[AwayTeam]:[AwayTeam]], L$1),0), "-", TEXT(SUMIFS(Table1[[HomeWon]:[HomeWon]], Table1[[GameIsOver]:[GameIsOver]],1,Table1[[AwayTeam]:[AwayTeam]],$A13, Table1[[HomeTeam]:[HomeTeam]], L$1, Table1[[ActualResult]:[ActualResult]], "REG") + SUMIFS(Table1[[AwayWon]:[AwayWon]], Table1[[GameIsOver]:[GameIsOver]],1,Table1[[HomeTeam]:[HomeTeam]],$A13, Table1[[AwayTeam]:[AwayTeam]], L$1, Table1[[ActualResult]:[ActualResult]], "REG"),0), "-", TEXT(SUMIFS(Table1[[HomeWon]:[HomeWon]], Table1[[GameIsOver]:[GameIsOver]],1,Table1[[AwayTeam]:[AwayTeam]],$A13, Table1[[HomeTeam]:[HomeTeam]], L$1, Table1[[ActualResult]:[ActualResult]], "OT") + SUMIFS(Table1[[AwayWon]:[AwayWon]], Table1[[GameIsOver]:[GameIsOver]],1,Table1[[HomeTeam]:[HomeTeam]],$A13, Table1[[AwayTeam]:[AwayTeam]], L$1, Table1[[ActualResult]:[ActualResult]], "OT") + SUMIFS(Table1[[HomeWon]:[HomeWon]], Table1[[GameIsOver]:[GameIsOver]],1,Table1[[AwayTeam]:[AwayTeam]],$A13, Table1[[HomeTeam]:[HomeTeam]], L$1, Table1[[ActualResult]:[ActualResult]], "SO") + SUMIFS(Table1[[AwayWon]:[AwayWon]], Table1[[GameIsOver]:[GameIsOver]],1,Table1[[HomeTeam]:[HomeTeam]],$A13, Table1[[AwayTeam]:[AwayTeam]], L$1, Table1[[ActualResult]:[ActualResult]], "SO"),0))</f>
        <v>0-0-0</v>
      </c>
      <c r="M13" s="57" t="str">
        <f>_xlfn.CONCAT(TEXT(SUMIFS(Table1[[AwayWon]:[AwayWon]], Table1[[GameIsOver]:[GameIsOver]],1,Table1[[AwayTeam]:[AwayTeam]],$A13, Table1[[HomeTeam]:[HomeTeam]], M$1) + SUMIFS(Table1[[HomeWon]:[HomeWon]], Table1[[GameIsOver]:[GameIsOver]],1,Table1[[HomeTeam]:[HomeTeam]],$A13, Table1[[AwayTeam]:[AwayTeam]], M$1),0), "-", TEXT(SUMIFS(Table1[[HomeWon]:[HomeWon]], Table1[[GameIsOver]:[GameIsOver]],1,Table1[[AwayTeam]:[AwayTeam]],$A13, Table1[[HomeTeam]:[HomeTeam]], M$1, Table1[[ActualResult]:[ActualResult]], "REG") + SUMIFS(Table1[[AwayWon]:[AwayWon]], Table1[[GameIsOver]:[GameIsOver]],1,Table1[[HomeTeam]:[HomeTeam]],$A13, Table1[[AwayTeam]:[AwayTeam]], M$1, Table1[[ActualResult]:[ActualResult]], "REG"),0), "-", TEXT(SUMIFS(Table1[[HomeWon]:[HomeWon]], Table1[[GameIsOver]:[GameIsOver]],1,Table1[[AwayTeam]:[AwayTeam]],$A13, Table1[[HomeTeam]:[HomeTeam]], M$1, Table1[[ActualResult]:[ActualResult]], "OT") + SUMIFS(Table1[[AwayWon]:[AwayWon]], Table1[[GameIsOver]:[GameIsOver]],1,Table1[[HomeTeam]:[HomeTeam]],$A13, Table1[[AwayTeam]:[AwayTeam]], M$1, Table1[[ActualResult]:[ActualResult]], "OT") + SUMIFS(Table1[[HomeWon]:[HomeWon]], Table1[[GameIsOver]:[GameIsOver]],1,Table1[[AwayTeam]:[AwayTeam]],$A13, Table1[[HomeTeam]:[HomeTeam]], M$1, Table1[[ActualResult]:[ActualResult]], "SO") + SUMIFS(Table1[[AwayWon]:[AwayWon]], Table1[[GameIsOver]:[GameIsOver]],1,Table1[[HomeTeam]:[HomeTeam]],$A13, Table1[[AwayTeam]:[AwayTeam]], M$1, Table1[[ActualResult]:[ActualResult]], "SO"),0))</f>
        <v>0-0-0</v>
      </c>
      <c r="N13" s="57" t="str">
        <f>_xlfn.CONCAT(TEXT(SUMIFS(Table1[[AwayWon]:[AwayWon]], Table1[[GameIsOver]:[GameIsOver]],1,Table1[[AwayTeam]:[AwayTeam]],$A13, Table1[[HomeTeam]:[HomeTeam]], N$1) + SUMIFS(Table1[[HomeWon]:[HomeWon]], Table1[[GameIsOver]:[GameIsOver]],1,Table1[[HomeTeam]:[HomeTeam]],$A13, Table1[[AwayTeam]:[AwayTeam]], N$1),0), "-", TEXT(SUMIFS(Table1[[HomeWon]:[HomeWon]], Table1[[GameIsOver]:[GameIsOver]],1,Table1[[AwayTeam]:[AwayTeam]],$A13, Table1[[HomeTeam]:[HomeTeam]], N$1, Table1[[ActualResult]:[ActualResult]], "REG") + SUMIFS(Table1[[AwayWon]:[AwayWon]], Table1[[GameIsOver]:[GameIsOver]],1,Table1[[HomeTeam]:[HomeTeam]],$A13, Table1[[AwayTeam]:[AwayTeam]], N$1, Table1[[ActualResult]:[ActualResult]], "REG"),0), "-", TEXT(SUMIFS(Table1[[HomeWon]:[HomeWon]], Table1[[GameIsOver]:[GameIsOver]],1,Table1[[AwayTeam]:[AwayTeam]],$A13, Table1[[HomeTeam]:[HomeTeam]], N$1, Table1[[ActualResult]:[ActualResult]], "OT") + SUMIFS(Table1[[AwayWon]:[AwayWon]], Table1[[GameIsOver]:[GameIsOver]],1,Table1[[HomeTeam]:[HomeTeam]],$A13, Table1[[AwayTeam]:[AwayTeam]], N$1, Table1[[ActualResult]:[ActualResult]], "OT") + SUMIFS(Table1[[HomeWon]:[HomeWon]], Table1[[GameIsOver]:[GameIsOver]],1,Table1[[AwayTeam]:[AwayTeam]],$A13, Table1[[HomeTeam]:[HomeTeam]], N$1, Table1[[ActualResult]:[ActualResult]], "SO") + SUMIFS(Table1[[AwayWon]:[AwayWon]], Table1[[GameIsOver]:[GameIsOver]],1,Table1[[HomeTeam]:[HomeTeam]],$A13, Table1[[AwayTeam]:[AwayTeam]], N$1, Table1[[ActualResult]:[ActualResult]], "SO"),0))</f>
        <v>0-0-0</v>
      </c>
      <c r="O13" s="57" t="str">
        <f>_xlfn.CONCAT(TEXT(SUMIFS(Table1[[AwayWon]:[AwayWon]], Table1[[GameIsOver]:[GameIsOver]],1,Table1[[AwayTeam]:[AwayTeam]],$A13, Table1[[HomeTeam]:[HomeTeam]], O$1) + SUMIFS(Table1[[HomeWon]:[HomeWon]], Table1[[GameIsOver]:[GameIsOver]],1,Table1[[HomeTeam]:[HomeTeam]],$A13, Table1[[AwayTeam]:[AwayTeam]], O$1),0), "-", TEXT(SUMIFS(Table1[[HomeWon]:[HomeWon]], Table1[[GameIsOver]:[GameIsOver]],1,Table1[[AwayTeam]:[AwayTeam]],$A13, Table1[[HomeTeam]:[HomeTeam]], O$1, Table1[[ActualResult]:[ActualResult]], "REG") + SUMIFS(Table1[[AwayWon]:[AwayWon]], Table1[[GameIsOver]:[GameIsOver]],1,Table1[[HomeTeam]:[HomeTeam]],$A13, Table1[[AwayTeam]:[AwayTeam]], O$1, Table1[[ActualResult]:[ActualResult]], "REG"),0), "-", TEXT(SUMIFS(Table1[[HomeWon]:[HomeWon]], Table1[[GameIsOver]:[GameIsOver]],1,Table1[[AwayTeam]:[AwayTeam]],$A13, Table1[[HomeTeam]:[HomeTeam]], O$1, Table1[[ActualResult]:[ActualResult]], "OT") + SUMIFS(Table1[[AwayWon]:[AwayWon]], Table1[[GameIsOver]:[GameIsOver]],1,Table1[[HomeTeam]:[HomeTeam]],$A13, Table1[[AwayTeam]:[AwayTeam]], O$1, Table1[[ActualResult]:[ActualResult]], "OT") + SUMIFS(Table1[[HomeWon]:[HomeWon]], Table1[[GameIsOver]:[GameIsOver]],1,Table1[[AwayTeam]:[AwayTeam]],$A13, Table1[[HomeTeam]:[HomeTeam]], O$1, Table1[[ActualResult]:[ActualResult]], "SO") + SUMIFS(Table1[[AwayWon]:[AwayWon]], Table1[[GameIsOver]:[GameIsOver]],1,Table1[[HomeTeam]:[HomeTeam]],$A13, Table1[[AwayTeam]:[AwayTeam]], O$1, Table1[[ActualResult]:[ActualResult]], "SO"),0))</f>
        <v>0-0-0</v>
      </c>
      <c r="P13" s="57" t="str">
        <f>_xlfn.CONCAT(TEXT(SUMIFS(Table1[[AwayWon]:[AwayWon]], Table1[[GameIsOver]:[GameIsOver]],1,Table1[[AwayTeam]:[AwayTeam]],$A13, Table1[[HomeTeam]:[HomeTeam]], P$1) + SUMIFS(Table1[[HomeWon]:[HomeWon]], Table1[[GameIsOver]:[GameIsOver]],1,Table1[[HomeTeam]:[HomeTeam]],$A13, Table1[[AwayTeam]:[AwayTeam]], P$1),0), "-", TEXT(SUMIFS(Table1[[HomeWon]:[HomeWon]], Table1[[GameIsOver]:[GameIsOver]],1,Table1[[AwayTeam]:[AwayTeam]],$A13, Table1[[HomeTeam]:[HomeTeam]], P$1, Table1[[ActualResult]:[ActualResult]], "REG") + SUMIFS(Table1[[AwayWon]:[AwayWon]], Table1[[GameIsOver]:[GameIsOver]],1,Table1[[HomeTeam]:[HomeTeam]],$A13, Table1[[AwayTeam]:[AwayTeam]], P$1, Table1[[ActualResult]:[ActualResult]], "REG"),0), "-", TEXT(SUMIFS(Table1[[HomeWon]:[HomeWon]], Table1[[GameIsOver]:[GameIsOver]],1,Table1[[AwayTeam]:[AwayTeam]],$A13, Table1[[HomeTeam]:[HomeTeam]], P$1, Table1[[ActualResult]:[ActualResult]], "OT") + SUMIFS(Table1[[AwayWon]:[AwayWon]], Table1[[GameIsOver]:[GameIsOver]],1,Table1[[HomeTeam]:[HomeTeam]],$A13, Table1[[AwayTeam]:[AwayTeam]], P$1, Table1[[ActualResult]:[ActualResult]], "OT") + SUMIFS(Table1[[HomeWon]:[HomeWon]], Table1[[GameIsOver]:[GameIsOver]],1,Table1[[AwayTeam]:[AwayTeam]],$A13, Table1[[HomeTeam]:[HomeTeam]], P$1, Table1[[ActualResult]:[ActualResult]], "SO") + SUMIFS(Table1[[AwayWon]:[AwayWon]], Table1[[GameIsOver]:[GameIsOver]],1,Table1[[HomeTeam]:[HomeTeam]],$A13, Table1[[AwayTeam]:[AwayTeam]], P$1, Table1[[ActualResult]:[ActualResult]], "SO"),0))</f>
        <v>0-0-0</v>
      </c>
      <c r="Q13" s="59" t="str">
        <f>_xlfn.CONCAT(TEXT(SUMIFS(Table1[[AwayWon]:[AwayWon]], Table1[[GameIsOver]:[GameIsOver]],1,Table1[[AwayTeam]:[AwayTeam]],$A13, Table1[[HomeTeam]:[HomeTeam]], Q$1) + SUMIFS(Table1[[HomeWon]:[HomeWon]], Table1[[GameIsOver]:[GameIsOver]],1,Table1[[HomeTeam]:[HomeTeam]],$A13, Table1[[AwayTeam]:[AwayTeam]], Q$1),0), "-", TEXT(SUMIFS(Table1[[HomeWon]:[HomeWon]], Table1[[GameIsOver]:[GameIsOver]],1,Table1[[AwayTeam]:[AwayTeam]],$A13, Table1[[HomeTeam]:[HomeTeam]], Q$1, Table1[[ActualResult]:[ActualResult]], "REG") + SUMIFS(Table1[[AwayWon]:[AwayWon]], Table1[[GameIsOver]:[GameIsOver]],1,Table1[[HomeTeam]:[HomeTeam]],$A13, Table1[[AwayTeam]:[AwayTeam]], Q$1, Table1[[ActualResult]:[ActualResult]], "REG"),0), "-", TEXT(SUMIFS(Table1[[HomeWon]:[HomeWon]], Table1[[GameIsOver]:[GameIsOver]],1,Table1[[AwayTeam]:[AwayTeam]],$A13, Table1[[HomeTeam]:[HomeTeam]], Q$1, Table1[[ActualResult]:[ActualResult]], "OT") + SUMIFS(Table1[[AwayWon]:[AwayWon]], Table1[[GameIsOver]:[GameIsOver]],1,Table1[[HomeTeam]:[HomeTeam]],$A13, Table1[[AwayTeam]:[AwayTeam]], Q$1, Table1[[ActualResult]:[ActualResult]], "OT") + SUMIFS(Table1[[HomeWon]:[HomeWon]], Table1[[GameIsOver]:[GameIsOver]],1,Table1[[AwayTeam]:[AwayTeam]],$A13, Table1[[HomeTeam]:[HomeTeam]], Q$1, Table1[[ActualResult]:[ActualResult]], "SO") + SUMIFS(Table1[[AwayWon]:[AwayWon]], Table1[[GameIsOver]:[GameIsOver]],1,Table1[[HomeTeam]:[HomeTeam]],$A13, Table1[[AwayTeam]:[AwayTeam]], Q$1, Table1[[ActualResult]:[ActualResult]], "SO"),0))</f>
        <v>0-0-0</v>
      </c>
      <c r="R13" s="57" t="str">
        <f>_xlfn.CONCAT(TEXT(SUMIFS(Table1[[AwayWon]:[AwayWon]], Table1[[GameIsOver]:[GameIsOver]],1,Table1[[AwayTeam]:[AwayTeam]],$A13, Table1[[HomeTeam]:[HomeTeam]], R$1) + SUMIFS(Table1[[HomeWon]:[HomeWon]], Table1[[GameIsOver]:[GameIsOver]],1,Table1[[HomeTeam]:[HomeTeam]],$A13, Table1[[AwayTeam]:[AwayTeam]], R$1),0), "-", TEXT(SUMIFS(Table1[[HomeWon]:[HomeWon]], Table1[[GameIsOver]:[GameIsOver]],1,Table1[[AwayTeam]:[AwayTeam]],$A13, Table1[[HomeTeam]:[HomeTeam]], R$1, Table1[[ActualResult]:[ActualResult]], "REG") + SUMIFS(Table1[[AwayWon]:[AwayWon]], Table1[[GameIsOver]:[GameIsOver]],1,Table1[[HomeTeam]:[HomeTeam]],$A13, Table1[[AwayTeam]:[AwayTeam]], R$1, Table1[[ActualResult]:[ActualResult]], "REG"),0), "-", TEXT(SUMIFS(Table1[[HomeWon]:[HomeWon]], Table1[[GameIsOver]:[GameIsOver]],1,Table1[[AwayTeam]:[AwayTeam]],$A13, Table1[[HomeTeam]:[HomeTeam]], R$1, Table1[[ActualResult]:[ActualResult]], "OT") + SUMIFS(Table1[[AwayWon]:[AwayWon]], Table1[[GameIsOver]:[GameIsOver]],1,Table1[[HomeTeam]:[HomeTeam]],$A13, Table1[[AwayTeam]:[AwayTeam]], R$1, Table1[[ActualResult]:[ActualResult]], "OT") + SUMIFS(Table1[[HomeWon]:[HomeWon]], Table1[[GameIsOver]:[GameIsOver]],1,Table1[[AwayTeam]:[AwayTeam]],$A13, Table1[[HomeTeam]:[HomeTeam]], R$1, Table1[[ActualResult]:[ActualResult]], "SO") + SUMIFS(Table1[[AwayWon]:[AwayWon]], Table1[[GameIsOver]:[GameIsOver]],1,Table1[[HomeTeam]:[HomeTeam]],$A13, Table1[[AwayTeam]:[AwayTeam]], R$1, Table1[[ActualResult]:[ActualResult]], "SO"),0))</f>
        <v>0-0-0</v>
      </c>
      <c r="S13" s="57" t="str">
        <f>_xlfn.CONCAT(TEXT(SUMIFS(Table1[[AwayWon]:[AwayWon]], Table1[[GameIsOver]:[GameIsOver]],1,Table1[[AwayTeam]:[AwayTeam]],$A13, Table1[[HomeTeam]:[HomeTeam]], S$1) + SUMIFS(Table1[[HomeWon]:[HomeWon]], Table1[[GameIsOver]:[GameIsOver]],1,Table1[[HomeTeam]:[HomeTeam]],$A13, Table1[[AwayTeam]:[AwayTeam]], S$1),0), "-", TEXT(SUMIFS(Table1[[HomeWon]:[HomeWon]], Table1[[GameIsOver]:[GameIsOver]],1,Table1[[AwayTeam]:[AwayTeam]],$A13, Table1[[HomeTeam]:[HomeTeam]], S$1, Table1[[ActualResult]:[ActualResult]], "REG") + SUMIFS(Table1[[AwayWon]:[AwayWon]], Table1[[GameIsOver]:[GameIsOver]],1,Table1[[HomeTeam]:[HomeTeam]],$A13, Table1[[AwayTeam]:[AwayTeam]], S$1, Table1[[ActualResult]:[ActualResult]], "REG"),0), "-", TEXT(SUMIFS(Table1[[HomeWon]:[HomeWon]], Table1[[GameIsOver]:[GameIsOver]],1,Table1[[AwayTeam]:[AwayTeam]],$A13, Table1[[HomeTeam]:[HomeTeam]], S$1, Table1[[ActualResult]:[ActualResult]], "OT") + SUMIFS(Table1[[AwayWon]:[AwayWon]], Table1[[GameIsOver]:[GameIsOver]],1,Table1[[HomeTeam]:[HomeTeam]],$A13, Table1[[AwayTeam]:[AwayTeam]], S$1, Table1[[ActualResult]:[ActualResult]], "OT") + SUMIFS(Table1[[HomeWon]:[HomeWon]], Table1[[GameIsOver]:[GameIsOver]],1,Table1[[AwayTeam]:[AwayTeam]],$A13, Table1[[HomeTeam]:[HomeTeam]], S$1, Table1[[ActualResult]:[ActualResult]], "SO") + SUMIFS(Table1[[AwayWon]:[AwayWon]], Table1[[GameIsOver]:[GameIsOver]],1,Table1[[HomeTeam]:[HomeTeam]],$A13, Table1[[AwayTeam]:[AwayTeam]], S$1, Table1[[ActualResult]:[ActualResult]], "SO"),0))</f>
        <v>0-0-0</v>
      </c>
      <c r="T13" s="57" t="str">
        <f>_xlfn.CONCAT(TEXT(SUMIFS(Table1[[AwayWon]:[AwayWon]], Table1[[GameIsOver]:[GameIsOver]],1,Table1[[AwayTeam]:[AwayTeam]],$A13, Table1[[HomeTeam]:[HomeTeam]], T$1) + SUMIFS(Table1[[HomeWon]:[HomeWon]], Table1[[GameIsOver]:[GameIsOver]],1,Table1[[HomeTeam]:[HomeTeam]],$A13, Table1[[AwayTeam]:[AwayTeam]], T$1),0), "-", TEXT(SUMIFS(Table1[[HomeWon]:[HomeWon]], Table1[[GameIsOver]:[GameIsOver]],1,Table1[[AwayTeam]:[AwayTeam]],$A13, Table1[[HomeTeam]:[HomeTeam]], T$1, Table1[[ActualResult]:[ActualResult]], "REG") + SUMIFS(Table1[[AwayWon]:[AwayWon]], Table1[[GameIsOver]:[GameIsOver]],1,Table1[[HomeTeam]:[HomeTeam]],$A13, Table1[[AwayTeam]:[AwayTeam]], T$1, Table1[[ActualResult]:[ActualResult]], "REG"),0), "-", TEXT(SUMIFS(Table1[[HomeWon]:[HomeWon]], Table1[[GameIsOver]:[GameIsOver]],1,Table1[[AwayTeam]:[AwayTeam]],$A13, Table1[[HomeTeam]:[HomeTeam]], T$1, Table1[[ActualResult]:[ActualResult]], "OT") + SUMIFS(Table1[[AwayWon]:[AwayWon]], Table1[[GameIsOver]:[GameIsOver]],1,Table1[[HomeTeam]:[HomeTeam]],$A13, Table1[[AwayTeam]:[AwayTeam]], T$1, Table1[[ActualResult]:[ActualResult]], "OT") + SUMIFS(Table1[[HomeWon]:[HomeWon]], Table1[[GameIsOver]:[GameIsOver]],1,Table1[[AwayTeam]:[AwayTeam]],$A13, Table1[[HomeTeam]:[HomeTeam]], T$1, Table1[[ActualResult]:[ActualResult]], "SO") + SUMIFS(Table1[[AwayWon]:[AwayWon]], Table1[[GameIsOver]:[GameIsOver]],1,Table1[[HomeTeam]:[HomeTeam]],$A13, Table1[[AwayTeam]:[AwayTeam]], T$1, Table1[[ActualResult]:[ActualResult]], "SO"),0))</f>
        <v>0-0-0</v>
      </c>
      <c r="U13" s="57" t="str">
        <f>_xlfn.CONCAT(TEXT(SUMIFS(Table1[[AwayWon]:[AwayWon]], Table1[[GameIsOver]:[GameIsOver]],1,Table1[[AwayTeam]:[AwayTeam]],$A13, Table1[[HomeTeam]:[HomeTeam]], U$1) + SUMIFS(Table1[[HomeWon]:[HomeWon]], Table1[[GameIsOver]:[GameIsOver]],1,Table1[[HomeTeam]:[HomeTeam]],$A13, Table1[[AwayTeam]:[AwayTeam]], U$1),0), "-", TEXT(SUMIFS(Table1[[HomeWon]:[HomeWon]], Table1[[GameIsOver]:[GameIsOver]],1,Table1[[AwayTeam]:[AwayTeam]],$A13, Table1[[HomeTeam]:[HomeTeam]], U$1, Table1[[ActualResult]:[ActualResult]], "REG") + SUMIFS(Table1[[AwayWon]:[AwayWon]], Table1[[GameIsOver]:[GameIsOver]],1,Table1[[HomeTeam]:[HomeTeam]],$A13, Table1[[AwayTeam]:[AwayTeam]], U$1, Table1[[ActualResult]:[ActualResult]], "REG"),0), "-", TEXT(SUMIFS(Table1[[HomeWon]:[HomeWon]], Table1[[GameIsOver]:[GameIsOver]],1,Table1[[AwayTeam]:[AwayTeam]],$A13, Table1[[HomeTeam]:[HomeTeam]], U$1, Table1[[ActualResult]:[ActualResult]], "OT") + SUMIFS(Table1[[AwayWon]:[AwayWon]], Table1[[GameIsOver]:[GameIsOver]],1,Table1[[HomeTeam]:[HomeTeam]],$A13, Table1[[AwayTeam]:[AwayTeam]], U$1, Table1[[ActualResult]:[ActualResult]], "OT") + SUMIFS(Table1[[HomeWon]:[HomeWon]], Table1[[GameIsOver]:[GameIsOver]],1,Table1[[AwayTeam]:[AwayTeam]],$A13, Table1[[HomeTeam]:[HomeTeam]], U$1, Table1[[ActualResult]:[ActualResult]], "SO") + SUMIFS(Table1[[AwayWon]:[AwayWon]], Table1[[GameIsOver]:[GameIsOver]],1,Table1[[HomeTeam]:[HomeTeam]],$A13, Table1[[AwayTeam]:[AwayTeam]], U$1, Table1[[ActualResult]:[ActualResult]], "SO"),0))</f>
        <v>0-0-0</v>
      </c>
      <c r="V13" s="57" t="str">
        <f>_xlfn.CONCAT(TEXT(SUMIFS(Table1[[AwayWon]:[AwayWon]], Table1[[GameIsOver]:[GameIsOver]],1,Table1[[AwayTeam]:[AwayTeam]],$A13, Table1[[HomeTeam]:[HomeTeam]], V$1) + SUMIFS(Table1[[HomeWon]:[HomeWon]], Table1[[GameIsOver]:[GameIsOver]],1,Table1[[HomeTeam]:[HomeTeam]],$A13, Table1[[AwayTeam]:[AwayTeam]], V$1),0), "-", TEXT(SUMIFS(Table1[[HomeWon]:[HomeWon]], Table1[[GameIsOver]:[GameIsOver]],1,Table1[[AwayTeam]:[AwayTeam]],$A13, Table1[[HomeTeam]:[HomeTeam]], V$1, Table1[[ActualResult]:[ActualResult]], "REG") + SUMIFS(Table1[[AwayWon]:[AwayWon]], Table1[[GameIsOver]:[GameIsOver]],1,Table1[[HomeTeam]:[HomeTeam]],$A13, Table1[[AwayTeam]:[AwayTeam]], V$1, Table1[[ActualResult]:[ActualResult]], "REG"),0), "-", TEXT(SUMIFS(Table1[[HomeWon]:[HomeWon]], Table1[[GameIsOver]:[GameIsOver]],1,Table1[[AwayTeam]:[AwayTeam]],$A13, Table1[[HomeTeam]:[HomeTeam]], V$1, Table1[[ActualResult]:[ActualResult]], "OT") + SUMIFS(Table1[[AwayWon]:[AwayWon]], Table1[[GameIsOver]:[GameIsOver]],1,Table1[[HomeTeam]:[HomeTeam]],$A13, Table1[[AwayTeam]:[AwayTeam]], V$1, Table1[[ActualResult]:[ActualResult]], "OT") + SUMIFS(Table1[[HomeWon]:[HomeWon]], Table1[[GameIsOver]:[GameIsOver]],1,Table1[[AwayTeam]:[AwayTeam]],$A13, Table1[[HomeTeam]:[HomeTeam]], V$1, Table1[[ActualResult]:[ActualResult]], "SO") + SUMIFS(Table1[[AwayWon]:[AwayWon]], Table1[[GameIsOver]:[GameIsOver]],1,Table1[[HomeTeam]:[HomeTeam]],$A13, Table1[[AwayTeam]:[AwayTeam]], V$1, Table1[[ActualResult]:[ActualResult]], "SO"),0))</f>
        <v>0-0-0</v>
      </c>
      <c r="W13" s="57" t="str">
        <f>_xlfn.CONCAT(TEXT(SUMIFS(Table1[[AwayWon]:[AwayWon]], Table1[[GameIsOver]:[GameIsOver]],1,Table1[[AwayTeam]:[AwayTeam]],$A13, Table1[[HomeTeam]:[HomeTeam]], W$1) + SUMIFS(Table1[[HomeWon]:[HomeWon]], Table1[[GameIsOver]:[GameIsOver]],1,Table1[[HomeTeam]:[HomeTeam]],$A13, Table1[[AwayTeam]:[AwayTeam]], W$1),0), "-", TEXT(SUMIFS(Table1[[HomeWon]:[HomeWon]], Table1[[GameIsOver]:[GameIsOver]],1,Table1[[AwayTeam]:[AwayTeam]],$A13, Table1[[HomeTeam]:[HomeTeam]], W$1, Table1[[ActualResult]:[ActualResult]], "REG") + SUMIFS(Table1[[AwayWon]:[AwayWon]], Table1[[GameIsOver]:[GameIsOver]],1,Table1[[HomeTeam]:[HomeTeam]],$A13, Table1[[AwayTeam]:[AwayTeam]], W$1, Table1[[ActualResult]:[ActualResult]], "REG"),0), "-", TEXT(SUMIFS(Table1[[HomeWon]:[HomeWon]], Table1[[GameIsOver]:[GameIsOver]],1,Table1[[AwayTeam]:[AwayTeam]],$A13, Table1[[HomeTeam]:[HomeTeam]], W$1, Table1[[ActualResult]:[ActualResult]], "OT") + SUMIFS(Table1[[AwayWon]:[AwayWon]], Table1[[GameIsOver]:[GameIsOver]],1,Table1[[HomeTeam]:[HomeTeam]],$A13, Table1[[AwayTeam]:[AwayTeam]], W$1, Table1[[ActualResult]:[ActualResult]], "OT") + SUMIFS(Table1[[HomeWon]:[HomeWon]], Table1[[GameIsOver]:[GameIsOver]],1,Table1[[AwayTeam]:[AwayTeam]],$A13, Table1[[HomeTeam]:[HomeTeam]], W$1, Table1[[ActualResult]:[ActualResult]], "SO") + SUMIFS(Table1[[AwayWon]:[AwayWon]], Table1[[GameIsOver]:[GameIsOver]],1,Table1[[HomeTeam]:[HomeTeam]],$A13, Table1[[AwayTeam]:[AwayTeam]], W$1, Table1[[ActualResult]:[ActualResult]], "SO"),0))</f>
        <v>0-0-0</v>
      </c>
      <c r="X13" s="57" t="str">
        <f>_xlfn.CONCAT(TEXT(SUMIFS(Table1[[AwayWon]:[AwayWon]], Table1[[GameIsOver]:[GameIsOver]],1,Table1[[AwayTeam]:[AwayTeam]],$A13, Table1[[HomeTeam]:[HomeTeam]], X$1) + SUMIFS(Table1[[HomeWon]:[HomeWon]], Table1[[GameIsOver]:[GameIsOver]],1,Table1[[HomeTeam]:[HomeTeam]],$A13, Table1[[AwayTeam]:[AwayTeam]], X$1),0), "-", TEXT(SUMIFS(Table1[[HomeWon]:[HomeWon]], Table1[[GameIsOver]:[GameIsOver]],1,Table1[[AwayTeam]:[AwayTeam]],$A13, Table1[[HomeTeam]:[HomeTeam]], X$1, Table1[[ActualResult]:[ActualResult]], "REG") + SUMIFS(Table1[[AwayWon]:[AwayWon]], Table1[[GameIsOver]:[GameIsOver]],1,Table1[[HomeTeam]:[HomeTeam]],$A13, Table1[[AwayTeam]:[AwayTeam]], X$1, Table1[[ActualResult]:[ActualResult]], "REG"),0), "-", TEXT(SUMIFS(Table1[[HomeWon]:[HomeWon]], Table1[[GameIsOver]:[GameIsOver]],1,Table1[[AwayTeam]:[AwayTeam]],$A13, Table1[[HomeTeam]:[HomeTeam]], X$1, Table1[[ActualResult]:[ActualResult]], "OT") + SUMIFS(Table1[[AwayWon]:[AwayWon]], Table1[[GameIsOver]:[GameIsOver]],1,Table1[[HomeTeam]:[HomeTeam]],$A13, Table1[[AwayTeam]:[AwayTeam]], X$1, Table1[[ActualResult]:[ActualResult]], "OT") + SUMIFS(Table1[[HomeWon]:[HomeWon]], Table1[[GameIsOver]:[GameIsOver]],1,Table1[[AwayTeam]:[AwayTeam]],$A13, Table1[[HomeTeam]:[HomeTeam]], X$1, Table1[[ActualResult]:[ActualResult]], "SO") + SUMIFS(Table1[[AwayWon]:[AwayWon]], Table1[[GameIsOver]:[GameIsOver]],1,Table1[[HomeTeam]:[HomeTeam]],$A13, Table1[[AwayTeam]:[AwayTeam]], X$1, Table1[[ActualResult]:[ActualResult]], "SO"),0))</f>
        <v>0-0-0</v>
      </c>
      <c r="Y13" s="59" t="str">
        <f>_xlfn.CONCAT(TEXT(SUMIFS(Table1[[AwayWon]:[AwayWon]], Table1[[GameIsOver]:[GameIsOver]],1,Table1[[AwayTeam]:[AwayTeam]],$A13, Table1[[HomeTeam]:[HomeTeam]], Y$1) + SUMIFS(Table1[[HomeWon]:[HomeWon]], Table1[[GameIsOver]:[GameIsOver]],1,Table1[[HomeTeam]:[HomeTeam]],$A13, Table1[[AwayTeam]:[AwayTeam]], Y$1),0), "-", TEXT(SUMIFS(Table1[[HomeWon]:[HomeWon]], Table1[[GameIsOver]:[GameIsOver]],1,Table1[[AwayTeam]:[AwayTeam]],$A13, Table1[[HomeTeam]:[HomeTeam]], Y$1, Table1[[ActualResult]:[ActualResult]], "REG") + SUMIFS(Table1[[AwayWon]:[AwayWon]], Table1[[GameIsOver]:[GameIsOver]],1,Table1[[HomeTeam]:[HomeTeam]],$A13, Table1[[AwayTeam]:[AwayTeam]], Y$1, Table1[[ActualResult]:[ActualResult]], "REG"),0), "-", TEXT(SUMIFS(Table1[[HomeWon]:[HomeWon]], Table1[[GameIsOver]:[GameIsOver]],1,Table1[[AwayTeam]:[AwayTeam]],$A13, Table1[[HomeTeam]:[HomeTeam]], Y$1, Table1[[ActualResult]:[ActualResult]], "OT") + SUMIFS(Table1[[AwayWon]:[AwayWon]], Table1[[GameIsOver]:[GameIsOver]],1,Table1[[HomeTeam]:[HomeTeam]],$A13, Table1[[AwayTeam]:[AwayTeam]], Y$1, Table1[[ActualResult]:[ActualResult]], "OT") + SUMIFS(Table1[[HomeWon]:[HomeWon]], Table1[[GameIsOver]:[GameIsOver]],1,Table1[[AwayTeam]:[AwayTeam]],$A13, Table1[[HomeTeam]:[HomeTeam]], Y$1, Table1[[ActualResult]:[ActualResult]], "SO") + SUMIFS(Table1[[AwayWon]:[AwayWon]], Table1[[GameIsOver]:[GameIsOver]],1,Table1[[HomeTeam]:[HomeTeam]],$A13, Table1[[AwayTeam]:[AwayTeam]], Y$1, Table1[[ActualResult]:[ActualResult]], "SO"),0))</f>
        <v>0-0-0</v>
      </c>
      <c r="Z13" s="57" t="str">
        <f>_xlfn.CONCAT(TEXT(SUMIFS(Table1[[AwayWon]:[AwayWon]], Table1[[GameIsOver]:[GameIsOver]],1,Table1[[AwayTeam]:[AwayTeam]],$A13, Table1[[HomeTeam]:[HomeTeam]], Z$1) + SUMIFS(Table1[[HomeWon]:[HomeWon]], Table1[[GameIsOver]:[GameIsOver]],1,Table1[[HomeTeam]:[HomeTeam]],$A13, Table1[[AwayTeam]:[AwayTeam]], Z$1),0), "-", TEXT(SUMIFS(Table1[[HomeWon]:[HomeWon]], Table1[[GameIsOver]:[GameIsOver]],1,Table1[[AwayTeam]:[AwayTeam]],$A13, Table1[[HomeTeam]:[HomeTeam]], Z$1, Table1[[ActualResult]:[ActualResult]], "REG") + SUMIFS(Table1[[AwayWon]:[AwayWon]], Table1[[GameIsOver]:[GameIsOver]],1,Table1[[HomeTeam]:[HomeTeam]],$A13, Table1[[AwayTeam]:[AwayTeam]], Z$1, Table1[[ActualResult]:[ActualResult]], "REG"),0), "-", TEXT(SUMIFS(Table1[[HomeWon]:[HomeWon]], Table1[[GameIsOver]:[GameIsOver]],1,Table1[[AwayTeam]:[AwayTeam]],$A13, Table1[[HomeTeam]:[HomeTeam]], Z$1, Table1[[ActualResult]:[ActualResult]], "OT") + SUMIFS(Table1[[AwayWon]:[AwayWon]], Table1[[GameIsOver]:[GameIsOver]],1,Table1[[HomeTeam]:[HomeTeam]],$A13, Table1[[AwayTeam]:[AwayTeam]], Z$1, Table1[[ActualResult]:[ActualResult]], "OT") + SUMIFS(Table1[[HomeWon]:[HomeWon]], Table1[[GameIsOver]:[GameIsOver]],1,Table1[[AwayTeam]:[AwayTeam]],$A13, Table1[[HomeTeam]:[HomeTeam]], Z$1, Table1[[ActualResult]:[ActualResult]], "SO") + SUMIFS(Table1[[AwayWon]:[AwayWon]], Table1[[GameIsOver]:[GameIsOver]],1,Table1[[HomeTeam]:[HomeTeam]],$A13, Table1[[AwayTeam]:[AwayTeam]], Z$1, Table1[[ActualResult]:[ActualResult]], "SO"),0))</f>
        <v>0-0-0</v>
      </c>
      <c r="AA13" s="57" t="str">
        <f>_xlfn.CONCAT(TEXT(SUMIFS(Table1[[AwayWon]:[AwayWon]], Table1[[GameIsOver]:[GameIsOver]],1,Table1[[AwayTeam]:[AwayTeam]],$A13, Table1[[HomeTeam]:[HomeTeam]], AA$1) + SUMIFS(Table1[[HomeWon]:[HomeWon]], Table1[[GameIsOver]:[GameIsOver]],1,Table1[[HomeTeam]:[HomeTeam]],$A13, Table1[[AwayTeam]:[AwayTeam]], AA$1),0), "-", TEXT(SUMIFS(Table1[[HomeWon]:[HomeWon]], Table1[[GameIsOver]:[GameIsOver]],1,Table1[[AwayTeam]:[AwayTeam]],$A13, Table1[[HomeTeam]:[HomeTeam]], AA$1, Table1[[ActualResult]:[ActualResult]], "REG") + SUMIFS(Table1[[AwayWon]:[AwayWon]], Table1[[GameIsOver]:[GameIsOver]],1,Table1[[HomeTeam]:[HomeTeam]],$A13, Table1[[AwayTeam]:[AwayTeam]], AA$1, Table1[[ActualResult]:[ActualResult]], "REG"),0), "-", TEXT(SUMIFS(Table1[[HomeWon]:[HomeWon]], Table1[[GameIsOver]:[GameIsOver]],1,Table1[[AwayTeam]:[AwayTeam]],$A13, Table1[[HomeTeam]:[HomeTeam]], AA$1, Table1[[ActualResult]:[ActualResult]], "OT") + SUMIFS(Table1[[AwayWon]:[AwayWon]], Table1[[GameIsOver]:[GameIsOver]],1,Table1[[HomeTeam]:[HomeTeam]],$A13, Table1[[AwayTeam]:[AwayTeam]], AA$1, Table1[[ActualResult]:[ActualResult]], "OT") + SUMIFS(Table1[[HomeWon]:[HomeWon]], Table1[[GameIsOver]:[GameIsOver]],1,Table1[[AwayTeam]:[AwayTeam]],$A13, Table1[[HomeTeam]:[HomeTeam]], AA$1, Table1[[ActualResult]:[ActualResult]], "SO") + SUMIFS(Table1[[AwayWon]:[AwayWon]], Table1[[GameIsOver]:[GameIsOver]],1,Table1[[HomeTeam]:[HomeTeam]],$A13, Table1[[AwayTeam]:[AwayTeam]], AA$1, Table1[[ActualResult]:[ActualResult]], "SO"),0))</f>
        <v>0-0-0</v>
      </c>
      <c r="AB13" s="57" t="str">
        <f>_xlfn.CONCAT(TEXT(SUMIFS(Table1[[AwayWon]:[AwayWon]], Table1[[GameIsOver]:[GameIsOver]],1,Table1[[AwayTeam]:[AwayTeam]],$A13, Table1[[HomeTeam]:[HomeTeam]], AB$1) + SUMIFS(Table1[[HomeWon]:[HomeWon]], Table1[[GameIsOver]:[GameIsOver]],1,Table1[[HomeTeam]:[HomeTeam]],$A13, Table1[[AwayTeam]:[AwayTeam]], AB$1),0), "-", TEXT(SUMIFS(Table1[[HomeWon]:[HomeWon]], Table1[[GameIsOver]:[GameIsOver]],1,Table1[[AwayTeam]:[AwayTeam]],$A13, Table1[[HomeTeam]:[HomeTeam]], AB$1, Table1[[ActualResult]:[ActualResult]], "REG") + SUMIFS(Table1[[AwayWon]:[AwayWon]], Table1[[GameIsOver]:[GameIsOver]],1,Table1[[HomeTeam]:[HomeTeam]],$A13, Table1[[AwayTeam]:[AwayTeam]], AB$1, Table1[[ActualResult]:[ActualResult]], "REG"),0), "-", TEXT(SUMIFS(Table1[[HomeWon]:[HomeWon]], Table1[[GameIsOver]:[GameIsOver]],1,Table1[[AwayTeam]:[AwayTeam]],$A13, Table1[[HomeTeam]:[HomeTeam]], AB$1, Table1[[ActualResult]:[ActualResult]], "OT") + SUMIFS(Table1[[AwayWon]:[AwayWon]], Table1[[GameIsOver]:[GameIsOver]],1,Table1[[HomeTeam]:[HomeTeam]],$A13, Table1[[AwayTeam]:[AwayTeam]], AB$1, Table1[[ActualResult]:[ActualResult]], "OT") + SUMIFS(Table1[[HomeWon]:[HomeWon]], Table1[[GameIsOver]:[GameIsOver]],1,Table1[[AwayTeam]:[AwayTeam]],$A13, Table1[[HomeTeam]:[HomeTeam]], AB$1, Table1[[ActualResult]:[ActualResult]], "SO") + SUMIFS(Table1[[AwayWon]:[AwayWon]], Table1[[GameIsOver]:[GameIsOver]],1,Table1[[HomeTeam]:[HomeTeam]],$A13, Table1[[AwayTeam]:[AwayTeam]], AB$1, Table1[[ActualResult]:[ActualResult]], "SO"),0))</f>
        <v>0-0-0</v>
      </c>
      <c r="AC13" s="57" t="str">
        <f>_xlfn.CONCAT(TEXT(SUMIFS(Table1[[AwayWon]:[AwayWon]], Table1[[GameIsOver]:[GameIsOver]],1,Table1[[AwayTeam]:[AwayTeam]],$A13, Table1[[HomeTeam]:[HomeTeam]], AC$1) + SUMIFS(Table1[[HomeWon]:[HomeWon]], Table1[[GameIsOver]:[GameIsOver]],1,Table1[[HomeTeam]:[HomeTeam]],$A13, Table1[[AwayTeam]:[AwayTeam]], AC$1),0), "-", TEXT(SUMIFS(Table1[[HomeWon]:[HomeWon]], Table1[[GameIsOver]:[GameIsOver]],1,Table1[[AwayTeam]:[AwayTeam]],$A13, Table1[[HomeTeam]:[HomeTeam]], AC$1, Table1[[ActualResult]:[ActualResult]], "REG") + SUMIFS(Table1[[AwayWon]:[AwayWon]], Table1[[GameIsOver]:[GameIsOver]],1,Table1[[HomeTeam]:[HomeTeam]],$A13, Table1[[AwayTeam]:[AwayTeam]], AC$1, Table1[[ActualResult]:[ActualResult]], "REG"),0), "-", TEXT(SUMIFS(Table1[[HomeWon]:[HomeWon]], Table1[[GameIsOver]:[GameIsOver]],1,Table1[[AwayTeam]:[AwayTeam]],$A13, Table1[[HomeTeam]:[HomeTeam]], AC$1, Table1[[ActualResult]:[ActualResult]], "OT") + SUMIFS(Table1[[AwayWon]:[AwayWon]], Table1[[GameIsOver]:[GameIsOver]],1,Table1[[HomeTeam]:[HomeTeam]],$A13, Table1[[AwayTeam]:[AwayTeam]], AC$1, Table1[[ActualResult]:[ActualResult]], "OT") + SUMIFS(Table1[[HomeWon]:[HomeWon]], Table1[[GameIsOver]:[GameIsOver]],1,Table1[[AwayTeam]:[AwayTeam]],$A13, Table1[[HomeTeam]:[HomeTeam]], AC$1, Table1[[ActualResult]:[ActualResult]], "SO") + SUMIFS(Table1[[AwayWon]:[AwayWon]], Table1[[GameIsOver]:[GameIsOver]],1,Table1[[HomeTeam]:[HomeTeam]],$A13, Table1[[AwayTeam]:[AwayTeam]], AC$1, Table1[[ActualResult]:[ActualResult]], "SO"),0))</f>
        <v>0-0-0</v>
      </c>
      <c r="AD13" s="57" t="str">
        <f>_xlfn.CONCAT(TEXT(SUMIFS(Table1[[AwayWon]:[AwayWon]], Table1[[GameIsOver]:[GameIsOver]],1,Table1[[AwayTeam]:[AwayTeam]],$A13, Table1[[HomeTeam]:[HomeTeam]], AD$1) + SUMIFS(Table1[[HomeWon]:[HomeWon]], Table1[[GameIsOver]:[GameIsOver]],1,Table1[[HomeTeam]:[HomeTeam]],$A13, Table1[[AwayTeam]:[AwayTeam]], AD$1),0), "-", TEXT(SUMIFS(Table1[[HomeWon]:[HomeWon]], Table1[[GameIsOver]:[GameIsOver]],1,Table1[[AwayTeam]:[AwayTeam]],$A13, Table1[[HomeTeam]:[HomeTeam]], AD$1, Table1[[ActualResult]:[ActualResult]], "REG") + SUMIFS(Table1[[AwayWon]:[AwayWon]], Table1[[GameIsOver]:[GameIsOver]],1,Table1[[HomeTeam]:[HomeTeam]],$A13, Table1[[AwayTeam]:[AwayTeam]], AD$1, Table1[[ActualResult]:[ActualResult]], "REG"),0), "-", TEXT(SUMIFS(Table1[[HomeWon]:[HomeWon]], Table1[[GameIsOver]:[GameIsOver]],1,Table1[[AwayTeam]:[AwayTeam]],$A13, Table1[[HomeTeam]:[HomeTeam]], AD$1, Table1[[ActualResult]:[ActualResult]], "OT") + SUMIFS(Table1[[AwayWon]:[AwayWon]], Table1[[GameIsOver]:[GameIsOver]],1,Table1[[HomeTeam]:[HomeTeam]],$A13, Table1[[AwayTeam]:[AwayTeam]], AD$1, Table1[[ActualResult]:[ActualResult]], "OT") + SUMIFS(Table1[[HomeWon]:[HomeWon]], Table1[[GameIsOver]:[GameIsOver]],1,Table1[[AwayTeam]:[AwayTeam]],$A13, Table1[[HomeTeam]:[HomeTeam]], AD$1, Table1[[ActualResult]:[ActualResult]], "SO") + SUMIFS(Table1[[AwayWon]:[AwayWon]], Table1[[GameIsOver]:[GameIsOver]],1,Table1[[HomeTeam]:[HomeTeam]],$A13, Table1[[AwayTeam]:[AwayTeam]], AD$1, Table1[[ActualResult]:[ActualResult]], "SO"),0))</f>
        <v>0-0-0</v>
      </c>
      <c r="AE13" s="57" t="str">
        <f>_xlfn.CONCAT(TEXT(SUMIFS(Table1[[AwayWon]:[AwayWon]], Table1[[GameIsOver]:[GameIsOver]],1,Table1[[AwayTeam]:[AwayTeam]],$A13, Table1[[HomeTeam]:[HomeTeam]], AE$1) + SUMIFS(Table1[[HomeWon]:[HomeWon]], Table1[[GameIsOver]:[GameIsOver]],1,Table1[[HomeTeam]:[HomeTeam]],$A13, Table1[[AwayTeam]:[AwayTeam]], AE$1),0), "-", TEXT(SUMIFS(Table1[[HomeWon]:[HomeWon]], Table1[[GameIsOver]:[GameIsOver]],1,Table1[[AwayTeam]:[AwayTeam]],$A13, Table1[[HomeTeam]:[HomeTeam]], AE$1, Table1[[ActualResult]:[ActualResult]], "REG") + SUMIFS(Table1[[AwayWon]:[AwayWon]], Table1[[GameIsOver]:[GameIsOver]],1,Table1[[HomeTeam]:[HomeTeam]],$A13, Table1[[AwayTeam]:[AwayTeam]], AE$1, Table1[[ActualResult]:[ActualResult]], "REG"),0), "-", TEXT(SUMIFS(Table1[[HomeWon]:[HomeWon]], Table1[[GameIsOver]:[GameIsOver]],1,Table1[[AwayTeam]:[AwayTeam]],$A13, Table1[[HomeTeam]:[HomeTeam]], AE$1, Table1[[ActualResult]:[ActualResult]], "OT") + SUMIFS(Table1[[AwayWon]:[AwayWon]], Table1[[GameIsOver]:[GameIsOver]],1,Table1[[HomeTeam]:[HomeTeam]],$A13, Table1[[AwayTeam]:[AwayTeam]], AE$1, Table1[[ActualResult]:[ActualResult]], "OT") + SUMIFS(Table1[[HomeWon]:[HomeWon]], Table1[[GameIsOver]:[GameIsOver]],1,Table1[[AwayTeam]:[AwayTeam]],$A13, Table1[[HomeTeam]:[HomeTeam]], AE$1, Table1[[ActualResult]:[ActualResult]], "SO") + SUMIFS(Table1[[AwayWon]:[AwayWon]], Table1[[GameIsOver]:[GameIsOver]],1,Table1[[HomeTeam]:[HomeTeam]],$A13, Table1[[AwayTeam]:[AwayTeam]], AE$1, Table1[[ActualResult]:[ActualResult]], "SO"),0))</f>
        <v>0-0-0</v>
      </c>
      <c r="AF13" s="57" t="str">
        <f>_xlfn.CONCAT(TEXT(SUMIFS(Table1[[AwayWon]:[AwayWon]], Table1[[GameIsOver]:[GameIsOver]],1,Table1[[AwayTeam]:[AwayTeam]],$A13, Table1[[HomeTeam]:[HomeTeam]], AF$1) + SUMIFS(Table1[[HomeWon]:[HomeWon]], Table1[[GameIsOver]:[GameIsOver]],1,Table1[[HomeTeam]:[HomeTeam]],$A13, Table1[[AwayTeam]:[AwayTeam]], AF$1),0), "-", TEXT(SUMIFS(Table1[[HomeWon]:[HomeWon]], Table1[[GameIsOver]:[GameIsOver]],1,Table1[[AwayTeam]:[AwayTeam]],$A13, Table1[[HomeTeam]:[HomeTeam]], AF$1, Table1[[ActualResult]:[ActualResult]], "REG") + SUMIFS(Table1[[AwayWon]:[AwayWon]], Table1[[GameIsOver]:[GameIsOver]],1,Table1[[HomeTeam]:[HomeTeam]],$A13, Table1[[AwayTeam]:[AwayTeam]], AF$1, Table1[[ActualResult]:[ActualResult]], "REG"),0), "-", TEXT(SUMIFS(Table1[[HomeWon]:[HomeWon]], Table1[[GameIsOver]:[GameIsOver]],1,Table1[[AwayTeam]:[AwayTeam]],$A13, Table1[[HomeTeam]:[HomeTeam]], AF$1, Table1[[ActualResult]:[ActualResult]], "OT") + SUMIFS(Table1[[AwayWon]:[AwayWon]], Table1[[GameIsOver]:[GameIsOver]],1,Table1[[HomeTeam]:[HomeTeam]],$A13, Table1[[AwayTeam]:[AwayTeam]], AF$1, Table1[[ActualResult]:[ActualResult]], "OT") + SUMIFS(Table1[[HomeWon]:[HomeWon]], Table1[[GameIsOver]:[GameIsOver]],1,Table1[[AwayTeam]:[AwayTeam]],$A13, Table1[[HomeTeam]:[HomeTeam]], AF$1, Table1[[ActualResult]:[ActualResult]], "SO") + SUMIFS(Table1[[AwayWon]:[AwayWon]], Table1[[GameIsOver]:[GameIsOver]],1,Table1[[HomeTeam]:[HomeTeam]],$A13, Table1[[AwayTeam]:[AwayTeam]], AF$1, Table1[[ActualResult]:[ActualResult]], "SO"),0))</f>
        <v>0-0-0</v>
      </c>
      <c r="AG13" s="57" t="str">
        <f>_xlfn.CONCAT(TEXT(SUMIFS(Table1[[AwayWon]:[AwayWon]], Table1[[GameIsOver]:[GameIsOver]],1,Table1[[AwayTeam]:[AwayTeam]],$A13, Table1[[HomeTeam]:[HomeTeam]], AG$1) + SUMIFS(Table1[[HomeWon]:[HomeWon]], Table1[[GameIsOver]:[GameIsOver]],1,Table1[[HomeTeam]:[HomeTeam]],$A13, Table1[[AwayTeam]:[AwayTeam]], AG$1),0), "-", TEXT(SUMIFS(Table1[[HomeWon]:[HomeWon]], Table1[[GameIsOver]:[GameIsOver]],1,Table1[[AwayTeam]:[AwayTeam]],$A13, Table1[[HomeTeam]:[HomeTeam]], AG$1, Table1[[ActualResult]:[ActualResult]], "REG") + SUMIFS(Table1[[AwayWon]:[AwayWon]], Table1[[GameIsOver]:[GameIsOver]],1,Table1[[HomeTeam]:[HomeTeam]],$A13, Table1[[AwayTeam]:[AwayTeam]], AG$1, Table1[[ActualResult]:[ActualResult]], "REG"),0), "-", TEXT(SUMIFS(Table1[[HomeWon]:[HomeWon]], Table1[[GameIsOver]:[GameIsOver]],1,Table1[[AwayTeam]:[AwayTeam]],$A13, Table1[[HomeTeam]:[HomeTeam]], AG$1, Table1[[ActualResult]:[ActualResult]], "OT") + SUMIFS(Table1[[AwayWon]:[AwayWon]], Table1[[GameIsOver]:[GameIsOver]],1,Table1[[HomeTeam]:[HomeTeam]],$A13, Table1[[AwayTeam]:[AwayTeam]], AG$1, Table1[[ActualResult]:[ActualResult]], "OT") + SUMIFS(Table1[[HomeWon]:[HomeWon]], Table1[[GameIsOver]:[GameIsOver]],1,Table1[[AwayTeam]:[AwayTeam]],$A13, Table1[[HomeTeam]:[HomeTeam]], AG$1, Table1[[ActualResult]:[ActualResult]], "SO") + SUMIFS(Table1[[AwayWon]:[AwayWon]], Table1[[GameIsOver]:[GameIsOver]],1,Table1[[HomeTeam]:[HomeTeam]],$A13, Table1[[AwayTeam]:[AwayTeam]], AG$1, Table1[[ActualResult]:[ActualResult]], "SO"),0))</f>
        <v>0-1-0</v>
      </c>
    </row>
    <row r="14" spans="1:33" x14ac:dyDescent="0.25">
      <c r="A14" s="28" t="s">
        <v>48</v>
      </c>
      <c r="B14" s="57" t="str">
        <f>_xlfn.CONCAT(TEXT(SUMIFS(Table1[[AwayWon]:[AwayWon]], Table1[[GameIsOver]:[GameIsOver]],1,Table1[[AwayTeam]:[AwayTeam]],$A14, Table1[[HomeTeam]:[HomeTeam]], B$1) + SUMIFS(Table1[[HomeWon]:[HomeWon]], Table1[[GameIsOver]:[GameIsOver]],1,Table1[[HomeTeam]:[HomeTeam]],$A14, Table1[[AwayTeam]:[AwayTeam]], B$1),0), "-", TEXT(SUMIFS(Table1[[HomeWon]:[HomeWon]], Table1[[GameIsOver]:[GameIsOver]],1,Table1[[AwayTeam]:[AwayTeam]],$A14, Table1[[HomeTeam]:[HomeTeam]], B$1, Table1[[ActualResult]:[ActualResult]], "REG") + SUMIFS(Table1[[AwayWon]:[AwayWon]], Table1[[GameIsOver]:[GameIsOver]],1,Table1[[HomeTeam]:[HomeTeam]],$A14, Table1[[AwayTeam]:[AwayTeam]], B$1, Table1[[ActualResult]:[ActualResult]], "REG"),0), "-", TEXT(SUMIFS(Table1[[HomeWon]:[HomeWon]], Table1[[GameIsOver]:[GameIsOver]],1,Table1[[AwayTeam]:[AwayTeam]],$A14, Table1[[HomeTeam]:[HomeTeam]], B$1, Table1[[ActualResult]:[ActualResult]], "OT") + SUMIFS(Table1[[AwayWon]:[AwayWon]], Table1[[GameIsOver]:[GameIsOver]],1,Table1[[HomeTeam]:[HomeTeam]],$A14, Table1[[AwayTeam]:[AwayTeam]], B$1, Table1[[ActualResult]:[ActualResult]], "OT") + SUMIFS(Table1[[HomeWon]:[HomeWon]], Table1[[GameIsOver]:[GameIsOver]],1,Table1[[AwayTeam]:[AwayTeam]],$A14, Table1[[HomeTeam]:[HomeTeam]], B$1, Table1[[ActualResult]:[ActualResult]], "SO") + SUMIFS(Table1[[AwayWon]:[AwayWon]], Table1[[GameIsOver]:[GameIsOver]],1,Table1[[HomeTeam]:[HomeTeam]],$A14, Table1[[AwayTeam]:[AwayTeam]], B$1, Table1[[ActualResult]:[ActualResult]], "SO"),0))</f>
        <v>0-0-0</v>
      </c>
      <c r="C14" s="57" t="str">
        <f>_xlfn.CONCAT(TEXT(SUMIFS(Table1[[AwayWon]:[AwayWon]], Table1[[GameIsOver]:[GameIsOver]],1,Table1[[AwayTeam]:[AwayTeam]],$A14, Table1[[HomeTeam]:[HomeTeam]], C$1) + SUMIFS(Table1[[HomeWon]:[HomeWon]], Table1[[GameIsOver]:[GameIsOver]],1,Table1[[HomeTeam]:[HomeTeam]],$A14, Table1[[AwayTeam]:[AwayTeam]], C$1),0), "-", TEXT(SUMIFS(Table1[[HomeWon]:[HomeWon]], Table1[[GameIsOver]:[GameIsOver]],1,Table1[[AwayTeam]:[AwayTeam]],$A14, Table1[[HomeTeam]:[HomeTeam]], C$1, Table1[[ActualResult]:[ActualResult]], "REG") + SUMIFS(Table1[[AwayWon]:[AwayWon]], Table1[[GameIsOver]:[GameIsOver]],1,Table1[[HomeTeam]:[HomeTeam]],$A14, Table1[[AwayTeam]:[AwayTeam]], C$1, Table1[[ActualResult]:[ActualResult]], "REG"),0), "-", TEXT(SUMIFS(Table1[[HomeWon]:[HomeWon]], Table1[[GameIsOver]:[GameIsOver]],1,Table1[[AwayTeam]:[AwayTeam]],$A14, Table1[[HomeTeam]:[HomeTeam]], C$1, Table1[[ActualResult]:[ActualResult]], "OT") + SUMIFS(Table1[[AwayWon]:[AwayWon]], Table1[[GameIsOver]:[GameIsOver]],1,Table1[[HomeTeam]:[HomeTeam]],$A14, Table1[[AwayTeam]:[AwayTeam]], C$1, Table1[[ActualResult]:[ActualResult]], "OT") + SUMIFS(Table1[[HomeWon]:[HomeWon]], Table1[[GameIsOver]:[GameIsOver]],1,Table1[[AwayTeam]:[AwayTeam]],$A14, Table1[[HomeTeam]:[HomeTeam]], C$1, Table1[[ActualResult]:[ActualResult]], "SO") + SUMIFS(Table1[[AwayWon]:[AwayWon]], Table1[[GameIsOver]:[GameIsOver]],1,Table1[[HomeTeam]:[HomeTeam]],$A14, Table1[[AwayTeam]:[AwayTeam]], C$1, Table1[[ActualResult]:[ActualResult]], "SO"),0))</f>
        <v>0-0-0</v>
      </c>
      <c r="D14" s="57" t="str">
        <f>_xlfn.CONCAT(TEXT(SUMIFS(Table1[[AwayWon]:[AwayWon]], Table1[[GameIsOver]:[GameIsOver]],1,Table1[[AwayTeam]:[AwayTeam]],$A14, Table1[[HomeTeam]:[HomeTeam]], D$1) + SUMIFS(Table1[[HomeWon]:[HomeWon]], Table1[[GameIsOver]:[GameIsOver]],1,Table1[[HomeTeam]:[HomeTeam]],$A14, Table1[[AwayTeam]:[AwayTeam]], D$1),0), "-", TEXT(SUMIFS(Table1[[HomeWon]:[HomeWon]], Table1[[GameIsOver]:[GameIsOver]],1,Table1[[AwayTeam]:[AwayTeam]],$A14, Table1[[HomeTeam]:[HomeTeam]], D$1, Table1[[ActualResult]:[ActualResult]], "REG") + SUMIFS(Table1[[AwayWon]:[AwayWon]], Table1[[GameIsOver]:[GameIsOver]],1,Table1[[HomeTeam]:[HomeTeam]],$A14, Table1[[AwayTeam]:[AwayTeam]], D$1, Table1[[ActualResult]:[ActualResult]], "REG"),0), "-", TEXT(SUMIFS(Table1[[HomeWon]:[HomeWon]], Table1[[GameIsOver]:[GameIsOver]],1,Table1[[AwayTeam]:[AwayTeam]],$A14, Table1[[HomeTeam]:[HomeTeam]], D$1, Table1[[ActualResult]:[ActualResult]], "OT") + SUMIFS(Table1[[AwayWon]:[AwayWon]], Table1[[GameIsOver]:[GameIsOver]],1,Table1[[HomeTeam]:[HomeTeam]],$A14, Table1[[AwayTeam]:[AwayTeam]], D$1, Table1[[ActualResult]:[ActualResult]], "OT") + SUMIFS(Table1[[HomeWon]:[HomeWon]], Table1[[GameIsOver]:[GameIsOver]],1,Table1[[AwayTeam]:[AwayTeam]],$A14, Table1[[HomeTeam]:[HomeTeam]], D$1, Table1[[ActualResult]:[ActualResult]], "SO") + SUMIFS(Table1[[AwayWon]:[AwayWon]], Table1[[GameIsOver]:[GameIsOver]],1,Table1[[HomeTeam]:[HomeTeam]],$A14, Table1[[AwayTeam]:[AwayTeam]], D$1, Table1[[ActualResult]:[ActualResult]], "SO"),0))</f>
        <v>0-0-0</v>
      </c>
      <c r="E14" s="57" t="str">
        <f>_xlfn.CONCAT(TEXT(SUMIFS(Table1[[AwayWon]:[AwayWon]], Table1[[GameIsOver]:[GameIsOver]],1,Table1[[AwayTeam]:[AwayTeam]],$A14, Table1[[HomeTeam]:[HomeTeam]], E$1) + SUMIFS(Table1[[HomeWon]:[HomeWon]], Table1[[GameIsOver]:[GameIsOver]],1,Table1[[HomeTeam]:[HomeTeam]],$A14, Table1[[AwayTeam]:[AwayTeam]], E$1),0), "-", TEXT(SUMIFS(Table1[[HomeWon]:[HomeWon]], Table1[[GameIsOver]:[GameIsOver]],1,Table1[[AwayTeam]:[AwayTeam]],$A14, Table1[[HomeTeam]:[HomeTeam]], E$1, Table1[[ActualResult]:[ActualResult]], "REG") + SUMIFS(Table1[[AwayWon]:[AwayWon]], Table1[[GameIsOver]:[GameIsOver]],1,Table1[[HomeTeam]:[HomeTeam]],$A14, Table1[[AwayTeam]:[AwayTeam]], E$1, Table1[[ActualResult]:[ActualResult]], "REG"),0), "-", TEXT(SUMIFS(Table1[[HomeWon]:[HomeWon]], Table1[[GameIsOver]:[GameIsOver]],1,Table1[[AwayTeam]:[AwayTeam]],$A14, Table1[[HomeTeam]:[HomeTeam]], E$1, Table1[[ActualResult]:[ActualResult]], "OT") + SUMIFS(Table1[[AwayWon]:[AwayWon]], Table1[[GameIsOver]:[GameIsOver]],1,Table1[[HomeTeam]:[HomeTeam]],$A14, Table1[[AwayTeam]:[AwayTeam]], E$1, Table1[[ActualResult]:[ActualResult]], "OT") + SUMIFS(Table1[[HomeWon]:[HomeWon]], Table1[[GameIsOver]:[GameIsOver]],1,Table1[[AwayTeam]:[AwayTeam]],$A14, Table1[[HomeTeam]:[HomeTeam]], E$1, Table1[[ActualResult]:[ActualResult]], "SO") + SUMIFS(Table1[[AwayWon]:[AwayWon]], Table1[[GameIsOver]:[GameIsOver]],1,Table1[[HomeTeam]:[HomeTeam]],$A14, Table1[[AwayTeam]:[AwayTeam]], E$1, Table1[[ActualResult]:[ActualResult]], "SO"),0))</f>
        <v>0-0-0</v>
      </c>
      <c r="F14" s="57" t="str">
        <f>_xlfn.CONCAT(TEXT(SUMIFS(Table1[[AwayWon]:[AwayWon]], Table1[[GameIsOver]:[GameIsOver]],1,Table1[[AwayTeam]:[AwayTeam]],$A14, Table1[[HomeTeam]:[HomeTeam]], F$1) + SUMIFS(Table1[[HomeWon]:[HomeWon]], Table1[[GameIsOver]:[GameIsOver]],1,Table1[[HomeTeam]:[HomeTeam]],$A14, Table1[[AwayTeam]:[AwayTeam]], F$1),0), "-", TEXT(SUMIFS(Table1[[HomeWon]:[HomeWon]], Table1[[GameIsOver]:[GameIsOver]],1,Table1[[AwayTeam]:[AwayTeam]],$A14, Table1[[HomeTeam]:[HomeTeam]], F$1, Table1[[ActualResult]:[ActualResult]], "REG") + SUMIFS(Table1[[AwayWon]:[AwayWon]], Table1[[GameIsOver]:[GameIsOver]],1,Table1[[HomeTeam]:[HomeTeam]],$A14, Table1[[AwayTeam]:[AwayTeam]], F$1, Table1[[ActualResult]:[ActualResult]], "REG"),0), "-", TEXT(SUMIFS(Table1[[HomeWon]:[HomeWon]], Table1[[GameIsOver]:[GameIsOver]],1,Table1[[AwayTeam]:[AwayTeam]],$A14, Table1[[HomeTeam]:[HomeTeam]], F$1, Table1[[ActualResult]:[ActualResult]], "OT") + SUMIFS(Table1[[AwayWon]:[AwayWon]], Table1[[GameIsOver]:[GameIsOver]],1,Table1[[HomeTeam]:[HomeTeam]],$A14, Table1[[AwayTeam]:[AwayTeam]], F$1, Table1[[ActualResult]:[ActualResult]], "OT") + SUMIFS(Table1[[HomeWon]:[HomeWon]], Table1[[GameIsOver]:[GameIsOver]],1,Table1[[AwayTeam]:[AwayTeam]],$A14, Table1[[HomeTeam]:[HomeTeam]], F$1, Table1[[ActualResult]:[ActualResult]], "SO") + SUMIFS(Table1[[AwayWon]:[AwayWon]], Table1[[GameIsOver]:[GameIsOver]],1,Table1[[HomeTeam]:[HomeTeam]],$A14, Table1[[AwayTeam]:[AwayTeam]], F$1, Table1[[ActualResult]:[ActualResult]], "SO"),0))</f>
        <v>0-0-0</v>
      </c>
      <c r="G14" s="57" t="str">
        <f>_xlfn.CONCAT(TEXT(SUMIFS(Table1[[AwayWon]:[AwayWon]], Table1[[GameIsOver]:[GameIsOver]],1,Table1[[AwayTeam]:[AwayTeam]],$A14, Table1[[HomeTeam]:[HomeTeam]], G$1) + SUMIFS(Table1[[HomeWon]:[HomeWon]], Table1[[GameIsOver]:[GameIsOver]],1,Table1[[HomeTeam]:[HomeTeam]],$A14, Table1[[AwayTeam]:[AwayTeam]], G$1),0), "-", TEXT(SUMIFS(Table1[[HomeWon]:[HomeWon]], Table1[[GameIsOver]:[GameIsOver]],1,Table1[[AwayTeam]:[AwayTeam]],$A14, Table1[[HomeTeam]:[HomeTeam]], G$1, Table1[[ActualResult]:[ActualResult]], "REG") + SUMIFS(Table1[[AwayWon]:[AwayWon]], Table1[[GameIsOver]:[GameIsOver]],1,Table1[[HomeTeam]:[HomeTeam]],$A14, Table1[[AwayTeam]:[AwayTeam]], G$1, Table1[[ActualResult]:[ActualResult]], "REG"),0), "-", TEXT(SUMIFS(Table1[[HomeWon]:[HomeWon]], Table1[[GameIsOver]:[GameIsOver]],1,Table1[[AwayTeam]:[AwayTeam]],$A14, Table1[[HomeTeam]:[HomeTeam]], G$1, Table1[[ActualResult]:[ActualResult]], "OT") + SUMIFS(Table1[[AwayWon]:[AwayWon]], Table1[[GameIsOver]:[GameIsOver]],1,Table1[[HomeTeam]:[HomeTeam]],$A14, Table1[[AwayTeam]:[AwayTeam]], G$1, Table1[[ActualResult]:[ActualResult]], "OT") + SUMIFS(Table1[[HomeWon]:[HomeWon]], Table1[[GameIsOver]:[GameIsOver]],1,Table1[[AwayTeam]:[AwayTeam]],$A14, Table1[[HomeTeam]:[HomeTeam]], G$1, Table1[[ActualResult]:[ActualResult]], "SO") + SUMIFS(Table1[[AwayWon]:[AwayWon]], Table1[[GameIsOver]:[GameIsOver]],1,Table1[[HomeTeam]:[HomeTeam]],$A14, Table1[[AwayTeam]:[AwayTeam]], G$1, Table1[[ActualResult]:[ActualResult]], "SO"),0))</f>
        <v>0-0-0</v>
      </c>
      <c r="H14" s="57" t="str">
        <f>_xlfn.CONCAT(TEXT(SUMIFS(Table1[[AwayWon]:[AwayWon]], Table1[[GameIsOver]:[GameIsOver]],1,Table1[[AwayTeam]:[AwayTeam]],$A14, Table1[[HomeTeam]:[HomeTeam]], H$1) + SUMIFS(Table1[[HomeWon]:[HomeWon]], Table1[[GameIsOver]:[GameIsOver]],1,Table1[[HomeTeam]:[HomeTeam]],$A14, Table1[[AwayTeam]:[AwayTeam]], H$1),0), "-", TEXT(SUMIFS(Table1[[HomeWon]:[HomeWon]], Table1[[GameIsOver]:[GameIsOver]],1,Table1[[AwayTeam]:[AwayTeam]],$A14, Table1[[HomeTeam]:[HomeTeam]], H$1, Table1[[ActualResult]:[ActualResult]], "REG") + SUMIFS(Table1[[AwayWon]:[AwayWon]], Table1[[GameIsOver]:[GameIsOver]],1,Table1[[HomeTeam]:[HomeTeam]],$A14, Table1[[AwayTeam]:[AwayTeam]], H$1, Table1[[ActualResult]:[ActualResult]], "REG"),0), "-", TEXT(SUMIFS(Table1[[HomeWon]:[HomeWon]], Table1[[GameIsOver]:[GameIsOver]],1,Table1[[AwayTeam]:[AwayTeam]],$A14, Table1[[HomeTeam]:[HomeTeam]], H$1, Table1[[ActualResult]:[ActualResult]], "OT") + SUMIFS(Table1[[AwayWon]:[AwayWon]], Table1[[GameIsOver]:[GameIsOver]],1,Table1[[HomeTeam]:[HomeTeam]],$A14, Table1[[AwayTeam]:[AwayTeam]], H$1, Table1[[ActualResult]:[ActualResult]], "OT") + SUMIFS(Table1[[HomeWon]:[HomeWon]], Table1[[GameIsOver]:[GameIsOver]],1,Table1[[AwayTeam]:[AwayTeam]],$A14, Table1[[HomeTeam]:[HomeTeam]], H$1, Table1[[ActualResult]:[ActualResult]], "SO") + SUMIFS(Table1[[AwayWon]:[AwayWon]], Table1[[GameIsOver]:[GameIsOver]],1,Table1[[HomeTeam]:[HomeTeam]],$A14, Table1[[AwayTeam]:[AwayTeam]], H$1, Table1[[ActualResult]:[ActualResult]], "SO"),0))</f>
        <v>0-0-0</v>
      </c>
      <c r="I14" s="59" t="str">
        <f>_xlfn.CONCAT(TEXT(SUMIFS(Table1[[AwayWon]:[AwayWon]], Table1[[GameIsOver]:[GameIsOver]],1,Table1[[AwayTeam]:[AwayTeam]],$A14, Table1[[HomeTeam]:[HomeTeam]], I$1) + SUMIFS(Table1[[HomeWon]:[HomeWon]], Table1[[GameIsOver]:[GameIsOver]],1,Table1[[HomeTeam]:[HomeTeam]],$A14, Table1[[AwayTeam]:[AwayTeam]], I$1),0), "-", TEXT(SUMIFS(Table1[[HomeWon]:[HomeWon]], Table1[[GameIsOver]:[GameIsOver]],1,Table1[[AwayTeam]:[AwayTeam]],$A14, Table1[[HomeTeam]:[HomeTeam]], I$1, Table1[[ActualResult]:[ActualResult]], "REG") + SUMIFS(Table1[[AwayWon]:[AwayWon]], Table1[[GameIsOver]:[GameIsOver]],1,Table1[[HomeTeam]:[HomeTeam]],$A14, Table1[[AwayTeam]:[AwayTeam]], I$1, Table1[[ActualResult]:[ActualResult]], "REG"),0), "-", TEXT(SUMIFS(Table1[[HomeWon]:[HomeWon]], Table1[[GameIsOver]:[GameIsOver]],1,Table1[[AwayTeam]:[AwayTeam]],$A14, Table1[[HomeTeam]:[HomeTeam]], I$1, Table1[[ActualResult]:[ActualResult]], "OT") + SUMIFS(Table1[[AwayWon]:[AwayWon]], Table1[[GameIsOver]:[GameIsOver]],1,Table1[[HomeTeam]:[HomeTeam]],$A14, Table1[[AwayTeam]:[AwayTeam]], I$1, Table1[[ActualResult]:[ActualResult]], "OT") + SUMIFS(Table1[[HomeWon]:[HomeWon]], Table1[[GameIsOver]:[GameIsOver]],1,Table1[[AwayTeam]:[AwayTeam]],$A14, Table1[[HomeTeam]:[HomeTeam]], I$1, Table1[[ActualResult]:[ActualResult]], "SO") + SUMIFS(Table1[[AwayWon]:[AwayWon]], Table1[[GameIsOver]:[GameIsOver]],1,Table1[[HomeTeam]:[HomeTeam]],$A14, Table1[[AwayTeam]:[AwayTeam]], I$1, Table1[[ActualResult]:[ActualResult]], "SO"),0))</f>
        <v>0-0-0</v>
      </c>
      <c r="J14" s="57" t="str">
        <f>_xlfn.CONCAT(TEXT(SUMIFS(Table1[[AwayWon]:[AwayWon]], Table1[[GameIsOver]:[GameIsOver]],1,Table1[[AwayTeam]:[AwayTeam]],$A14, Table1[[HomeTeam]:[HomeTeam]], J$1) + SUMIFS(Table1[[HomeWon]:[HomeWon]], Table1[[GameIsOver]:[GameIsOver]],1,Table1[[HomeTeam]:[HomeTeam]],$A14, Table1[[AwayTeam]:[AwayTeam]], J$1),0), "-", TEXT(SUMIFS(Table1[[HomeWon]:[HomeWon]], Table1[[GameIsOver]:[GameIsOver]],1,Table1[[AwayTeam]:[AwayTeam]],$A14, Table1[[HomeTeam]:[HomeTeam]], J$1, Table1[[ActualResult]:[ActualResult]], "REG") + SUMIFS(Table1[[AwayWon]:[AwayWon]], Table1[[GameIsOver]:[GameIsOver]],1,Table1[[HomeTeam]:[HomeTeam]],$A14, Table1[[AwayTeam]:[AwayTeam]], J$1, Table1[[ActualResult]:[ActualResult]], "REG"),0), "-", TEXT(SUMIFS(Table1[[HomeWon]:[HomeWon]], Table1[[GameIsOver]:[GameIsOver]],1,Table1[[AwayTeam]:[AwayTeam]],$A14, Table1[[HomeTeam]:[HomeTeam]], J$1, Table1[[ActualResult]:[ActualResult]], "OT") + SUMIFS(Table1[[AwayWon]:[AwayWon]], Table1[[GameIsOver]:[GameIsOver]],1,Table1[[HomeTeam]:[HomeTeam]],$A14, Table1[[AwayTeam]:[AwayTeam]], J$1, Table1[[ActualResult]:[ActualResult]], "OT") + SUMIFS(Table1[[HomeWon]:[HomeWon]], Table1[[GameIsOver]:[GameIsOver]],1,Table1[[AwayTeam]:[AwayTeam]],$A14, Table1[[HomeTeam]:[HomeTeam]], J$1, Table1[[ActualResult]:[ActualResult]], "SO") + SUMIFS(Table1[[AwayWon]:[AwayWon]], Table1[[GameIsOver]:[GameIsOver]],1,Table1[[HomeTeam]:[HomeTeam]],$A14, Table1[[AwayTeam]:[AwayTeam]], J$1, Table1[[ActualResult]:[ActualResult]], "SO"),0))</f>
        <v>0-0-0</v>
      </c>
      <c r="K14" s="57" t="str">
        <f>_xlfn.CONCAT(TEXT(SUMIFS(Table1[[AwayWon]:[AwayWon]], Table1[[GameIsOver]:[GameIsOver]],1,Table1[[AwayTeam]:[AwayTeam]],$A14, Table1[[HomeTeam]:[HomeTeam]], K$1) + SUMIFS(Table1[[HomeWon]:[HomeWon]], Table1[[GameIsOver]:[GameIsOver]],1,Table1[[HomeTeam]:[HomeTeam]],$A14, Table1[[AwayTeam]:[AwayTeam]], K$1),0), "-", TEXT(SUMIFS(Table1[[HomeWon]:[HomeWon]], Table1[[GameIsOver]:[GameIsOver]],1,Table1[[AwayTeam]:[AwayTeam]],$A14, Table1[[HomeTeam]:[HomeTeam]], K$1, Table1[[ActualResult]:[ActualResult]], "REG") + SUMIFS(Table1[[AwayWon]:[AwayWon]], Table1[[GameIsOver]:[GameIsOver]],1,Table1[[HomeTeam]:[HomeTeam]],$A14, Table1[[AwayTeam]:[AwayTeam]], K$1, Table1[[ActualResult]:[ActualResult]], "REG"),0), "-", TEXT(SUMIFS(Table1[[HomeWon]:[HomeWon]], Table1[[GameIsOver]:[GameIsOver]],1,Table1[[AwayTeam]:[AwayTeam]],$A14, Table1[[HomeTeam]:[HomeTeam]], K$1, Table1[[ActualResult]:[ActualResult]], "OT") + SUMIFS(Table1[[AwayWon]:[AwayWon]], Table1[[GameIsOver]:[GameIsOver]],1,Table1[[HomeTeam]:[HomeTeam]],$A14, Table1[[AwayTeam]:[AwayTeam]], K$1, Table1[[ActualResult]:[ActualResult]], "OT") + SUMIFS(Table1[[HomeWon]:[HomeWon]], Table1[[GameIsOver]:[GameIsOver]],1,Table1[[AwayTeam]:[AwayTeam]],$A14, Table1[[HomeTeam]:[HomeTeam]], K$1, Table1[[ActualResult]:[ActualResult]], "SO") + SUMIFS(Table1[[AwayWon]:[AwayWon]], Table1[[GameIsOver]:[GameIsOver]],1,Table1[[HomeTeam]:[HomeTeam]],$A14, Table1[[AwayTeam]:[AwayTeam]], K$1, Table1[[ActualResult]:[ActualResult]], "SO"),0))</f>
        <v>0-0-0</v>
      </c>
      <c r="L14" s="57" t="str">
        <f>_xlfn.CONCAT(TEXT(SUMIFS(Table1[[AwayWon]:[AwayWon]], Table1[[GameIsOver]:[GameIsOver]],1,Table1[[AwayTeam]:[AwayTeam]],$A14, Table1[[HomeTeam]:[HomeTeam]], L$1) + SUMIFS(Table1[[HomeWon]:[HomeWon]], Table1[[GameIsOver]:[GameIsOver]],1,Table1[[HomeTeam]:[HomeTeam]],$A14, Table1[[AwayTeam]:[AwayTeam]], L$1),0), "-", TEXT(SUMIFS(Table1[[HomeWon]:[HomeWon]], Table1[[GameIsOver]:[GameIsOver]],1,Table1[[AwayTeam]:[AwayTeam]],$A14, Table1[[HomeTeam]:[HomeTeam]], L$1, Table1[[ActualResult]:[ActualResult]], "REG") + SUMIFS(Table1[[AwayWon]:[AwayWon]], Table1[[GameIsOver]:[GameIsOver]],1,Table1[[HomeTeam]:[HomeTeam]],$A14, Table1[[AwayTeam]:[AwayTeam]], L$1, Table1[[ActualResult]:[ActualResult]], "REG"),0), "-", TEXT(SUMIFS(Table1[[HomeWon]:[HomeWon]], Table1[[GameIsOver]:[GameIsOver]],1,Table1[[AwayTeam]:[AwayTeam]],$A14, Table1[[HomeTeam]:[HomeTeam]], L$1, Table1[[ActualResult]:[ActualResult]], "OT") + SUMIFS(Table1[[AwayWon]:[AwayWon]], Table1[[GameIsOver]:[GameIsOver]],1,Table1[[HomeTeam]:[HomeTeam]],$A14, Table1[[AwayTeam]:[AwayTeam]], L$1, Table1[[ActualResult]:[ActualResult]], "OT") + SUMIFS(Table1[[HomeWon]:[HomeWon]], Table1[[GameIsOver]:[GameIsOver]],1,Table1[[AwayTeam]:[AwayTeam]],$A14, Table1[[HomeTeam]:[HomeTeam]], L$1, Table1[[ActualResult]:[ActualResult]], "SO") + SUMIFS(Table1[[AwayWon]:[AwayWon]], Table1[[GameIsOver]:[GameIsOver]],1,Table1[[HomeTeam]:[HomeTeam]],$A14, Table1[[AwayTeam]:[AwayTeam]], L$1, Table1[[ActualResult]:[ActualResult]], "SO"),0))</f>
        <v>0-0-0</v>
      </c>
      <c r="M14" s="57" t="str">
        <f>_xlfn.CONCAT(TEXT(SUMIFS(Table1[[AwayWon]:[AwayWon]], Table1[[GameIsOver]:[GameIsOver]],1,Table1[[AwayTeam]:[AwayTeam]],$A14, Table1[[HomeTeam]:[HomeTeam]], M$1) + SUMIFS(Table1[[HomeWon]:[HomeWon]], Table1[[GameIsOver]:[GameIsOver]],1,Table1[[HomeTeam]:[HomeTeam]],$A14, Table1[[AwayTeam]:[AwayTeam]], M$1),0), "-", TEXT(SUMIFS(Table1[[HomeWon]:[HomeWon]], Table1[[GameIsOver]:[GameIsOver]],1,Table1[[AwayTeam]:[AwayTeam]],$A14, Table1[[HomeTeam]:[HomeTeam]], M$1, Table1[[ActualResult]:[ActualResult]], "REG") + SUMIFS(Table1[[AwayWon]:[AwayWon]], Table1[[GameIsOver]:[GameIsOver]],1,Table1[[HomeTeam]:[HomeTeam]],$A14, Table1[[AwayTeam]:[AwayTeam]], M$1, Table1[[ActualResult]:[ActualResult]], "REG"),0), "-", TEXT(SUMIFS(Table1[[HomeWon]:[HomeWon]], Table1[[GameIsOver]:[GameIsOver]],1,Table1[[AwayTeam]:[AwayTeam]],$A14, Table1[[HomeTeam]:[HomeTeam]], M$1, Table1[[ActualResult]:[ActualResult]], "OT") + SUMIFS(Table1[[AwayWon]:[AwayWon]], Table1[[GameIsOver]:[GameIsOver]],1,Table1[[HomeTeam]:[HomeTeam]],$A14, Table1[[AwayTeam]:[AwayTeam]], M$1, Table1[[ActualResult]:[ActualResult]], "OT") + SUMIFS(Table1[[HomeWon]:[HomeWon]], Table1[[GameIsOver]:[GameIsOver]],1,Table1[[AwayTeam]:[AwayTeam]],$A14, Table1[[HomeTeam]:[HomeTeam]], M$1, Table1[[ActualResult]:[ActualResult]], "SO") + SUMIFS(Table1[[AwayWon]:[AwayWon]], Table1[[GameIsOver]:[GameIsOver]],1,Table1[[HomeTeam]:[HomeTeam]],$A14, Table1[[AwayTeam]:[AwayTeam]], M$1, Table1[[ActualResult]:[ActualResult]], "SO"),0))</f>
        <v>0-0-0</v>
      </c>
      <c r="N14" s="57" t="str">
        <f>_xlfn.CONCAT(TEXT(SUMIFS(Table1[[AwayWon]:[AwayWon]], Table1[[GameIsOver]:[GameIsOver]],1,Table1[[AwayTeam]:[AwayTeam]],$A14, Table1[[HomeTeam]:[HomeTeam]], N$1) + SUMIFS(Table1[[HomeWon]:[HomeWon]], Table1[[GameIsOver]:[GameIsOver]],1,Table1[[HomeTeam]:[HomeTeam]],$A14, Table1[[AwayTeam]:[AwayTeam]], N$1),0), "-", TEXT(SUMIFS(Table1[[HomeWon]:[HomeWon]], Table1[[GameIsOver]:[GameIsOver]],1,Table1[[AwayTeam]:[AwayTeam]],$A14, Table1[[HomeTeam]:[HomeTeam]], N$1, Table1[[ActualResult]:[ActualResult]], "REG") + SUMIFS(Table1[[AwayWon]:[AwayWon]], Table1[[GameIsOver]:[GameIsOver]],1,Table1[[HomeTeam]:[HomeTeam]],$A14, Table1[[AwayTeam]:[AwayTeam]], N$1, Table1[[ActualResult]:[ActualResult]], "REG"),0), "-", TEXT(SUMIFS(Table1[[HomeWon]:[HomeWon]], Table1[[GameIsOver]:[GameIsOver]],1,Table1[[AwayTeam]:[AwayTeam]],$A14, Table1[[HomeTeam]:[HomeTeam]], N$1, Table1[[ActualResult]:[ActualResult]], "OT") + SUMIFS(Table1[[AwayWon]:[AwayWon]], Table1[[GameIsOver]:[GameIsOver]],1,Table1[[HomeTeam]:[HomeTeam]],$A14, Table1[[AwayTeam]:[AwayTeam]], N$1, Table1[[ActualResult]:[ActualResult]], "OT") + SUMIFS(Table1[[HomeWon]:[HomeWon]], Table1[[GameIsOver]:[GameIsOver]],1,Table1[[AwayTeam]:[AwayTeam]],$A14, Table1[[HomeTeam]:[HomeTeam]], N$1, Table1[[ActualResult]:[ActualResult]], "SO") + SUMIFS(Table1[[AwayWon]:[AwayWon]], Table1[[GameIsOver]:[GameIsOver]],1,Table1[[HomeTeam]:[HomeTeam]],$A14, Table1[[AwayTeam]:[AwayTeam]], N$1, Table1[[ActualResult]:[ActualResult]], "SO"),0))</f>
        <v>0-0-0</v>
      </c>
      <c r="O14" s="57" t="str">
        <f>_xlfn.CONCAT(TEXT(SUMIFS(Table1[[AwayWon]:[AwayWon]], Table1[[GameIsOver]:[GameIsOver]],1,Table1[[AwayTeam]:[AwayTeam]],$A14, Table1[[HomeTeam]:[HomeTeam]], O$1) + SUMIFS(Table1[[HomeWon]:[HomeWon]], Table1[[GameIsOver]:[GameIsOver]],1,Table1[[HomeTeam]:[HomeTeam]],$A14, Table1[[AwayTeam]:[AwayTeam]], O$1),0), "-", TEXT(SUMIFS(Table1[[HomeWon]:[HomeWon]], Table1[[GameIsOver]:[GameIsOver]],1,Table1[[AwayTeam]:[AwayTeam]],$A14, Table1[[HomeTeam]:[HomeTeam]], O$1, Table1[[ActualResult]:[ActualResult]], "REG") + SUMIFS(Table1[[AwayWon]:[AwayWon]], Table1[[GameIsOver]:[GameIsOver]],1,Table1[[HomeTeam]:[HomeTeam]],$A14, Table1[[AwayTeam]:[AwayTeam]], O$1, Table1[[ActualResult]:[ActualResult]], "REG"),0), "-", TEXT(SUMIFS(Table1[[HomeWon]:[HomeWon]], Table1[[GameIsOver]:[GameIsOver]],1,Table1[[AwayTeam]:[AwayTeam]],$A14, Table1[[HomeTeam]:[HomeTeam]], O$1, Table1[[ActualResult]:[ActualResult]], "OT") + SUMIFS(Table1[[AwayWon]:[AwayWon]], Table1[[GameIsOver]:[GameIsOver]],1,Table1[[HomeTeam]:[HomeTeam]],$A14, Table1[[AwayTeam]:[AwayTeam]], O$1, Table1[[ActualResult]:[ActualResult]], "OT") + SUMIFS(Table1[[HomeWon]:[HomeWon]], Table1[[GameIsOver]:[GameIsOver]],1,Table1[[AwayTeam]:[AwayTeam]],$A14, Table1[[HomeTeam]:[HomeTeam]], O$1, Table1[[ActualResult]:[ActualResult]], "SO") + SUMIFS(Table1[[AwayWon]:[AwayWon]], Table1[[GameIsOver]:[GameIsOver]],1,Table1[[HomeTeam]:[HomeTeam]],$A14, Table1[[AwayTeam]:[AwayTeam]], O$1, Table1[[ActualResult]:[ActualResult]], "SO"),0))</f>
        <v>0-0-0</v>
      </c>
      <c r="P14" s="57" t="str">
        <f>_xlfn.CONCAT(TEXT(SUMIFS(Table1[[AwayWon]:[AwayWon]], Table1[[GameIsOver]:[GameIsOver]],1,Table1[[AwayTeam]:[AwayTeam]],$A14, Table1[[HomeTeam]:[HomeTeam]], P$1) + SUMIFS(Table1[[HomeWon]:[HomeWon]], Table1[[GameIsOver]:[GameIsOver]],1,Table1[[HomeTeam]:[HomeTeam]],$A14, Table1[[AwayTeam]:[AwayTeam]], P$1),0), "-", TEXT(SUMIFS(Table1[[HomeWon]:[HomeWon]], Table1[[GameIsOver]:[GameIsOver]],1,Table1[[AwayTeam]:[AwayTeam]],$A14, Table1[[HomeTeam]:[HomeTeam]], P$1, Table1[[ActualResult]:[ActualResult]], "REG") + SUMIFS(Table1[[AwayWon]:[AwayWon]], Table1[[GameIsOver]:[GameIsOver]],1,Table1[[HomeTeam]:[HomeTeam]],$A14, Table1[[AwayTeam]:[AwayTeam]], P$1, Table1[[ActualResult]:[ActualResult]], "REG"),0), "-", TEXT(SUMIFS(Table1[[HomeWon]:[HomeWon]], Table1[[GameIsOver]:[GameIsOver]],1,Table1[[AwayTeam]:[AwayTeam]],$A14, Table1[[HomeTeam]:[HomeTeam]], P$1, Table1[[ActualResult]:[ActualResult]], "OT") + SUMIFS(Table1[[AwayWon]:[AwayWon]], Table1[[GameIsOver]:[GameIsOver]],1,Table1[[HomeTeam]:[HomeTeam]],$A14, Table1[[AwayTeam]:[AwayTeam]], P$1, Table1[[ActualResult]:[ActualResult]], "OT") + SUMIFS(Table1[[HomeWon]:[HomeWon]], Table1[[GameIsOver]:[GameIsOver]],1,Table1[[AwayTeam]:[AwayTeam]],$A14, Table1[[HomeTeam]:[HomeTeam]], P$1, Table1[[ActualResult]:[ActualResult]], "SO") + SUMIFS(Table1[[AwayWon]:[AwayWon]], Table1[[GameIsOver]:[GameIsOver]],1,Table1[[HomeTeam]:[HomeTeam]],$A14, Table1[[AwayTeam]:[AwayTeam]], P$1, Table1[[ActualResult]:[ActualResult]], "SO"),0))</f>
        <v>0-0-0</v>
      </c>
      <c r="Q14" s="59" t="str">
        <f>_xlfn.CONCAT(TEXT(SUMIFS(Table1[[AwayWon]:[AwayWon]], Table1[[GameIsOver]:[GameIsOver]],1,Table1[[AwayTeam]:[AwayTeam]],$A14, Table1[[HomeTeam]:[HomeTeam]], Q$1) + SUMIFS(Table1[[HomeWon]:[HomeWon]], Table1[[GameIsOver]:[GameIsOver]],1,Table1[[HomeTeam]:[HomeTeam]],$A14, Table1[[AwayTeam]:[AwayTeam]], Q$1),0), "-", TEXT(SUMIFS(Table1[[HomeWon]:[HomeWon]], Table1[[GameIsOver]:[GameIsOver]],1,Table1[[AwayTeam]:[AwayTeam]],$A14, Table1[[HomeTeam]:[HomeTeam]], Q$1, Table1[[ActualResult]:[ActualResult]], "REG") + SUMIFS(Table1[[AwayWon]:[AwayWon]], Table1[[GameIsOver]:[GameIsOver]],1,Table1[[HomeTeam]:[HomeTeam]],$A14, Table1[[AwayTeam]:[AwayTeam]], Q$1, Table1[[ActualResult]:[ActualResult]], "REG"),0), "-", TEXT(SUMIFS(Table1[[HomeWon]:[HomeWon]], Table1[[GameIsOver]:[GameIsOver]],1,Table1[[AwayTeam]:[AwayTeam]],$A14, Table1[[HomeTeam]:[HomeTeam]], Q$1, Table1[[ActualResult]:[ActualResult]], "OT") + SUMIFS(Table1[[AwayWon]:[AwayWon]], Table1[[GameIsOver]:[GameIsOver]],1,Table1[[HomeTeam]:[HomeTeam]],$A14, Table1[[AwayTeam]:[AwayTeam]], Q$1, Table1[[ActualResult]:[ActualResult]], "OT") + SUMIFS(Table1[[HomeWon]:[HomeWon]], Table1[[GameIsOver]:[GameIsOver]],1,Table1[[AwayTeam]:[AwayTeam]],$A14, Table1[[HomeTeam]:[HomeTeam]], Q$1, Table1[[ActualResult]:[ActualResult]], "SO") + SUMIFS(Table1[[AwayWon]:[AwayWon]], Table1[[GameIsOver]:[GameIsOver]],1,Table1[[HomeTeam]:[HomeTeam]],$A14, Table1[[AwayTeam]:[AwayTeam]], Q$1, Table1[[ActualResult]:[ActualResult]], "SO"),0))</f>
        <v>0-0-0</v>
      </c>
      <c r="R14" s="57" t="str">
        <f>_xlfn.CONCAT(TEXT(SUMIFS(Table1[[AwayWon]:[AwayWon]], Table1[[GameIsOver]:[GameIsOver]],1,Table1[[AwayTeam]:[AwayTeam]],$A14, Table1[[HomeTeam]:[HomeTeam]], R$1) + SUMIFS(Table1[[HomeWon]:[HomeWon]], Table1[[GameIsOver]:[GameIsOver]],1,Table1[[HomeTeam]:[HomeTeam]],$A14, Table1[[AwayTeam]:[AwayTeam]], R$1),0), "-", TEXT(SUMIFS(Table1[[HomeWon]:[HomeWon]], Table1[[GameIsOver]:[GameIsOver]],1,Table1[[AwayTeam]:[AwayTeam]],$A14, Table1[[HomeTeam]:[HomeTeam]], R$1, Table1[[ActualResult]:[ActualResult]], "REG") + SUMIFS(Table1[[AwayWon]:[AwayWon]], Table1[[GameIsOver]:[GameIsOver]],1,Table1[[HomeTeam]:[HomeTeam]],$A14, Table1[[AwayTeam]:[AwayTeam]], R$1, Table1[[ActualResult]:[ActualResult]], "REG"),0), "-", TEXT(SUMIFS(Table1[[HomeWon]:[HomeWon]], Table1[[GameIsOver]:[GameIsOver]],1,Table1[[AwayTeam]:[AwayTeam]],$A14, Table1[[HomeTeam]:[HomeTeam]], R$1, Table1[[ActualResult]:[ActualResult]], "OT") + SUMIFS(Table1[[AwayWon]:[AwayWon]], Table1[[GameIsOver]:[GameIsOver]],1,Table1[[HomeTeam]:[HomeTeam]],$A14, Table1[[AwayTeam]:[AwayTeam]], R$1, Table1[[ActualResult]:[ActualResult]], "OT") + SUMIFS(Table1[[HomeWon]:[HomeWon]], Table1[[GameIsOver]:[GameIsOver]],1,Table1[[AwayTeam]:[AwayTeam]],$A14, Table1[[HomeTeam]:[HomeTeam]], R$1, Table1[[ActualResult]:[ActualResult]], "SO") + SUMIFS(Table1[[AwayWon]:[AwayWon]], Table1[[GameIsOver]:[GameIsOver]],1,Table1[[HomeTeam]:[HomeTeam]],$A14, Table1[[AwayTeam]:[AwayTeam]], R$1, Table1[[ActualResult]:[ActualResult]], "SO"),0))</f>
        <v>0-0-0</v>
      </c>
      <c r="S14" s="57" t="str">
        <f>_xlfn.CONCAT(TEXT(SUMIFS(Table1[[AwayWon]:[AwayWon]], Table1[[GameIsOver]:[GameIsOver]],1,Table1[[AwayTeam]:[AwayTeam]],$A14, Table1[[HomeTeam]:[HomeTeam]], S$1) + SUMIFS(Table1[[HomeWon]:[HomeWon]], Table1[[GameIsOver]:[GameIsOver]],1,Table1[[HomeTeam]:[HomeTeam]],$A14, Table1[[AwayTeam]:[AwayTeam]], S$1),0), "-", TEXT(SUMIFS(Table1[[HomeWon]:[HomeWon]], Table1[[GameIsOver]:[GameIsOver]],1,Table1[[AwayTeam]:[AwayTeam]],$A14, Table1[[HomeTeam]:[HomeTeam]], S$1, Table1[[ActualResult]:[ActualResult]], "REG") + SUMIFS(Table1[[AwayWon]:[AwayWon]], Table1[[GameIsOver]:[GameIsOver]],1,Table1[[HomeTeam]:[HomeTeam]],$A14, Table1[[AwayTeam]:[AwayTeam]], S$1, Table1[[ActualResult]:[ActualResult]], "REG"),0), "-", TEXT(SUMIFS(Table1[[HomeWon]:[HomeWon]], Table1[[GameIsOver]:[GameIsOver]],1,Table1[[AwayTeam]:[AwayTeam]],$A14, Table1[[HomeTeam]:[HomeTeam]], S$1, Table1[[ActualResult]:[ActualResult]], "OT") + SUMIFS(Table1[[AwayWon]:[AwayWon]], Table1[[GameIsOver]:[GameIsOver]],1,Table1[[HomeTeam]:[HomeTeam]],$A14, Table1[[AwayTeam]:[AwayTeam]], S$1, Table1[[ActualResult]:[ActualResult]], "OT") + SUMIFS(Table1[[HomeWon]:[HomeWon]], Table1[[GameIsOver]:[GameIsOver]],1,Table1[[AwayTeam]:[AwayTeam]],$A14, Table1[[HomeTeam]:[HomeTeam]], S$1, Table1[[ActualResult]:[ActualResult]], "SO") + SUMIFS(Table1[[AwayWon]:[AwayWon]], Table1[[GameIsOver]:[GameIsOver]],1,Table1[[HomeTeam]:[HomeTeam]],$A14, Table1[[AwayTeam]:[AwayTeam]], S$1, Table1[[ActualResult]:[ActualResult]], "SO"),0))</f>
        <v>0-0-0</v>
      </c>
      <c r="T14" s="57" t="str">
        <f>_xlfn.CONCAT(TEXT(SUMIFS(Table1[[AwayWon]:[AwayWon]], Table1[[GameIsOver]:[GameIsOver]],1,Table1[[AwayTeam]:[AwayTeam]],$A14, Table1[[HomeTeam]:[HomeTeam]], T$1) + SUMIFS(Table1[[HomeWon]:[HomeWon]], Table1[[GameIsOver]:[GameIsOver]],1,Table1[[HomeTeam]:[HomeTeam]],$A14, Table1[[AwayTeam]:[AwayTeam]], T$1),0), "-", TEXT(SUMIFS(Table1[[HomeWon]:[HomeWon]], Table1[[GameIsOver]:[GameIsOver]],1,Table1[[AwayTeam]:[AwayTeam]],$A14, Table1[[HomeTeam]:[HomeTeam]], T$1, Table1[[ActualResult]:[ActualResult]], "REG") + SUMIFS(Table1[[AwayWon]:[AwayWon]], Table1[[GameIsOver]:[GameIsOver]],1,Table1[[HomeTeam]:[HomeTeam]],$A14, Table1[[AwayTeam]:[AwayTeam]], T$1, Table1[[ActualResult]:[ActualResult]], "REG"),0), "-", TEXT(SUMIFS(Table1[[HomeWon]:[HomeWon]], Table1[[GameIsOver]:[GameIsOver]],1,Table1[[AwayTeam]:[AwayTeam]],$A14, Table1[[HomeTeam]:[HomeTeam]], T$1, Table1[[ActualResult]:[ActualResult]], "OT") + SUMIFS(Table1[[AwayWon]:[AwayWon]], Table1[[GameIsOver]:[GameIsOver]],1,Table1[[HomeTeam]:[HomeTeam]],$A14, Table1[[AwayTeam]:[AwayTeam]], T$1, Table1[[ActualResult]:[ActualResult]], "OT") + SUMIFS(Table1[[HomeWon]:[HomeWon]], Table1[[GameIsOver]:[GameIsOver]],1,Table1[[AwayTeam]:[AwayTeam]],$A14, Table1[[HomeTeam]:[HomeTeam]], T$1, Table1[[ActualResult]:[ActualResult]], "SO") + SUMIFS(Table1[[AwayWon]:[AwayWon]], Table1[[GameIsOver]:[GameIsOver]],1,Table1[[HomeTeam]:[HomeTeam]],$A14, Table1[[AwayTeam]:[AwayTeam]], T$1, Table1[[ActualResult]:[ActualResult]], "SO"),0))</f>
        <v>0-0-0</v>
      </c>
      <c r="U14" s="57" t="str">
        <f>_xlfn.CONCAT(TEXT(SUMIFS(Table1[[AwayWon]:[AwayWon]], Table1[[GameIsOver]:[GameIsOver]],1,Table1[[AwayTeam]:[AwayTeam]],$A14, Table1[[HomeTeam]:[HomeTeam]], U$1) + SUMIFS(Table1[[HomeWon]:[HomeWon]], Table1[[GameIsOver]:[GameIsOver]],1,Table1[[HomeTeam]:[HomeTeam]],$A14, Table1[[AwayTeam]:[AwayTeam]], U$1),0), "-", TEXT(SUMIFS(Table1[[HomeWon]:[HomeWon]], Table1[[GameIsOver]:[GameIsOver]],1,Table1[[AwayTeam]:[AwayTeam]],$A14, Table1[[HomeTeam]:[HomeTeam]], U$1, Table1[[ActualResult]:[ActualResult]], "REG") + SUMIFS(Table1[[AwayWon]:[AwayWon]], Table1[[GameIsOver]:[GameIsOver]],1,Table1[[HomeTeam]:[HomeTeam]],$A14, Table1[[AwayTeam]:[AwayTeam]], U$1, Table1[[ActualResult]:[ActualResult]], "REG"),0), "-", TEXT(SUMIFS(Table1[[HomeWon]:[HomeWon]], Table1[[GameIsOver]:[GameIsOver]],1,Table1[[AwayTeam]:[AwayTeam]],$A14, Table1[[HomeTeam]:[HomeTeam]], U$1, Table1[[ActualResult]:[ActualResult]], "OT") + SUMIFS(Table1[[AwayWon]:[AwayWon]], Table1[[GameIsOver]:[GameIsOver]],1,Table1[[HomeTeam]:[HomeTeam]],$A14, Table1[[AwayTeam]:[AwayTeam]], U$1, Table1[[ActualResult]:[ActualResult]], "OT") + SUMIFS(Table1[[HomeWon]:[HomeWon]], Table1[[GameIsOver]:[GameIsOver]],1,Table1[[AwayTeam]:[AwayTeam]],$A14, Table1[[HomeTeam]:[HomeTeam]], U$1, Table1[[ActualResult]:[ActualResult]], "SO") + SUMIFS(Table1[[AwayWon]:[AwayWon]], Table1[[GameIsOver]:[GameIsOver]],1,Table1[[HomeTeam]:[HomeTeam]],$A14, Table1[[AwayTeam]:[AwayTeam]], U$1, Table1[[ActualResult]:[ActualResult]], "SO"),0))</f>
        <v>0-0-0</v>
      </c>
      <c r="V14" s="57" t="str">
        <f>_xlfn.CONCAT(TEXT(SUMIFS(Table1[[AwayWon]:[AwayWon]], Table1[[GameIsOver]:[GameIsOver]],1,Table1[[AwayTeam]:[AwayTeam]],$A14, Table1[[HomeTeam]:[HomeTeam]], V$1) + SUMIFS(Table1[[HomeWon]:[HomeWon]], Table1[[GameIsOver]:[GameIsOver]],1,Table1[[HomeTeam]:[HomeTeam]],$A14, Table1[[AwayTeam]:[AwayTeam]], V$1),0), "-", TEXT(SUMIFS(Table1[[HomeWon]:[HomeWon]], Table1[[GameIsOver]:[GameIsOver]],1,Table1[[AwayTeam]:[AwayTeam]],$A14, Table1[[HomeTeam]:[HomeTeam]], V$1, Table1[[ActualResult]:[ActualResult]], "REG") + SUMIFS(Table1[[AwayWon]:[AwayWon]], Table1[[GameIsOver]:[GameIsOver]],1,Table1[[HomeTeam]:[HomeTeam]],$A14, Table1[[AwayTeam]:[AwayTeam]], V$1, Table1[[ActualResult]:[ActualResult]], "REG"),0), "-", TEXT(SUMIFS(Table1[[HomeWon]:[HomeWon]], Table1[[GameIsOver]:[GameIsOver]],1,Table1[[AwayTeam]:[AwayTeam]],$A14, Table1[[HomeTeam]:[HomeTeam]], V$1, Table1[[ActualResult]:[ActualResult]], "OT") + SUMIFS(Table1[[AwayWon]:[AwayWon]], Table1[[GameIsOver]:[GameIsOver]],1,Table1[[HomeTeam]:[HomeTeam]],$A14, Table1[[AwayTeam]:[AwayTeam]], V$1, Table1[[ActualResult]:[ActualResult]], "OT") + SUMIFS(Table1[[HomeWon]:[HomeWon]], Table1[[GameIsOver]:[GameIsOver]],1,Table1[[AwayTeam]:[AwayTeam]],$A14, Table1[[HomeTeam]:[HomeTeam]], V$1, Table1[[ActualResult]:[ActualResult]], "SO") + SUMIFS(Table1[[AwayWon]:[AwayWon]], Table1[[GameIsOver]:[GameIsOver]],1,Table1[[HomeTeam]:[HomeTeam]],$A14, Table1[[AwayTeam]:[AwayTeam]], V$1, Table1[[ActualResult]:[ActualResult]], "SO"),0))</f>
        <v>0-0-0</v>
      </c>
      <c r="W14" s="57" t="str">
        <f>_xlfn.CONCAT(TEXT(SUMIFS(Table1[[AwayWon]:[AwayWon]], Table1[[GameIsOver]:[GameIsOver]],1,Table1[[AwayTeam]:[AwayTeam]],$A14, Table1[[HomeTeam]:[HomeTeam]], W$1) + SUMIFS(Table1[[HomeWon]:[HomeWon]], Table1[[GameIsOver]:[GameIsOver]],1,Table1[[HomeTeam]:[HomeTeam]],$A14, Table1[[AwayTeam]:[AwayTeam]], W$1),0), "-", TEXT(SUMIFS(Table1[[HomeWon]:[HomeWon]], Table1[[GameIsOver]:[GameIsOver]],1,Table1[[AwayTeam]:[AwayTeam]],$A14, Table1[[HomeTeam]:[HomeTeam]], W$1, Table1[[ActualResult]:[ActualResult]], "REG") + SUMIFS(Table1[[AwayWon]:[AwayWon]], Table1[[GameIsOver]:[GameIsOver]],1,Table1[[HomeTeam]:[HomeTeam]],$A14, Table1[[AwayTeam]:[AwayTeam]], W$1, Table1[[ActualResult]:[ActualResult]], "REG"),0), "-", TEXT(SUMIFS(Table1[[HomeWon]:[HomeWon]], Table1[[GameIsOver]:[GameIsOver]],1,Table1[[AwayTeam]:[AwayTeam]],$A14, Table1[[HomeTeam]:[HomeTeam]], W$1, Table1[[ActualResult]:[ActualResult]], "OT") + SUMIFS(Table1[[AwayWon]:[AwayWon]], Table1[[GameIsOver]:[GameIsOver]],1,Table1[[HomeTeam]:[HomeTeam]],$A14, Table1[[AwayTeam]:[AwayTeam]], W$1, Table1[[ActualResult]:[ActualResult]], "OT") + SUMIFS(Table1[[HomeWon]:[HomeWon]], Table1[[GameIsOver]:[GameIsOver]],1,Table1[[AwayTeam]:[AwayTeam]],$A14, Table1[[HomeTeam]:[HomeTeam]], W$1, Table1[[ActualResult]:[ActualResult]], "SO") + SUMIFS(Table1[[AwayWon]:[AwayWon]], Table1[[GameIsOver]:[GameIsOver]],1,Table1[[HomeTeam]:[HomeTeam]],$A14, Table1[[AwayTeam]:[AwayTeam]], W$1, Table1[[ActualResult]:[ActualResult]], "SO"),0))</f>
        <v>0-0-0</v>
      </c>
      <c r="X14" s="57" t="str">
        <f>_xlfn.CONCAT(TEXT(SUMIFS(Table1[[AwayWon]:[AwayWon]], Table1[[GameIsOver]:[GameIsOver]],1,Table1[[AwayTeam]:[AwayTeam]],$A14, Table1[[HomeTeam]:[HomeTeam]], X$1) + SUMIFS(Table1[[HomeWon]:[HomeWon]], Table1[[GameIsOver]:[GameIsOver]],1,Table1[[HomeTeam]:[HomeTeam]],$A14, Table1[[AwayTeam]:[AwayTeam]], X$1),0), "-", TEXT(SUMIFS(Table1[[HomeWon]:[HomeWon]], Table1[[GameIsOver]:[GameIsOver]],1,Table1[[AwayTeam]:[AwayTeam]],$A14, Table1[[HomeTeam]:[HomeTeam]], X$1, Table1[[ActualResult]:[ActualResult]], "REG") + SUMIFS(Table1[[AwayWon]:[AwayWon]], Table1[[GameIsOver]:[GameIsOver]],1,Table1[[HomeTeam]:[HomeTeam]],$A14, Table1[[AwayTeam]:[AwayTeam]], X$1, Table1[[ActualResult]:[ActualResult]], "REG"),0), "-", TEXT(SUMIFS(Table1[[HomeWon]:[HomeWon]], Table1[[GameIsOver]:[GameIsOver]],1,Table1[[AwayTeam]:[AwayTeam]],$A14, Table1[[HomeTeam]:[HomeTeam]], X$1, Table1[[ActualResult]:[ActualResult]], "OT") + SUMIFS(Table1[[AwayWon]:[AwayWon]], Table1[[GameIsOver]:[GameIsOver]],1,Table1[[HomeTeam]:[HomeTeam]],$A14, Table1[[AwayTeam]:[AwayTeam]], X$1, Table1[[ActualResult]:[ActualResult]], "OT") + SUMIFS(Table1[[HomeWon]:[HomeWon]], Table1[[GameIsOver]:[GameIsOver]],1,Table1[[AwayTeam]:[AwayTeam]],$A14, Table1[[HomeTeam]:[HomeTeam]], X$1, Table1[[ActualResult]:[ActualResult]], "SO") + SUMIFS(Table1[[AwayWon]:[AwayWon]], Table1[[GameIsOver]:[GameIsOver]],1,Table1[[HomeTeam]:[HomeTeam]],$A14, Table1[[AwayTeam]:[AwayTeam]], X$1, Table1[[ActualResult]:[ActualResult]], "SO"),0))</f>
        <v>0-0-0</v>
      </c>
      <c r="Y14" s="59" t="str">
        <f>_xlfn.CONCAT(TEXT(SUMIFS(Table1[[AwayWon]:[AwayWon]], Table1[[GameIsOver]:[GameIsOver]],1,Table1[[AwayTeam]:[AwayTeam]],$A14, Table1[[HomeTeam]:[HomeTeam]], Y$1) + SUMIFS(Table1[[HomeWon]:[HomeWon]], Table1[[GameIsOver]:[GameIsOver]],1,Table1[[HomeTeam]:[HomeTeam]],$A14, Table1[[AwayTeam]:[AwayTeam]], Y$1),0), "-", TEXT(SUMIFS(Table1[[HomeWon]:[HomeWon]], Table1[[GameIsOver]:[GameIsOver]],1,Table1[[AwayTeam]:[AwayTeam]],$A14, Table1[[HomeTeam]:[HomeTeam]], Y$1, Table1[[ActualResult]:[ActualResult]], "REG") + SUMIFS(Table1[[AwayWon]:[AwayWon]], Table1[[GameIsOver]:[GameIsOver]],1,Table1[[HomeTeam]:[HomeTeam]],$A14, Table1[[AwayTeam]:[AwayTeam]], Y$1, Table1[[ActualResult]:[ActualResult]], "REG"),0), "-", TEXT(SUMIFS(Table1[[HomeWon]:[HomeWon]], Table1[[GameIsOver]:[GameIsOver]],1,Table1[[AwayTeam]:[AwayTeam]],$A14, Table1[[HomeTeam]:[HomeTeam]], Y$1, Table1[[ActualResult]:[ActualResult]], "OT") + SUMIFS(Table1[[AwayWon]:[AwayWon]], Table1[[GameIsOver]:[GameIsOver]],1,Table1[[HomeTeam]:[HomeTeam]],$A14, Table1[[AwayTeam]:[AwayTeam]], Y$1, Table1[[ActualResult]:[ActualResult]], "OT") + SUMIFS(Table1[[HomeWon]:[HomeWon]], Table1[[GameIsOver]:[GameIsOver]],1,Table1[[AwayTeam]:[AwayTeam]],$A14, Table1[[HomeTeam]:[HomeTeam]], Y$1, Table1[[ActualResult]:[ActualResult]], "SO") + SUMIFS(Table1[[AwayWon]:[AwayWon]], Table1[[GameIsOver]:[GameIsOver]],1,Table1[[HomeTeam]:[HomeTeam]],$A14, Table1[[AwayTeam]:[AwayTeam]], Y$1, Table1[[ActualResult]:[ActualResult]], "SO"),0))</f>
        <v>0-0-0</v>
      </c>
      <c r="Z14" s="57" t="str">
        <f>_xlfn.CONCAT(TEXT(SUMIFS(Table1[[AwayWon]:[AwayWon]], Table1[[GameIsOver]:[GameIsOver]],1,Table1[[AwayTeam]:[AwayTeam]],$A14, Table1[[HomeTeam]:[HomeTeam]], Z$1) + SUMIFS(Table1[[HomeWon]:[HomeWon]], Table1[[GameIsOver]:[GameIsOver]],1,Table1[[HomeTeam]:[HomeTeam]],$A14, Table1[[AwayTeam]:[AwayTeam]], Z$1),0), "-", TEXT(SUMIFS(Table1[[HomeWon]:[HomeWon]], Table1[[GameIsOver]:[GameIsOver]],1,Table1[[AwayTeam]:[AwayTeam]],$A14, Table1[[HomeTeam]:[HomeTeam]], Z$1, Table1[[ActualResult]:[ActualResult]], "REG") + SUMIFS(Table1[[AwayWon]:[AwayWon]], Table1[[GameIsOver]:[GameIsOver]],1,Table1[[HomeTeam]:[HomeTeam]],$A14, Table1[[AwayTeam]:[AwayTeam]], Z$1, Table1[[ActualResult]:[ActualResult]], "REG"),0), "-", TEXT(SUMIFS(Table1[[HomeWon]:[HomeWon]], Table1[[GameIsOver]:[GameIsOver]],1,Table1[[AwayTeam]:[AwayTeam]],$A14, Table1[[HomeTeam]:[HomeTeam]], Z$1, Table1[[ActualResult]:[ActualResult]], "OT") + SUMIFS(Table1[[AwayWon]:[AwayWon]], Table1[[GameIsOver]:[GameIsOver]],1,Table1[[HomeTeam]:[HomeTeam]],$A14, Table1[[AwayTeam]:[AwayTeam]], Z$1, Table1[[ActualResult]:[ActualResult]], "OT") + SUMIFS(Table1[[HomeWon]:[HomeWon]], Table1[[GameIsOver]:[GameIsOver]],1,Table1[[AwayTeam]:[AwayTeam]],$A14, Table1[[HomeTeam]:[HomeTeam]], Z$1, Table1[[ActualResult]:[ActualResult]], "SO") + SUMIFS(Table1[[AwayWon]:[AwayWon]], Table1[[GameIsOver]:[GameIsOver]],1,Table1[[HomeTeam]:[HomeTeam]],$A14, Table1[[AwayTeam]:[AwayTeam]], Z$1, Table1[[ActualResult]:[ActualResult]], "SO"),0))</f>
        <v>0-0-0</v>
      </c>
      <c r="AA14" s="57" t="str">
        <f>_xlfn.CONCAT(TEXT(SUMIFS(Table1[[AwayWon]:[AwayWon]], Table1[[GameIsOver]:[GameIsOver]],1,Table1[[AwayTeam]:[AwayTeam]],$A14, Table1[[HomeTeam]:[HomeTeam]], AA$1) + SUMIFS(Table1[[HomeWon]:[HomeWon]], Table1[[GameIsOver]:[GameIsOver]],1,Table1[[HomeTeam]:[HomeTeam]],$A14, Table1[[AwayTeam]:[AwayTeam]], AA$1),0), "-", TEXT(SUMIFS(Table1[[HomeWon]:[HomeWon]], Table1[[GameIsOver]:[GameIsOver]],1,Table1[[AwayTeam]:[AwayTeam]],$A14, Table1[[HomeTeam]:[HomeTeam]], AA$1, Table1[[ActualResult]:[ActualResult]], "REG") + SUMIFS(Table1[[AwayWon]:[AwayWon]], Table1[[GameIsOver]:[GameIsOver]],1,Table1[[HomeTeam]:[HomeTeam]],$A14, Table1[[AwayTeam]:[AwayTeam]], AA$1, Table1[[ActualResult]:[ActualResult]], "REG"),0), "-", TEXT(SUMIFS(Table1[[HomeWon]:[HomeWon]], Table1[[GameIsOver]:[GameIsOver]],1,Table1[[AwayTeam]:[AwayTeam]],$A14, Table1[[HomeTeam]:[HomeTeam]], AA$1, Table1[[ActualResult]:[ActualResult]], "OT") + SUMIFS(Table1[[AwayWon]:[AwayWon]], Table1[[GameIsOver]:[GameIsOver]],1,Table1[[HomeTeam]:[HomeTeam]],$A14, Table1[[AwayTeam]:[AwayTeam]], AA$1, Table1[[ActualResult]:[ActualResult]], "OT") + SUMIFS(Table1[[HomeWon]:[HomeWon]], Table1[[GameIsOver]:[GameIsOver]],1,Table1[[AwayTeam]:[AwayTeam]],$A14, Table1[[HomeTeam]:[HomeTeam]], AA$1, Table1[[ActualResult]:[ActualResult]], "SO") + SUMIFS(Table1[[AwayWon]:[AwayWon]], Table1[[GameIsOver]:[GameIsOver]],1,Table1[[HomeTeam]:[HomeTeam]],$A14, Table1[[AwayTeam]:[AwayTeam]], AA$1, Table1[[ActualResult]:[ActualResult]], "SO"),0))</f>
        <v>0-0-0</v>
      </c>
      <c r="AB14" s="57" t="str">
        <f>_xlfn.CONCAT(TEXT(SUMIFS(Table1[[AwayWon]:[AwayWon]], Table1[[GameIsOver]:[GameIsOver]],1,Table1[[AwayTeam]:[AwayTeam]],$A14, Table1[[HomeTeam]:[HomeTeam]], AB$1) + SUMIFS(Table1[[HomeWon]:[HomeWon]], Table1[[GameIsOver]:[GameIsOver]],1,Table1[[HomeTeam]:[HomeTeam]],$A14, Table1[[AwayTeam]:[AwayTeam]], AB$1),0), "-", TEXT(SUMIFS(Table1[[HomeWon]:[HomeWon]], Table1[[GameIsOver]:[GameIsOver]],1,Table1[[AwayTeam]:[AwayTeam]],$A14, Table1[[HomeTeam]:[HomeTeam]], AB$1, Table1[[ActualResult]:[ActualResult]], "REG") + SUMIFS(Table1[[AwayWon]:[AwayWon]], Table1[[GameIsOver]:[GameIsOver]],1,Table1[[HomeTeam]:[HomeTeam]],$A14, Table1[[AwayTeam]:[AwayTeam]], AB$1, Table1[[ActualResult]:[ActualResult]], "REG"),0), "-", TEXT(SUMIFS(Table1[[HomeWon]:[HomeWon]], Table1[[GameIsOver]:[GameIsOver]],1,Table1[[AwayTeam]:[AwayTeam]],$A14, Table1[[HomeTeam]:[HomeTeam]], AB$1, Table1[[ActualResult]:[ActualResult]], "OT") + SUMIFS(Table1[[AwayWon]:[AwayWon]], Table1[[GameIsOver]:[GameIsOver]],1,Table1[[HomeTeam]:[HomeTeam]],$A14, Table1[[AwayTeam]:[AwayTeam]], AB$1, Table1[[ActualResult]:[ActualResult]], "OT") + SUMIFS(Table1[[HomeWon]:[HomeWon]], Table1[[GameIsOver]:[GameIsOver]],1,Table1[[AwayTeam]:[AwayTeam]],$A14, Table1[[HomeTeam]:[HomeTeam]], AB$1, Table1[[ActualResult]:[ActualResult]], "SO") + SUMIFS(Table1[[AwayWon]:[AwayWon]], Table1[[GameIsOver]:[GameIsOver]],1,Table1[[HomeTeam]:[HomeTeam]],$A14, Table1[[AwayTeam]:[AwayTeam]], AB$1, Table1[[ActualResult]:[ActualResult]], "SO"),0))</f>
        <v>0-1-0</v>
      </c>
      <c r="AC14" s="57" t="str">
        <f>_xlfn.CONCAT(TEXT(SUMIFS(Table1[[AwayWon]:[AwayWon]], Table1[[GameIsOver]:[GameIsOver]],1,Table1[[AwayTeam]:[AwayTeam]],$A14, Table1[[HomeTeam]:[HomeTeam]], AC$1) + SUMIFS(Table1[[HomeWon]:[HomeWon]], Table1[[GameIsOver]:[GameIsOver]],1,Table1[[HomeTeam]:[HomeTeam]],$A14, Table1[[AwayTeam]:[AwayTeam]], AC$1),0), "-", TEXT(SUMIFS(Table1[[HomeWon]:[HomeWon]], Table1[[GameIsOver]:[GameIsOver]],1,Table1[[AwayTeam]:[AwayTeam]],$A14, Table1[[HomeTeam]:[HomeTeam]], AC$1, Table1[[ActualResult]:[ActualResult]], "REG") + SUMIFS(Table1[[AwayWon]:[AwayWon]], Table1[[GameIsOver]:[GameIsOver]],1,Table1[[HomeTeam]:[HomeTeam]],$A14, Table1[[AwayTeam]:[AwayTeam]], AC$1, Table1[[ActualResult]:[ActualResult]], "REG"),0), "-", TEXT(SUMIFS(Table1[[HomeWon]:[HomeWon]], Table1[[GameIsOver]:[GameIsOver]],1,Table1[[AwayTeam]:[AwayTeam]],$A14, Table1[[HomeTeam]:[HomeTeam]], AC$1, Table1[[ActualResult]:[ActualResult]], "OT") + SUMIFS(Table1[[AwayWon]:[AwayWon]], Table1[[GameIsOver]:[GameIsOver]],1,Table1[[HomeTeam]:[HomeTeam]],$A14, Table1[[AwayTeam]:[AwayTeam]], AC$1, Table1[[ActualResult]:[ActualResult]], "OT") + SUMIFS(Table1[[HomeWon]:[HomeWon]], Table1[[GameIsOver]:[GameIsOver]],1,Table1[[AwayTeam]:[AwayTeam]],$A14, Table1[[HomeTeam]:[HomeTeam]], AC$1, Table1[[ActualResult]:[ActualResult]], "SO") + SUMIFS(Table1[[AwayWon]:[AwayWon]], Table1[[GameIsOver]:[GameIsOver]],1,Table1[[HomeTeam]:[HomeTeam]],$A14, Table1[[AwayTeam]:[AwayTeam]], AC$1, Table1[[ActualResult]:[ActualResult]], "SO"),0))</f>
        <v>0-0-0</v>
      </c>
      <c r="AD14" s="57" t="str">
        <f>_xlfn.CONCAT(TEXT(SUMIFS(Table1[[AwayWon]:[AwayWon]], Table1[[GameIsOver]:[GameIsOver]],1,Table1[[AwayTeam]:[AwayTeam]],$A14, Table1[[HomeTeam]:[HomeTeam]], AD$1) + SUMIFS(Table1[[HomeWon]:[HomeWon]], Table1[[GameIsOver]:[GameIsOver]],1,Table1[[HomeTeam]:[HomeTeam]],$A14, Table1[[AwayTeam]:[AwayTeam]], AD$1),0), "-", TEXT(SUMIFS(Table1[[HomeWon]:[HomeWon]], Table1[[GameIsOver]:[GameIsOver]],1,Table1[[AwayTeam]:[AwayTeam]],$A14, Table1[[HomeTeam]:[HomeTeam]], AD$1, Table1[[ActualResult]:[ActualResult]], "REG") + SUMIFS(Table1[[AwayWon]:[AwayWon]], Table1[[GameIsOver]:[GameIsOver]],1,Table1[[HomeTeam]:[HomeTeam]],$A14, Table1[[AwayTeam]:[AwayTeam]], AD$1, Table1[[ActualResult]:[ActualResult]], "REG"),0), "-", TEXT(SUMIFS(Table1[[HomeWon]:[HomeWon]], Table1[[GameIsOver]:[GameIsOver]],1,Table1[[AwayTeam]:[AwayTeam]],$A14, Table1[[HomeTeam]:[HomeTeam]], AD$1, Table1[[ActualResult]:[ActualResult]], "OT") + SUMIFS(Table1[[AwayWon]:[AwayWon]], Table1[[GameIsOver]:[GameIsOver]],1,Table1[[HomeTeam]:[HomeTeam]],$A14, Table1[[AwayTeam]:[AwayTeam]], AD$1, Table1[[ActualResult]:[ActualResult]], "OT") + SUMIFS(Table1[[HomeWon]:[HomeWon]], Table1[[GameIsOver]:[GameIsOver]],1,Table1[[AwayTeam]:[AwayTeam]],$A14, Table1[[HomeTeam]:[HomeTeam]], AD$1, Table1[[ActualResult]:[ActualResult]], "SO") + SUMIFS(Table1[[AwayWon]:[AwayWon]], Table1[[GameIsOver]:[GameIsOver]],1,Table1[[HomeTeam]:[HomeTeam]],$A14, Table1[[AwayTeam]:[AwayTeam]], AD$1, Table1[[ActualResult]:[ActualResult]], "SO"),0))</f>
        <v>0-0-0</v>
      </c>
      <c r="AE14" s="57" t="str">
        <f>_xlfn.CONCAT(TEXT(SUMIFS(Table1[[AwayWon]:[AwayWon]], Table1[[GameIsOver]:[GameIsOver]],1,Table1[[AwayTeam]:[AwayTeam]],$A14, Table1[[HomeTeam]:[HomeTeam]], AE$1) + SUMIFS(Table1[[HomeWon]:[HomeWon]], Table1[[GameIsOver]:[GameIsOver]],1,Table1[[HomeTeam]:[HomeTeam]],$A14, Table1[[AwayTeam]:[AwayTeam]], AE$1),0), "-", TEXT(SUMIFS(Table1[[HomeWon]:[HomeWon]], Table1[[GameIsOver]:[GameIsOver]],1,Table1[[AwayTeam]:[AwayTeam]],$A14, Table1[[HomeTeam]:[HomeTeam]], AE$1, Table1[[ActualResult]:[ActualResult]], "REG") + SUMIFS(Table1[[AwayWon]:[AwayWon]], Table1[[GameIsOver]:[GameIsOver]],1,Table1[[HomeTeam]:[HomeTeam]],$A14, Table1[[AwayTeam]:[AwayTeam]], AE$1, Table1[[ActualResult]:[ActualResult]], "REG"),0), "-", TEXT(SUMIFS(Table1[[HomeWon]:[HomeWon]], Table1[[GameIsOver]:[GameIsOver]],1,Table1[[AwayTeam]:[AwayTeam]],$A14, Table1[[HomeTeam]:[HomeTeam]], AE$1, Table1[[ActualResult]:[ActualResult]], "OT") + SUMIFS(Table1[[AwayWon]:[AwayWon]], Table1[[GameIsOver]:[GameIsOver]],1,Table1[[HomeTeam]:[HomeTeam]],$A14, Table1[[AwayTeam]:[AwayTeam]], AE$1, Table1[[ActualResult]:[ActualResult]], "OT") + SUMIFS(Table1[[HomeWon]:[HomeWon]], Table1[[GameIsOver]:[GameIsOver]],1,Table1[[AwayTeam]:[AwayTeam]],$A14, Table1[[HomeTeam]:[HomeTeam]], AE$1, Table1[[ActualResult]:[ActualResult]], "SO") + SUMIFS(Table1[[AwayWon]:[AwayWon]], Table1[[GameIsOver]:[GameIsOver]],1,Table1[[HomeTeam]:[HomeTeam]],$A14, Table1[[AwayTeam]:[AwayTeam]], AE$1, Table1[[ActualResult]:[ActualResult]], "SO"),0))</f>
        <v>0-0-0</v>
      </c>
      <c r="AF14" s="57" t="str">
        <f>_xlfn.CONCAT(TEXT(SUMIFS(Table1[[AwayWon]:[AwayWon]], Table1[[GameIsOver]:[GameIsOver]],1,Table1[[AwayTeam]:[AwayTeam]],$A14, Table1[[HomeTeam]:[HomeTeam]], AF$1) + SUMIFS(Table1[[HomeWon]:[HomeWon]], Table1[[GameIsOver]:[GameIsOver]],1,Table1[[HomeTeam]:[HomeTeam]],$A14, Table1[[AwayTeam]:[AwayTeam]], AF$1),0), "-", TEXT(SUMIFS(Table1[[HomeWon]:[HomeWon]], Table1[[GameIsOver]:[GameIsOver]],1,Table1[[AwayTeam]:[AwayTeam]],$A14, Table1[[HomeTeam]:[HomeTeam]], AF$1, Table1[[ActualResult]:[ActualResult]], "REG") + SUMIFS(Table1[[AwayWon]:[AwayWon]], Table1[[GameIsOver]:[GameIsOver]],1,Table1[[HomeTeam]:[HomeTeam]],$A14, Table1[[AwayTeam]:[AwayTeam]], AF$1, Table1[[ActualResult]:[ActualResult]], "REG"),0), "-", TEXT(SUMIFS(Table1[[HomeWon]:[HomeWon]], Table1[[GameIsOver]:[GameIsOver]],1,Table1[[AwayTeam]:[AwayTeam]],$A14, Table1[[HomeTeam]:[HomeTeam]], AF$1, Table1[[ActualResult]:[ActualResult]], "OT") + SUMIFS(Table1[[AwayWon]:[AwayWon]], Table1[[GameIsOver]:[GameIsOver]],1,Table1[[HomeTeam]:[HomeTeam]],$A14, Table1[[AwayTeam]:[AwayTeam]], AF$1, Table1[[ActualResult]:[ActualResult]], "OT") + SUMIFS(Table1[[HomeWon]:[HomeWon]], Table1[[GameIsOver]:[GameIsOver]],1,Table1[[AwayTeam]:[AwayTeam]],$A14, Table1[[HomeTeam]:[HomeTeam]], AF$1, Table1[[ActualResult]:[ActualResult]], "SO") + SUMIFS(Table1[[AwayWon]:[AwayWon]], Table1[[GameIsOver]:[GameIsOver]],1,Table1[[HomeTeam]:[HomeTeam]],$A14, Table1[[AwayTeam]:[AwayTeam]], AF$1, Table1[[ActualResult]:[ActualResult]], "SO"),0))</f>
        <v>0-0-0</v>
      </c>
      <c r="AG14" s="57" t="str">
        <f>_xlfn.CONCAT(TEXT(SUMIFS(Table1[[AwayWon]:[AwayWon]], Table1[[GameIsOver]:[GameIsOver]],1,Table1[[AwayTeam]:[AwayTeam]],$A14, Table1[[HomeTeam]:[HomeTeam]], AG$1) + SUMIFS(Table1[[HomeWon]:[HomeWon]], Table1[[GameIsOver]:[GameIsOver]],1,Table1[[HomeTeam]:[HomeTeam]],$A14, Table1[[AwayTeam]:[AwayTeam]], AG$1),0), "-", TEXT(SUMIFS(Table1[[HomeWon]:[HomeWon]], Table1[[GameIsOver]:[GameIsOver]],1,Table1[[AwayTeam]:[AwayTeam]],$A14, Table1[[HomeTeam]:[HomeTeam]], AG$1, Table1[[ActualResult]:[ActualResult]], "REG") + SUMIFS(Table1[[AwayWon]:[AwayWon]], Table1[[GameIsOver]:[GameIsOver]],1,Table1[[HomeTeam]:[HomeTeam]],$A14, Table1[[AwayTeam]:[AwayTeam]], AG$1, Table1[[ActualResult]:[ActualResult]], "REG"),0), "-", TEXT(SUMIFS(Table1[[HomeWon]:[HomeWon]], Table1[[GameIsOver]:[GameIsOver]],1,Table1[[AwayTeam]:[AwayTeam]],$A14, Table1[[HomeTeam]:[HomeTeam]], AG$1, Table1[[ActualResult]:[ActualResult]], "OT") + SUMIFS(Table1[[AwayWon]:[AwayWon]], Table1[[GameIsOver]:[GameIsOver]],1,Table1[[HomeTeam]:[HomeTeam]],$A14, Table1[[AwayTeam]:[AwayTeam]], AG$1, Table1[[ActualResult]:[ActualResult]], "OT") + SUMIFS(Table1[[HomeWon]:[HomeWon]], Table1[[GameIsOver]:[GameIsOver]],1,Table1[[AwayTeam]:[AwayTeam]],$A14, Table1[[HomeTeam]:[HomeTeam]], AG$1, Table1[[ActualResult]:[ActualResult]], "SO") + SUMIFS(Table1[[AwayWon]:[AwayWon]], Table1[[GameIsOver]:[GameIsOver]],1,Table1[[HomeTeam]:[HomeTeam]],$A14, Table1[[AwayTeam]:[AwayTeam]], AG$1, Table1[[ActualResult]:[ActualResult]], "SO"),0))</f>
        <v>0-0-0</v>
      </c>
    </row>
    <row r="15" spans="1:33" x14ac:dyDescent="0.25">
      <c r="A15" s="28" t="s">
        <v>61</v>
      </c>
      <c r="B15" s="57" t="str">
        <f>_xlfn.CONCAT(TEXT(SUMIFS(Table1[[AwayWon]:[AwayWon]], Table1[[GameIsOver]:[GameIsOver]],1,Table1[[AwayTeam]:[AwayTeam]],$A15, Table1[[HomeTeam]:[HomeTeam]], B$1) + SUMIFS(Table1[[HomeWon]:[HomeWon]], Table1[[GameIsOver]:[GameIsOver]],1,Table1[[HomeTeam]:[HomeTeam]],$A15, Table1[[AwayTeam]:[AwayTeam]], B$1),0), "-", TEXT(SUMIFS(Table1[[HomeWon]:[HomeWon]], Table1[[GameIsOver]:[GameIsOver]],1,Table1[[AwayTeam]:[AwayTeam]],$A15, Table1[[HomeTeam]:[HomeTeam]], B$1, Table1[[ActualResult]:[ActualResult]], "REG") + SUMIFS(Table1[[AwayWon]:[AwayWon]], Table1[[GameIsOver]:[GameIsOver]],1,Table1[[HomeTeam]:[HomeTeam]],$A15, Table1[[AwayTeam]:[AwayTeam]], B$1, Table1[[ActualResult]:[ActualResult]], "REG"),0), "-", TEXT(SUMIFS(Table1[[HomeWon]:[HomeWon]], Table1[[GameIsOver]:[GameIsOver]],1,Table1[[AwayTeam]:[AwayTeam]],$A15, Table1[[HomeTeam]:[HomeTeam]], B$1, Table1[[ActualResult]:[ActualResult]], "OT") + SUMIFS(Table1[[AwayWon]:[AwayWon]], Table1[[GameIsOver]:[GameIsOver]],1,Table1[[HomeTeam]:[HomeTeam]],$A15, Table1[[AwayTeam]:[AwayTeam]], B$1, Table1[[ActualResult]:[ActualResult]], "OT") + SUMIFS(Table1[[HomeWon]:[HomeWon]], Table1[[GameIsOver]:[GameIsOver]],1,Table1[[AwayTeam]:[AwayTeam]],$A15, Table1[[HomeTeam]:[HomeTeam]], B$1, Table1[[ActualResult]:[ActualResult]], "SO") + SUMIFS(Table1[[AwayWon]:[AwayWon]], Table1[[GameIsOver]:[GameIsOver]],1,Table1[[HomeTeam]:[HomeTeam]],$A15, Table1[[AwayTeam]:[AwayTeam]], B$1, Table1[[ActualResult]:[ActualResult]], "SO"),0))</f>
        <v>0-0-0</v>
      </c>
      <c r="C15" s="57" t="str">
        <f>_xlfn.CONCAT(TEXT(SUMIFS(Table1[[AwayWon]:[AwayWon]], Table1[[GameIsOver]:[GameIsOver]],1,Table1[[AwayTeam]:[AwayTeam]],$A15, Table1[[HomeTeam]:[HomeTeam]], C$1) + SUMIFS(Table1[[HomeWon]:[HomeWon]], Table1[[GameIsOver]:[GameIsOver]],1,Table1[[HomeTeam]:[HomeTeam]],$A15, Table1[[AwayTeam]:[AwayTeam]], C$1),0), "-", TEXT(SUMIFS(Table1[[HomeWon]:[HomeWon]], Table1[[GameIsOver]:[GameIsOver]],1,Table1[[AwayTeam]:[AwayTeam]],$A15, Table1[[HomeTeam]:[HomeTeam]], C$1, Table1[[ActualResult]:[ActualResult]], "REG") + SUMIFS(Table1[[AwayWon]:[AwayWon]], Table1[[GameIsOver]:[GameIsOver]],1,Table1[[HomeTeam]:[HomeTeam]],$A15, Table1[[AwayTeam]:[AwayTeam]], C$1, Table1[[ActualResult]:[ActualResult]], "REG"),0), "-", TEXT(SUMIFS(Table1[[HomeWon]:[HomeWon]], Table1[[GameIsOver]:[GameIsOver]],1,Table1[[AwayTeam]:[AwayTeam]],$A15, Table1[[HomeTeam]:[HomeTeam]], C$1, Table1[[ActualResult]:[ActualResult]], "OT") + SUMIFS(Table1[[AwayWon]:[AwayWon]], Table1[[GameIsOver]:[GameIsOver]],1,Table1[[HomeTeam]:[HomeTeam]],$A15, Table1[[AwayTeam]:[AwayTeam]], C$1, Table1[[ActualResult]:[ActualResult]], "OT") + SUMIFS(Table1[[HomeWon]:[HomeWon]], Table1[[GameIsOver]:[GameIsOver]],1,Table1[[AwayTeam]:[AwayTeam]],$A15, Table1[[HomeTeam]:[HomeTeam]], C$1, Table1[[ActualResult]:[ActualResult]], "SO") + SUMIFS(Table1[[AwayWon]:[AwayWon]], Table1[[GameIsOver]:[GameIsOver]],1,Table1[[HomeTeam]:[HomeTeam]],$A15, Table1[[AwayTeam]:[AwayTeam]], C$1, Table1[[ActualResult]:[ActualResult]], "SO"),0))</f>
        <v>0-0-0</v>
      </c>
      <c r="D15" s="57" t="str">
        <f>_xlfn.CONCAT(TEXT(SUMIFS(Table1[[AwayWon]:[AwayWon]], Table1[[GameIsOver]:[GameIsOver]],1,Table1[[AwayTeam]:[AwayTeam]],$A15, Table1[[HomeTeam]:[HomeTeam]], D$1) + SUMIFS(Table1[[HomeWon]:[HomeWon]], Table1[[GameIsOver]:[GameIsOver]],1,Table1[[HomeTeam]:[HomeTeam]],$A15, Table1[[AwayTeam]:[AwayTeam]], D$1),0), "-", TEXT(SUMIFS(Table1[[HomeWon]:[HomeWon]], Table1[[GameIsOver]:[GameIsOver]],1,Table1[[AwayTeam]:[AwayTeam]],$A15, Table1[[HomeTeam]:[HomeTeam]], D$1, Table1[[ActualResult]:[ActualResult]], "REG") + SUMIFS(Table1[[AwayWon]:[AwayWon]], Table1[[GameIsOver]:[GameIsOver]],1,Table1[[HomeTeam]:[HomeTeam]],$A15, Table1[[AwayTeam]:[AwayTeam]], D$1, Table1[[ActualResult]:[ActualResult]], "REG"),0), "-", TEXT(SUMIFS(Table1[[HomeWon]:[HomeWon]], Table1[[GameIsOver]:[GameIsOver]],1,Table1[[AwayTeam]:[AwayTeam]],$A15, Table1[[HomeTeam]:[HomeTeam]], D$1, Table1[[ActualResult]:[ActualResult]], "OT") + SUMIFS(Table1[[AwayWon]:[AwayWon]], Table1[[GameIsOver]:[GameIsOver]],1,Table1[[HomeTeam]:[HomeTeam]],$A15, Table1[[AwayTeam]:[AwayTeam]], D$1, Table1[[ActualResult]:[ActualResult]], "OT") + SUMIFS(Table1[[HomeWon]:[HomeWon]], Table1[[GameIsOver]:[GameIsOver]],1,Table1[[AwayTeam]:[AwayTeam]],$A15, Table1[[HomeTeam]:[HomeTeam]], D$1, Table1[[ActualResult]:[ActualResult]], "SO") + SUMIFS(Table1[[AwayWon]:[AwayWon]], Table1[[GameIsOver]:[GameIsOver]],1,Table1[[HomeTeam]:[HomeTeam]],$A15, Table1[[AwayTeam]:[AwayTeam]], D$1, Table1[[ActualResult]:[ActualResult]], "SO"),0))</f>
        <v>0-0-0</v>
      </c>
      <c r="E15" s="57" t="str">
        <f>_xlfn.CONCAT(TEXT(SUMIFS(Table1[[AwayWon]:[AwayWon]], Table1[[GameIsOver]:[GameIsOver]],1,Table1[[AwayTeam]:[AwayTeam]],$A15, Table1[[HomeTeam]:[HomeTeam]], E$1) + SUMIFS(Table1[[HomeWon]:[HomeWon]], Table1[[GameIsOver]:[GameIsOver]],1,Table1[[HomeTeam]:[HomeTeam]],$A15, Table1[[AwayTeam]:[AwayTeam]], E$1),0), "-", TEXT(SUMIFS(Table1[[HomeWon]:[HomeWon]], Table1[[GameIsOver]:[GameIsOver]],1,Table1[[AwayTeam]:[AwayTeam]],$A15, Table1[[HomeTeam]:[HomeTeam]], E$1, Table1[[ActualResult]:[ActualResult]], "REG") + SUMIFS(Table1[[AwayWon]:[AwayWon]], Table1[[GameIsOver]:[GameIsOver]],1,Table1[[HomeTeam]:[HomeTeam]],$A15, Table1[[AwayTeam]:[AwayTeam]], E$1, Table1[[ActualResult]:[ActualResult]], "REG"),0), "-", TEXT(SUMIFS(Table1[[HomeWon]:[HomeWon]], Table1[[GameIsOver]:[GameIsOver]],1,Table1[[AwayTeam]:[AwayTeam]],$A15, Table1[[HomeTeam]:[HomeTeam]], E$1, Table1[[ActualResult]:[ActualResult]], "OT") + SUMIFS(Table1[[AwayWon]:[AwayWon]], Table1[[GameIsOver]:[GameIsOver]],1,Table1[[HomeTeam]:[HomeTeam]],$A15, Table1[[AwayTeam]:[AwayTeam]], E$1, Table1[[ActualResult]:[ActualResult]], "OT") + SUMIFS(Table1[[HomeWon]:[HomeWon]], Table1[[GameIsOver]:[GameIsOver]],1,Table1[[AwayTeam]:[AwayTeam]],$A15, Table1[[HomeTeam]:[HomeTeam]], E$1, Table1[[ActualResult]:[ActualResult]], "SO") + SUMIFS(Table1[[AwayWon]:[AwayWon]], Table1[[GameIsOver]:[GameIsOver]],1,Table1[[HomeTeam]:[HomeTeam]],$A15, Table1[[AwayTeam]:[AwayTeam]], E$1, Table1[[ActualResult]:[ActualResult]], "SO"),0))</f>
        <v>0-0-0</v>
      </c>
      <c r="F15" s="57" t="str">
        <f>_xlfn.CONCAT(TEXT(SUMIFS(Table1[[AwayWon]:[AwayWon]], Table1[[GameIsOver]:[GameIsOver]],1,Table1[[AwayTeam]:[AwayTeam]],$A15, Table1[[HomeTeam]:[HomeTeam]], F$1) + SUMIFS(Table1[[HomeWon]:[HomeWon]], Table1[[GameIsOver]:[GameIsOver]],1,Table1[[HomeTeam]:[HomeTeam]],$A15, Table1[[AwayTeam]:[AwayTeam]], F$1),0), "-", TEXT(SUMIFS(Table1[[HomeWon]:[HomeWon]], Table1[[GameIsOver]:[GameIsOver]],1,Table1[[AwayTeam]:[AwayTeam]],$A15, Table1[[HomeTeam]:[HomeTeam]], F$1, Table1[[ActualResult]:[ActualResult]], "REG") + SUMIFS(Table1[[AwayWon]:[AwayWon]], Table1[[GameIsOver]:[GameIsOver]],1,Table1[[HomeTeam]:[HomeTeam]],$A15, Table1[[AwayTeam]:[AwayTeam]], F$1, Table1[[ActualResult]:[ActualResult]], "REG"),0), "-", TEXT(SUMIFS(Table1[[HomeWon]:[HomeWon]], Table1[[GameIsOver]:[GameIsOver]],1,Table1[[AwayTeam]:[AwayTeam]],$A15, Table1[[HomeTeam]:[HomeTeam]], F$1, Table1[[ActualResult]:[ActualResult]], "OT") + SUMIFS(Table1[[AwayWon]:[AwayWon]], Table1[[GameIsOver]:[GameIsOver]],1,Table1[[HomeTeam]:[HomeTeam]],$A15, Table1[[AwayTeam]:[AwayTeam]], F$1, Table1[[ActualResult]:[ActualResult]], "OT") + SUMIFS(Table1[[HomeWon]:[HomeWon]], Table1[[GameIsOver]:[GameIsOver]],1,Table1[[AwayTeam]:[AwayTeam]],$A15, Table1[[HomeTeam]:[HomeTeam]], F$1, Table1[[ActualResult]:[ActualResult]], "SO") + SUMIFS(Table1[[AwayWon]:[AwayWon]], Table1[[GameIsOver]:[GameIsOver]],1,Table1[[HomeTeam]:[HomeTeam]],$A15, Table1[[AwayTeam]:[AwayTeam]], F$1, Table1[[ActualResult]:[ActualResult]], "SO"),0))</f>
        <v>0-0-0</v>
      </c>
      <c r="G15" s="57" t="str">
        <f>_xlfn.CONCAT(TEXT(SUMIFS(Table1[[AwayWon]:[AwayWon]], Table1[[GameIsOver]:[GameIsOver]],1,Table1[[AwayTeam]:[AwayTeam]],$A15, Table1[[HomeTeam]:[HomeTeam]], G$1) + SUMIFS(Table1[[HomeWon]:[HomeWon]], Table1[[GameIsOver]:[GameIsOver]],1,Table1[[HomeTeam]:[HomeTeam]],$A15, Table1[[AwayTeam]:[AwayTeam]], G$1),0), "-", TEXT(SUMIFS(Table1[[HomeWon]:[HomeWon]], Table1[[GameIsOver]:[GameIsOver]],1,Table1[[AwayTeam]:[AwayTeam]],$A15, Table1[[HomeTeam]:[HomeTeam]], G$1, Table1[[ActualResult]:[ActualResult]], "REG") + SUMIFS(Table1[[AwayWon]:[AwayWon]], Table1[[GameIsOver]:[GameIsOver]],1,Table1[[HomeTeam]:[HomeTeam]],$A15, Table1[[AwayTeam]:[AwayTeam]], G$1, Table1[[ActualResult]:[ActualResult]], "REG"),0), "-", TEXT(SUMIFS(Table1[[HomeWon]:[HomeWon]], Table1[[GameIsOver]:[GameIsOver]],1,Table1[[AwayTeam]:[AwayTeam]],$A15, Table1[[HomeTeam]:[HomeTeam]], G$1, Table1[[ActualResult]:[ActualResult]], "OT") + SUMIFS(Table1[[AwayWon]:[AwayWon]], Table1[[GameIsOver]:[GameIsOver]],1,Table1[[HomeTeam]:[HomeTeam]],$A15, Table1[[AwayTeam]:[AwayTeam]], G$1, Table1[[ActualResult]:[ActualResult]], "OT") + SUMIFS(Table1[[HomeWon]:[HomeWon]], Table1[[GameIsOver]:[GameIsOver]],1,Table1[[AwayTeam]:[AwayTeam]],$A15, Table1[[HomeTeam]:[HomeTeam]], G$1, Table1[[ActualResult]:[ActualResult]], "SO") + SUMIFS(Table1[[AwayWon]:[AwayWon]], Table1[[GameIsOver]:[GameIsOver]],1,Table1[[HomeTeam]:[HomeTeam]],$A15, Table1[[AwayTeam]:[AwayTeam]], G$1, Table1[[ActualResult]:[ActualResult]], "SO"),0))</f>
        <v>0-0-0</v>
      </c>
      <c r="H15" s="57" t="str">
        <f>_xlfn.CONCAT(TEXT(SUMIFS(Table1[[AwayWon]:[AwayWon]], Table1[[GameIsOver]:[GameIsOver]],1,Table1[[AwayTeam]:[AwayTeam]],$A15, Table1[[HomeTeam]:[HomeTeam]], H$1) + SUMIFS(Table1[[HomeWon]:[HomeWon]], Table1[[GameIsOver]:[GameIsOver]],1,Table1[[HomeTeam]:[HomeTeam]],$A15, Table1[[AwayTeam]:[AwayTeam]], H$1),0), "-", TEXT(SUMIFS(Table1[[HomeWon]:[HomeWon]], Table1[[GameIsOver]:[GameIsOver]],1,Table1[[AwayTeam]:[AwayTeam]],$A15, Table1[[HomeTeam]:[HomeTeam]], H$1, Table1[[ActualResult]:[ActualResult]], "REG") + SUMIFS(Table1[[AwayWon]:[AwayWon]], Table1[[GameIsOver]:[GameIsOver]],1,Table1[[HomeTeam]:[HomeTeam]],$A15, Table1[[AwayTeam]:[AwayTeam]], H$1, Table1[[ActualResult]:[ActualResult]], "REG"),0), "-", TEXT(SUMIFS(Table1[[HomeWon]:[HomeWon]], Table1[[GameIsOver]:[GameIsOver]],1,Table1[[AwayTeam]:[AwayTeam]],$A15, Table1[[HomeTeam]:[HomeTeam]], H$1, Table1[[ActualResult]:[ActualResult]], "OT") + SUMIFS(Table1[[AwayWon]:[AwayWon]], Table1[[GameIsOver]:[GameIsOver]],1,Table1[[HomeTeam]:[HomeTeam]],$A15, Table1[[AwayTeam]:[AwayTeam]], H$1, Table1[[ActualResult]:[ActualResult]], "OT") + SUMIFS(Table1[[HomeWon]:[HomeWon]], Table1[[GameIsOver]:[GameIsOver]],1,Table1[[AwayTeam]:[AwayTeam]],$A15, Table1[[HomeTeam]:[HomeTeam]], H$1, Table1[[ActualResult]:[ActualResult]], "SO") + SUMIFS(Table1[[AwayWon]:[AwayWon]], Table1[[GameIsOver]:[GameIsOver]],1,Table1[[HomeTeam]:[HomeTeam]],$A15, Table1[[AwayTeam]:[AwayTeam]], H$1, Table1[[ActualResult]:[ActualResult]], "SO"),0))</f>
        <v>0-0-0</v>
      </c>
      <c r="I15" s="59" t="str">
        <f>_xlfn.CONCAT(TEXT(SUMIFS(Table1[[AwayWon]:[AwayWon]], Table1[[GameIsOver]:[GameIsOver]],1,Table1[[AwayTeam]:[AwayTeam]],$A15, Table1[[HomeTeam]:[HomeTeam]], I$1) + SUMIFS(Table1[[HomeWon]:[HomeWon]], Table1[[GameIsOver]:[GameIsOver]],1,Table1[[HomeTeam]:[HomeTeam]],$A15, Table1[[AwayTeam]:[AwayTeam]], I$1),0), "-", TEXT(SUMIFS(Table1[[HomeWon]:[HomeWon]], Table1[[GameIsOver]:[GameIsOver]],1,Table1[[AwayTeam]:[AwayTeam]],$A15, Table1[[HomeTeam]:[HomeTeam]], I$1, Table1[[ActualResult]:[ActualResult]], "REG") + SUMIFS(Table1[[AwayWon]:[AwayWon]], Table1[[GameIsOver]:[GameIsOver]],1,Table1[[HomeTeam]:[HomeTeam]],$A15, Table1[[AwayTeam]:[AwayTeam]], I$1, Table1[[ActualResult]:[ActualResult]], "REG"),0), "-", TEXT(SUMIFS(Table1[[HomeWon]:[HomeWon]], Table1[[GameIsOver]:[GameIsOver]],1,Table1[[AwayTeam]:[AwayTeam]],$A15, Table1[[HomeTeam]:[HomeTeam]], I$1, Table1[[ActualResult]:[ActualResult]], "OT") + SUMIFS(Table1[[AwayWon]:[AwayWon]], Table1[[GameIsOver]:[GameIsOver]],1,Table1[[HomeTeam]:[HomeTeam]],$A15, Table1[[AwayTeam]:[AwayTeam]], I$1, Table1[[ActualResult]:[ActualResult]], "OT") + SUMIFS(Table1[[HomeWon]:[HomeWon]], Table1[[GameIsOver]:[GameIsOver]],1,Table1[[AwayTeam]:[AwayTeam]],$A15, Table1[[HomeTeam]:[HomeTeam]], I$1, Table1[[ActualResult]:[ActualResult]], "SO") + SUMIFS(Table1[[AwayWon]:[AwayWon]], Table1[[GameIsOver]:[GameIsOver]],1,Table1[[HomeTeam]:[HomeTeam]],$A15, Table1[[AwayTeam]:[AwayTeam]], I$1, Table1[[ActualResult]:[ActualResult]], "SO"),0))</f>
        <v>0-0-0</v>
      </c>
      <c r="J15" s="57" t="str">
        <f>_xlfn.CONCAT(TEXT(SUMIFS(Table1[[AwayWon]:[AwayWon]], Table1[[GameIsOver]:[GameIsOver]],1,Table1[[AwayTeam]:[AwayTeam]],$A15, Table1[[HomeTeam]:[HomeTeam]], J$1) + SUMIFS(Table1[[HomeWon]:[HomeWon]], Table1[[GameIsOver]:[GameIsOver]],1,Table1[[HomeTeam]:[HomeTeam]],$A15, Table1[[AwayTeam]:[AwayTeam]], J$1),0), "-", TEXT(SUMIFS(Table1[[HomeWon]:[HomeWon]], Table1[[GameIsOver]:[GameIsOver]],1,Table1[[AwayTeam]:[AwayTeam]],$A15, Table1[[HomeTeam]:[HomeTeam]], J$1, Table1[[ActualResult]:[ActualResult]], "REG") + SUMIFS(Table1[[AwayWon]:[AwayWon]], Table1[[GameIsOver]:[GameIsOver]],1,Table1[[HomeTeam]:[HomeTeam]],$A15, Table1[[AwayTeam]:[AwayTeam]], J$1, Table1[[ActualResult]:[ActualResult]], "REG"),0), "-", TEXT(SUMIFS(Table1[[HomeWon]:[HomeWon]], Table1[[GameIsOver]:[GameIsOver]],1,Table1[[AwayTeam]:[AwayTeam]],$A15, Table1[[HomeTeam]:[HomeTeam]], J$1, Table1[[ActualResult]:[ActualResult]], "OT") + SUMIFS(Table1[[AwayWon]:[AwayWon]], Table1[[GameIsOver]:[GameIsOver]],1,Table1[[HomeTeam]:[HomeTeam]],$A15, Table1[[AwayTeam]:[AwayTeam]], J$1, Table1[[ActualResult]:[ActualResult]], "OT") + SUMIFS(Table1[[HomeWon]:[HomeWon]], Table1[[GameIsOver]:[GameIsOver]],1,Table1[[AwayTeam]:[AwayTeam]],$A15, Table1[[HomeTeam]:[HomeTeam]], J$1, Table1[[ActualResult]:[ActualResult]], "SO") + SUMIFS(Table1[[AwayWon]:[AwayWon]], Table1[[GameIsOver]:[GameIsOver]],1,Table1[[HomeTeam]:[HomeTeam]],$A15, Table1[[AwayTeam]:[AwayTeam]], J$1, Table1[[ActualResult]:[ActualResult]], "SO"),0))</f>
        <v>0-0-0</v>
      </c>
      <c r="K15" s="57" t="str">
        <f>_xlfn.CONCAT(TEXT(SUMIFS(Table1[[AwayWon]:[AwayWon]], Table1[[GameIsOver]:[GameIsOver]],1,Table1[[AwayTeam]:[AwayTeam]],$A15, Table1[[HomeTeam]:[HomeTeam]], K$1) + SUMIFS(Table1[[HomeWon]:[HomeWon]], Table1[[GameIsOver]:[GameIsOver]],1,Table1[[HomeTeam]:[HomeTeam]],$A15, Table1[[AwayTeam]:[AwayTeam]], K$1),0), "-", TEXT(SUMIFS(Table1[[HomeWon]:[HomeWon]], Table1[[GameIsOver]:[GameIsOver]],1,Table1[[AwayTeam]:[AwayTeam]],$A15, Table1[[HomeTeam]:[HomeTeam]], K$1, Table1[[ActualResult]:[ActualResult]], "REG") + SUMIFS(Table1[[AwayWon]:[AwayWon]], Table1[[GameIsOver]:[GameIsOver]],1,Table1[[HomeTeam]:[HomeTeam]],$A15, Table1[[AwayTeam]:[AwayTeam]], K$1, Table1[[ActualResult]:[ActualResult]], "REG"),0), "-", TEXT(SUMIFS(Table1[[HomeWon]:[HomeWon]], Table1[[GameIsOver]:[GameIsOver]],1,Table1[[AwayTeam]:[AwayTeam]],$A15, Table1[[HomeTeam]:[HomeTeam]], K$1, Table1[[ActualResult]:[ActualResult]], "OT") + SUMIFS(Table1[[AwayWon]:[AwayWon]], Table1[[GameIsOver]:[GameIsOver]],1,Table1[[HomeTeam]:[HomeTeam]],$A15, Table1[[AwayTeam]:[AwayTeam]], K$1, Table1[[ActualResult]:[ActualResult]], "OT") + SUMIFS(Table1[[HomeWon]:[HomeWon]], Table1[[GameIsOver]:[GameIsOver]],1,Table1[[AwayTeam]:[AwayTeam]],$A15, Table1[[HomeTeam]:[HomeTeam]], K$1, Table1[[ActualResult]:[ActualResult]], "SO") + SUMIFS(Table1[[AwayWon]:[AwayWon]], Table1[[GameIsOver]:[GameIsOver]],1,Table1[[HomeTeam]:[HomeTeam]],$A15, Table1[[AwayTeam]:[AwayTeam]], K$1, Table1[[ActualResult]:[ActualResult]], "SO"),0))</f>
        <v>0-0-0</v>
      </c>
      <c r="L15" s="57" t="str">
        <f>_xlfn.CONCAT(TEXT(SUMIFS(Table1[[AwayWon]:[AwayWon]], Table1[[GameIsOver]:[GameIsOver]],1,Table1[[AwayTeam]:[AwayTeam]],$A15, Table1[[HomeTeam]:[HomeTeam]], L$1) + SUMIFS(Table1[[HomeWon]:[HomeWon]], Table1[[GameIsOver]:[GameIsOver]],1,Table1[[HomeTeam]:[HomeTeam]],$A15, Table1[[AwayTeam]:[AwayTeam]], L$1),0), "-", TEXT(SUMIFS(Table1[[HomeWon]:[HomeWon]], Table1[[GameIsOver]:[GameIsOver]],1,Table1[[AwayTeam]:[AwayTeam]],$A15, Table1[[HomeTeam]:[HomeTeam]], L$1, Table1[[ActualResult]:[ActualResult]], "REG") + SUMIFS(Table1[[AwayWon]:[AwayWon]], Table1[[GameIsOver]:[GameIsOver]],1,Table1[[HomeTeam]:[HomeTeam]],$A15, Table1[[AwayTeam]:[AwayTeam]], L$1, Table1[[ActualResult]:[ActualResult]], "REG"),0), "-", TEXT(SUMIFS(Table1[[HomeWon]:[HomeWon]], Table1[[GameIsOver]:[GameIsOver]],1,Table1[[AwayTeam]:[AwayTeam]],$A15, Table1[[HomeTeam]:[HomeTeam]], L$1, Table1[[ActualResult]:[ActualResult]], "OT") + SUMIFS(Table1[[AwayWon]:[AwayWon]], Table1[[GameIsOver]:[GameIsOver]],1,Table1[[HomeTeam]:[HomeTeam]],$A15, Table1[[AwayTeam]:[AwayTeam]], L$1, Table1[[ActualResult]:[ActualResult]], "OT") + SUMIFS(Table1[[HomeWon]:[HomeWon]], Table1[[GameIsOver]:[GameIsOver]],1,Table1[[AwayTeam]:[AwayTeam]],$A15, Table1[[HomeTeam]:[HomeTeam]], L$1, Table1[[ActualResult]:[ActualResult]], "SO") + SUMIFS(Table1[[AwayWon]:[AwayWon]], Table1[[GameIsOver]:[GameIsOver]],1,Table1[[HomeTeam]:[HomeTeam]],$A15, Table1[[AwayTeam]:[AwayTeam]], L$1, Table1[[ActualResult]:[ActualResult]], "SO"),0))</f>
        <v>0-0-0</v>
      </c>
      <c r="M15" s="57" t="str">
        <f>_xlfn.CONCAT(TEXT(SUMIFS(Table1[[AwayWon]:[AwayWon]], Table1[[GameIsOver]:[GameIsOver]],1,Table1[[AwayTeam]:[AwayTeam]],$A15, Table1[[HomeTeam]:[HomeTeam]], M$1) + SUMIFS(Table1[[HomeWon]:[HomeWon]], Table1[[GameIsOver]:[GameIsOver]],1,Table1[[HomeTeam]:[HomeTeam]],$A15, Table1[[AwayTeam]:[AwayTeam]], M$1),0), "-", TEXT(SUMIFS(Table1[[HomeWon]:[HomeWon]], Table1[[GameIsOver]:[GameIsOver]],1,Table1[[AwayTeam]:[AwayTeam]],$A15, Table1[[HomeTeam]:[HomeTeam]], M$1, Table1[[ActualResult]:[ActualResult]], "REG") + SUMIFS(Table1[[AwayWon]:[AwayWon]], Table1[[GameIsOver]:[GameIsOver]],1,Table1[[HomeTeam]:[HomeTeam]],$A15, Table1[[AwayTeam]:[AwayTeam]], M$1, Table1[[ActualResult]:[ActualResult]], "REG"),0), "-", TEXT(SUMIFS(Table1[[HomeWon]:[HomeWon]], Table1[[GameIsOver]:[GameIsOver]],1,Table1[[AwayTeam]:[AwayTeam]],$A15, Table1[[HomeTeam]:[HomeTeam]], M$1, Table1[[ActualResult]:[ActualResult]], "OT") + SUMIFS(Table1[[AwayWon]:[AwayWon]], Table1[[GameIsOver]:[GameIsOver]],1,Table1[[HomeTeam]:[HomeTeam]],$A15, Table1[[AwayTeam]:[AwayTeam]], M$1, Table1[[ActualResult]:[ActualResult]], "OT") + SUMIFS(Table1[[HomeWon]:[HomeWon]], Table1[[GameIsOver]:[GameIsOver]],1,Table1[[AwayTeam]:[AwayTeam]],$A15, Table1[[HomeTeam]:[HomeTeam]], M$1, Table1[[ActualResult]:[ActualResult]], "SO") + SUMIFS(Table1[[AwayWon]:[AwayWon]], Table1[[GameIsOver]:[GameIsOver]],1,Table1[[HomeTeam]:[HomeTeam]],$A15, Table1[[AwayTeam]:[AwayTeam]], M$1, Table1[[ActualResult]:[ActualResult]], "SO"),0))</f>
        <v>0-0-0</v>
      </c>
      <c r="N15" s="57" t="str">
        <f>_xlfn.CONCAT(TEXT(SUMIFS(Table1[[AwayWon]:[AwayWon]], Table1[[GameIsOver]:[GameIsOver]],1,Table1[[AwayTeam]:[AwayTeam]],$A15, Table1[[HomeTeam]:[HomeTeam]], N$1) + SUMIFS(Table1[[HomeWon]:[HomeWon]], Table1[[GameIsOver]:[GameIsOver]],1,Table1[[HomeTeam]:[HomeTeam]],$A15, Table1[[AwayTeam]:[AwayTeam]], N$1),0), "-", TEXT(SUMIFS(Table1[[HomeWon]:[HomeWon]], Table1[[GameIsOver]:[GameIsOver]],1,Table1[[AwayTeam]:[AwayTeam]],$A15, Table1[[HomeTeam]:[HomeTeam]], N$1, Table1[[ActualResult]:[ActualResult]], "REG") + SUMIFS(Table1[[AwayWon]:[AwayWon]], Table1[[GameIsOver]:[GameIsOver]],1,Table1[[HomeTeam]:[HomeTeam]],$A15, Table1[[AwayTeam]:[AwayTeam]], N$1, Table1[[ActualResult]:[ActualResult]], "REG"),0), "-", TEXT(SUMIFS(Table1[[HomeWon]:[HomeWon]], Table1[[GameIsOver]:[GameIsOver]],1,Table1[[AwayTeam]:[AwayTeam]],$A15, Table1[[HomeTeam]:[HomeTeam]], N$1, Table1[[ActualResult]:[ActualResult]], "OT") + SUMIFS(Table1[[AwayWon]:[AwayWon]], Table1[[GameIsOver]:[GameIsOver]],1,Table1[[HomeTeam]:[HomeTeam]],$A15, Table1[[AwayTeam]:[AwayTeam]], N$1, Table1[[ActualResult]:[ActualResult]], "OT") + SUMIFS(Table1[[HomeWon]:[HomeWon]], Table1[[GameIsOver]:[GameIsOver]],1,Table1[[AwayTeam]:[AwayTeam]],$A15, Table1[[HomeTeam]:[HomeTeam]], N$1, Table1[[ActualResult]:[ActualResult]], "SO") + SUMIFS(Table1[[AwayWon]:[AwayWon]], Table1[[GameIsOver]:[GameIsOver]],1,Table1[[HomeTeam]:[HomeTeam]],$A15, Table1[[AwayTeam]:[AwayTeam]], N$1, Table1[[ActualResult]:[ActualResult]], "SO"),0))</f>
        <v>0-0-0</v>
      </c>
      <c r="O15" s="57" t="str">
        <f>_xlfn.CONCAT(TEXT(SUMIFS(Table1[[AwayWon]:[AwayWon]], Table1[[GameIsOver]:[GameIsOver]],1,Table1[[AwayTeam]:[AwayTeam]],$A15, Table1[[HomeTeam]:[HomeTeam]], O$1) + SUMIFS(Table1[[HomeWon]:[HomeWon]], Table1[[GameIsOver]:[GameIsOver]],1,Table1[[HomeTeam]:[HomeTeam]],$A15, Table1[[AwayTeam]:[AwayTeam]], O$1),0), "-", TEXT(SUMIFS(Table1[[HomeWon]:[HomeWon]], Table1[[GameIsOver]:[GameIsOver]],1,Table1[[AwayTeam]:[AwayTeam]],$A15, Table1[[HomeTeam]:[HomeTeam]], O$1, Table1[[ActualResult]:[ActualResult]], "REG") + SUMIFS(Table1[[AwayWon]:[AwayWon]], Table1[[GameIsOver]:[GameIsOver]],1,Table1[[HomeTeam]:[HomeTeam]],$A15, Table1[[AwayTeam]:[AwayTeam]], O$1, Table1[[ActualResult]:[ActualResult]], "REG"),0), "-", TEXT(SUMIFS(Table1[[HomeWon]:[HomeWon]], Table1[[GameIsOver]:[GameIsOver]],1,Table1[[AwayTeam]:[AwayTeam]],$A15, Table1[[HomeTeam]:[HomeTeam]], O$1, Table1[[ActualResult]:[ActualResult]], "OT") + SUMIFS(Table1[[AwayWon]:[AwayWon]], Table1[[GameIsOver]:[GameIsOver]],1,Table1[[HomeTeam]:[HomeTeam]],$A15, Table1[[AwayTeam]:[AwayTeam]], O$1, Table1[[ActualResult]:[ActualResult]], "OT") + SUMIFS(Table1[[HomeWon]:[HomeWon]], Table1[[GameIsOver]:[GameIsOver]],1,Table1[[AwayTeam]:[AwayTeam]],$A15, Table1[[HomeTeam]:[HomeTeam]], O$1, Table1[[ActualResult]:[ActualResult]], "SO") + SUMIFS(Table1[[AwayWon]:[AwayWon]], Table1[[GameIsOver]:[GameIsOver]],1,Table1[[HomeTeam]:[HomeTeam]],$A15, Table1[[AwayTeam]:[AwayTeam]], O$1, Table1[[ActualResult]:[ActualResult]], "SO"),0))</f>
        <v>0-0-0</v>
      </c>
      <c r="P15" s="57" t="str">
        <f>_xlfn.CONCAT(TEXT(SUMIFS(Table1[[AwayWon]:[AwayWon]], Table1[[GameIsOver]:[GameIsOver]],1,Table1[[AwayTeam]:[AwayTeam]],$A15, Table1[[HomeTeam]:[HomeTeam]], P$1) + SUMIFS(Table1[[HomeWon]:[HomeWon]], Table1[[GameIsOver]:[GameIsOver]],1,Table1[[HomeTeam]:[HomeTeam]],$A15, Table1[[AwayTeam]:[AwayTeam]], P$1),0), "-", TEXT(SUMIFS(Table1[[HomeWon]:[HomeWon]], Table1[[GameIsOver]:[GameIsOver]],1,Table1[[AwayTeam]:[AwayTeam]],$A15, Table1[[HomeTeam]:[HomeTeam]], P$1, Table1[[ActualResult]:[ActualResult]], "REG") + SUMIFS(Table1[[AwayWon]:[AwayWon]], Table1[[GameIsOver]:[GameIsOver]],1,Table1[[HomeTeam]:[HomeTeam]],$A15, Table1[[AwayTeam]:[AwayTeam]], P$1, Table1[[ActualResult]:[ActualResult]], "REG"),0), "-", TEXT(SUMIFS(Table1[[HomeWon]:[HomeWon]], Table1[[GameIsOver]:[GameIsOver]],1,Table1[[AwayTeam]:[AwayTeam]],$A15, Table1[[HomeTeam]:[HomeTeam]], P$1, Table1[[ActualResult]:[ActualResult]], "OT") + SUMIFS(Table1[[AwayWon]:[AwayWon]], Table1[[GameIsOver]:[GameIsOver]],1,Table1[[HomeTeam]:[HomeTeam]],$A15, Table1[[AwayTeam]:[AwayTeam]], P$1, Table1[[ActualResult]:[ActualResult]], "OT") + SUMIFS(Table1[[HomeWon]:[HomeWon]], Table1[[GameIsOver]:[GameIsOver]],1,Table1[[AwayTeam]:[AwayTeam]],$A15, Table1[[HomeTeam]:[HomeTeam]], P$1, Table1[[ActualResult]:[ActualResult]], "SO") + SUMIFS(Table1[[AwayWon]:[AwayWon]], Table1[[GameIsOver]:[GameIsOver]],1,Table1[[HomeTeam]:[HomeTeam]],$A15, Table1[[AwayTeam]:[AwayTeam]], P$1, Table1[[ActualResult]:[ActualResult]], "SO"),0))</f>
        <v>0-0-0</v>
      </c>
      <c r="Q15" s="59" t="str">
        <f>_xlfn.CONCAT(TEXT(SUMIFS(Table1[[AwayWon]:[AwayWon]], Table1[[GameIsOver]:[GameIsOver]],1,Table1[[AwayTeam]:[AwayTeam]],$A15, Table1[[HomeTeam]:[HomeTeam]], Q$1) + SUMIFS(Table1[[HomeWon]:[HomeWon]], Table1[[GameIsOver]:[GameIsOver]],1,Table1[[HomeTeam]:[HomeTeam]],$A15, Table1[[AwayTeam]:[AwayTeam]], Q$1),0), "-", TEXT(SUMIFS(Table1[[HomeWon]:[HomeWon]], Table1[[GameIsOver]:[GameIsOver]],1,Table1[[AwayTeam]:[AwayTeam]],$A15, Table1[[HomeTeam]:[HomeTeam]], Q$1, Table1[[ActualResult]:[ActualResult]], "REG") + SUMIFS(Table1[[AwayWon]:[AwayWon]], Table1[[GameIsOver]:[GameIsOver]],1,Table1[[HomeTeam]:[HomeTeam]],$A15, Table1[[AwayTeam]:[AwayTeam]], Q$1, Table1[[ActualResult]:[ActualResult]], "REG"),0), "-", TEXT(SUMIFS(Table1[[HomeWon]:[HomeWon]], Table1[[GameIsOver]:[GameIsOver]],1,Table1[[AwayTeam]:[AwayTeam]],$A15, Table1[[HomeTeam]:[HomeTeam]], Q$1, Table1[[ActualResult]:[ActualResult]], "OT") + SUMIFS(Table1[[AwayWon]:[AwayWon]], Table1[[GameIsOver]:[GameIsOver]],1,Table1[[HomeTeam]:[HomeTeam]],$A15, Table1[[AwayTeam]:[AwayTeam]], Q$1, Table1[[ActualResult]:[ActualResult]], "OT") + SUMIFS(Table1[[HomeWon]:[HomeWon]], Table1[[GameIsOver]:[GameIsOver]],1,Table1[[AwayTeam]:[AwayTeam]],$A15, Table1[[HomeTeam]:[HomeTeam]], Q$1, Table1[[ActualResult]:[ActualResult]], "SO") + SUMIFS(Table1[[AwayWon]:[AwayWon]], Table1[[GameIsOver]:[GameIsOver]],1,Table1[[HomeTeam]:[HomeTeam]],$A15, Table1[[AwayTeam]:[AwayTeam]], Q$1, Table1[[ActualResult]:[ActualResult]], "SO"),0))</f>
        <v>0-0-0</v>
      </c>
      <c r="R15" s="57" t="str">
        <f>_xlfn.CONCAT(TEXT(SUMIFS(Table1[[AwayWon]:[AwayWon]], Table1[[GameIsOver]:[GameIsOver]],1,Table1[[AwayTeam]:[AwayTeam]],$A15, Table1[[HomeTeam]:[HomeTeam]], R$1) + SUMIFS(Table1[[HomeWon]:[HomeWon]], Table1[[GameIsOver]:[GameIsOver]],1,Table1[[HomeTeam]:[HomeTeam]],$A15, Table1[[AwayTeam]:[AwayTeam]], R$1),0), "-", TEXT(SUMIFS(Table1[[HomeWon]:[HomeWon]], Table1[[GameIsOver]:[GameIsOver]],1,Table1[[AwayTeam]:[AwayTeam]],$A15, Table1[[HomeTeam]:[HomeTeam]], R$1, Table1[[ActualResult]:[ActualResult]], "REG") + SUMIFS(Table1[[AwayWon]:[AwayWon]], Table1[[GameIsOver]:[GameIsOver]],1,Table1[[HomeTeam]:[HomeTeam]],$A15, Table1[[AwayTeam]:[AwayTeam]], R$1, Table1[[ActualResult]:[ActualResult]], "REG"),0), "-", TEXT(SUMIFS(Table1[[HomeWon]:[HomeWon]], Table1[[GameIsOver]:[GameIsOver]],1,Table1[[AwayTeam]:[AwayTeam]],$A15, Table1[[HomeTeam]:[HomeTeam]], R$1, Table1[[ActualResult]:[ActualResult]], "OT") + SUMIFS(Table1[[AwayWon]:[AwayWon]], Table1[[GameIsOver]:[GameIsOver]],1,Table1[[HomeTeam]:[HomeTeam]],$A15, Table1[[AwayTeam]:[AwayTeam]], R$1, Table1[[ActualResult]:[ActualResult]], "OT") + SUMIFS(Table1[[HomeWon]:[HomeWon]], Table1[[GameIsOver]:[GameIsOver]],1,Table1[[AwayTeam]:[AwayTeam]],$A15, Table1[[HomeTeam]:[HomeTeam]], R$1, Table1[[ActualResult]:[ActualResult]], "SO") + SUMIFS(Table1[[AwayWon]:[AwayWon]], Table1[[GameIsOver]:[GameIsOver]],1,Table1[[HomeTeam]:[HomeTeam]],$A15, Table1[[AwayTeam]:[AwayTeam]], R$1, Table1[[ActualResult]:[ActualResult]], "SO"),0))</f>
        <v>0-0-0</v>
      </c>
      <c r="S15" s="57" t="str">
        <f>_xlfn.CONCAT(TEXT(SUMIFS(Table1[[AwayWon]:[AwayWon]], Table1[[GameIsOver]:[GameIsOver]],1,Table1[[AwayTeam]:[AwayTeam]],$A15, Table1[[HomeTeam]:[HomeTeam]], S$1) + SUMIFS(Table1[[HomeWon]:[HomeWon]], Table1[[GameIsOver]:[GameIsOver]],1,Table1[[HomeTeam]:[HomeTeam]],$A15, Table1[[AwayTeam]:[AwayTeam]], S$1),0), "-", TEXT(SUMIFS(Table1[[HomeWon]:[HomeWon]], Table1[[GameIsOver]:[GameIsOver]],1,Table1[[AwayTeam]:[AwayTeam]],$A15, Table1[[HomeTeam]:[HomeTeam]], S$1, Table1[[ActualResult]:[ActualResult]], "REG") + SUMIFS(Table1[[AwayWon]:[AwayWon]], Table1[[GameIsOver]:[GameIsOver]],1,Table1[[HomeTeam]:[HomeTeam]],$A15, Table1[[AwayTeam]:[AwayTeam]], S$1, Table1[[ActualResult]:[ActualResult]], "REG"),0), "-", TEXT(SUMIFS(Table1[[HomeWon]:[HomeWon]], Table1[[GameIsOver]:[GameIsOver]],1,Table1[[AwayTeam]:[AwayTeam]],$A15, Table1[[HomeTeam]:[HomeTeam]], S$1, Table1[[ActualResult]:[ActualResult]], "OT") + SUMIFS(Table1[[AwayWon]:[AwayWon]], Table1[[GameIsOver]:[GameIsOver]],1,Table1[[HomeTeam]:[HomeTeam]],$A15, Table1[[AwayTeam]:[AwayTeam]], S$1, Table1[[ActualResult]:[ActualResult]], "OT") + SUMIFS(Table1[[HomeWon]:[HomeWon]], Table1[[GameIsOver]:[GameIsOver]],1,Table1[[AwayTeam]:[AwayTeam]],$A15, Table1[[HomeTeam]:[HomeTeam]], S$1, Table1[[ActualResult]:[ActualResult]], "SO") + SUMIFS(Table1[[AwayWon]:[AwayWon]], Table1[[GameIsOver]:[GameIsOver]],1,Table1[[HomeTeam]:[HomeTeam]],$A15, Table1[[AwayTeam]:[AwayTeam]], S$1, Table1[[ActualResult]:[ActualResult]], "SO"),0))</f>
        <v>0-0-0</v>
      </c>
      <c r="T15" s="57" t="str">
        <f>_xlfn.CONCAT(TEXT(SUMIFS(Table1[[AwayWon]:[AwayWon]], Table1[[GameIsOver]:[GameIsOver]],1,Table1[[AwayTeam]:[AwayTeam]],$A15, Table1[[HomeTeam]:[HomeTeam]], T$1) + SUMIFS(Table1[[HomeWon]:[HomeWon]], Table1[[GameIsOver]:[GameIsOver]],1,Table1[[HomeTeam]:[HomeTeam]],$A15, Table1[[AwayTeam]:[AwayTeam]], T$1),0), "-", TEXT(SUMIFS(Table1[[HomeWon]:[HomeWon]], Table1[[GameIsOver]:[GameIsOver]],1,Table1[[AwayTeam]:[AwayTeam]],$A15, Table1[[HomeTeam]:[HomeTeam]], T$1, Table1[[ActualResult]:[ActualResult]], "REG") + SUMIFS(Table1[[AwayWon]:[AwayWon]], Table1[[GameIsOver]:[GameIsOver]],1,Table1[[HomeTeam]:[HomeTeam]],$A15, Table1[[AwayTeam]:[AwayTeam]], T$1, Table1[[ActualResult]:[ActualResult]], "REG"),0), "-", TEXT(SUMIFS(Table1[[HomeWon]:[HomeWon]], Table1[[GameIsOver]:[GameIsOver]],1,Table1[[AwayTeam]:[AwayTeam]],$A15, Table1[[HomeTeam]:[HomeTeam]], T$1, Table1[[ActualResult]:[ActualResult]], "OT") + SUMIFS(Table1[[AwayWon]:[AwayWon]], Table1[[GameIsOver]:[GameIsOver]],1,Table1[[HomeTeam]:[HomeTeam]],$A15, Table1[[AwayTeam]:[AwayTeam]], T$1, Table1[[ActualResult]:[ActualResult]], "OT") + SUMIFS(Table1[[HomeWon]:[HomeWon]], Table1[[GameIsOver]:[GameIsOver]],1,Table1[[AwayTeam]:[AwayTeam]],$A15, Table1[[HomeTeam]:[HomeTeam]], T$1, Table1[[ActualResult]:[ActualResult]], "SO") + SUMIFS(Table1[[AwayWon]:[AwayWon]], Table1[[GameIsOver]:[GameIsOver]],1,Table1[[HomeTeam]:[HomeTeam]],$A15, Table1[[AwayTeam]:[AwayTeam]], T$1, Table1[[ActualResult]:[ActualResult]], "SO"),0))</f>
        <v>0-0-0</v>
      </c>
      <c r="U15" s="57" t="str">
        <f>_xlfn.CONCAT(TEXT(SUMIFS(Table1[[AwayWon]:[AwayWon]], Table1[[GameIsOver]:[GameIsOver]],1,Table1[[AwayTeam]:[AwayTeam]],$A15, Table1[[HomeTeam]:[HomeTeam]], U$1) + SUMIFS(Table1[[HomeWon]:[HomeWon]], Table1[[GameIsOver]:[GameIsOver]],1,Table1[[HomeTeam]:[HomeTeam]],$A15, Table1[[AwayTeam]:[AwayTeam]], U$1),0), "-", TEXT(SUMIFS(Table1[[HomeWon]:[HomeWon]], Table1[[GameIsOver]:[GameIsOver]],1,Table1[[AwayTeam]:[AwayTeam]],$A15, Table1[[HomeTeam]:[HomeTeam]], U$1, Table1[[ActualResult]:[ActualResult]], "REG") + SUMIFS(Table1[[AwayWon]:[AwayWon]], Table1[[GameIsOver]:[GameIsOver]],1,Table1[[HomeTeam]:[HomeTeam]],$A15, Table1[[AwayTeam]:[AwayTeam]], U$1, Table1[[ActualResult]:[ActualResult]], "REG"),0), "-", TEXT(SUMIFS(Table1[[HomeWon]:[HomeWon]], Table1[[GameIsOver]:[GameIsOver]],1,Table1[[AwayTeam]:[AwayTeam]],$A15, Table1[[HomeTeam]:[HomeTeam]], U$1, Table1[[ActualResult]:[ActualResult]], "OT") + SUMIFS(Table1[[AwayWon]:[AwayWon]], Table1[[GameIsOver]:[GameIsOver]],1,Table1[[HomeTeam]:[HomeTeam]],$A15, Table1[[AwayTeam]:[AwayTeam]], U$1, Table1[[ActualResult]:[ActualResult]], "OT") + SUMIFS(Table1[[HomeWon]:[HomeWon]], Table1[[GameIsOver]:[GameIsOver]],1,Table1[[AwayTeam]:[AwayTeam]],$A15, Table1[[HomeTeam]:[HomeTeam]], U$1, Table1[[ActualResult]:[ActualResult]], "SO") + SUMIFS(Table1[[AwayWon]:[AwayWon]], Table1[[GameIsOver]:[GameIsOver]],1,Table1[[HomeTeam]:[HomeTeam]],$A15, Table1[[AwayTeam]:[AwayTeam]], U$1, Table1[[ActualResult]:[ActualResult]], "SO"),0))</f>
        <v>0-0-1</v>
      </c>
      <c r="V15" s="57" t="str">
        <f>_xlfn.CONCAT(TEXT(SUMIFS(Table1[[AwayWon]:[AwayWon]], Table1[[GameIsOver]:[GameIsOver]],1,Table1[[AwayTeam]:[AwayTeam]],$A15, Table1[[HomeTeam]:[HomeTeam]], V$1) + SUMIFS(Table1[[HomeWon]:[HomeWon]], Table1[[GameIsOver]:[GameIsOver]],1,Table1[[HomeTeam]:[HomeTeam]],$A15, Table1[[AwayTeam]:[AwayTeam]], V$1),0), "-", TEXT(SUMIFS(Table1[[HomeWon]:[HomeWon]], Table1[[GameIsOver]:[GameIsOver]],1,Table1[[AwayTeam]:[AwayTeam]],$A15, Table1[[HomeTeam]:[HomeTeam]], V$1, Table1[[ActualResult]:[ActualResult]], "REG") + SUMIFS(Table1[[AwayWon]:[AwayWon]], Table1[[GameIsOver]:[GameIsOver]],1,Table1[[HomeTeam]:[HomeTeam]],$A15, Table1[[AwayTeam]:[AwayTeam]], V$1, Table1[[ActualResult]:[ActualResult]], "REG"),0), "-", TEXT(SUMIFS(Table1[[HomeWon]:[HomeWon]], Table1[[GameIsOver]:[GameIsOver]],1,Table1[[AwayTeam]:[AwayTeam]],$A15, Table1[[HomeTeam]:[HomeTeam]], V$1, Table1[[ActualResult]:[ActualResult]], "OT") + SUMIFS(Table1[[AwayWon]:[AwayWon]], Table1[[GameIsOver]:[GameIsOver]],1,Table1[[HomeTeam]:[HomeTeam]],$A15, Table1[[AwayTeam]:[AwayTeam]], V$1, Table1[[ActualResult]:[ActualResult]], "OT") + SUMIFS(Table1[[HomeWon]:[HomeWon]], Table1[[GameIsOver]:[GameIsOver]],1,Table1[[AwayTeam]:[AwayTeam]],$A15, Table1[[HomeTeam]:[HomeTeam]], V$1, Table1[[ActualResult]:[ActualResult]], "SO") + SUMIFS(Table1[[AwayWon]:[AwayWon]], Table1[[GameIsOver]:[GameIsOver]],1,Table1[[HomeTeam]:[HomeTeam]],$A15, Table1[[AwayTeam]:[AwayTeam]], V$1, Table1[[ActualResult]:[ActualResult]], "SO"),0))</f>
        <v>0-0-0</v>
      </c>
      <c r="W15" s="57" t="str">
        <f>_xlfn.CONCAT(TEXT(SUMIFS(Table1[[AwayWon]:[AwayWon]], Table1[[GameIsOver]:[GameIsOver]],1,Table1[[AwayTeam]:[AwayTeam]],$A15, Table1[[HomeTeam]:[HomeTeam]], W$1) + SUMIFS(Table1[[HomeWon]:[HomeWon]], Table1[[GameIsOver]:[GameIsOver]],1,Table1[[HomeTeam]:[HomeTeam]],$A15, Table1[[AwayTeam]:[AwayTeam]], W$1),0), "-", TEXT(SUMIFS(Table1[[HomeWon]:[HomeWon]], Table1[[GameIsOver]:[GameIsOver]],1,Table1[[AwayTeam]:[AwayTeam]],$A15, Table1[[HomeTeam]:[HomeTeam]], W$1, Table1[[ActualResult]:[ActualResult]], "REG") + SUMIFS(Table1[[AwayWon]:[AwayWon]], Table1[[GameIsOver]:[GameIsOver]],1,Table1[[HomeTeam]:[HomeTeam]],$A15, Table1[[AwayTeam]:[AwayTeam]], W$1, Table1[[ActualResult]:[ActualResult]], "REG"),0), "-", TEXT(SUMIFS(Table1[[HomeWon]:[HomeWon]], Table1[[GameIsOver]:[GameIsOver]],1,Table1[[AwayTeam]:[AwayTeam]],$A15, Table1[[HomeTeam]:[HomeTeam]], W$1, Table1[[ActualResult]:[ActualResult]], "OT") + SUMIFS(Table1[[AwayWon]:[AwayWon]], Table1[[GameIsOver]:[GameIsOver]],1,Table1[[HomeTeam]:[HomeTeam]],$A15, Table1[[AwayTeam]:[AwayTeam]], W$1, Table1[[ActualResult]:[ActualResult]], "OT") + SUMIFS(Table1[[HomeWon]:[HomeWon]], Table1[[GameIsOver]:[GameIsOver]],1,Table1[[AwayTeam]:[AwayTeam]],$A15, Table1[[HomeTeam]:[HomeTeam]], W$1, Table1[[ActualResult]:[ActualResult]], "SO") + SUMIFS(Table1[[AwayWon]:[AwayWon]], Table1[[GameIsOver]:[GameIsOver]],1,Table1[[HomeTeam]:[HomeTeam]],$A15, Table1[[AwayTeam]:[AwayTeam]], W$1, Table1[[ActualResult]:[ActualResult]], "SO"),0))</f>
        <v>0-0-0</v>
      </c>
      <c r="X15" s="57" t="str">
        <f>_xlfn.CONCAT(TEXT(SUMIFS(Table1[[AwayWon]:[AwayWon]], Table1[[GameIsOver]:[GameIsOver]],1,Table1[[AwayTeam]:[AwayTeam]],$A15, Table1[[HomeTeam]:[HomeTeam]], X$1) + SUMIFS(Table1[[HomeWon]:[HomeWon]], Table1[[GameIsOver]:[GameIsOver]],1,Table1[[HomeTeam]:[HomeTeam]],$A15, Table1[[AwayTeam]:[AwayTeam]], X$1),0), "-", TEXT(SUMIFS(Table1[[HomeWon]:[HomeWon]], Table1[[GameIsOver]:[GameIsOver]],1,Table1[[AwayTeam]:[AwayTeam]],$A15, Table1[[HomeTeam]:[HomeTeam]], X$1, Table1[[ActualResult]:[ActualResult]], "REG") + SUMIFS(Table1[[AwayWon]:[AwayWon]], Table1[[GameIsOver]:[GameIsOver]],1,Table1[[HomeTeam]:[HomeTeam]],$A15, Table1[[AwayTeam]:[AwayTeam]], X$1, Table1[[ActualResult]:[ActualResult]], "REG"),0), "-", TEXT(SUMIFS(Table1[[HomeWon]:[HomeWon]], Table1[[GameIsOver]:[GameIsOver]],1,Table1[[AwayTeam]:[AwayTeam]],$A15, Table1[[HomeTeam]:[HomeTeam]], X$1, Table1[[ActualResult]:[ActualResult]], "OT") + SUMIFS(Table1[[AwayWon]:[AwayWon]], Table1[[GameIsOver]:[GameIsOver]],1,Table1[[HomeTeam]:[HomeTeam]],$A15, Table1[[AwayTeam]:[AwayTeam]], X$1, Table1[[ActualResult]:[ActualResult]], "OT") + SUMIFS(Table1[[HomeWon]:[HomeWon]], Table1[[GameIsOver]:[GameIsOver]],1,Table1[[AwayTeam]:[AwayTeam]],$A15, Table1[[HomeTeam]:[HomeTeam]], X$1, Table1[[ActualResult]:[ActualResult]], "SO") + SUMIFS(Table1[[AwayWon]:[AwayWon]], Table1[[GameIsOver]:[GameIsOver]],1,Table1[[HomeTeam]:[HomeTeam]],$A15, Table1[[AwayTeam]:[AwayTeam]], X$1, Table1[[ActualResult]:[ActualResult]], "SO"),0))</f>
        <v>0-0-0</v>
      </c>
      <c r="Y15" s="59" t="str">
        <f>_xlfn.CONCAT(TEXT(SUMIFS(Table1[[AwayWon]:[AwayWon]], Table1[[GameIsOver]:[GameIsOver]],1,Table1[[AwayTeam]:[AwayTeam]],$A15, Table1[[HomeTeam]:[HomeTeam]], Y$1) + SUMIFS(Table1[[HomeWon]:[HomeWon]], Table1[[GameIsOver]:[GameIsOver]],1,Table1[[HomeTeam]:[HomeTeam]],$A15, Table1[[AwayTeam]:[AwayTeam]], Y$1),0), "-", TEXT(SUMIFS(Table1[[HomeWon]:[HomeWon]], Table1[[GameIsOver]:[GameIsOver]],1,Table1[[AwayTeam]:[AwayTeam]],$A15, Table1[[HomeTeam]:[HomeTeam]], Y$1, Table1[[ActualResult]:[ActualResult]], "REG") + SUMIFS(Table1[[AwayWon]:[AwayWon]], Table1[[GameIsOver]:[GameIsOver]],1,Table1[[HomeTeam]:[HomeTeam]],$A15, Table1[[AwayTeam]:[AwayTeam]], Y$1, Table1[[ActualResult]:[ActualResult]], "REG"),0), "-", TEXT(SUMIFS(Table1[[HomeWon]:[HomeWon]], Table1[[GameIsOver]:[GameIsOver]],1,Table1[[AwayTeam]:[AwayTeam]],$A15, Table1[[HomeTeam]:[HomeTeam]], Y$1, Table1[[ActualResult]:[ActualResult]], "OT") + SUMIFS(Table1[[AwayWon]:[AwayWon]], Table1[[GameIsOver]:[GameIsOver]],1,Table1[[HomeTeam]:[HomeTeam]],$A15, Table1[[AwayTeam]:[AwayTeam]], Y$1, Table1[[ActualResult]:[ActualResult]], "OT") + SUMIFS(Table1[[HomeWon]:[HomeWon]], Table1[[GameIsOver]:[GameIsOver]],1,Table1[[AwayTeam]:[AwayTeam]],$A15, Table1[[HomeTeam]:[HomeTeam]], Y$1, Table1[[ActualResult]:[ActualResult]], "SO") + SUMIFS(Table1[[AwayWon]:[AwayWon]], Table1[[GameIsOver]:[GameIsOver]],1,Table1[[HomeTeam]:[HomeTeam]],$A15, Table1[[AwayTeam]:[AwayTeam]], Y$1, Table1[[ActualResult]:[ActualResult]], "SO"),0))</f>
        <v>0-0-0</v>
      </c>
      <c r="Z15" s="57" t="str">
        <f>_xlfn.CONCAT(TEXT(SUMIFS(Table1[[AwayWon]:[AwayWon]], Table1[[GameIsOver]:[GameIsOver]],1,Table1[[AwayTeam]:[AwayTeam]],$A15, Table1[[HomeTeam]:[HomeTeam]], Z$1) + SUMIFS(Table1[[HomeWon]:[HomeWon]], Table1[[GameIsOver]:[GameIsOver]],1,Table1[[HomeTeam]:[HomeTeam]],$A15, Table1[[AwayTeam]:[AwayTeam]], Z$1),0), "-", TEXT(SUMIFS(Table1[[HomeWon]:[HomeWon]], Table1[[GameIsOver]:[GameIsOver]],1,Table1[[AwayTeam]:[AwayTeam]],$A15, Table1[[HomeTeam]:[HomeTeam]], Z$1, Table1[[ActualResult]:[ActualResult]], "REG") + SUMIFS(Table1[[AwayWon]:[AwayWon]], Table1[[GameIsOver]:[GameIsOver]],1,Table1[[HomeTeam]:[HomeTeam]],$A15, Table1[[AwayTeam]:[AwayTeam]], Z$1, Table1[[ActualResult]:[ActualResult]], "REG"),0), "-", TEXT(SUMIFS(Table1[[HomeWon]:[HomeWon]], Table1[[GameIsOver]:[GameIsOver]],1,Table1[[AwayTeam]:[AwayTeam]],$A15, Table1[[HomeTeam]:[HomeTeam]], Z$1, Table1[[ActualResult]:[ActualResult]], "OT") + SUMIFS(Table1[[AwayWon]:[AwayWon]], Table1[[GameIsOver]:[GameIsOver]],1,Table1[[HomeTeam]:[HomeTeam]],$A15, Table1[[AwayTeam]:[AwayTeam]], Z$1, Table1[[ActualResult]:[ActualResult]], "OT") + SUMIFS(Table1[[HomeWon]:[HomeWon]], Table1[[GameIsOver]:[GameIsOver]],1,Table1[[AwayTeam]:[AwayTeam]],$A15, Table1[[HomeTeam]:[HomeTeam]], Z$1, Table1[[ActualResult]:[ActualResult]], "SO") + SUMIFS(Table1[[AwayWon]:[AwayWon]], Table1[[GameIsOver]:[GameIsOver]],1,Table1[[HomeTeam]:[HomeTeam]],$A15, Table1[[AwayTeam]:[AwayTeam]], Z$1, Table1[[ActualResult]:[ActualResult]], "SO"),0))</f>
        <v>0-0-0</v>
      </c>
      <c r="AA15" s="57" t="str">
        <f>_xlfn.CONCAT(TEXT(SUMIFS(Table1[[AwayWon]:[AwayWon]], Table1[[GameIsOver]:[GameIsOver]],1,Table1[[AwayTeam]:[AwayTeam]],$A15, Table1[[HomeTeam]:[HomeTeam]], AA$1) + SUMIFS(Table1[[HomeWon]:[HomeWon]], Table1[[GameIsOver]:[GameIsOver]],1,Table1[[HomeTeam]:[HomeTeam]],$A15, Table1[[AwayTeam]:[AwayTeam]], AA$1),0), "-", TEXT(SUMIFS(Table1[[HomeWon]:[HomeWon]], Table1[[GameIsOver]:[GameIsOver]],1,Table1[[AwayTeam]:[AwayTeam]],$A15, Table1[[HomeTeam]:[HomeTeam]], AA$1, Table1[[ActualResult]:[ActualResult]], "REG") + SUMIFS(Table1[[AwayWon]:[AwayWon]], Table1[[GameIsOver]:[GameIsOver]],1,Table1[[HomeTeam]:[HomeTeam]],$A15, Table1[[AwayTeam]:[AwayTeam]], AA$1, Table1[[ActualResult]:[ActualResult]], "REG"),0), "-", TEXT(SUMIFS(Table1[[HomeWon]:[HomeWon]], Table1[[GameIsOver]:[GameIsOver]],1,Table1[[AwayTeam]:[AwayTeam]],$A15, Table1[[HomeTeam]:[HomeTeam]], AA$1, Table1[[ActualResult]:[ActualResult]], "OT") + SUMIFS(Table1[[AwayWon]:[AwayWon]], Table1[[GameIsOver]:[GameIsOver]],1,Table1[[HomeTeam]:[HomeTeam]],$A15, Table1[[AwayTeam]:[AwayTeam]], AA$1, Table1[[ActualResult]:[ActualResult]], "OT") + SUMIFS(Table1[[HomeWon]:[HomeWon]], Table1[[GameIsOver]:[GameIsOver]],1,Table1[[AwayTeam]:[AwayTeam]],$A15, Table1[[HomeTeam]:[HomeTeam]], AA$1, Table1[[ActualResult]:[ActualResult]], "SO") + SUMIFS(Table1[[AwayWon]:[AwayWon]], Table1[[GameIsOver]:[GameIsOver]],1,Table1[[HomeTeam]:[HomeTeam]],$A15, Table1[[AwayTeam]:[AwayTeam]], AA$1, Table1[[ActualResult]:[ActualResult]], "SO"),0))</f>
        <v>0-0-0</v>
      </c>
      <c r="AB15" s="57" t="str">
        <f>_xlfn.CONCAT(TEXT(SUMIFS(Table1[[AwayWon]:[AwayWon]], Table1[[GameIsOver]:[GameIsOver]],1,Table1[[AwayTeam]:[AwayTeam]],$A15, Table1[[HomeTeam]:[HomeTeam]], AB$1) + SUMIFS(Table1[[HomeWon]:[HomeWon]], Table1[[GameIsOver]:[GameIsOver]],1,Table1[[HomeTeam]:[HomeTeam]],$A15, Table1[[AwayTeam]:[AwayTeam]], AB$1),0), "-", TEXT(SUMIFS(Table1[[HomeWon]:[HomeWon]], Table1[[GameIsOver]:[GameIsOver]],1,Table1[[AwayTeam]:[AwayTeam]],$A15, Table1[[HomeTeam]:[HomeTeam]], AB$1, Table1[[ActualResult]:[ActualResult]], "REG") + SUMIFS(Table1[[AwayWon]:[AwayWon]], Table1[[GameIsOver]:[GameIsOver]],1,Table1[[HomeTeam]:[HomeTeam]],$A15, Table1[[AwayTeam]:[AwayTeam]], AB$1, Table1[[ActualResult]:[ActualResult]], "REG"),0), "-", TEXT(SUMIFS(Table1[[HomeWon]:[HomeWon]], Table1[[GameIsOver]:[GameIsOver]],1,Table1[[AwayTeam]:[AwayTeam]],$A15, Table1[[HomeTeam]:[HomeTeam]], AB$1, Table1[[ActualResult]:[ActualResult]], "OT") + SUMIFS(Table1[[AwayWon]:[AwayWon]], Table1[[GameIsOver]:[GameIsOver]],1,Table1[[HomeTeam]:[HomeTeam]],$A15, Table1[[AwayTeam]:[AwayTeam]], AB$1, Table1[[ActualResult]:[ActualResult]], "OT") + SUMIFS(Table1[[HomeWon]:[HomeWon]], Table1[[GameIsOver]:[GameIsOver]],1,Table1[[AwayTeam]:[AwayTeam]],$A15, Table1[[HomeTeam]:[HomeTeam]], AB$1, Table1[[ActualResult]:[ActualResult]], "SO") + SUMIFS(Table1[[AwayWon]:[AwayWon]], Table1[[GameIsOver]:[GameIsOver]],1,Table1[[HomeTeam]:[HomeTeam]],$A15, Table1[[AwayTeam]:[AwayTeam]], AB$1, Table1[[ActualResult]:[ActualResult]], "SO"),0))</f>
        <v>0-0-0</v>
      </c>
      <c r="AC15" s="57" t="str">
        <f>_xlfn.CONCAT(TEXT(SUMIFS(Table1[[AwayWon]:[AwayWon]], Table1[[GameIsOver]:[GameIsOver]],1,Table1[[AwayTeam]:[AwayTeam]],$A15, Table1[[HomeTeam]:[HomeTeam]], AC$1) + SUMIFS(Table1[[HomeWon]:[HomeWon]], Table1[[GameIsOver]:[GameIsOver]],1,Table1[[HomeTeam]:[HomeTeam]],$A15, Table1[[AwayTeam]:[AwayTeam]], AC$1),0), "-", TEXT(SUMIFS(Table1[[HomeWon]:[HomeWon]], Table1[[GameIsOver]:[GameIsOver]],1,Table1[[AwayTeam]:[AwayTeam]],$A15, Table1[[HomeTeam]:[HomeTeam]], AC$1, Table1[[ActualResult]:[ActualResult]], "REG") + SUMIFS(Table1[[AwayWon]:[AwayWon]], Table1[[GameIsOver]:[GameIsOver]],1,Table1[[HomeTeam]:[HomeTeam]],$A15, Table1[[AwayTeam]:[AwayTeam]], AC$1, Table1[[ActualResult]:[ActualResult]], "REG"),0), "-", TEXT(SUMIFS(Table1[[HomeWon]:[HomeWon]], Table1[[GameIsOver]:[GameIsOver]],1,Table1[[AwayTeam]:[AwayTeam]],$A15, Table1[[HomeTeam]:[HomeTeam]], AC$1, Table1[[ActualResult]:[ActualResult]], "OT") + SUMIFS(Table1[[AwayWon]:[AwayWon]], Table1[[GameIsOver]:[GameIsOver]],1,Table1[[HomeTeam]:[HomeTeam]],$A15, Table1[[AwayTeam]:[AwayTeam]], AC$1, Table1[[ActualResult]:[ActualResult]], "OT") + SUMIFS(Table1[[HomeWon]:[HomeWon]], Table1[[GameIsOver]:[GameIsOver]],1,Table1[[AwayTeam]:[AwayTeam]],$A15, Table1[[HomeTeam]:[HomeTeam]], AC$1, Table1[[ActualResult]:[ActualResult]], "SO") + SUMIFS(Table1[[AwayWon]:[AwayWon]], Table1[[GameIsOver]:[GameIsOver]],1,Table1[[HomeTeam]:[HomeTeam]],$A15, Table1[[AwayTeam]:[AwayTeam]], AC$1, Table1[[ActualResult]:[ActualResult]], "SO"),0))</f>
        <v>0-0-0</v>
      </c>
      <c r="AD15" s="57" t="str">
        <f>_xlfn.CONCAT(TEXT(SUMIFS(Table1[[AwayWon]:[AwayWon]], Table1[[GameIsOver]:[GameIsOver]],1,Table1[[AwayTeam]:[AwayTeam]],$A15, Table1[[HomeTeam]:[HomeTeam]], AD$1) + SUMIFS(Table1[[HomeWon]:[HomeWon]], Table1[[GameIsOver]:[GameIsOver]],1,Table1[[HomeTeam]:[HomeTeam]],$A15, Table1[[AwayTeam]:[AwayTeam]], AD$1),0), "-", TEXT(SUMIFS(Table1[[HomeWon]:[HomeWon]], Table1[[GameIsOver]:[GameIsOver]],1,Table1[[AwayTeam]:[AwayTeam]],$A15, Table1[[HomeTeam]:[HomeTeam]], AD$1, Table1[[ActualResult]:[ActualResult]], "REG") + SUMIFS(Table1[[AwayWon]:[AwayWon]], Table1[[GameIsOver]:[GameIsOver]],1,Table1[[HomeTeam]:[HomeTeam]],$A15, Table1[[AwayTeam]:[AwayTeam]], AD$1, Table1[[ActualResult]:[ActualResult]], "REG"),0), "-", TEXT(SUMIFS(Table1[[HomeWon]:[HomeWon]], Table1[[GameIsOver]:[GameIsOver]],1,Table1[[AwayTeam]:[AwayTeam]],$A15, Table1[[HomeTeam]:[HomeTeam]], AD$1, Table1[[ActualResult]:[ActualResult]], "OT") + SUMIFS(Table1[[AwayWon]:[AwayWon]], Table1[[GameIsOver]:[GameIsOver]],1,Table1[[HomeTeam]:[HomeTeam]],$A15, Table1[[AwayTeam]:[AwayTeam]], AD$1, Table1[[ActualResult]:[ActualResult]], "OT") + SUMIFS(Table1[[HomeWon]:[HomeWon]], Table1[[GameIsOver]:[GameIsOver]],1,Table1[[AwayTeam]:[AwayTeam]],$A15, Table1[[HomeTeam]:[HomeTeam]], AD$1, Table1[[ActualResult]:[ActualResult]], "SO") + SUMIFS(Table1[[AwayWon]:[AwayWon]], Table1[[GameIsOver]:[GameIsOver]],1,Table1[[HomeTeam]:[HomeTeam]],$A15, Table1[[AwayTeam]:[AwayTeam]], AD$1, Table1[[ActualResult]:[ActualResult]], "SO"),0))</f>
        <v>0-0-0</v>
      </c>
      <c r="AE15" s="57" t="str">
        <f>_xlfn.CONCAT(TEXT(SUMIFS(Table1[[AwayWon]:[AwayWon]], Table1[[GameIsOver]:[GameIsOver]],1,Table1[[AwayTeam]:[AwayTeam]],$A15, Table1[[HomeTeam]:[HomeTeam]], AE$1) + SUMIFS(Table1[[HomeWon]:[HomeWon]], Table1[[GameIsOver]:[GameIsOver]],1,Table1[[HomeTeam]:[HomeTeam]],$A15, Table1[[AwayTeam]:[AwayTeam]], AE$1),0), "-", TEXT(SUMIFS(Table1[[HomeWon]:[HomeWon]], Table1[[GameIsOver]:[GameIsOver]],1,Table1[[AwayTeam]:[AwayTeam]],$A15, Table1[[HomeTeam]:[HomeTeam]], AE$1, Table1[[ActualResult]:[ActualResult]], "REG") + SUMIFS(Table1[[AwayWon]:[AwayWon]], Table1[[GameIsOver]:[GameIsOver]],1,Table1[[HomeTeam]:[HomeTeam]],$A15, Table1[[AwayTeam]:[AwayTeam]], AE$1, Table1[[ActualResult]:[ActualResult]], "REG"),0), "-", TEXT(SUMIFS(Table1[[HomeWon]:[HomeWon]], Table1[[GameIsOver]:[GameIsOver]],1,Table1[[AwayTeam]:[AwayTeam]],$A15, Table1[[HomeTeam]:[HomeTeam]], AE$1, Table1[[ActualResult]:[ActualResult]], "OT") + SUMIFS(Table1[[AwayWon]:[AwayWon]], Table1[[GameIsOver]:[GameIsOver]],1,Table1[[HomeTeam]:[HomeTeam]],$A15, Table1[[AwayTeam]:[AwayTeam]], AE$1, Table1[[ActualResult]:[ActualResult]], "OT") + SUMIFS(Table1[[HomeWon]:[HomeWon]], Table1[[GameIsOver]:[GameIsOver]],1,Table1[[AwayTeam]:[AwayTeam]],$A15, Table1[[HomeTeam]:[HomeTeam]], AE$1, Table1[[ActualResult]:[ActualResult]], "SO") + SUMIFS(Table1[[AwayWon]:[AwayWon]], Table1[[GameIsOver]:[GameIsOver]],1,Table1[[HomeTeam]:[HomeTeam]],$A15, Table1[[AwayTeam]:[AwayTeam]], AE$1, Table1[[ActualResult]:[ActualResult]], "SO"),0))</f>
        <v>0-0-0</v>
      </c>
      <c r="AF15" s="57" t="str">
        <f>_xlfn.CONCAT(TEXT(SUMIFS(Table1[[AwayWon]:[AwayWon]], Table1[[GameIsOver]:[GameIsOver]],1,Table1[[AwayTeam]:[AwayTeam]],$A15, Table1[[HomeTeam]:[HomeTeam]], AF$1) + SUMIFS(Table1[[HomeWon]:[HomeWon]], Table1[[GameIsOver]:[GameIsOver]],1,Table1[[HomeTeam]:[HomeTeam]],$A15, Table1[[AwayTeam]:[AwayTeam]], AF$1),0), "-", TEXT(SUMIFS(Table1[[HomeWon]:[HomeWon]], Table1[[GameIsOver]:[GameIsOver]],1,Table1[[AwayTeam]:[AwayTeam]],$A15, Table1[[HomeTeam]:[HomeTeam]], AF$1, Table1[[ActualResult]:[ActualResult]], "REG") + SUMIFS(Table1[[AwayWon]:[AwayWon]], Table1[[GameIsOver]:[GameIsOver]],1,Table1[[HomeTeam]:[HomeTeam]],$A15, Table1[[AwayTeam]:[AwayTeam]], AF$1, Table1[[ActualResult]:[ActualResult]], "REG"),0), "-", TEXT(SUMIFS(Table1[[HomeWon]:[HomeWon]], Table1[[GameIsOver]:[GameIsOver]],1,Table1[[AwayTeam]:[AwayTeam]],$A15, Table1[[HomeTeam]:[HomeTeam]], AF$1, Table1[[ActualResult]:[ActualResult]], "OT") + SUMIFS(Table1[[AwayWon]:[AwayWon]], Table1[[GameIsOver]:[GameIsOver]],1,Table1[[HomeTeam]:[HomeTeam]],$A15, Table1[[AwayTeam]:[AwayTeam]], AF$1, Table1[[ActualResult]:[ActualResult]], "OT") + SUMIFS(Table1[[HomeWon]:[HomeWon]], Table1[[GameIsOver]:[GameIsOver]],1,Table1[[AwayTeam]:[AwayTeam]],$A15, Table1[[HomeTeam]:[HomeTeam]], AF$1, Table1[[ActualResult]:[ActualResult]], "SO") + SUMIFS(Table1[[AwayWon]:[AwayWon]], Table1[[GameIsOver]:[GameIsOver]],1,Table1[[HomeTeam]:[HomeTeam]],$A15, Table1[[AwayTeam]:[AwayTeam]], AF$1, Table1[[ActualResult]:[ActualResult]], "SO"),0))</f>
        <v>0-0-0</v>
      </c>
      <c r="AG15" s="57" t="str">
        <f>_xlfn.CONCAT(TEXT(SUMIFS(Table1[[AwayWon]:[AwayWon]], Table1[[GameIsOver]:[GameIsOver]],1,Table1[[AwayTeam]:[AwayTeam]],$A15, Table1[[HomeTeam]:[HomeTeam]], AG$1) + SUMIFS(Table1[[HomeWon]:[HomeWon]], Table1[[GameIsOver]:[GameIsOver]],1,Table1[[HomeTeam]:[HomeTeam]],$A15, Table1[[AwayTeam]:[AwayTeam]], AG$1),0), "-", TEXT(SUMIFS(Table1[[HomeWon]:[HomeWon]], Table1[[GameIsOver]:[GameIsOver]],1,Table1[[AwayTeam]:[AwayTeam]],$A15, Table1[[HomeTeam]:[HomeTeam]], AG$1, Table1[[ActualResult]:[ActualResult]], "REG") + SUMIFS(Table1[[AwayWon]:[AwayWon]], Table1[[GameIsOver]:[GameIsOver]],1,Table1[[HomeTeam]:[HomeTeam]],$A15, Table1[[AwayTeam]:[AwayTeam]], AG$1, Table1[[ActualResult]:[ActualResult]], "REG"),0), "-", TEXT(SUMIFS(Table1[[HomeWon]:[HomeWon]], Table1[[GameIsOver]:[GameIsOver]],1,Table1[[AwayTeam]:[AwayTeam]],$A15, Table1[[HomeTeam]:[HomeTeam]], AG$1, Table1[[ActualResult]:[ActualResult]], "OT") + SUMIFS(Table1[[AwayWon]:[AwayWon]], Table1[[GameIsOver]:[GameIsOver]],1,Table1[[HomeTeam]:[HomeTeam]],$A15, Table1[[AwayTeam]:[AwayTeam]], AG$1, Table1[[ActualResult]:[ActualResult]], "OT") + SUMIFS(Table1[[HomeWon]:[HomeWon]], Table1[[GameIsOver]:[GameIsOver]],1,Table1[[AwayTeam]:[AwayTeam]],$A15, Table1[[HomeTeam]:[HomeTeam]], AG$1, Table1[[ActualResult]:[ActualResult]], "SO") + SUMIFS(Table1[[AwayWon]:[AwayWon]], Table1[[GameIsOver]:[GameIsOver]],1,Table1[[HomeTeam]:[HomeTeam]],$A15, Table1[[AwayTeam]:[AwayTeam]], AG$1, Table1[[ActualResult]:[ActualResult]], "SO"),0))</f>
        <v>0-0-0</v>
      </c>
    </row>
    <row r="16" spans="1:33" x14ac:dyDescent="0.25">
      <c r="A16" s="28" t="s">
        <v>58</v>
      </c>
      <c r="B16" s="57" t="str">
        <f>_xlfn.CONCAT(TEXT(SUMIFS(Table1[[AwayWon]:[AwayWon]], Table1[[GameIsOver]:[GameIsOver]],1,Table1[[AwayTeam]:[AwayTeam]],$A16, Table1[[HomeTeam]:[HomeTeam]], B$1) + SUMIFS(Table1[[HomeWon]:[HomeWon]], Table1[[GameIsOver]:[GameIsOver]],1,Table1[[HomeTeam]:[HomeTeam]],$A16, Table1[[AwayTeam]:[AwayTeam]], B$1),0), "-", TEXT(SUMIFS(Table1[[HomeWon]:[HomeWon]], Table1[[GameIsOver]:[GameIsOver]],1,Table1[[AwayTeam]:[AwayTeam]],$A16, Table1[[HomeTeam]:[HomeTeam]], B$1, Table1[[ActualResult]:[ActualResult]], "REG") + SUMIFS(Table1[[AwayWon]:[AwayWon]], Table1[[GameIsOver]:[GameIsOver]],1,Table1[[HomeTeam]:[HomeTeam]],$A16, Table1[[AwayTeam]:[AwayTeam]], B$1, Table1[[ActualResult]:[ActualResult]], "REG"),0), "-", TEXT(SUMIFS(Table1[[HomeWon]:[HomeWon]], Table1[[GameIsOver]:[GameIsOver]],1,Table1[[AwayTeam]:[AwayTeam]],$A16, Table1[[HomeTeam]:[HomeTeam]], B$1, Table1[[ActualResult]:[ActualResult]], "OT") + SUMIFS(Table1[[AwayWon]:[AwayWon]], Table1[[GameIsOver]:[GameIsOver]],1,Table1[[HomeTeam]:[HomeTeam]],$A16, Table1[[AwayTeam]:[AwayTeam]], B$1, Table1[[ActualResult]:[ActualResult]], "OT") + SUMIFS(Table1[[HomeWon]:[HomeWon]], Table1[[GameIsOver]:[GameIsOver]],1,Table1[[AwayTeam]:[AwayTeam]],$A16, Table1[[HomeTeam]:[HomeTeam]], B$1, Table1[[ActualResult]:[ActualResult]], "SO") + SUMIFS(Table1[[AwayWon]:[AwayWon]], Table1[[GameIsOver]:[GameIsOver]],1,Table1[[HomeTeam]:[HomeTeam]],$A16, Table1[[AwayTeam]:[AwayTeam]], B$1, Table1[[ActualResult]:[ActualResult]], "SO"),0))</f>
        <v>0-0-0</v>
      </c>
      <c r="C16" s="57" t="str">
        <f>_xlfn.CONCAT(TEXT(SUMIFS(Table1[[AwayWon]:[AwayWon]], Table1[[GameIsOver]:[GameIsOver]],1,Table1[[AwayTeam]:[AwayTeam]],$A16, Table1[[HomeTeam]:[HomeTeam]], C$1) + SUMIFS(Table1[[HomeWon]:[HomeWon]], Table1[[GameIsOver]:[GameIsOver]],1,Table1[[HomeTeam]:[HomeTeam]],$A16, Table1[[AwayTeam]:[AwayTeam]], C$1),0), "-", TEXT(SUMIFS(Table1[[HomeWon]:[HomeWon]], Table1[[GameIsOver]:[GameIsOver]],1,Table1[[AwayTeam]:[AwayTeam]],$A16, Table1[[HomeTeam]:[HomeTeam]], C$1, Table1[[ActualResult]:[ActualResult]], "REG") + SUMIFS(Table1[[AwayWon]:[AwayWon]], Table1[[GameIsOver]:[GameIsOver]],1,Table1[[HomeTeam]:[HomeTeam]],$A16, Table1[[AwayTeam]:[AwayTeam]], C$1, Table1[[ActualResult]:[ActualResult]], "REG"),0), "-", TEXT(SUMIFS(Table1[[HomeWon]:[HomeWon]], Table1[[GameIsOver]:[GameIsOver]],1,Table1[[AwayTeam]:[AwayTeam]],$A16, Table1[[HomeTeam]:[HomeTeam]], C$1, Table1[[ActualResult]:[ActualResult]], "OT") + SUMIFS(Table1[[AwayWon]:[AwayWon]], Table1[[GameIsOver]:[GameIsOver]],1,Table1[[HomeTeam]:[HomeTeam]],$A16, Table1[[AwayTeam]:[AwayTeam]], C$1, Table1[[ActualResult]:[ActualResult]], "OT") + SUMIFS(Table1[[HomeWon]:[HomeWon]], Table1[[GameIsOver]:[GameIsOver]],1,Table1[[AwayTeam]:[AwayTeam]],$A16, Table1[[HomeTeam]:[HomeTeam]], C$1, Table1[[ActualResult]:[ActualResult]], "SO") + SUMIFS(Table1[[AwayWon]:[AwayWon]], Table1[[GameIsOver]:[GameIsOver]],1,Table1[[HomeTeam]:[HomeTeam]],$A16, Table1[[AwayTeam]:[AwayTeam]], C$1, Table1[[ActualResult]:[ActualResult]], "SO"),0))</f>
        <v>0-0-0</v>
      </c>
      <c r="D16" s="57" t="str">
        <f>_xlfn.CONCAT(TEXT(SUMIFS(Table1[[AwayWon]:[AwayWon]], Table1[[GameIsOver]:[GameIsOver]],1,Table1[[AwayTeam]:[AwayTeam]],$A16, Table1[[HomeTeam]:[HomeTeam]], D$1) + SUMIFS(Table1[[HomeWon]:[HomeWon]], Table1[[GameIsOver]:[GameIsOver]],1,Table1[[HomeTeam]:[HomeTeam]],$A16, Table1[[AwayTeam]:[AwayTeam]], D$1),0), "-", TEXT(SUMIFS(Table1[[HomeWon]:[HomeWon]], Table1[[GameIsOver]:[GameIsOver]],1,Table1[[AwayTeam]:[AwayTeam]],$A16, Table1[[HomeTeam]:[HomeTeam]], D$1, Table1[[ActualResult]:[ActualResult]], "REG") + SUMIFS(Table1[[AwayWon]:[AwayWon]], Table1[[GameIsOver]:[GameIsOver]],1,Table1[[HomeTeam]:[HomeTeam]],$A16, Table1[[AwayTeam]:[AwayTeam]], D$1, Table1[[ActualResult]:[ActualResult]], "REG"),0), "-", TEXT(SUMIFS(Table1[[HomeWon]:[HomeWon]], Table1[[GameIsOver]:[GameIsOver]],1,Table1[[AwayTeam]:[AwayTeam]],$A16, Table1[[HomeTeam]:[HomeTeam]], D$1, Table1[[ActualResult]:[ActualResult]], "OT") + SUMIFS(Table1[[AwayWon]:[AwayWon]], Table1[[GameIsOver]:[GameIsOver]],1,Table1[[HomeTeam]:[HomeTeam]],$A16, Table1[[AwayTeam]:[AwayTeam]], D$1, Table1[[ActualResult]:[ActualResult]], "OT") + SUMIFS(Table1[[HomeWon]:[HomeWon]], Table1[[GameIsOver]:[GameIsOver]],1,Table1[[AwayTeam]:[AwayTeam]],$A16, Table1[[HomeTeam]:[HomeTeam]], D$1, Table1[[ActualResult]:[ActualResult]], "SO") + SUMIFS(Table1[[AwayWon]:[AwayWon]], Table1[[GameIsOver]:[GameIsOver]],1,Table1[[HomeTeam]:[HomeTeam]],$A16, Table1[[AwayTeam]:[AwayTeam]], D$1, Table1[[ActualResult]:[ActualResult]], "SO"),0))</f>
        <v>0-0-0</v>
      </c>
      <c r="E16" s="57" t="str">
        <f>_xlfn.CONCAT(TEXT(SUMIFS(Table1[[AwayWon]:[AwayWon]], Table1[[GameIsOver]:[GameIsOver]],1,Table1[[AwayTeam]:[AwayTeam]],$A16, Table1[[HomeTeam]:[HomeTeam]], E$1) + SUMIFS(Table1[[HomeWon]:[HomeWon]], Table1[[GameIsOver]:[GameIsOver]],1,Table1[[HomeTeam]:[HomeTeam]],$A16, Table1[[AwayTeam]:[AwayTeam]], E$1),0), "-", TEXT(SUMIFS(Table1[[HomeWon]:[HomeWon]], Table1[[GameIsOver]:[GameIsOver]],1,Table1[[AwayTeam]:[AwayTeam]],$A16, Table1[[HomeTeam]:[HomeTeam]], E$1, Table1[[ActualResult]:[ActualResult]], "REG") + SUMIFS(Table1[[AwayWon]:[AwayWon]], Table1[[GameIsOver]:[GameIsOver]],1,Table1[[HomeTeam]:[HomeTeam]],$A16, Table1[[AwayTeam]:[AwayTeam]], E$1, Table1[[ActualResult]:[ActualResult]], "REG"),0), "-", TEXT(SUMIFS(Table1[[HomeWon]:[HomeWon]], Table1[[GameIsOver]:[GameIsOver]],1,Table1[[AwayTeam]:[AwayTeam]],$A16, Table1[[HomeTeam]:[HomeTeam]], E$1, Table1[[ActualResult]:[ActualResult]], "OT") + SUMIFS(Table1[[AwayWon]:[AwayWon]], Table1[[GameIsOver]:[GameIsOver]],1,Table1[[HomeTeam]:[HomeTeam]],$A16, Table1[[AwayTeam]:[AwayTeam]], E$1, Table1[[ActualResult]:[ActualResult]], "OT") + SUMIFS(Table1[[HomeWon]:[HomeWon]], Table1[[GameIsOver]:[GameIsOver]],1,Table1[[AwayTeam]:[AwayTeam]],$A16, Table1[[HomeTeam]:[HomeTeam]], E$1, Table1[[ActualResult]:[ActualResult]], "SO") + SUMIFS(Table1[[AwayWon]:[AwayWon]], Table1[[GameIsOver]:[GameIsOver]],1,Table1[[HomeTeam]:[HomeTeam]],$A16, Table1[[AwayTeam]:[AwayTeam]], E$1, Table1[[ActualResult]:[ActualResult]], "SO"),0))</f>
        <v>0-0-0</v>
      </c>
      <c r="F16" s="57" t="str">
        <f>_xlfn.CONCAT(TEXT(SUMIFS(Table1[[AwayWon]:[AwayWon]], Table1[[GameIsOver]:[GameIsOver]],1,Table1[[AwayTeam]:[AwayTeam]],$A16, Table1[[HomeTeam]:[HomeTeam]], F$1) + SUMIFS(Table1[[HomeWon]:[HomeWon]], Table1[[GameIsOver]:[GameIsOver]],1,Table1[[HomeTeam]:[HomeTeam]],$A16, Table1[[AwayTeam]:[AwayTeam]], F$1),0), "-", TEXT(SUMIFS(Table1[[HomeWon]:[HomeWon]], Table1[[GameIsOver]:[GameIsOver]],1,Table1[[AwayTeam]:[AwayTeam]],$A16, Table1[[HomeTeam]:[HomeTeam]], F$1, Table1[[ActualResult]:[ActualResult]], "REG") + SUMIFS(Table1[[AwayWon]:[AwayWon]], Table1[[GameIsOver]:[GameIsOver]],1,Table1[[HomeTeam]:[HomeTeam]],$A16, Table1[[AwayTeam]:[AwayTeam]], F$1, Table1[[ActualResult]:[ActualResult]], "REG"),0), "-", TEXT(SUMIFS(Table1[[HomeWon]:[HomeWon]], Table1[[GameIsOver]:[GameIsOver]],1,Table1[[AwayTeam]:[AwayTeam]],$A16, Table1[[HomeTeam]:[HomeTeam]], F$1, Table1[[ActualResult]:[ActualResult]], "OT") + SUMIFS(Table1[[AwayWon]:[AwayWon]], Table1[[GameIsOver]:[GameIsOver]],1,Table1[[HomeTeam]:[HomeTeam]],$A16, Table1[[AwayTeam]:[AwayTeam]], F$1, Table1[[ActualResult]:[ActualResult]], "OT") + SUMIFS(Table1[[HomeWon]:[HomeWon]], Table1[[GameIsOver]:[GameIsOver]],1,Table1[[AwayTeam]:[AwayTeam]],$A16, Table1[[HomeTeam]:[HomeTeam]], F$1, Table1[[ActualResult]:[ActualResult]], "SO") + SUMIFS(Table1[[AwayWon]:[AwayWon]], Table1[[GameIsOver]:[GameIsOver]],1,Table1[[HomeTeam]:[HomeTeam]],$A16, Table1[[AwayTeam]:[AwayTeam]], F$1, Table1[[ActualResult]:[ActualResult]], "SO"),0))</f>
        <v>0-0-0</v>
      </c>
      <c r="G16" s="57" t="str">
        <f>_xlfn.CONCAT(TEXT(SUMIFS(Table1[[AwayWon]:[AwayWon]], Table1[[GameIsOver]:[GameIsOver]],1,Table1[[AwayTeam]:[AwayTeam]],$A16, Table1[[HomeTeam]:[HomeTeam]], G$1) + SUMIFS(Table1[[HomeWon]:[HomeWon]], Table1[[GameIsOver]:[GameIsOver]],1,Table1[[HomeTeam]:[HomeTeam]],$A16, Table1[[AwayTeam]:[AwayTeam]], G$1),0), "-", TEXT(SUMIFS(Table1[[HomeWon]:[HomeWon]], Table1[[GameIsOver]:[GameIsOver]],1,Table1[[AwayTeam]:[AwayTeam]],$A16, Table1[[HomeTeam]:[HomeTeam]], G$1, Table1[[ActualResult]:[ActualResult]], "REG") + SUMIFS(Table1[[AwayWon]:[AwayWon]], Table1[[GameIsOver]:[GameIsOver]],1,Table1[[HomeTeam]:[HomeTeam]],$A16, Table1[[AwayTeam]:[AwayTeam]], G$1, Table1[[ActualResult]:[ActualResult]], "REG"),0), "-", TEXT(SUMIFS(Table1[[HomeWon]:[HomeWon]], Table1[[GameIsOver]:[GameIsOver]],1,Table1[[AwayTeam]:[AwayTeam]],$A16, Table1[[HomeTeam]:[HomeTeam]], G$1, Table1[[ActualResult]:[ActualResult]], "OT") + SUMIFS(Table1[[AwayWon]:[AwayWon]], Table1[[GameIsOver]:[GameIsOver]],1,Table1[[HomeTeam]:[HomeTeam]],$A16, Table1[[AwayTeam]:[AwayTeam]], G$1, Table1[[ActualResult]:[ActualResult]], "OT") + SUMIFS(Table1[[HomeWon]:[HomeWon]], Table1[[GameIsOver]:[GameIsOver]],1,Table1[[AwayTeam]:[AwayTeam]],$A16, Table1[[HomeTeam]:[HomeTeam]], G$1, Table1[[ActualResult]:[ActualResult]], "SO") + SUMIFS(Table1[[AwayWon]:[AwayWon]], Table1[[GameIsOver]:[GameIsOver]],1,Table1[[HomeTeam]:[HomeTeam]],$A16, Table1[[AwayTeam]:[AwayTeam]], G$1, Table1[[ActualResult]:[ActualResult]], "SO"),0))</f>
        <v>0-0-0</v>
      </c>
      <c r="H16" s="57" t="str">
        <f>_xlfn.CONCAT(TEXT(SUMIFS(Table1[[AwayWon]:[AwayWon]], Table1[[GameIsOver]:[GameIsOver]],1,Table1[[AwayTeam]:[AwayTeam]],$A16, Table1[[HomeTeam]:[HomeTeam]], H$1) + SUMIFS(Table1[[HomeWon]:[HomeWon]], Table1[[GameIsOver]:[GameIsOver]],1,Table1[[HomeTeam]:[HomeTeam]],$A16, Table1[[AwayTeam]:[AwayTeam]], H$1),0), "-", TEXT(SUMIFS(Table1[[HomeWon]:[HomeWon]], Table1[[GameIsOver]:[GameIsOver]],1,Table1[[AwayTeam]:[AwayTeam]],$A16, Table1[[HomeTeam]:[HomeTeam]], H$1, Table1[[ActualResult]:[ActualResult]], "REG") + SUMIFS(Table1[[AwayWon]:[AwayWon]], Table1[[GameIsOver]:[GameIsOver]],1,Table1[[HomeTeam]:[HomeTeam]],$A16, Table1[[AwayTeam]:[AwayTeam]], H$1, Table1[[ActualResult]:[ActualResult]], "REG"),0), "-", TEXT(SUMIFS(Table1[[HomeWon]:[HomeWon]], Table1[[GameIsOver]:[GameIsOver]],1,Table1[[AwayTeam]:[AwayTeam]],$A16, Table1[[HomeTeam]:[HomeTeam]], H$1, Table1[[ActualResult]:[ActualResult]], "OT") + SUMIFS(Table1[[AwayWon]:[AwayWon]], Table1[[GameIsOver]:[GameIsOver]],1,Table1[[HomeTeam]:[HomeTeam]],$A16, Table1[[AwayTeam]:[AwayTeam]], H$1, Table1[[ActualResult]:[ActualResult]], "OT") + SUMIFS(Table1[[HomeWon]:[HomeWon]], Table1[[GameIsOver]:[GameIsOver]],1,Table1[[AwayTeam]:[AwayTeam]],$A16, Table1[[HomeTeam]:[HomeTeam]], H$1, Table1[[ActualResult]:[ActualResult]], "SO") + SUMIFS(Table1[[AwayWon]:[AwayWon]], Table1[[GameIsOver]:[GameIsOver]],1,Table1[[HomeTeam]:[HomeTeam]],$A16, Table1[[AwayTeam]:[AwayTeam]], H$1, Table1[[ActualResult]:[ActualResult]], "SO"),0))</f>
        <v>0-0-0</v>
      </c>
      <c r="I16" s="59" t="str">
        <f>_xlfn.CONCAT(TEXT(SUMIFS(Table1[[AwayWon]:[AwayWon]], Table1[[GameIsOver]:[GameIsOver]],1,Table1[[AwayTeam]:[AwayTeam]],$A16, Table1[[HomeTeam]:[HomeTeam]], I$1) + SUMIFS(Table1[[HomeWon]:[HomeWon]], Table1[[GameIsOver]:[GameIsOver]],1,Table1[[HomeTeam]:[HomeTeam]],$A16, Table1[[AwayTeam]:[AwayTeam]], I$1),0), "-", TEXT(SUMIFS(Table1[[HomeWon]:[HomeWon]], Table1[[GameIsOver]:[GameIsOver]],1,Table1[[AwayTeam]:[AwayTeam]],$A16, Table1[[HomeTeam]:[HomeTeam]], I$1, Table1[[ActualResult]:[ActualResult]], "REG") + SUMIFS(Table1[[AwayWon]:[AwayWon]], Table1[[GameIsOver]:[GameIsOver]],1,Table1[[HomeTeam]:[HomeTeam]],$A16, Table1[[AwayTeam]:[AwayTeam]], I$1, Table1[[ActualResult]:[ActualResult]], "REG"),0), "-", TEXT(SUMIFS(Table1[[HomeWon]:[HomeWon]], Table1[[GameIsOver]:[GameIsOver]],1,Table1[[AwayTeam]:[AwayTeam]],$A16, Table1[[HomeTeam]:[HomeTeam]], I$1, Table1[[ActualResult]:[ActualResult]], "OT") + SUMIFS(Table1[[AwayWon]:[AwayWon]], Table1[[GameIsOver]:[GameIsOver]],1,Table1[[HomeTeam]:[HomeTeam]],$A16, Table1[[AwayTeam]:[AwayTeam]], I$1, Table1[[ActualResult]:[ActualResult]], "OT") + SUMIFS(Table1[[HomeWon]:[HomeWon]], Table1[[GameIsOver]:[GameIsOver]],1,Table1[[AwayTeam]:[AwayTeam]],$A16, Table1[[HomeTeam]:[HomeTeam]], I$1, Table1[[ActualResult]:[ActualResult]], "SO") + SUMIFS(Table1[[AwayWon]:[AwayWon]], Table1[[GameIsOver]:[GameIsOver]],1,Table1[[HomeTeam]:[HomeTeam]],$A16, Table1[[AwayTeam]:[AwayTeam]], I$1, Table1[[ActualResult]:[ActualResult]], "SO"),0))</f>
        <v>0-0-0</v>
      </c>
      <c r="J16" s="57" t="str">
        <f>_xlfn.CONCAT(TEXT(SUMIFS(Table1[[AwayWon]:[AwayWon]], Table1[[GameIsOver]:[GameIsOver]],1,Table1[[AwayTeam]:[AwayTeam]],$A16, Table1[[HomeTeam]:[HomeTeam]], J$1) + SUMIFS(Table1[[HomeWon]:[HomeWon]], Table1[[GameIsOver]:[GameIsOver]],1,Table1[[HomeTeam]:[HomeTeam]],$A16, Table1[[AwayTeam]:[AwayTeam]], J$1),0), "-", TEXT(SUMIFS(Table1[[HomeWon]:[HomeWon]], Table1[[GameIsOver]:[GameIsOver]],1,Table1[[AwayTeam]:[AwayTeam]],$A16, Table1[[HomeTeam]:[HomeTeam]], J$1, Table1[[ActualResult]:[ActualResult]], "REG") + SUMIFS(Table1[[AwayWon]:[AwayWon]], Table1[[GameIsOver]:[GameIsOver]],1,Table1[[HomeTeam]:[HomeTeam]],$A16, Table1[[AwayTeam]:[AwayTeam]], J$1, Table1[[ActualResult]:[ActualResult]], "REG"),0), "-", TEXT(SUMIFS(Table1[[HomeWon]:[HomeWon]], Table1[[GameIsOver]:[GameIsOver]],1,Table1[[AwayTeam]:[AwayTeam]],$A16, Table1[[HomeTeam]:[HomeTeam]], J$1, Table1[[ActualResult]:[ActualResult]], "OT") + SUMIFS(Table1[[AwayWon]:[AwayWon]], Table1[[GameIsOver]:[GameIsOver]],1,Table1[[HomeTeam]:[HomeTeam]],$A16, Table1[[AwayTeam]:[AwayTeam]], J$1, Table1[[ActualResult]:[ActualResult]], "OT") + SUMIFS(Table1[[HomeWon]:[HomeWon]], Table1[[GameIsOver]:[GameIsOver]],1,Table1[[AwayTeam]:[AwayTeam]],$A16, Table1[[HomeTeam]:[HomeTeam]], J$1, Table1[[ActualResult]:[ActualResult]], "SO") + SUMIFS(Table1[[AwayWon]:[AwayWon]], Table1[[GameIsOver]:[GameIsOver]],1,Table1[[HomeTeam]:[HomeTeam]],$A16, Table1[[AwayTeam]:[AwayTeam]], J$1, Table1[[ActualResult]:[ActualResult]], "SO"),0))</f>
        <v>0-0-0</v>
      </c>
      <c r="K16" s="57" t="str">
        <f>_xlfn.CONCAT(TEXT(SUMIFS(Table1[[AwayWon]:[AwayWon]], Table1[[GameIsOver]:[GameIsOver]],1,Table1[[AwayTeam]:[AwayTeam]],$A16, Table1[[HomeTeam]:[HomeTeam]], K$1) + SUMIFS(Table1[[HomeWon]:[HomeWon]], Table1[[GameIsOver]:[GameIsOver]],1,Table1[[HomeTeam]:[HomeTeam]],$A16, Table1[[AwayTeam]:[AwayTeam]], K$1),0), "-", TEXT(SUMIFS(Table1[[HomeWon]:[HomeWon]], Table1[[GameIsOver]:[GameIsOver]],1,Table1[[AwayTeam]:[AwayTeam]],$A16, Table1[[HomeTeam]:[HomeTeam]], K$1, Table1[[ActualResult]:[ActualResult]], "REG") + SUMIFS(Table1[[AwayWon]:[AwayWon]], Table1[[GameIsOver]:[GameIsOver]],1,Table1[[HomeTeam]:[HomeTeam]],$A16, Table1[[AwayTeam]:[AwayTeam]], K$1, Table1[[ActualResult]:[ActualResult]], "REG"),0), "-", TEXT(SUMIFS(Table1[[HomeWon]:[HomeWon]], Table1[[GameIsOver]:[GameIsOver]],1,Table1[[AwayTeam]:[AwayTeam]],$A16, Table1[[HomeTeam]:[HomeTeam]], K$1, Table1[[ActualResult]:[ActualResult]], "OT") + SUMIFS(Table1[[AwayWon]:[AwayWon]], Table1[[GameIsOver]:[GameIsOver]],1,Table1[[HomeTeam]:[HomeTeam]],$A16, Table1[[AwayTeam]:[AwayTeam]], K$1, Table1[[ActualResult]:[ActualResult]], "OT") + SUMIFS(Table1[[HomeWon]:[HomeWon]], Table1[[GameIsOver]:[GameIsOver]],1,Table1[[AwayTeam]:[AwayTeam]],$A16, Table1[[HomeTeam]:[HomeTeam]], K$1, Table1[[ActualResult]:[ActualResult]], "SO") + SUMIFS(Table1[[AwayWon]:[AwayWon]], Table1[[GameIsOver]:[GameIsOver]],1,Table1[[HomeTeam]:[HomeTeam]],$A16, Table1[[AwayTeam]:[AwayTeam]], K$1, Table1[[ActualResult]:[ActualResult]], "SO"),0))</f>
        <v>0-0-0</v>
      </c>
      <c r="L16" s="57" t="str">
        <f>_xlfn.CONCAT(TEXT(SUMIFS(Table1[[AwayWon]:[AwayWon]], Table1[[GameIsOver]:[GameIsOver]],1,Table1[[AwayTeam]:[AwayTeam]],$A16, Table1[[HomeTeam]:[HomeTeam]], L$1) + SUMIFS(Table1[[HomeWon]:[HomeWon]], Table1[[GameIsOver]:[GameIsOver]],1,Table1[[HomeTeam]:[HomeTeam]],$A16, Table1[[AwayTeam]:[AwayTeam]], L$1),0), "-", TEXT(SUMIFS(Table1[[HomeWon]:[HomeWon]], Table1[[GameIsOver]:[GameIsOver]],1,Table1[[AwayTeam]:[AwayTeam]],$A16, Table1[[HomeTeam]:[HomeTeam]], L$1, Table1[[ActualResult]:[ActualResult]], "REG") + SUMIFS(Table1[[AwayWon]:[AwayWon]], Table1[[GameIsOver]:[GameIsOver]],1,Table1[[HomeTeam]:[HomeTeam]],$A16, Table1[[AwayTeam]:[AwayTeam]], L$1, Table1[[ActualResult]:[ActualResult]], "REG"),0), "-", TEXT(SUMIFS(Table1[[HomeWon]:[HomeWon]], Table1[[GameIsOver]:[GameIsOver]],1,Table1[[AwayTeam]:[AwayTeam]],$A16, Table1[[HomeTeam]:[HomeTeam]], L$1, Table1[[ActualResult]:[ActualResult]], "OT") + SUMIFS(Table1[[AwayWon]:[AwayWon]], Table1[[GameIsOver]:[GameIsOver]],1,Table1[[HomeTeam]:[HomeTeam]],$A16, Table1[[AwayTeam]:[AwayTeam]], L$1, Table1[[ActualResult]:[ActualResult]], "OT") + SUMIFS(Table1[[HomeWon]:[HomeWon]], Table1[[GameIsOver]:[GameIsOver]],1,Table1[[AwayTeam]:[AwayTeam]],$A16, Table1[[HomeTeam]:[HomeTeam]], L$1, Table1[[ActualResult]:[ActualResult]], "SO") + SUMIFS(Table1[[AwayWon]:[AwayWon]], Table1[[GameIsOver]:[GameIsOver]],1,Table1[[HomeTeam]:[HomeTeam]],$A16, Table1[[AwayTeam]:[AwayTeam]], L$1, Table1[[ActualResult]:[ActualResult]], "SO"),0))</f>
        <v>0-0-0</v>
      </c>
      <c r="M16" s="57" t="str">
        <f>_xlfn.CONCAT(TEXT(SUMIFS(Table1[[AwayWon]:[AwayWon]], Table1[[GameIsOver]:[GameIsOver]],1,Table1[[AwayTeam]:[AwayTeam]],$A16, Table1[[HomeTeam]:[HomeTeam]], M$1) + SUMIFS(Table1[[HomeWon]:[HomeWon]], Table1[[GameIsOver]:[GameIsOver]],1,Table1[[HomeTeam]:[HomeTeam]],$A16, Table1[[AwayTeam]:[AwayTeam]], M$1),0), "-", TEXT(SUMIFS(Table1[[HomeWon]:[HomeWon]], Table1[[GameIsOver]:[GameIsOver]],1,Table1[[AwayTeam]:[AwayTeam]],$A16, Table1[[HomeTeam]:[HomeTeam]], M$1, Table1[[ActualResult]:[ActualResult]], "REG") + SUMIFS(Table1[[AwayWon]:[AwayWon]], Table1[[GameIsOver]:[GameIsOver]],1,Table1[[HomeTeam]:[HomeTeam]],$A16, Table1[[AwayTeam]:[AwayTeam]], M$1, Table1[[ActualResult]:[ActualResult]], "REG"),0), "-", TEXT(SUMIFS(Table1[[HomeWon]:[HomeWon]], Table1[[GameIsOver]:[GameIsOver]],1,Table1[[AwayTeam]:[AwayTeam]],$A16, Table1[[HomeTeam]:[HomeTeam]], M$1, Table1[[ActualResult]:[ActualResult]], "OT") + SUMIFS(Table1[[AwayWon]:[AwayWon]], Table1[[GameIsOver]:[GameIsOver]],1,Table1[[HomeTeam]:[HomeTeam]],$A16, Table1[[AwayTeam]:[AwayTeam]], M$1, Table1[[ActualResult]:[ActualResult]], "OT") + SUMIFS(Table1[[HomeWon]:[HomeWon]], Table1[[GameIsOver]:[GameIsOver]],1,Table1[[AwayTeam]:[AwayTeam]],$A16, Table1[[HomeTeam]:[HomeTeam]], M$1, Table1[[ActualResult]:[ActualResult]], "SO") + SUMIFS(Table1[[AwayWon]:[AwayWon]], Table1[[GameIsOver]:[GameIsOver]],1,Table1[[HomeTeam]:[HomeTeam]],$A16, Table1[[AwayTeam]:[AwayTeam]], M$1, Table1[[ActualResult]:[ActualResult]], "SO"),0))</f>
        <v>0-0-0</v>
      </c>
      <c r="N16" s="57" t="str">
        <f>_xlfn.CONCAT(TEXT(SUMIFS(Table1[[AwayWon]:[AwayWon]], Table1[[GameIsOver]:[GameIsOver]],1,Table1[[AwayTeam]:[AwayTeam]],$A16, Table1[[HomeTeam]:[HomeTeam]], N$1) + SUMIFS(Table1[[HomeWon]:[HomeWon]], Table1[[GameIsOver]:[GameIsOver]],1,Table1[[HomeTeam]:[HomeTeam]],$A16, Table1[[AwayTeam]:[AwayTeam]], N$1),0), "-", TEXT(SUMIFS(Table1[[HomeWon]:[HomeWon]], Table1[[GameIsOver]:[GameIsOver]],1,Table1[[AwayTeam]:[AwayTeam]],$A16, Table1[[HomeTeam]:[HomeTeam]], N$1, Table1[[ActualResult]:[ActualResult]], "REG") + SUMIFS(Table1[[AwayWon]:[AwayWon]], Table1[[GameIsOver]:[GameIsOver]],1,Table1[[HomeTeam]:[HomeTeam]],$A16, Table1[[AwayTeam]:[AwayTeam]], N$1, Table1[[ActualResult]:[ActualResult]], "REG"),0), "-", TEXT(SUMIFS(Table1[[HomeWon]:[HomeWon]], Table1[[GameIsOver]:[GameIsOver]],1,Table1[[AwayTeam]:[AwayTeam]],$A16, Table1[[HomeTeam]:[HomeTeam]], N$1, Table1[[ActualResult]:[ActualResult]], "OT") + SUMIFS(Table1[[AwayWon]:[AwayWon]], Table1[[GameIsOver]:[GameIsOver]],1,Table1[[HomeTeam]:[HomeTeam]],$A16, Table1[[AwayTeam]:[AwayTeam]], N$1, Table1[[ActualResult]:[ActualResult]], "OT") + SUMIFS(Table1[[HomeWon]:[HomeWon]], Table1[[GameIsOver]:[GameIsOver]],1,Table1[[AwayTeam]:[AwayTeam]],$A16, Table1[[HomeTeam]:[HomeTeam]], N$1, Table1[[ActualResult]:[ActualResult]], "SO") + SUMIFS(Table1[[AwayWon]:[AwayWon]], Table1[[GameIsOver]:[GameIsOver]],1,Table1[[HomeTeam]:[HomeTeam]],$A16, Table1[[AwayTeam]:[AwayTeam]], N$1, Table1[[ActualResult]:[ActualResult]], "SO"),0))</f>
        <v>0-0-0</v>
      </c>
      <c r="O16" s="57" t="str">
        <f>_xlfn.CONCAT(TEXT(SUMIFS(Table1[[AwayWon]:[AwayWon]], Table1[[GameIsOver]:[GameIsOver]],1,Table1[[AwayTeam]:[AwayTeam]],$A16, Table1[[HomeTeam]:[HomeTeam]], O$1) + SUMIFS(Table1[[HomeWon]:[HomeWon]], Table1[[GameIsOver]:[GameIsOver]],1,Table1[[HomeTeam]:[HomeTeam]],$A16, Table1[[AwayTeam]:[AwayTeam]], O$1),0), "-", TEXT(SUMIFS(Table1[[HomeWon]:[HomeWon]], Table1[[GameIsOver]:[GameIsOver]],1,Table1[[AwayTeam]:[AwayTeam]],$A16, Table1[[HomeTeam]:[HomeTeam]], O$1, Table1[[ActualResult]:[ActualResult]], "REG") + SUMIFS(Table1[[AwayWon]:[AwayWon]], Table1[[GameIsOver]:[GameIsOver]],1,Table1[[HomeTeam]:[HomeTeam]],$A16, Table1[[AwayTeam]:[AwayTeam]], O$1, Table1[[ActualResult]:[ActualResult]], "REG"),0), "-", TEXT(SUMIFS(Table1[[HomeWon]:[HomeWon]], Table1[[GameIsOver]:[GameIsOver]],1,Table1[[AwayTeam]:[AwayTeam]],$A16, Table1[[HomeTeam]:[HomeTeam]], O$1, Table1[[ActualResult]:[ActualResult]], "OT") + SUMIFS(Table1[[AwayWon]:[AwayWon]], Table1[[GameIsOver]:[GameIsOver]],1,Table1[[HomeTeam]:[HomeTeam]],$A16, Table1[[AwayTeam]:[AwayTeam]], O$1, Table1[[ActualResult]:[ActualResult]], "OT") + SUMIFS(Table1[[HomeWon]:[HomeWon]], Table1[[GameIsOver]:[GameIsOver]],1,Table1[[AwayTeam]:[AwayTeam]],$A16, Table1[[HomeTeam]:[HomeTeam]], O$1, Table1[[ActualResult]:[ActualResult]], "SO") + SUMIFS(Table1[[AwayWon]:[AwayWon]], Table1[[GameIsOver]:[GameIsOver]],1,Table1[[HomeTeam]:[HomeTeam]],$A16, Table1[[AwayTeam]:[AwayTeam]], O$1, Table1[[ActualResult]:[ActualResult]], "SO"),0))</f>
        <v>0-0-0</v>
      </c>
      <c r="P16" s="57" t="str">
        <f>_xlfn.CONCAT(TEXT(SUMIFS(Table1[[AwayWon]:[AwayWon]], Table1[[GameIsOver]:[GameIsOver]],1,Table1[[AwayTeam]:[AwayTeam]],$A16, Table1[[HomeTeam]:[HomeTeam]], P$1) + SUMIFS(Table1[[HomeWon]:[HomeWon]], Table1[[GameIsOver]:[GameIsOver]],1,Table1[[HomeTeam]:[HomeTeam]],$A16, Table1[[AwayTeam]:[AwayTeam]], P$1),0), "-", TEXT(SUMIFS(Table1[[HomeWon]:[HomeWon]], Table1[[GameIsOver]:[GameIsOver]],1,Table1[[AwayTeam]:[AwayTeam]],$A16, Table1[[HomeTeam]:[HomeTeam]], P$1, Table1[[ActualResult]:[ActualResult]], "REG") + SUMIFS(Table1[[AwayWon]:[AwayWon]], Table1[[GameIsOver]:[GameIsOver]],1,Table1[[HomeTeam]:[HomeTeam]],$A16, Table1[[AwayTeam]:[AwayTeam]], P$1, Table1[[ActualResult]:[ActualResult]], "REG"),0), "-", TEXT(SUMIFS(Table1[[HomeWon]:[HomeWon]], Table1[[GameIsOver]:[GameIsOver]],1,Table1[[AwayTeam]:[AwayTeam]],$A16, Table1[[HomeTeam]:[HomeTeam]], P$1, Table1[[ActualResult]:[ActualResult]], "OT") + SUMIFS(Table1[[AwayWon]:[AwayWon]], Table1[[GameIsOver]:[GameIsOver]],1,Table1[[HomeTeam]:[HomeTeam]],$A16, Table1[[AwayTeam]:[AwayTeam]], P$1, Table1[[ActualResult]:[ActualResult]], "OT") + SUMIFS(Table1[[HomeWon]:[HomeWon]], Table1[[GameIsOver]:[GameIsOver]],1,Table1[[AwayTeam]:[AwayTeam]],$A16, Table1[[HomeTeam]:[HomeTeam]], P$1, Table1[[ActualResult]:[ActualResult]], "SO") + SUMIFS(Table1[[AwayWon]:[AwayWon]], Table1[[GameIsOver]:[GameIsOver]],1,Table1[[HomeTeam]:[HomeTeam]],$A16, Table1[[AwayTeam]:[AwayTeam]], P$1, Table1[[ActualResult]:[ActualResult]], "SO"),0))</f>
        <v>0-0-0</v>
      </c>
      <c r="Q16" s="59" t="str">
        <f>_xlfn.CONCAT(TEXT(SUMIFS(Table1[[AwayWon]:[AwayWon]], Table1[[GameIsOver]:[GameIsOver]],1,Table1[[AwayTeam]:[AwayTeam]],$A16, Table1[[HomeTeam]:[HomeTeam]], Q$1) + SUMIFS(Table1[[HomeWon]:[HomeWon]], Table1[[GameIsOver]:[GameIsOver]],1,Table1[[HomeTeam]:[HomeTeam]],$A16, Table1[[AwayTeam]:[AwayTeam]], Q$1),0), "-", TEXT(SUMIFS(Table1[[HomeWon]:[HomeWon]], Table1[[GameIsOver]:[GameIsOver]],1,Table1[[AwayTeam]:[AwayTeam]],$A16, Table1[[HomeTeam]:[HomeTeam]], Q$1, Table1[[ActualResult]:[ActualResult]], "REG") + SUMIFS(Table1[[AwayWon]:[AwayWon]], Table1[[GameIsOver]:[GameIsOver]],1,Table1[[HomeTeam]:[HomeTeam]],$A16, Table1[[AwayTeam]:[AwayTeam]], Q$1, Table1[[ActualResult]:[ActualResult]], "REG"),0), "-", TEXT(SUMIFS(Table1[[HomeWon]:[HomeWon]], Table1[[GameIsOver]:[GameIsOver]],1,Table1[[AwayTeam]:[AwayTeam]],$A16, Table1[[HomeTeam]:[HomeTeam]], Q$1, Table1[[ActualResult]:[ActualResult]], "OT") + SUMIFS(Table1[[AwayWon]:[AwayWon]], Table1[[GameIsOver]:[GameIsOver]],1,Table1[[HomeTeam]:[HomeTeam]],$A16, Table1[[AwayTeam]:[AwayTeam]], Q$1, Table1[[ActualResult]:[ActualResult]], "OT") + SUMIFS(Table1[[HomeWon]:[HomeWon]], Table1[[GameIsOver]:[GameIsOver]],1,Table1[[AwayTeam]:[AwayTeam]],$A16, Table1[[HomeTeam]:[HomeTeam]], Q$1, Table1[[ActualResult]:[ActualResult]], "SO") + SUMIFS(Table1[[AwayWon]:[AwayWon]], Table1[[GameIsOver]:[GameIsOver]],1,Table1[[HomeTeam]:[HomeTeam]],$A16, Table1[[AwayTeam]:[AwayTeam]], Q$1, Table1[[ActualResult]:[ActualResult]], "SO"),0))</f>
        <v>0-0-0</v>
      </c>
      <c r="R16" s="57" t="str">
        <f>_xlfn.CONCAT(TEXT(SUMIFS(Table1[[AwayWon]:[AwayWon]], Table1[[GameIsOver]:[GameIsOver]],1,Table1[[AwayTeam]:[AwayTeam]],$A16, Table1[[HomeTeam]:[HomeTeam]], R$1) + SUMIFS(Table1[[HomeWon]:[HomeWon]], Table1[[GameIsOver]:[GameIsOver]],1,Table1[[HomeTeam]:[HomeTeam]],$A16, Table1[[AwayTeam]:[AwayTeam]], R$1),0), "-", TEXT(SUMIFS(Table1[[HomeWon]:[HomeWon]], Table1[[GameIsOver]:[GameIsOver]],1,Table1[[AwayTeam]:[AwayTeam]],$A16, Table1[[HomeTeam]:[HomeTeam]], R$1, Table1[[ActualResult]:[ActualResult]], "REG") + SUMIFS(Table1[[AwayWon]:[AwayWon]], Table1[[GameIsOver]:[GameIsOver]],1,Table1[[HomeTeam]:[HomeTeam]],$A16, Table1[[AwayTeam]:[AwayTeam]], R$1, Table1[[ActualResult]:[ActualResult]], "REG"),0), "-", TEXT(SUMIFS(Table1[[HomeWon]:[HomeWon]], Table1[[GameIsOver]:[GameIsOver]],1,Table1[[AwayTeam]:[AwayTeam]],$A16, Table1[[HomeTeam]:[HomeTeam]], R$1, Table1[[ActualResult]:[ActualResult]], "OT") + SUMIFS(Table1[[AwayWon]:[AwayWon]], Table1[[GameIsOver]:[GameIsOver]],1,Table1[[HomeTeam]:[HomeTeam]],$A16, Table1[[AwayTeam]:[AwayTeam]], R$1, Table1[[ActualResult]:[ActualResult]], "OT") + SUMIFS(Table1[[HomeWon]:[HomeWon]], Table1[[GameIsOver]:[GameIsOver]],1,Table1[[AwayTeam]:[AwayTeam]],$A16, Table1[[HomeTeam]:[HomeTeam]], R$1, Table1[[ActualResult]:[ActualResult]], "SO") + SUMIFS(Table1[[AwayWon]:[AwayWon]], Table1[[GameIsOver]:[GameIsOver]],1,Table1[[HomeTeam]:[HomeTeam]],$A16, Table1[[AwayTeam]:[AwayTeam]], R$1, Table1[[ActualResult]:[ActualResult]], "SO"),0))</f>
        <v>0-0-0</v>
      </c>
      <c r="S16" s="57" t="str">
        <f>_xlfn.CONCAT(TEXT(SUMIFS(Table1[[AwayWon]:[AwayWon]], Table1[[GameIsOver]:[GameIsOver]],1,Table1[[AwayTeam]:[AwayTeam]],$A16, Table1[[HomeTeam]:[HomeTeam]], S$1) + SUMIFS(Table1[[HomeWon]:[HomeWon]], Table1[[GameIsOver]:[GameIsOver]],1,Table1[[HomeTeam]:[HomeTeam]],$A16, Table1[[AwayTeam]:[AwayTeam]], S$1),0), "-", TEXT(SUMIFS(Table1[[HomeWon]:[HomeWon]], Table1[[GameIsOver]:[GameIsOver]],1,Table1[[AwayTeam]:[AwayTeam]],$A16, Table1[[HomeTeam]:[HomeTeam]], S$1, Table1[[ActualResult]:[ActualResult]], "REG") + SUMIFS(Table1[[AwayWon]:[AwayWon]], Table1[[GameIsOver]:[GameIsOver]],1,Table1[[HomeTeam]:[HomeTeam]],$A16, Table1[[AwayTeam]:[AwayTeam]], S$1, Table1[[ActualResult]:[ActualResult]], "REG"),0), "-", TEXT(SUMIFS(Table1[[HomeWon]:[HomeWon]], Table1[[GameIsOver]:[GameIsOver]],1,Table1[[AwayTeam]:[AwayTeam]],$A16, Table1[[HomeTeam]:[HomeTeam]], S$1, Table1[[ActualResult]:[ActualResult]], "OT") + SUMIFS(Table1[[AwayWon]:[AwayWon]], Table1[[GameIsOver]:[GameIsOver]],1,Table1[[HomeTeam]:[HomeTeam]],$A16, Table1[[AwayTeam]:[AwayTeam]], S$1, Table1[[ActualResult]:[ActualResult]], "OT") + SUMIFS(Table1[[HomeWon]:[HomeWon]], Table1[[GameIsOver]:[GameIsOver]],1,Table1[[AwayTeam]:[AwayTeam]],$A16, Table1[[HomeTeam]:[HomeTeam]], S$1, Table1[[ActualResult]:[ActualResult]], "SO") + SUMIFS(Table1[[AwayWon]:[AwayWon]], Table1[[GameIsOver]:[GameIsOver]],1,Table1[[HomeTeam]:[HomeTeam]],$A16, Table1[[AwayTeam]:[AwayTeam]], S$1, Table1[[ActualResult]:[ActualResult]], "SO"),0))</f>
        <v>0-0-0</v>
      </c>
      <c r="T16" s="57" t="str">
        <f>_xlfn.CONCAT(TEXT(SUMIFS(Table1[[AwayWon]:[AwayWon]], Table1[[GameIsOver]:[GameIsOver]],1,Table1[[AwayTeam]:[AwayTeam]],$A16, Table1[[HomeTeam]:[HomeTeam]], T$1) + SUMIFS(Table1[[HomeWon]:[HomeWon]], Table1[[GameIsOver]:[GameIsOver]],1,Table1[[HomeTeam]:[HomeTeam]],$A16, Table1[[AwayTeam]:[AwayTeam]], T$1),0), "-", TEXT(SUMIFS(Table1[[HomeWon]:[HomeWon]], Table1[[GameIsOver]:[GameIsOver]],1,Table1[[AwayTeam]:[AwayTeam]],$A16, Table1[[HomeTeam]:[HomeTeam]], T$1, Table1[[ActualResult]:[ActualResult]], "REG") + SUMIFS(Table1[[AwayWon]:[AwayWon]], Table1[[GameIsOver]:[GameIsOver]],1,Table1[[HomeTeam]:[HomeTeam]],$A16, Table1[[AwayTeam]:[AwayTeam]], T$1, Table1[[ActualResult]:[ActualResult]], "REG"),0), "-", TEXT(SUMIFS(Table1[[HomeWon]:[HomeWon]], Table1[[GameIsOver]:[GameIsOver]],1,Table1[[AwayTeam]:[AwayTeam]],$A16, Table1[[HomeTeam]:[HomeTeam]], T$1, Table1[[ActualResult]:[ActualResult]], "OT") + SUMIFS(Table1[[AwayWon]:[AwayWon]], Table1[[GameIsOver]:[GameIsOver]],1,Table1[[HomeTeam]:[HomeTeam]],$A16, Table1[[AwayTeam]:[AwayTeam]], T$1, Table1[[ActualResult]:[ActualResult]], "OT") + SUMIFS(Table1[[HomeWon]:[HomeWon]], Table1[[GameIsOver]:[GameIsOver]],1,Table1[[AwayTeam]:[AwayTeam]],$A16, Table1[[HomeTeam]:[HomeTeam]], T$1, Table1[[ActualResult]:[ActualResult]], "SO") + SUMIFS(Table1[[AwayWon]:[AwayWon]], Table1[[GameIsOver]:[GameIsOver]],1,Table1[[HomeTeam]:[HomeTeam]],$A16, Table1[[AwayTeam]:[AwayTeam]], T$1, Table1[[ActualResult]:[ActualResult]], "SO"),0))</f>
        <v>0-0-0</v>
      </c>
      <c r="U16" s="57" t="str">
        <f>_xlfn.CONCAT(TEXT(SUMIFS(Table1[[AwayWon]:[AwayWon]], Table1[[GameIsOver]:[GameIsOver]],1,Table1[[AwayTeam]:[AwayTeam]],$A16, Table1[[HomeTeam]:[HomeTeam]], U$1) + SUMIFS(Table1[[HomeWon]:[HomeWon]], Table1[[GameIsOver]:[GameIsOver]],1,Table1[[HomeTeam]:[HomeTeam]],$A16, Table1[[AwayTeam]:[AwayTeam]], U$1),0), "-", TEXT(SUMIFS(Table1[[HomeWon]:[HomeWon]], Table1[[GameIsOver]:[GameIsOver]],1,Table1[[AwayTeam]:[AwayTeam]],$A16, Table1[[HomeTeam]:[HomeTeam]], U$1, Table1[[ActualResult]:[ActualResult]], "REG") + SUMIFS(Table1[[AwayWon]:[AwayWon]], Table1[[GameIsOver]:[GameIsOver]],1,Table1[[HomeTeam]:[HomeTeam]],$A16, Table1[[AwayTeam]:[AwayTeam]], U$1, Table1[[ActualResult]:[ActualResult]], "REG"),0), "-", TEXT(SUMIFS(Table1[[HomeWon]:[HomeWon]], Table1[[GameIsOver]:[GameIsOver]],1,Table1[[AwayTeam]:[AwayTeam]],$A16, Table1[[HomeTeam]:[HomeTeam]], U$1, Table1[[ActualResult]:[ActualResult]], "OT") + SUMIFS(Table1[[AwayWon]:[AwayWon]], Table1[[GameIsOver]:[GameIsOver]],1,Table1[[HomeTeam]:[HomeTeam]],$A16, Table1[[AwayTeam]:[AwayTeam]], U$1, Table1[[ActualResult]:[ActualResult]], "OT") + SUMIFS(Table1[[HomeWon]:[HomeWon]], Table1[[GameIsOver]:[GameIsOver]],1,Table1[[AwayTeam]:[AwayTeam]],$A16, Table1[[HomeTeam]:[HomeTeam]], U$1, Table1[[ActualResult]:[ActualResult]], "SO") + SUMIFS(Table1[[AwayWon]:[AwayWon]], Table1[[GameIsOver]:[GameIsOver]],1,Table1[[HomeTeam]:[HomeTeam]],$A16, Table1[[AwayTeam]:[AwayTeam]], U$1, Table1[[ActualResult]:[ActualResult]], "SO"),0))</f>
        <v>0-0-0</v>
      </c>
      <c r="V16" s="57" t="str">
        <f>_xlfn.CONCAT(TEXT(SUMIFS(Table1[[AwayWon]:[AwayWon]], Table1[[GameIsOver]:[GameIsOver]],1,Table1[[AwayTeam]:[AwayTeam]],$A16, Table1[[HomeTeam]:[HomeTeam]], V$1) + SUMIFS(Table1[[HomeWon]:[HomeWon]], Table1[[GameIsOver]:[GameIsOver]],1,Table1[[HomeTeam]:[HomeTeam]],$A16, Table1[[AwayTeam]:[AwayTeam]], V$1),0), "-", TEXT(SUMIFS(Table1[[HomeWon]:[HomeWon]], Table1[[GameIsOver]:[GameIsOver]],1,Table1[[AwayTeam]:[AwayTeam]],$A16, Table1[[HomeTeam]:[HomeTeam]], V$1, Table1[[ActualResult]:[ActualResult]], "REG") + SUMIFS(Table1[[AwayWon]:[AwayWon]], Table1[[GameIsOver]:[GameIsOver]],1,Table1[[HomeTeam]:[HomeTeam]],$A16, Table1[[AwayTeam]:[AwayTeam]], V$1, Table1[[ActualResult]:[ActualResult]], "REG"),0), "-", TEXT(SUMIFS(Table1[[HomeWon]:[HomeWon]], Table1[[GameIsOver]:[GameIsOver]],1,Table1[[AwayTeam]:[AwayTeam]],$A16, Table1[[HomeTeam]:[HomeTeam]], V$1, Table1[[ActualResult]:[ActualResult]], "OT") + SUMIFS(Table1[[AwayWon]:[AwayWon]], Table1[[GameIsOver]:[GameIsOver]],1,Table1[[HomeTeam]:[HomeTeam]],$A16, Table1[[AwayTeam]:[AwayTeam]], V$1, Table1[[ActualResult]:[ActualResult]], "OT") + SUMIFS(Table1[[HomeWon]:[HomeWon]], Table1[[GameIsOver]:[GameIsOver]],1,Table1[[AwayTeam]:[AwayTeam]],$A16, Table1[[HomeTeam]:[HomeTeam]], V$1, Table1[[ActualResult]:[ActualResult]], "SO") + SUMIFS(Table1[[AwayWon]:[AwayWon]], Table1[[GameIsOver]:[GameIsOver]],1,Table1[[HomeTeam]:[HomeTeam]],$A16, Table1[[AwayTeam]:[AwayTeam]], V$1, Table1[[ActualResult]:[ActualResult]], "SO"),0))</f>
        <v>0-0-0</v>
      </c>
      <c r="W16" s="57" t="str">
        <f>_xlfn.CONCAT(TEXT(SUMIFS(Table1[[AwayWon]:[AwayWon]], Table1[[GameIsOver]:[GameIsOver]],1,Table1[[AwayTeam]:[AwayTeam]],$A16, Table1[[HomeTeam]:[HomeTeam]], W$1) + SUMIFS(Table1[[HomeWon]:[HomeWon]], Table1[[GameIsOver]:[GameIsOver]],1,Table1[[HomeTeam]:[HomeTeam]],$A16, Table1[[AwayTeam]:[AwayTeam]], W$1),0), "-", TEXT(SUMIFS(Table1[[HomeWon]:[HomeWon]], Table1[[GameIsOver]:[GameIsOver]],1,Table1[[AwayTeam]:[AwayTeam]],$A16, Table1[[HomeTeam]:[HomeTeam]], W$1, Table1[[ActualResult]:[ActualResult]], "REG") + SUMIFS(Table1[[AwayWon]:[AwayWon]], Table1[[GameIsOver]:[GameIsOver]],1,Table1[[HomeTeam]:[HomeTeam]],$A16, Table1[[AwayTeam]:[AwayTeam]], W$1, Table1[[ActualResult]:[ActualResult]], "REG"),0), "-", TEXT(SUMIFS(Table1[[HomeWon]:[HomeWon]], Table1[[GameIsOver]:[GameIsOver]],1,Table1[[AwayTeam]:[AwayTeam]],$A16, Table1[[HomeTeam]:[HomeTeam]], W$1, Table1[[ActualResult]:[ActualResult]], "OT") + SUMIFS(Table1[[AwayWon]:[AwayWon]], Table1[[GameIsOver]:[GameIsOver]],1,Table1[[HomeTeam]:[HomeTeam]],$A16, Table1[[AwayTeam]:[AwayTeam]], W$1, Table1[[ActualResult]:[ActualResult]], "OT") + SUMIFS(Table1[[HomeWon]:[HomeWon]], Table1[[GameIsOver]:[GameIsOver]],1,Table1[[AwayTeam]:[AwayTeam]],$A16, Table1[[HomeTeam]:[HomeTeam]], W$1, Table1[[ActualResult]:[ActualResult]], "SO") + SUMIFS(Table1[[AwayWon]:[AwayWon]], Table1[[GameIsOver]:[GameIsOver]],1,Table1[[HomeTeam]:[HomeTeam]],$A16, Table1[[AwayTeam]:[AwayTeam]], W$1, Table1[[ActualResult]:[ActualResult]], "SO"),0))</f>
        <v>0-0-0</v>
      </c>
      <c r="X16" s="57" t="str">
        <f>_xlfn.CONCAT(TEXT(SUMIFS(Table1[[AwayWon]:[AwayWon]], Table1[[GameIsOver]:[GameIsOver]],1,Table1[[AwayTeam]:[AwayTeam]],$A16, Table1[[HomeTeam]:[HomeTeam]], X$1) + SUMIFS(Table1[[HomeWon]:[HomeWon]], Table1[[GameIsOver]:[GameIsOver]],1,Table1[[HomeTeam]:[HomeTeam]],$A16, Table1[[AwayTeam]:[AwayTeam]], X$1),0), "-", TEXT(SUMIFS(Table1[[HomeWon]:[HomeWon]], Table1[[GameIsOver]:[GameIsOver]],1,Table1[[AwayTeam]:[AwayTeam]],$A16, Table1[[HomeTeam]:[HomeTeam]], X$1, Table1[[ActualResult]:[ActualResult]], "REG") + SUMIFS(Table1[[AwayWon]:[AwayWon]], Table1[[GameIsOver]:[GameIsOver]],1,Table1[[HomeTeam]:[HomeTeam]],$A16, Table1[[AwayTeam]:[AwayTeam]], X$1, Table1[[ActualResult]:[ActualResult]], "REG"),0), "-", TEXT(SUMIFS(Table1[[HomeWon]:[HomeWon]], Table1[[GameIsOver]:[GameIsOver]],1,Table1[[AwayTeam]:[AwayTeam]],$A16, Table1[[HomeTeam]:[HomeTeam]], X$1, Table1[[ActualResult]:[ActualResult]], "OT") + SUMIFS(Table1[[AwayWon]:[AwayWon]], Table1[[GameIsOver]:[GameIsOver]],1,Table1[[HomeTeam]:[HomeTeam]],$A16, Table1[[AwayTeam]:[AwayTeam]], X$1, Table1[[ActualResult]:[ActualResult]], "OT") + SUMIFS(Table1[[HomeWon]:[HomeWon]], Table1[[GameIsOver]:[GameIsOver]],1,Table1[[AwayTeam]:[AwayTeam]],$A16, Table1[[HomeTeam]:[HomeTeam]], X$1, Table1[[ActualResult]:[ActualResult]], "SO") + SUMIFS(Table1[[AwayWon]:[AwayWon]], Table1[[GameIsOver]:[GameIsOver]],1,Table1[[HomeTeam]:[HomeTeam]],$A16, Table1[[AwayTeam]:[AwayTeam]], X$1, Table1[[ActualResult]:[ActualResult]], "SO"),0))</f>
        <v>0-0-0</v>
      </c>
      <c r="Y16" s="59" t="str">
        <f>_xlfn.CONCAT(TEXT(SUMIFS(Table1[[AwayWon]:[AwayWon]], Table1[[GameIsOver]:[GameIsOver]],1,Table1[[AwayTeam]:[AwayTeam]],$A16, Table1[[HomeTeam]:[HomeTeam]], Y$1) + SUMIFS(Table1[[HomeWon]:[HomeWon]], Table1[[GameIsOver]:[GameIsOver]],1,Table1[[HomeTeam]:[HomeTeam]],$A16, Table1[[AwayTeam]:[AwayTeam]], Y$1),0), "-", TEXT(SUMIFS(Table1[[HomeWon]:[HomeWon]], Table1[[GameIsOver]:[GameIsOver]],1,Table1[[AwayTeam]:[AwayTeam]],$A16, Table1[[HomeTeam]:[HomeTeam]], Y$1, Table1[[ActualResult]:[ActualResult]], "REG") + SUMIFS(Table1[[AwayWon]:[AwayWon]], Table1[[GameIsOver]:[GameIsOver]],1,Table1[[HomeTeam]:[HomeTeam]],$A16, Table1[[AwayTeam]:[AwayTeam]], Y$1, Table1[[ActualResult]:[ActualResult]], "REG"),0), "-", TEXT(SUMIFS(Table1[[HomeWon]:[HomeWon]], Table1[[GameIsOver]:[GameIsOver]],1,Table1[[AwayTeam]:[AwayTeam]],$A16, Table1[[HomeTeam]:[HomeTeam]], Y$1, Table1[[ActualResult]:[ActualResult]], "OT") + SUMIFS(Table1[[AwayWon]:[AwayWon]], Table1[[GameIsOver]:[GameIsOver]],1,Table1[[HomeTeam]:[HomeTeam]],$A16, Table1[[AwayTeam]:[AwayTeam]], Y$1, Table1[[ActualResult]:[ActualResult]], "OT") + SUMIFS(Table1[[HomeWon]:[HomeWon]], Table1[[GameIsOver]:[GameIsOver]],1,Table1[[AwayTeam]:[AwayTeam]],$A16, Table1[[HomeTeam]:[HomeTeam]], Y$1, Table1[[ActualResult]:[ActualResult]], "SO") + SUMIFS(Table1[[AwayWon]:[AwayWon]], Table1[[GameIsOver]:[GameIsOver]],1,Table1[[HomeTeam]:[HomeTeam]],$A16, Table1[[AwayTeam]:[AwayTeam]], Y$1, Table1[[ActualResult]:[ActualResult]], "SO"),0))</f>
        <v>0-0-0</v>
      </c>
      <c r="Z16" s="57" t="str">
        <f>_xlfn.CONCAT(TEXT(SUMIFS(Table1[[AwayWon]:[AwayWon]], Table1[[GameIsOver]:[GameIsOver]],1,Table1[[AwayTeam]:[AwayTeam]],$A16, Table1[[HomeTeam]:[HomeTeam]], Z$1) + SUMIFS(Table1[[HomeWon]:[HomeWon]], Table1[[GameIsOver]:[GameIsOver]],1,Table1[[HomeTeam]:[HomeTeam]],$A16, Table1[[AwayTeam]:[AwayTeam]], Z$1),0), "-", TEXT(SUMIFS(Table1[[HomeWon]:[HomeWon]], Table1[[GameIsOver]:[GameIsOver]],1,Table1[[AwayTeam]:[AwayTeam]],$A16, Table1[[HomeTeam]:[HomeTeam]], Z$1, Table1[[ActualResult]:[ActualResult]], "REG") + SUMIFS(Table1[[AwayWon]:[AwayWon]], Table1[[GameIsOver]:[GameIsOver]],1,Table1[[HomeTeam]:[HomeTeam]],$A16, Table1[[AwayTeam]:[AwayTeam]], Z$1, Table1[[ActualResult]:[ActualResult]], "REG"),0), "-", TEXT(SUMIFS(Table1[[HomeWon]:[HomeWon]], Table1[[GameIsOver]:[GameIsOver]],1,Table1[[AwayTeam]:[AwayTeam]],$A16, Table1[[HomeTeam]:[HomeTeam]], Z$1, Table1[[ActualResult]:[ActualResult]], "OT") + SUMIFS(Table1[[AwayWon]:[AwayWon]], Table1[[GameIsOver]:[GameIsOver]],1,Table1[[HomeTeam]:[HomeTeam]],$A16, Table1[[AwayTeam]:[AwayTeam]], Z$1, Table1[[ActualResult]:[ActualResult]], "OT") + SUMIFS(Table1[[HomeWon]:[HomeWon]], Table1[[GameIsOver]:[GameIsOver]],1,Table1[[AwayTeam]:[AwayTeam]],$A16, Table1[[HomeTeam]:[HomeTeam]], Z$1, Table1[[ActualResult]:[ActualResult]], "SO") + SUMIFS(Table1[[AwayWon]:[AwayWon]], Table1[[GameIsOver]:[GameIsOver]],1,Table1[[HomeTeam]:[HomeTeam]],$A16, Table1[[AwayTeam]:[AwayTeam]], Z$1, Table1[[ActualResult]:[ActualResult]], "SO"),0))</f>
        <v>0-0-0</v>
      </c>
      <c r="AA16" s="57" t="str">
        <f>_xlfn.CONCAT(TEXT(SUMIFS(Table1[[AwayWon]:[AwayWon]], Table1[[GameIsOver]:[GameIsOver]],1,Table1[[AwayTeam]:[AwayTeam]],$A16, Table1[[HomeTeam]:[HomeTeam]], AA$1) + SUMIFS(Table1[[HomeWon]:[HomeWon]], Table1[[GameIsOver]:[GameIsOver]],1,Table1[[HomeTeam]:[HomeTeam]],$A16, Table1[[AwayTeam]:[AwayTeam]], AA$1),0), "-", TEXT(SUMIFS(Table1[[HomeWon]:[HomeWon]], Table1[[GameIsOver]:[GameIsOver]],1,Table1[[AwayTeam]:[AwayTeam]],$A16, Table1[[HomeTeam]:[HomeTeam]], AA$1, Table1[[ActualResult]:[ActualResult]], "REG") + SUMIFS(Table1[[AwayWon]:[AwayWon]], Table1[[GameIsOver]:[GameIsOver]],1,Table1[[HomeTeam]:[HomeTeam]],$A16, Table1[[AwayTeam]:[AwayTeam]], AA$1, Table1[[ActualResult]:[ActualResult]], "REG"),0), "-", TEXT(SUMIFS(Table1[[HomeWon]:[HomeWon]], Table1[[GameIsOver]:[GameIsOver]],1,Table1[[AwayTeam]:[AwayTeam]],$A16, Table1[[HomeTeam]:[HomeTeam]], AA$1, Table1[[ActualResult]:[ActualResult]], "OT") + SUMIFS(Table1[[AwayWon]:[AwayWon]], Table1[[GameIsOver]:[GameIsOver]],1,Table1[[HomeTeam]:[HomeTeam]],$A16, Table1[[AwayTeam]:[AwayTeam]], AA$1, Table1[[ActualResult]:[ActualResult]], "OT") + SUMIFS(Table1[[HomeWon]:[HomeWon]], Table1[[GameIsOver]:[GameIsOver]],1,Table1[[AwayTeam]:[AwayTeam]],$A16, Table1[[HomeTeam]:[HomeTeam]], AA$1, Table1[[ActualResult]:[ActualResult]], "SO") + SUMIFS(Table1[[AwayWon]:[AwayWon]], Table1[[GameIsOver]:[GameIsOver]],1,Table1[[HomeTeam]:[HomeTeam]],$A16, Table1[[AwayTeam]:[AwayTeam]], AA$1, Table1[[ActualResult]:[ActualResult]], "SO"),0))</f>
        <v>0-0-0</v>
      </c>
      <c r="AB16" s="57" t="str">
        <f>_xlfn.CONCAT(TEXT(SUMIFS(Table1[[AwayWon]:[AwayWon]], Table1[[GameIsOver]:[GameIsOver]],1,Table1[[AwayTeam]:[AwayTeam]],$A16, Table1[[HomeTeam]:[HomeTeam]], AB$1) + SUMIFS(Table1[[HomeWon]:[HomeWon]], Table1[[GameIsOver]:[GameIsOver]],1,Table1[[HomeTeam]:[HomeTeam]],$A16, Table1[[AwayTeam]:[AwayTeam]], AB$1),0), "-", TEXT(SUMIFS(Table1[[HomeWon]:[HomeWon]], Table1[[GameIsOver]:[GameIsOver]],1,Table1[[AwayTeam]:[AwayTeam]],$A16, Table1[[HomeTeam]:[HomeTeam]], AB$1, Table1[[ActualResult]:[ActualResult]], "REG") + SUMIFS(Table1[[AwayWon]:[AwayWon]], Table1[[GameIsOver]:[GameIsOver]],1,Table1[[HomeTeam]:[HomeTeam]],$A16, Table1[[AwayTeam]:[AwayTeam]], AB$1, Table1[[ActualResult]:[ActualResult]], "REG"),0), "-", TEXT(SUMIFS(Table1[[HomeWon]:[HomeWon]], Table1[[GameIsOver]:[GameIsOver]],1,Table1[[AwayTeam]:[AwayTeam]],$A16, Table1[[HomeTeam]:[HomeTeam]], AB$1, Table1[[ActualResult]:[ActualResult]], "OT") + SUMIFS(Table1[[AwayWon]:[AwayWon]], Table1[[GameIsOver]:[GameIsOver]],1,Table1[[HomeTeam]:[HomeTeam]],$A16, Table1[[AwayTeam]:[AwayTeam]], AB$1, Table1[[ActualResult]:[ActualResult]], "OT") + SUMIFS(Table1[[HomeWon]:[HomeWon]], Table1[[GameIsOver]:[GameIsOver]],1,Table1[[AwayTeam]:[AwayTeam]],$A16, Table1[[HomeTeam]:[HomeTeam]], AB$1, Table1[[ActualResult]:[ActualResult]], "SO") + SUMIFS(Table1[[AwayWon]:[AwayWon]], Table1[[GameIsOver]:[GameIsOver]],1,Table1[[HomeTeam]:[HomeTeam]],$A16, Table1[[AwayTeam]:[AwayTeam]], AB$1, Table1[[ActualResult]:[ActualResult]], "SO"),0))</f>
        <v>0-0-0</v>
      </c>
      <c r="AC16" s="57" t="str">
        <f>_xlfn.CONCAT(TEXT(SUMIFS(Table1[[AwayWon]:[AwayWon]], Table1[[GameIsOver]:[GameIsOver]],1,Table1[[AwayTeam]:[AwayTeam]],$A16, Table1[[HomeTeam]:[HomeTeam]], AC$1) + SUMIFS(Table1[[HomeWon]:[HomeWon]], Table1[[GameIsOver]:[GameIsOver]],1,Table1[[HomeTeam]:[HomeTeam]],$A16, Table1[[AwayTeam]:[AwayTeam]], AC$1),0), "-", TEXT(SUMIFS(Table1[[HomeWon]:[HomeWon]], Table1[[GameIsOver]:[GameIsOver]],1,Table1[[AwayTeam]:[AwayTeam]],$A16, Table1[[HomeTeam]:[HomeTeam]], AC$1, Table1[[ActualResult]:[ActualResult]], "REG") + SUMIFS(Table1[[AwayWon]:[AwayWon]], Table1[[GameIsOver]:[GameIsOver]],1,Table1[[HomeTeam]:[HomeTeam]],$A16, Table1[[AwayTeam]:[AwayTeam]], AC$1, Table1[[ActualResult]:[ActualResult]], "REG"),0), "-", TEXT(SUMIFS(Table1[[HomeWon]:[HomeWon]], Table1[[GameIsOver]:[GameIsOver]],1,Table1[[AwayTeam]:[AwayTeam]],$A16, Table1[[HomeTeam]:[HomeTeam]], AC$1, Table1[[ActualResult]:[ActualResult]], "OT") + SUMIFS(Table1[[AwayWon]:[AwayWon]], Table1[[GameIsOver]:[GameIsOver]],1,Table1[[HomeTeam]:[HomeTeam]],$A16, Table1[[AwayTeam]:[AwayTeam]], AC$1, Table1[[ActualResult]:[ActualResult]], "OT") + SUMIFS(Table1[[HomeWon]:[HomeWon]], Table1[[GameIsOver]:[GameIsOver]],1,Table1[[AwayTeam]:[AwayTeam]],$A16, Table1[[HomeTeam]:[HomeTeam]], AC$1, Table1[[ActualResult]:[ActualResult]], "SO") + SUMIFS(Table1[[AwayWon]:[AwayWon]], Table1[[GameIsOver]:[GameIsOver]],1,Table1[[HomeTeam]:[HomeTeam]],$A16, Table1[[AwayTeam]:[AwayTeam]], AC$1, Table1[[ActualResult]:[ActualResult]], "SO"),0))</f>
        <v>0-0-0</v>
      </c>
      <c r="AD16" s="57" t="str">
        <f>_xlfn.CONCAT(TEXT(SUMIFS(Table1[[AwayWon]:[AwayWon]], Table1[[GameIsOver]:[GameIsOver]],1,Table1[[AwayTeam]:[AwayTeam]],$A16, Table1[[HomeTeam]:[HomeTeam]], AD$1) + SUMIFS(Table1[[HomeWon]:[HomeWon]], Table1[[GameIsOver]:[GameIsOver]],1,Table1[[HomeTeam]:[HomeTeam]],$A16, Table1[[AwayTeam]:[AwayTeam]], AD$1),0), "-", TEXT(SUMIFS(Table1[[HomeWon]:[HomeWon]], Table1[[GameIsOver]:[GameIsOver]],1,Table1[[AwayTeam]:[AwayTeam]],$A16, Table1[[HomeTeam]:[HomeTeam]], AD$1, Table1[[ActualResult]:[ActualResult]], "REG") + SUMIFS(Table1[[AwayWon]:[AwayWon]], Table1[[GameIsOver]:[GameIsOver]],1,Table1[[HomeTeam]:[HomeTeam]],$A16, Table1[[AwayTeam]:[AwayTeam]], AD$1, Table1[[ActualResult]:[ActualResult]], "REG"),0), "-", TEXT(SUMIFS(Table1[[HomeWon]:[HomeWon]], Table1[[GameIsOver]:[GameIsOver]],1,Table1[[AwayTeam]:[AwayTeam]],$A16, Table1[[HomeTeam]:[HomeTeam]], AD$1, Table1[[ActualResult]:[ActualResult]], "OT") + SUMIFS(Table1[[AwayWon]:[AwayWon]], Table1[[GameIsOver]:[GameIsOver]],1,Table1[[HomeTeam]:[HomeTeam]],$A16, Table1[[AwayTeam]:[AwayTeam]], AD$1, Table1[[ActualResult]:[ActualResult]], "OT") + SUMIFS(Table1[[HomeWon]:[HomeWon]], Table1[[GameIsOver]:[GameIsOver]],1,Table1[[AwayTeam]:[AwayTeam]],$A16, Table1[[HomeTeam]:[HomeTeam]], AD$1, Table1[[ActualResult]:[ActualResult]], "SO") + SUMIFS(Table1[[AwayWon]:[AwayWon]], Table1[[GameIsOver]:[GameIsOver]],1,Table1[[HomeTeam]:[HomeTeam]],$A16, Table1[[AwayTeam]:[AwayTeam]], AD$1, Table1[[ActualResult]:[ActualResult]], "SO"),0))</f>
        <v>0-0-0</v>
      </c>
      <c r="AE16" s="57" t="str">
        <f>_xlfn.CONCAT(TEXT(SUMIFS(Table1[[AwayWon]:[AwayWon]], Table1[[GameIsOver]:[GameIsOver]],1,Table1[[AwayTeam]:[AwayTeam]],$A16, Table1[[HomeTeam]:[HomeTeam]], AE$1) + SUMIFS(Table1[[HomeWon]:[HomeWon]], Table1[[GameIsOver]:[GameIsOver]],1,Table1[[HomeTeam]:[HomeTeam]],$A16, Table1[[AwayTeam]:[AwayTeam]], AE$1),0), "-", TEXT(SUMIFS(Table1[[HomeWon]:[HomeWon]], Table1[[GameIsOver]:[GameIsOver]],1,Table1[[AwayTeam]:[AwayTeam]],$A16, Table1[[HomeTeam]:[HomeTeam]], AE$1, Table1[[ActualResult]:[ActualResult]], "REG") + SUMIFS(Table1[[AwayWon]:[AwayWon]], Table1[[GameIsOver]:[GameIsOver]],1,Table1[[HomeTeam]:[HomeTeam]],$A16, Table1[[AwayTeam]:[AwayTeam]], AE$1, Table1[[ActualResult]:[ActualResult]], "REG"),0), "-", TEXT(SUMIFS(Table1[[HomeWon]:[HomeWon]], Table1[[GameIsOver]:[GameIsOver]],1,Table1[[AwayTeam]:[AwayTeam]],$A16, Table1[[HomeTeam]:[HomeTeam]], AE$1, Table1[[ActualResult]:[ActualResult]], "OT") + SUMIFS(Table1[[AwayWon]:[AwayWon]], Table1[[GameIsOver]:[GameIsOver]],1,Table1[[HomeTeam]:[HomeTeam]],$A16, Table1[[AwayTeam]:[AwayTeam]], AE$1, Table1[[ActualResult]:[ActualResult]], "OT") + SUMIFS(Table1[[HomeWon]:[HomeWon]], Table1[[GameIsOver]:[GameIsOver]],1,Table1[[AwayTeam]:[AwayTeam]],$A16, Table1[[HomeTeam]:[HomeTeam]], AE$1, Table1[[ActualResult]:[ActualResult]], "SO") + SUMIFS(Table1[[AwayWon]:[AwayWon]], Table1[[GameIsOver]:[GameIsOver]],1,Table1[[HomeTeam]:[HomeTeam]],$A16, Table1[[AwayTeam]:[AwayTeam]], AE$1, Table1[[ActualResult]:[ActualResult]], "SO"),0))</f>
        <v>1-0-0</v>
      </c>
      <c r="AF16" s="57" t="str">
        <f>_xlfn.CONCAT(TEXT(SUMIFS(Table1[[AwayWon]:[AwayWon]], Table1[[GameIsOver]:[GameIsOver]],1,Table1[[AwayTeam]:[AwayTeam]],$A16, Table1[[HomeTeam]:[HomeTeam]], AF$1) + SUMIFS(Table1[[HomeWon]:[HomeWon]], Table1[[GameIsOver]:[GameIsOver]],1,Table1[[HomeTeam]:[HomeTeam]],$A16, Table1[[AwayTeam]:[AwayTeam]], AF$1),0), "-", TEXT(SUMIFS(Table1[[HomeWon]:[HomeWon]], Table1[[GameIsOver]:[GameIsOver]],1,Table1[[AwayTeam]:[AwayTeam]],$A16, Table1[[HomeTeam]:[HomeTeam]], AF$1, Table1[[ActualResult]:[ActualResult]], "REG") + SUMIFS(Table1[[AwayWon]:[AwayWon]], Table1[[GameIsOver]:[GameIsOver]],1,Table1[[HomeTeam]:[HomeTeam]],$A16, Table1[[AwayTeam]:[AwayTeam]], AF$1, Table1[[ActualResult]:[ActualResult]], "REG"),0), "-", TEXT(SUMIFS(Table1[[HomeWon]:[HomeWon]], Table1[[GameIsOver]:[GameIsOver]],1,Table1[[AwayTeam]:[AwayTeam]],$A16, Table1[[HomeTeam]:[HomeTeam]], AF$1, Table1[[ActualResult]:[ActualResult]], "OT") + SUMIFS(Table1[[AwayWon]:[AwayWon]], Table1[[GameIsOver]:[GameIsOver]],1,Table1[[HomeTeam]:[HomeTeam]],$A16, Table1[[AwayTeam]:[AwayTeam]], AF$1, Table1[[ActualResult]:[ActualResult]], "OT") + SUMIFS(Table1[[HomeWon]:[HomeWon]], Table1[[GameIsOver]:[GameIsOver]],1,Table1[[AwayTeam]:[AwayTeam]],$A16, Table1[[HomeTeam]:[HomeTeam]], AF$1, Table1[[ActualResult]:[ActualResult]], "SO") + SUMIFS(Table1[[AwayWon]:[AwayWon]], Table1[[GameIsOver]:[GameIsOver]],1,Table1[[HomeTeam]:[HomeTeam]],$A16, Table1[[AwayTeam]:[AwayTeam]], AF$1, Table1[[ActualResult]:[ActualResult]], "SO"),0))</f>
        <v>0-0-0</v>
      </c>
      <c r="AG16" s="57" t="str">
        <f>_xlfn.CONCAT(TEXT(SUMIFS(Table1[[AwayWon]:[AwayWon]], Table1[[GameIsOver]:[GameIsOver]],1,Table1[[AwayTeam]:[AwayTeam]],$A16, Table1[[HomeTeam]:[HomeTeam]], AG$1) + SUMIFS(Table1[[HomeWon]:[HomeWon]], Table1[[GameIsOver]:[GameIsOver]],1,Table1[[HomeTeam]:[HomeTeam]],$A16, Table1[[AwayTeam]:[AwayTeam]], AG$1),0), "-", TEXT(SUMIFS(Table1[[HomeWon]:[HomeWon]], Table1[[GameIsOver]:[GameIsOver]],1,Table1[[AwayTeam]:[AwayTeam]],$A16, Table1[[HomeTeam]:[HomeTeam]], AG$1, Table1[[ActualResult]:[ActualResult]], "REG") + SUMIFS(Table1[[AwayWon]:[AwayWon]], Table1[[GameIsOver]:[GameIsOver]],1,Table1[[HomeTeam]:[HomeTeam]],$A16, Table1[[AwayTeam]:[AwayTeam]], AG$1, Table1[[ActualResult]:[ActualResult]], "REG"),0), "-", TEXT(SUMIFS(Table1[[HomeWon]:[HomeWon]], Table1[[GameIsOver]:[GameIsOver]],1,Table1[[AwayTeam]:[AwayTeam]],$A16, Table1[[HomeTeam]:[HomeTeam]], AG$1, Table1[[ActualResult]:[ActualResult]], "OT") + SUMIFS(Table1[[AwayWon]:[AwayWon]], Table1[[GameIsOver]:[GameIsOver]],1,Table1[[HomeTeam]:[HomeTeam]],$A16, Table1[[AwayTeam]:[AwayTeam]], AG$1, Table1[[ActualResult]:[ActualResult]], "OT") + SUMIFS(Table1[[HomeWon]:[HomeWon]], Table1[[GameIsOver]:[GameIsOver]],1,Table1[[AwayTeam]:[AwayTeam]],$A16, Table1[[HomeTeam]:[HomeTeam]], AG$1, Table1[[ActualResult]:[ActualResult]], "SO") + SUMIFS(Table1[[AwayWon]:[AwayWon]], Table1[[GameIsOver]:[GameIsOver]],1,Table1[[HomeTeam]:[HomeTeam]],$A16, Table1[[AwayTeam]:[AwayTeam]], AG$1, Table1[[ActualResult]:[ActualResult]], "SO"),0))</f>
        <v>0-0-0</v>
      </c>
    </row>
    <row r="17" spans="1:33" ht="15.75" thickBot="1" x14ac:dyDescent="0.3">
      <c r="A17" s="29" t="s">
        <v>60</v>
      </c>
      <c r="B17" s="60" t="str">
        <f>_xlfn.CONCAT(TEXT(SUMIFS(Table1[[AwayWon]:[AwayWon]], Table1[[GameIsOver]:[GameIsOver]],1,Table1[[AwayTeam]:[AwayTeam]],$A17, Table1[[HomeTeam]:[HomeTeam]], B$1) + SUMIFS(Table1[[HomeWon]:[HomeWon]], Table1[[GameIsOver]:[GameIsOver]],1,Table1[[HomeTeam]:[HomeTeam]],$A17, Table1[[AwayTeam]:[AwayTeam]], B$1),0), "-", TEXT(SUMIFS(Table1[[HomeWon]:[HomeWon]], Table1[[GameIsOver]:[GameIsOver]],1,Table1[[AwayTeam]:[AwayTeam]],$A17, Table1[[HomeTeam]:[HomeTeam]], B$1, Table1[[ActualResult]:[ActualResult]], "REG") + SUMIFS(Table1[[AwayWon]:[AwayWon]], Table1[[GameIsOver]:[GameIsOver]],1,Table1[[HomeTeam]:[HomeTeam]],$A17, Table1[[AwayTeam]:[AwayTeam]], B$1, Table1[[ActualResult]:[ActualResult]], "REG"),0), "-", TEXT(SUMIFS(Table1[[HomeWon]:[HomeWon]], Table1[[GameIsOver]:[GameIsOver]],1,Table1[[AwayTeam]:[AwayTeam]],$A17, Table1[[HomeTeam]:[HomeTeam]], B$1, Table1[[ActualResult]:[ActualResult]], "OT") + SUMIFS(Table1[[AwayWon]:[AwayWon]], Table1[[GameIsOver]:[GameIsOver]],1,Table1[[HomeTeam]:[HomeTeam]],$A17, Table1[[AwayTeam]:[AwayTeam]], B$1, Table1[[ActualResult]:[ActualResult]], "OT") + SUMIFS(Table1[[HomeWon]:[HomeWon]], Table1[[GameIsOver]:[GameIsOver]],1,Table1[[AwayTeam]:[AwayTeam]],$A17, Table1[[HomeTeam]:[HomeTeam]], B$1, Table1[[ActualResult]:[ActualResult]], "SO") + SUMIFS(Table1[[AwayWon]:[AwayWon]], Table1[[GameIsOver]:[GameIsOver]],1,Table1[[HomeTeam]:[HomeTeam]],$A17, Table1[[AwayTeam]:[AwayTeam]], B$1, Table1[[ActualResult]:[ActualResult]], "SO"),0))</f>
        <v>0-0-0</v>
      </c>
      <c r="C17" s="61" t="str">
        <f>_xlfn.CONCAT(TEXT(SUMIFS(Table1[[AwayWon]:[AwayWon]], Table1[[GameIsOver]:[GameIsOver]],1,Table1[[AwayTeam]:[AwayTeam]],$A17, Table1[[HomeTeam]:[HomeTeam]], C$1) + SUMIFS(Table1[[HomeWon]:[HomeWon]], Table1[[GameIsOver]:[GameIsOver]],1,Table1[[HomeTeam]:[HomeTeam]],$A17, Table1[[AwayTeam]:[AwayTeam]], C$1),0), "-", TEXT(SUMIFS(Table1[[HomeWon]:[HomeWon]], Table1[[GameIsOver]:[GameIsOver]],1,Table1[[AwayTeam]:[AwayTeam]],$A17, Table1[[HomeTeam]:[HomeTeam]], C$1, Table1[[ActualResult]:[ActualResult]], "REG") + SUMIFS(Table1[[AwayWon]:[AwayWon]], Table1[[GameIsOver]:[GameIsOver]],1,Table1[[HomeTeam]:[HomeTeam]],$A17, Table1[[AwayTeam]:[AwayTeam]], C$1, Table1[[ActualResult]:[ActualResult]], "REG"),0), "-", TEXT(SUMIFS(Table1[[HomeWon]:[HomeWon]], Table1[[GameIsOver]:[GameIsOver]],1,Table1[[AwayTeam]:[AwayTeam]],$A17, Table1[[HomeTeam]:[HomeTeam]], C$1, Table1[[ActualResult]:[ActualResult]], "OT") + SUMIFS(Table1[[AwayWon]:[AwayWon]], Table1[[GameIsOver]:[GameIsOver]],1,Table1[[HomeTeam]:[HomeTeam]],$A17, Table1[[AwayTeam]:[AwayTeam]], C$1, Table1[[ActualResult]:[ActualResult]], "OT") + SUMIFS(Table1[[HomeWon]:[HomeWon]], Table1[[GameIsOver]:[GameIsOver]],1,Table1[[AwayTeam]:[AwayTeam]],$A17, Table1[[HomeTeam]:[HomeTeam]], C$1, Table1[[ActualResult]:[ActualResult]], "SO") + SUMIFS(Table1[[AwayWon]:[AwayWon]], Table1[[GameIsOver]:[GameIsOver]],1,Table1[[HomeTeam]:[HomeTeam]],$A17, Table1[[AwayTeam]:[AwayTeam]], C$1, Table1[[ActualResult]:[ActualResult]], "SO"),0))</f>
        <v>0-0-1</v>
      </c>
      <c r="D17" s="61" t="str">
        <f>_xlfn.CONCAT(TEXT(SUMIFS(Table1[[AwayWon]:[AwayWon]], Table1[[GameIsOver]:[GameIsOver]],1,Table1[[AwayTeam]:[AwayTeam]],$A17, Table1[[HomeTeam]:[HomeTeam]], D$1) + SUMIFS(Table1[[HomeWon]:[HomeWon]], Table1[[GameIsOver]:[GameIsOver]],1,Table1[[HomeTeam]:[HomeTeam]],$A17, Table1[[AwayTeam]:[AwayTeam]], D$1),0), "-", TEXT(SUMIFS(Table1[[HomeWon]:[HomeWon]], Table1[[GameIsOver]:[GameIsOver]],1,Table1[[AwayTeam]:[AwayTeam]],$A17, Table1[[HomeTeam]:[HomeTeam]], D$1, Table1[[ActualResult]:[ActualResult]], "REG") + SUMIFS(Table1[[AwayWon]:[AwayWon]], Table1[[GameIsOver]:[GameIsOver]],1,Table1[[HomeTeam]:[HomeTeam]],$A17, Table1[[AwayTeam]:[AwayTeam]], D$1, Table1[[ActualResult]:[ActualResult]], "REG"),0), "-", TEXT(SUMIFS(Table1[[HomeWon]:[HomeWon]], Table1[[GameIsOver]:[GameIsOver]],1,Table1[[AwayTeam]:[AwayTeam]],$A17, Table1[[HomeTeam]:[HomeTeam]], D$1, Table1[[ActualResult]:[ActualResult]], "OT") + SUMIFS(Table1[[AwayWon]:[AwayWon]], Table1[[GameIsOver]:[GameIsOver]],1,Table1[[HomeTeam]:[HomeTeam]],$A17, Table1[[AwayTeam]:[AwayTeam]], D$1, Table1[[ActualResult]:[ActualResult]], "OT") + SUMIFS(Table1[[HomeWon]:[HomeWon]], Table1[[GameIsOver]:[GameIsOver]],1,Table1[[AwayTeam]:[AwayTeam]],$A17, Table1[[HomeTeam]:[HomeTeam]], D$1, Table1[[ActualResult]:[ActualResult]], "SO") + SUMIFS(Table1[[AwayWon]:[AwayWon]], Table1[[GameIsOver]:[GameIsOver]],1,Table1[[HomeTeam]:[HomeTeam]],$A17, Table1[[AwayTeam]:[AwayTeam]], D$1, Table1[[ActualResult]:[ActualResult]], "SO"),0))</f>
        <v>0-0-0</v>
      </c>
      <c r="E17" s="61" t="str">
        <f>_xlfn.CONCAT(TEXT(SUMIFS(Table1[[AwayWon]:[AwayWon]], Table1[[GameIsOver]:[GameIsOver]],1,Table1[[AwayTeam]:[AwayTeam]],$A17, Table1[[HomeTeam]:[HomeTeam]], E$1) + SUMIFS(Table1[[HomeWon]:[HomeWon]], Table1[[GameIsOver]:[GameIsOver]],1,Table1[[HomeTeam]:[HomeTeam]],$A17, Table1[[AwayTeam]:[AwayTeam]], E$1),0), "-", TEXT(SUMIFS(Table1[[HomeWon]:[HomeWon]], Table1[[GameIsOver]:[GameIsOver]],1,Table1[[AwayTeam]:[AwayTeam]],$A17, Table1[[HomeTeam]:[HomeTeam]], E$1, Table1[[ActualResult]:[ActualResult]], "REG") + SUMIFS(Table1[[AwayWon]:[AwayWon]], Table1[[GameIsOver]:[GameIsOver]],1,Table1[[HomeTeam]:[HomeTeam]],$A17, Table1[[AwayTeam]:[AwayTeam]], E$1, Table1[[ActualResult]:[ActualResult]], "REG"),0), "-", TEXT(SUMIFS(Table1[[HomeWon]:[HomeWon]], Table1[[GameIsOver]:[GameIsOver]],1,Table1[[AwayTeam]:[AwayTeam]],$A17, Table1[[HomeTeam]:[HomeTeam]], E$1, Table1[[ActualResult]:[ActualResult]], "OT") + SUMIFS(Table1[[AwayWon]:[AwayWon]], Table1[[GameIsOver]:[GameIsOver]],1,Table1[[HomeTeam]:[HomeTeam]],$A17, Table1[[AwayTeam]:[AwayTeam]], E$1, Table1[[ActualResult]:[ActualResult]], "OT") + SUMIFS(Table1[[HomeWon]:[HomeWon]], Table1[[GameIsOver]:[GameIsOver]],1,Table1[[AwayTeam]:[AwayTeam]],$A17, Table1[[HomeTeam]:[HomeTeam]], E$1, Table1[[ActualResult]:[ActualResult]], "SO") + SUMIFS(Table1[[AwayWon]:[AwayWon]], Table1[[GameIsOver]:[GameIsOver]],1,Table1[[HomeTeam]:[HomeTeam]],$A17, Table1[[AwayTeam]:[AwayTeam]], E$1, Table1[[ActualResult]:[ActualResult]], "SO"),0))</f>
        <v>0-0-0</v>
      </c>
      <c r="F17" s="61" t="str">
        <f>_xlfn.CONCAT(TEXT(SUMIFS(Table1[[AwayWon]:[AwayWon]], Table1[[GameIsOver]:[GameIsOver]],1,Table1[[AwayTeam]:[AwayTeam]],$A17, Table1[[HomeTeam]:[HomeTeam]], F$1) + SUMIFS(Table1[[HomeWon]:[HomeWon]], Table1[[GameIsOver]:[GameIsOver]],1,Table1[[HomeTeam]:[HomeTeam]],$A17, Table1[[AwayTeam]:[AwayTeam]], F$1),0), "-", TEXT(SUMIFS(Table1[[HomeWon]:[HomeWon]], Table1[[GameIsOver]:[GameIsOver]],1,Table1[[AwayTeam]:[AwayTeam]],$A17, Table1[[HomeTeam]:[HomeTeam]], F$1, Table1[[ActualResult]:[ActualResult]], "REG") + SUMIFS(Table1[[AwayWon]:[AwayWon]], Table1[[GameIsOver]:[GameIsOver]],1,Table1[[HomeTeam]:[HomeTeam]],$A17, Table1[[AwayTeam]:[AwayTeam]], F$1, Table1[[ActualResult]:[ActualResult]], "REG"),0), "-", TEXT(SUMIFS(Table1[[HomeWon]:[HomeWon]], Table1[[GameIsOver]:[GameIsOver]],1,Table1[[AwayTeam]:[AwayTeam]],$A17, Table1[[HomeTeam]:[HomeTeam]], F$1, Table1[[ActualResult]:[ActualResult]], "OT") + SUMIFS(Table1[[AwayWon]:[AwayWon]], Table1[[GameIsOver]:[GameIsOver]],1,Table1[[HomeTeam]:[HomeTeam]],$A17, Table1[[AwayTeam]:[AwayTeam]], F$1, Table1[[ActualResult]:[ActualResult]], "OT") + SUMIFS(Table1[[HomeWon]:[HomeWon]], Table1[[GameIsOver]:[GameIsOver]],1,Table1[[AwayTeam]:[AwayTeam]],$A17, Table1[[HomeTeam]:[HomeTeam]], F$1, Table1[[ActualResult]:[ActualResult]], "SO") + SUMIFS(Table1[[AwayWon]:[AwayWon]], Table1[[GameIsOver]:[GameIsOver]],1,Table1[[HomeTeam]:[HomeTeam]],$A17, Table1[[AwayTeam]:[AwayTeam]], F$1, Table1[[ActualResult]:[ActualResult]], "SO"),0))</f>
        <v>0-0-0</v>
      </c>
      <c r="G17" s="61" t="str">
        <f>_xlfn.CONCAT(TEXT(SUMIFS(Table1[[AwayWon]:[AwayWon]], Table1[[GameIsOver]:[GameIsOver]],1,Table1[[AwayTeam]:[AwayTeam]],$A17, Table1[[HomeTeam]:[HomeTeam]], G$1) + SUMIFS(Table1[[HomeWon]:[HomeWon]], Table1[[GameIsOver]:[GameIsOver]],1,Table1[[HomeTeam]:[HomeTeam]],$A17, Table1[[AwayTeam]:[AwayTeam]], G$1),0), "-", TEXT(SUMIFS(Table1[[HomeWon]:[HomeWon]], Table1[[GameIsOver]:[GameIsOver]],1,Table1[[AwayTeam]:[AwayTeam]],$A17, Table1[[HomeTeam]:[HomeTeam]], G$1, Table1[[ActualResult]:[ActualResult]], "REG") + SUMIFS(Table1[[AwayWon]:[AwayWon]], Table1[[GameIsOver]:[GameIsOver]],1,Table1[[HomeTeam]:[HomeTeam]],$A17, Table1[[AwayTeam]:[AwayTeam]], G$1, Table1[[ActualResult]:[ActualResult]], "REG"),0), "-", TEXT(SUMIFS(Table1[[HomeWon]:[HomeWon]], Table1[[GameIsOver]:[GameIsOver]],1,Table1[[AwayTeam]:[AwayTeam]],$A17, Table1[[HomeTeam]:[HomeTeam]], G$1, Table1[[ActualResult]:[ActualResult]], "OT") + SUMIFS(Table1[[AwayWon]:[AwayWon]], Table1[[GameIsOver]:[GameIsOver]],1,Table1[[HomeTeam]:[HomeTeam]],$A17, Table1[[AwayTeam]:[AwayTeam]], G$1, Table1[[ActualResult]:[ActualResult]], "OT") + SUMIFS(Table1[[HomeWon]:[HomeWon]], Table1[[GameIsOver]:[GameIsOver]],1,Table1[[AwayTeam]:[AwayTeam]],$A17, Table1[[HomeTeam]:[HomeTeam]], G$1, Table1[[ActualResult]:[ActualResult]], "SO") + SUMIFS(Table1[[AwayWon]:[AwayWon]], Table1[[GameIsOver]:[GameIsOver]],1,Table1[[HomeTeam]:[HomeTeam]],$A17, Table1[[AwayTeam]:[AwayTeam]], G$1, Table1[[ActualResult]:[ActualResult]], "SO"),0))</f>
        <v>0-0-0</v>
      </c>
      <c r="H17" s="61" t="str">
        <f>_xlfn.CONCAT(TEXT(SUMIFS(Table1[[AwayWon]:[AwayWon]], Table1[[GameIsOver]:[GameIsOver]],1,Table1[[AwayTeam]:[AwayTeam]],$A17, Table1[[HomeTeam]:[HomeTeam]], H$1) + SUMIFS(Table1[[HomeWon]:[HomeWon]], Table1[[GameIsOver]:[GameIsOver]],1,Table1[[HomeTeam]:[HomeTeam]],$A17, Table1[[AwayTeam]:[AwayTeam]], H$1),0), "-", TEXT(SUMIFS(Table1[[HomeWon]:[HomeWon]], Table1[[GameIsOver]:[GameIsOver]],1,Table1[[AwayTeam]:[AwayTeam]],$A17, Table1[[HomeTeam]:[HomeTeam]], H$1, Table1[[ActualResult]:[ActualResult]], "REG") + SUMIFS(Table1[[AwayWon]:[AwayWon]], Table1[[GameIsOver]:[GameIsOver]],1,Table1[[HomeTeam]:[HomeTeam]],$A17, Table1[[AwayTeam]:[AwayTeam]], H$1, Table1[[ActualResult]:[ActualResult]], "REG"),0), "-", TEXT(SUMIFS(Table1[[HomeWon]:[HomeWon]], Table1[[GameIsOver]:[GameIsOver]],1,Table1[[AwayTeam]:[AwayTeam]],$A17, Table1[[HomeTeam]:[HomeTeam]], H$1, Table1[[ActualResult]:[ActualResult]], "OT") + SUMIFS(Table1[[AwayWon]:[AwayWon]], Table1[[GameIsOver]:[GameIsOver]],1,Table1[[HomeTeam]:[HomeTeam]],$A17, Table1[[AwayTeam]:[AwayTeam]], H$1, Table1[[ActualResult]:[ActualResult]], "OT") + SUMIFS(Table1[[HomeWon]:[HomeWon]], Table1[[GameIsOver]:[GameIsOver]],1,Table1[[AwayTeam]:[AwayTeam]],$A17, Table1[[HomeTeam]:[HomeTeam]], H$1, Table1[[ActualResult]:[ActualResult]], "SO") + SUMIFS(Table1[[AwayWon]:[AwayWon]], Table1[[GameIsOver]:[GameIsOver]],1,Table1[[HomeTeam]:[HomeTeam]],$A17, Table1[[AwayTeam]:[AwayTeam]], H$1, Table1[[ActualResult]:[ActualResult]], "SO"),0))</f>
        <v>0-0-0</v>
      </c>
      <c r="I17" s="62" t="str">
        <f>_xlfn.CONCAT(TEXT(SUMIFS(Table1[[AwayWon]:[AwayWon]], Table1[[GameIsOver]:[GameIsOver]],1,Table1[[AwayTeam]:[AwayTeam]],$A17, Table1[[HomeTeam]:[HomeTeam]], I$1) + SUMIFS(Table1[[HomeWon]:[HomeWon]], Table1[[GameIsOver]:[GameIsOver]],1,Table1[[HomeTeam]:[HomeTeam]],$A17, Table1[[AwayTeam]:[AwayTeam]], I$1),0), "-", TEXT(SUMIFS(Table1[[HomeWon]:[HomeWon]], Table1[[GameIsOver]:[GameIsOver]],1,Table1[[AwayTeam]:[AwayTeam]],$A17, Table1[[HomeTeam]:[HomeTeam]], I$1, Table1[[ActualResult]:[ActualResult]], "REG") + SUMIFS(Table1[[AwayWon]:[AwayWon]], Table1[[GameIsOver]:[GameIsOver]],1,Table1[[HomeTeam]:[HomeTeam]],$A17, Table1[[AwayTeam]:[AwayTeam]], I$1, Table1[[ActualResult]:[ActualResult]], "REG"),0), "-", TEXT(SUMIFS(Table1[[HomeWon]:[HomeWon]], Table1[[GameIsOver]:[GameIsOver]],1,Table1[[AwayTeam]:[AwayTeam]],$A17, Table1[[HomeTeam]:[HomeTeam]], I$1, Table1[[ActualResult]:[ActualResult]], "OT") + SUMIFS(Table1[[AwayWon]:[AwayWon]], Table1[[GameIsOver]:[GameIsOver]],1,Table1[[HomeTeam]:[HomeTeam]],$A17, Table1[[AwayTeam]:[AwayTeam]], I$1, Table1[[ActualResult]:[ActualResult]], "OT") + SUMIFS(Table1[[HomeWon]:[HomeWon]], Table1[[GameIsOver]:[GameIsOver]],1,Table1[[AwayTeam]:[AwayTeam]],$A17, Table1[[HomeTeam]:[HomeTeam]], I$1, Table1[[ActualResult]:[ActualResult]], "SO") + SUMIFS(Table1[[AwayWon]:[AwayWon]], Table1[[GameIsOver]:[GameIsOver]],1,Table1[[HomeTeam]:[HomeTeam]],$A17, Table1[[AwayTeam]:[AwayTeam]], I$1, Table1[[ActualResult]:[ActualResult]], "SO"),0))</f>
        <v>0-0-0</v>
      </c>
      <c r="J17" s="61" t="str">
        <f>_xlfn.CONCAT(TEXT(SUMIFS(Table1[[AwayWon]:[AwayWon]], Table1[[GameIsOver]:[GameIsOver]],1,Table1[[AwayTeam]:[AwayTeam]],$A17, Table1[[HomeTeam]:[HomeTeam]], J$1) + SUMIFS(Table1[[HomeWon]:[HomeWon]], Table1[[GameIsOver]:[GameIsOver]],1,Table1[[HomeTeam]:[HomeTeam]],$A17, Table1[[AwayTeam]:[AwayTeam]], J$1),0), "-", TEXT(SUMIFS(Table1[[HomeWon]:[HomeWon]], Table1[[GameIsOver]:[GameIsOver]],1,Table1[[AwayTeam]:[AwayTeam]],$A17, Table1[[HomeTeam]:[HomeTeam]], J$1, Table1[[ActualResult]:[ActualResult]], "REG") + SUMIFS(Table1[[AwayWon]:[AwayWon]], Table1[[GameIsOver]:[GameIsOver]],1,Table1[[HomeTeam]:[HomeTeam]],$A17, Table1[[AwayTeam]:[AwayTeam]], J$1, Table1[[ActualResult]:[ActualResult]], "REG"),0), "-", TEXT(SUMIFS(Table1[[HomeWon]:[HomeWon]], Table1[[GameIsOver]:[GameIsOver]],1,Table1[[AwayTeam]:[AwayTeam]],$A17, Table1[[HomeTeam]:[HomeTeam]], J$1, Table1[[ActualResult]:[ActualResult]], "OT") + SUMIFS(Table1[[AwayWon]:[AwayWon]], Table1[[GameIsOver]:[GameIsOver]],1,Table1[[HomeTeam]:[HomeTeam]],$A17, Table1[[AwayTeam]:[AwayTeam]], J$1, Table1[[ActualResult]:[ActualResult]], "OT") + SUMIFS(Table1[[HomeWon]:[HomeWon]], Table1[[GameIsOver]:[GameIsOver]],1,Table1[[AwayTeam]:[AwayTeam]],$A17, Table1[[HomeTeam]:[HomeTeam]], J$1, Table1[[ActualResult]:[ActualResult]], "SO") + SUMIFS(Table1[[AwayWon]:[AwayWon]], Table1[[GameIsOver]:[GameIsOver]],1,Table1[[HomeTeam]:[HomeTeam]],$A17, Table1[[AwayTeam]:[AwayTeam]], J$1, Table1[[ActualResult]:[ActualResult]], "SO"),0))</f>
        <v>0-0-0</v>
      </c>
      <c r="K17" s="61" t="str">
        <f>_xlfn.CONCAT(TEXT(SUMIFS(Table1[[AwayWon]:[AwayWon]], Table1[[GameIsOver]:[GameIsOver]],1,Table1[[AwayTeam]:[AwayTeam]],$A17, Table1[[HomeTeam]:[HomeTeam]], K$1) + SUMIFS(Table1[[HomeWon]:[HomeWon]], Table1[[GameIsOver]:[GameIsOver]],1,Table1[[HomeTeam]:[HomeTeam]],$A17, Table1[[AwayTeam]:[AwayTeam]], K$1),0), "-", TEXT(SUMIFS(Table1[[HomeWon]:[HomeWon]], Table1[[GameIsOver]:[GameIsOver]],1,Table1[[AwayTeam]:[AwayTeam]],$A17, Table1[[HomeTeam]:[HomeTeam]], K$1, Table1[[ActualResult]:[ActualResult]], "REG") + SUMIFS(Table1[[AwayWon]:[AwayWon]], Table1[[GameIsOver]:[GameIsOver]],1,Table1[[HomeTeam]:[HomeTeam]],$A17, Table1[[AwayTeam]:[AwayTeam]], K$1, Table1[[ActualResult]:[ActualResult]], "REG"),0), "-", TEXT(SUMIFS(Table1[[HomeWon]:[HomeWon]], Table1[[GameIsOver]:[GameIsOver]],1,Table1[[AwayTeam]:[AwayTeam]],$A17, Table1[[HomeTeam]:[HomeTeam]], K$1, Table1[[ActualResult]:[ActualResult]], "OT") + SUMIFS(Table1[[AwayWon]:[AwayWon]], Table1[[GameIsOver]:[GameIsOver]],1,Table1[[HomeTeam]:[HomeTeam]],$A17, Table1[[AwayTeam]:[AwayTeam]], K$1, Table1[[ActualResult]:[ActualResult]], "OT") + SUMIFS(Table1[[HomeWon]:[HomeWon]], Table1[[GameIsOver]:[GameIsOver]],1,Table1[[AwayTeam]:[AwayTeam]],$A17, Table1[[HomeTeam]:[HomeTeam]], K$1, Table1[[ActualResult]:[ActualResult]], "SO") + SUMIFS(Table1[[AwayWon]:[AwayWon]], Table1[[GameIsOver]:[GameIsOver]],1,Table1[[HomeTeam]:[HomeTeam]],$A17, Table1[[AwayTeam]:[AwayTeam]], K$1, Table1[[ActualResult]:[ActualResult]], "SO"),0))</f>
        <v>0-0-0</v>
      </c>
      <c r="L17" s="61" t="str">
        <f>_xlfn.CONCAT(TEXT(SUMIFS(Table1[[AwayWon]:[AwayWon]], Table1[[GameIsOver]:[GameIsOver]],1,Table1[[AwayTeam]:[AwayTeam]],$A17, Table1[[HomeTeam]:[HomeTeam]], L$1) + SUMIFS(Table1[[HomeWon]:[HomeWon]], Table1[[GameIsOver]:[GameIsOver]],1,Table1[[HomeTeam]:[HomeTeam]],$A17, Table1[[AwayTeam]:[AwayTeam]], L$1),0), "-", TEXT(SUMIFS(Table1[[HomeWon]:[HomeWon]], Table1[[GameIsOver]:[GameIsOver]],1,Table1[[AwayTeam]:[AwayTeam]],$A17, Table1[[HomeTeam]:[HomeTeam]], L$1, Table1[[ActualResult]:[ActualResult]], "REG") + SUMIFS(Table1[[AwayWon]:[AwayWon]], Table1[[GameIsOver]:[GameIsOver]],1,Table1[[HomeTeam]:[HomeTeam]],$A17, Table1[[AwayTeam]:[AwayTeam]], L$1, Table1[[ActualResult]:[ActualResult]], "REG"),0), "-", TEXT(SUMIFS(Table1[[HomeWon]:[HomeWon]], Table1[[GameIsOver]:[GameIsOver]],1,Table1[[AwayTeam]:[AwayTeam]],$A17, Table1[[HomeTeam]:[HomeTeam]], L$1, Table1[[ActualResult]:[ActualResult]], "OT") + SUMIFS(Table1[[AwayWon]:[AwayWon]], Table1[[GameIsOver]:[GameIsOver]],1,Table1[[HomeTeam]:[HomeTeam]],$A17, Table1[[AwayTeam]:[AwayTeam]], L$1, Table1[[ActualResult]:[ActualResult]], "OT") + SUMIFS(Table1[[HomeWon]:[HomeWon]], Table1[[GameIsOver]:[GameIsOver]],1,Table1[[AwayTeam]:[AwayTeam]],$A17, Table1[[HomeTeam]:[HomeTeam]], L$1, Table1[[ActualResult]:[ActualResult]], "SO") + SUMIFS(Table1[[AwayWon]:[AwayWon]], Table1[[GameIsOver]:[GameIsOver]],1,Table1[[HomeTeam]:[HomeTeam]],$A17, Table1[[AwayTeam]:[AwayTeam]], L$1, Table1[[ActualResult]:[ActualResult]], "SO"),0))</f>
        <v>0-0-0</v>
      </c>
      <c r="M17" s="61" t="str">
        <f>_xlfn.CONCAT(TEXT(SUMIFS(Table1[[AwayWon]:[AwayWon]], Table1[[GameIsOver]:[GameIsOver]],1,Table1[[AwayTeam]:[AwayTeam]],$A17, Table1[[HomeTeam]:[HomeTeam]], M$1) + SUMIFS(Table1[[HomeWon]:[HomeWon]], Table1[[GameIsOver]:[GameIsOver]],1,Table1[[HomeTeam]:[HomeTeam]],$A17, Table1[[AwayTeam]:[AwayTeam]], M$1),0), "-", TEXT(SUMIFS(Table1[[HomeWon]:[HomeWon]], Table1[[GameIsOver]:[GameIsOver]],1,Table1[[AwayTeam]:[AwayTeam]],$A17, Table1[[HomeTeam]:[HomeTeam]], M$1, Table1[[ActualResult]:[ActualResult]], "REG") + SUMIFS(Table1[[AwayWon]:[AwayWon]], Table1[[GameIsOver]:[GameIsOver]],1,Table1[[HomeTeam]:[HomeTeam]],$A17, Table1[[AwayTeam]:[AwayTeam]], M$1, Table1[[ActualResult]:[ActualResult]], "REG"),0), "-", TEXT(SUMIFS(Table1[[HomeWon]:[HomeWon]], Table1[[GameIsOver]:[GameIsOver]],1,Table1[[AwayTeam]:[AwayTeam]],$A17, Table1[[HomeTeam]:[HomeTeam]], M$1, Table1[[ActualResult]:[ActualResult]], "OT") + SUMIFS(Table1[[AwayWon]:[AwayWon]], Table1[[GameIsOver]:[GameIsOver]],1,Table1[[HomeTeam]:[HomeTeam]],$A17, Table1[[AwayTeam]:[AwayTeam]], M$1, Table1[[ActualResult]:[ActualResult]], "OT") + SUMIFS(Table1[[HomeWon]:[HomeWon]], Table1[[GameIsOver]:[GameIsOver]],1,Table1[[AwayTeam]:[AwayTeam]],$A17, Table1[[HomeTeam]:[HomeTeam]], M$1, Table1[[ActualResult]:[ActualResult]], "SO") + SUMIFS(Table1[[AwayWon]:[AwayWon]], Table1[[GameIsOver]:[GameIsOver]],1,Table1[[HomeTeam]:[HomeTeam]],$A17, Table1[[AwayTeam]:[AwayTeam]], M$1, Table1[[ActualResult]:[ActualResult]], "SO"),0))</f>
        <v>0-0-0</v>
      </c>
      <c r="N17" s="61" t="str">
        <f>_xlfn.CONCAT(TEXT(SUMIFS(Table1[[AwayWon]:[AwayWon]], Table1[[GameIsOver]:[GameIsOver]],1,Table1[[AwayTeam]:[AwayTeam]],$A17, Table1[[HomeTeam]:[HomeTeam]], N$1) + SUMIFS(Table1[[HomeWon]:[HomeWon]], Table1[[GameIsOver]:[GameIsOver]],1,Table1[[HomeTeam]:[HomeTeam]],$A17, Table1[[AwayTeam]:[AwayTeam]], N$1),0), "-", TEXT(SUMIFS(Table1[[HomeWon]:[HomeWon]], Table1[[GameIsOver]:[GameIsOver]],1,Table1[[AwayTeam]:[AwayTeam]],$A17, Table1[[HomeTeam]:[HomeTeam]], N$1, Table1[[ActualResult]:[ActualResult]], "REG") + SUMIFS(Table1[[AwayWon]:[AwayWon]], Table1[[GameIsOver]:[GameIsOver]],1,Table1[[HomeTeam]:[HomeTeam]],$A17, Table1[[AwayTeam]:[AwayTeam]], N$1, Table1[[ActualResult]:[ActualResult]], "REG"),0), "-", TEXT(SUMIFS(Table1[[HomeWon]:[HomeWon]], Table1[[GameIsOver]:[GameIsOver]],1,Table1[[AwayTeam]:[AwayTeam]],$A17, Table1[[HomeTeam]:[HomeTeam]], N$1, Table1[[ActualResult]:[ActualResult]], "OT") + SUMIFS(Table1[[AwayWon]:[AwayWon]], Table1[[GameIsOver]:[GameIsOver]],1,Table1[[HomeTeam]:[HomeTeam]],$A17, Table1[[AwayTeam]:[AwayTeam]], N$1, Table1[[ActualResult]:[ActualResult]], "OT") + SUMIFS(Table1[[HomeWon]:[HomeWon]], Table1[[GameIsOver]:[GameIsOver]],1,Table1[[AwayTeam]:[AwayTeam]],$A17, Table1[[HomeTeam]:[HomeTeam]], N$1, Table1[[ActualResult]:[ActualResult]], "SO") + SUMIFS(Table1[[AwayWon]:[AwayWon]], Table1[[GameIsOver]:[GameIsOver]],1,Table1[[HomeTeam]:[HomeTeam]],$A17, Table1[[AwayTeam]:[AwayTeam]], N$1, Table1[[ActualResult]:[ActualResult]], "SO"),0))</f>
        <v>0-0-0</v>
      </c>
      <c r="O17" s="61" t="str">
        <f>_xlfn.CONCAT(TEXT(SUMIFS(Table1[[AwayWon]:[AwayWon]], Table1[[GameIsOver]:[GameIsOver]],1,Table1[[AwayTeam]:[AwayTeam]],$A17, Table1[[HomeTeam]:[HomeTeam]], O$1) + SUMIFS(Table1[[HomeWon]:[HomeWon]], Table1[[GameIsOver]:[GameIsOver]],1,Table1[[HomeTeam]:[HomeTeam]],$A17, Table1[[AwayTeam]:[AwayTeam]], O$1),0), "-", TEXT(SUMIFS(Table1[[HomeWon]:[HomeWon]], Table1[[GameIsOver]:[GameIsOver]],1,Table1[[AwayTeam]:[AwayTeam]],$A17, Table1[[HomeTeam]:[HomeTeam]], O$1, Table1[[ActualResult]:[ActualResult]], "REG") + SUMIFS(Table1[[AwayWon]:[AwayWon]], Table1[[GameIsOver]:[GameIsOver]],1,Table1[[HomeTeam]:[HomeTeam]],$A17, Table1[[AwayTeam]:[AwayTeam]], O$1, Table1[[ActualResult]:[ActualResult]], "REG"),0), "-", TEXT(SUMIFS(Table1[[HomeWon]:[HomeWon]], Table1[[GameIsOver]:[GameIsOver]],1,Table1[[AwayTeam]:[AwayTeam]],$A17, Table1[[HomeTeam]:[HomeTeam]], O$1, Table1[[ActualResult]:[ActualResult]], "OT") + SUMIFS(Table1[[AwayWon]:[AwayWon]], Table1[[GameIsOver]:[GameIsOver]],1,Table1[[HomeTeam]:[HomeTeam]],$A17, Table1[[AwayTeam]:[AwayTeam]], O$1, Table1[[ActualResult]:[ActualResult]], "OT") + SUMIFS(Table1[[HomeWon]:[HomeWon]], Table1[[GameIsOver]:[GameIsOver]],1,Table1[[AwayTeam]:[AwayTeam]],$A17, Table1[[HomeTeam]:[HomeTeam]], O$1, Table1[[ActualResult]:[ActualResult]], "SO") + SUMIFS(Table1[[AwayWon]:[AwayWon]], Table1[[GameIsOver]:[GameIsOver]],1,Table1[[HomeTeam]:[HomeTeam]],$A17, Table1[[AwayTeam]:[AwayTeam]], O$1, Table1[[ActualResult]:[ActualResult]], "SO"),0))</f>
        <v>0-0-0</v>
      </c>
      <c r="P17" s="61" t="str">
        <f>_xlfn.CONCAT(TEXT(SUMIFS(Table1[[AwayWon]:[AwayWon]], Table1[[GameIsOver]:[GameIsOver]],1,Table1[[AwayTeam]:[AwayTeam]],$A17, Table1[[HomeTeam]:[HomeTeam]], P$1) + SUMIFS(Table1[[HomeWon]:[HomeWon]], Table1[[GameIsOver]:[GameIsOver]],1,Table1[[HomeTeam]:[HomeTeam]],$A17, Table1[[AwayTeam]:[AwayTeam]], P$1),0), "-", TEXT(SUMIFS(Table1[[HomeWon]:[HomeWon]], Table1[[GameIsOver]:[GameIsOver]],1,Table1[[AwayTeam]:[AwayTeam]],$A17, Table1[[HomeTeam]:[HomeTeam]], P$1, Table1[[ActualResult]:[ActualResult]], "REG") + SUMIFS(Table1[[AwayWon]:[AwayWon]], Table1[[GameIsOver]:[GameIsOver]],1,Table1[[HomeTeam]:[HomeTeam]],$A17, Table1[[AwayTeam]:[AwayTeam]], P$1, Table1[[ActualResult]:[ActualResult]], "REG"),0), "-", TEXT(SUMIFS(Table1[[HomeWon]:[HomeWon]], Table1[[GameIsOver]:[GameIsOver]],1,Table1[[AwayTeam]:[AwayTeam]],$A17, Table1[[HomeTeam]:[HomeTeam]], P$1, Table1[[ActualResult]:[ActualResult]], "OT") + SUMIFS(Table1[[AwayWon]:[AwayWon]], Table1[[GameIsOver]:[GameIsOver]],1,Table1[[HomeTeam]:[HomeTeam]],$A17, Table1[[AwayTeam]:[AwayTeam]], P$1, Table1[[ActualResult]:[ActualResult]], "OT") + SUMIFS(Table1[[HomeWon]:[HomeWon]], Table1[[GameIsOver]:[GameIsOver]],1,Table1[[AwayTeam]:[AwayTeam]],$A17, Table1[[HomeTeam]:[HomeTeam]], P$1, Table1[[ActualResult]:[ActualResult]], "SO") + SUMIFS(Table1[[AwayWon]:[AwayWon]], Table1[[GameIsOver]:[GameIsOver]],1,Table1[[HomeTeam]:[HomeTeam]],$A17, Table1[[AwayTeam]:[AwayTeam]], P$1, Table1[[ActualResult]:[ActualResult]], "SO"),0))</f>
        <v>0-0-0</v>
      </c>
      <c r="Q17" s="62" t="str">
        <f>_xlfn.CONCAT(TEXT(SUMIFS(Table1[[AwayWon]:[AwayWon]], Table1[[GameIsOver]:[GameIsOver]],1,Table1[[AwayTeam]:[AwayTeam]],$A17, Table1[[HomeTeam]:[HomeTeam]], Q$1) + SUMIFS(Table1[[HomeWon]:[HomeWon]], Table1[[GameIsOver]:[GameIsOver]],1,Table1[[HomeTeam]:[HomeTeam]],$A17, Table1[[AwayTeam]:[AwayTeam]], Q$1),0), "-", TEXT(SUMIFS(Table1[[HomeWon]:[HomeWon]], Table1[[GameIsOver]:[GameIsOver]],1,Table1[[AwayTeam]:[AwayTeam]],$A17, Table1[[HomeTeam]:[HomeTeam]], Q$1, Table1[[ActualResult]:[ActualResult]], "REG") + SUMIFS(Table1[[AwayWon]:[AwayWon]], Table1[[GameIsOver]:[GameIsOver]],1,Table1[[HomeTeam]:[HomeTeam]],$A17, Table1[[AwayTeam]:[AwayTeam]], Q$1, Table1[[ActualResult]:[ActualResult]], "REG"),0), "-", TEXT(SUMIFS(Table1[[HomeWon]:[HomeWon]], Table1[[GameIsOver]:[GameIsOver]],1,Table1[[AwayTeam]:[AwayTeam]],$A17, Table1[[HomeTeam]:[HomeTeam]], Q$1, Table1[[ActualResult]:[ActualResult]], "OT") + SUMIFS(Table1[[AwayWon]:[AwayWon]], Table1[[GameIsOver]:[GameIsOver]],1,Table1[[HomeTeam]:[HomeTeam]],$A17, Table1[[AwayTeam]:[AwayTeam]], Q$1, Table1[[ActualResult]:[ActualResult]], "OT") + SUMIFS(Table1[[HomeWon]:[HomeWon]], Table1[[GameIsOver]:[GameIsOver]],1,Table1[[AwayTeam]:[AwayTeam]],$A17, Table1[[HomeTeam]:[HomeTeam]], Q$1, Table1[[ActualResult]:[ActualResult]], "SO") + SUMIFS(Table1[[AwayWon]:[AwayWon]], Table1[[GameIsOver]:[GameIsOver]],1,Table1[[HomeTeam]:[HomeTeam]],$A17, Table1[[AwayTeam]:[AwayTeam]], Q$1, Table1[[ActualResult]:[ActualResult]], "SO"),0))</f>
        <v>0-0-0</v>
      </c>
      <c r="R17" s="61" t="str">
        <f>_xlfn.CONCAT(TEXT(SUMIFS(Table1[[AwayWon]:[AwayWon]], Table1[[GameIsOver]:[GameIsOver]],1,Table1[[AwayTeam]:[AwayTeam]],$A17, Table1[[HomeTeam]:[HomeTeam]], R$1) + SUMIFS(Table1[[HomeWon]:[HomeWon]], Table1[[GameIsOver]:[GameIsOver]],1,Table1[[HomeTeam]:[HomeTeam]],$A17, Table1[[AwayTeam]:[AwayTeam]], R$1),0), "-", TEXT(SUMIFS(Table1[[HomeWon]:[HomeWon]], Table1[[GameIsOver]:[GameIsOver]],1,Table1[[AwayTeam]:[AwayTeam]],$A17, Table1[[HomeTeam]:[HomeTeam]], R$1, Table1[[ActualResult]:[ActualResult]], "REG") + SUMIFS(Table1[[AwayWon]:[AwayWon]], Table1[[GameIsOver]:[GameIsOver]],1,Table1[[HomeTeam]:[HomeTeam]],$A17, Table1[[AwayTeam]:[AwayTeam]], R$1, Table1[[ActualResult]:[ActualResult]], "REG"),0), "-", TEXT(SUMIFS(Table1[[HomeWon]:[HomeWon]], Table1[[GameIsOver]:[GameIsOver]],1,Table1[[AwayTeam]:[AwayTeam]],$A17, Table1[[HomeTeam]:[HomeTeam]], R$1, Table1[[ActualResult]:[ActualResult]], "OT") + SUMIFS(Table1[[AwayWon]:[AwayWon]], Table1[[GameIsOver]:[GameIsOver]],1,Table1[[HomeTeam]:[HomeTeam]],$A17, Table1[[AwayTeam]:[AwayTeam]], R$1, Table1[[ActualResult]:[ActualResult]], "OT") + SUMIFS(Table1[[HomeWon]:[HomeWon]], Table1[[GameIsOver]:[GameIsOver]],1,Table1[[AwayTeam]:[AwayTeam]],$A17, Table1[[HomeTeam]:[HomeTeam]], R$1, Table1[[ActualResult]:[ActualResult]], "SO") + SUMIFS(Table1[[AwayWon]:[AwayWon]], Table1[[GameIsOver]:[GameIsOver]],1,Table1[[HomeTeam]:[HomeTeam]],$A17, Table1[[AwayTeam]:[AwayTeam]], R$1, Table1[[ActualResult]:[ActualResult]], "SO"),0))</f>
        <v>0-0-0</v>
      </c>
      <c r="S17" s="61" t="str">
        <f>_xlfn.CONCAT(TEXT(SUMIFS(Table1[[AwayWon]:[AwayWon]], Table1[[GameIsOver]:[GameIsOver]],1,Table1[[AwayTeam]:[AwayTeam]],$A17, Table1[[HomeTeam]:[HomeTeam]], S$1) + SUMIFS(Table1[[HomeWon]:[HomeWon]], Table1[[GameIsOver]:[GameIsOver]],1,Table1[[HomeTeam]:[HomeTeam]],$A17, Table1[[AwayTeam]:[AwayTeam]], S$1),0), "-", TEXT(SUMIFS(Table1[[HomeWon]:[HomeWon]], Table1[[GameIsOver]:[GameIsOver]],1,Table1[[AwayTeam]:[AwayTeam]],$A17, Table1[[HomeTeam]:[HomeTeam]], S$1, Table1[[ActualResult]:[ActualResult]], "REG") + SUMIFS(Table1[[AwayWon]:[AwayWon]], Table1[[GameIsOver]:[GameIsOver]],1,Table1[[HomeTeam]:[HomeTeam]],$A17, Table1[[AwayTeam]:[AwayTeam]], S$1, Table1[[ActualResult]:[ActualResult]], "REG"),0), "-", TEXT(SUMIFS(Table1[[HomeWon]:[HomeWon]], Table1[[GameIsOver]:[GameIsOver]],1,Table1[[AwayTeam]:[AwayTeam]],$A17, Table1[[HomeTeam]:[HomeTeam]], S$1, Table1[[ActualResult]:[ActualResult]], "OT") + SUMIFS(Table1[[AwayWon]:[AwayWon]], Table1[[GameIsOver]:[GameIsOver]],1,Table1[[HomeTeam]:[HomeTeam]],$A17, Table1[[AwayTeam]:[AwayTeam]], S$1, Table1[[ActualResult]:[ActualResult]], "OT") + SUMIFS(Table1[[HomeWon]:[HomeWon]], Table1[[GameIsOver]:[GameIsOver]],1,Table1[[AwayTeam]:[AwayTeam]],$A17, Table1[[HomeTeam]:[HomeTeam]], S$1, Table1[[ActualResult]:[ActualResult]], "SO") + SUMIFS(Table1[[AwayWon]:[AwayWon]], Table1[[GameIsOver]:[GameIsOver]],1,Table1[[HomeTeam]:[HomeTeam]],$A17, Table1[[AwayTeam]:[AwayTeam]], S$1, Table1[[ActualResult]:[ActualResult]], "SO"),0))</f>
        <v>0-0-0</v>
      </c>
      <c r="T17" s="61" t="str">
        <f>_xlfn.CONCAT(TEXT(SUMIFS(Table1[[AwayWon]:[AwayWon]], Table1[[GameIsOver]:[GameIsOver]],1,Table1[[AwayTeam]:[AwayTeam]],$A17, Table1[[HomeTeam]:[HomeTeam]], T$1) + SUMIFS(Table1[[HomeWon]:[HomeWon]], Table1[[GameIsOver]:[GameIsOver]],1,Table1[[HomeTeam]:[HomeTeam]],$A17, Table1[[AwayTeam]:[AwayTeam]], T$1),0), "-", TEXT(SUMIFS(Table1[[HomeWon]:[HomeWon]], Table1[[GameIsOver]:[GameIsOver]],1,Table1[[AwayTeam]:[AwayTeam]],$A17, Table1[[HomeTeam]:[HomeTeam]], T$1, Table1[[ActualResult]:[ActualResult]], "REG") + SUMIFS(Table1[[AwayWon]:[AwayWon]], Table1[[GameIsOver]:[GameIsOver]],1,Table1[[HomeTeam]:[HomeTeam]],$A17, Table1[[AwayTeam]:[AwayTeam]], T$1, Table1[[ActualResult]:[ActualResult]], "REG"),0), "-", TEXT(SUMIFS(Table1[[HomeWon]:[HomeWon]], Table1[[GameIsOver]:[GameIsOver]],1,Table1[[AwayTeam]:[AwayTeam]],$A17, Table1[[HomeTeam]:[HomeTeam]], T$1, Table1[[ActualResult]:[ActualResult]], "OT") + SUMIFS(Table1[[AwayWon]:[AwayWon]], Table1[[GameIsOver]:[GameIsOver]],1,Table1[[HomeTeam]:[HomeTeam]],$A17, Table1[[AwayTeam]:[AwayTeam]], T$1, Table1[[ActualResult]:[ActualResult]], "OT") + SUMIFS(Table1[[HomeWon]:[HomeWon]], Table1[[GameIsOver]:[GameIsOver]],1,Table1[[AwayTeam]:[AwayTeam]],$A17, Table1[[HomeTeam]:[HomeTeam]], T$1, Table1[[ActualResult]:[ActualResult]], "SO") + SUMIFS(Table1[[AwayWon]:[AwayWon]], Table1[[GameIsOver]:[GameIsOver]],1,Table1[[HomeTeam]:[HomeTeam]],$A17, Table1[[AwayTeam]:[AwayTeam]], T$1, Table1[[ActualResult]:[ActualResult]], "SO"),0))</f>
        <v>0-0-0</v>
      </c>
      <c r="U17" s="61" t="str">
        <f>_xlfn.CONCAT(TEXT(SUMIFS(Table1[[AwayWon]:[AwayWon]], Table1[[GameIsOver]:[GameIsOver]],1,Table1[[AwayTeam]:[AwayTeam]],$A17, Table1[[HomeTeam]:[HomeTeam]], U$1) + SUMIFS(Table1[[HomeWon]:[HomeWon]], Table1[[GameIsOver]:[GameIsOver]],1,Table1[[HomeTeam]:[HomeTeam]],$A17, Table1[[AwayTeam]:[AwayTeam]], U$1),0), "-", TEXT(SUMIFS(Table1[[HomeWon]:[HomeWon]], Table1[[GameIsOver]:[GameIsOver]],1,Table1[[AwayTeam]:[AwayTeam]],$A17, Table1[[HomeTeam]:[HomeTeam]], U$1, Table1[[ActualResult]:[ActualResult]], "REG") + SUMIFS(Table1[[AwayWon]:[AwayWon]], Table1[[GameIsOver]:[GameIsOver]],1,Table1[[HomeTeam]:[HomeTeam]],$A17, Table1[[AwayTeam]:[AwayTeam]], U$1, Table1[[ActualResult]:[ActualResult]], "REG"),0), "-", TEXT(SUMIFS(Table1[[HomeWon]:[HomeWon]], Table1[[GameIsOver]:[GameIsOver]],1,Table1[[AwayTeam]:[AwayTeam]],$A17, Table1[[HomeTeam]:[HomeTeam]], U$1, Table1[[ActualResult]:[ActualResult]], "OT") + SUMIFS(Table1[[AwayWon]:[AwayWon]], Table1[[GameIsOver]:[GameIsOver]],1,Table1[[HomeTeam]:[HomeTeam]],$A17, Table1[[AwayTeam]:[AwayTeam]], U$1, Table1[[ActualResult]:[ActualResult]], "OT") + SUMIFS(Table1[[HomeWon]:[HomeWon]], Table1[[GameIsOver]:[GameIsOver]],1,Table1[[AwayTeam]:[AwayTeam]],$A17, Table1[[HomeTeam]:[HomeTeam]], U$1, Table1[[ActualResult]:[ActualResult]], "SO") + SUMIFS(Table1[[AwayWon]:[AwayWon]], Table1[[GameIsOver]:[GameIsOver]],1,Table1[[HomeTeam]:[HomeTeam]],$A17, Table1[[AwayTeam]:[AwayTeam]], U$1, Table1[[ActualResult]:[ActualResult]], "SO"),0))</f>
        <v>0-0-0</v>
      </c>
      <c r="V17" s="61" t="str">
        <f>_xlfn.CONCAT(TEXT(SUMIFS(Table1[[AwayWon]:[AwayWon]], Table1[[GameIsOver]:[GameIsOver]],1,Table1[[AwayTeam]:[AwayTeam]],$A17, Table1[[HomeTeam]:[HomeTeam]], V$1) + SUMIFS(Table1[[HomeWon]:[HomeWon]], Table1[[GameIsOver]:[GameIsOver]],1,Table1[[HomeTeam]:[HomeTeam]],$A17, Table1[[AwayTeam]:[AwayTeam]], V$1),0), "-", TEXT(SUMIFS(Table1[[HomeWon]:[HomeWon]], Table1[[GameIsOver]:[GameIsOver]],1,Table1[[AwayTeam]:[AwayTeam]],$A17, Table1[[HomeTeam]:[HomeTeam]], V$1, Table1[[ActualResult]:[ActualResult]], "REG") + SUMIFS(Table1[[AwayWon]:[AwayWon]], Table1[[GameIsOver]:[GameIsOver]],1,Table1[[HomeTeam]:[HomeTeam]],$A17, Table1[[AwayTeam]:[AwayTeam]], V$1, Table1[[ActualResult]:[ActualResult]], "REG"),0), "-", TEXT(SUMIFS(Table1[[HomeWon]:[HomeWon]], Table1[[GameIsOver]:[GameIsOver]],1,Table1[[AwayTeam]:[AwayTeam]],$A17, Table1[[HomeTeam]:[HomeTeam]], V$1, Table1[[ActualResult]:[ActualResult]], "OT") + SUMIFS(Table1[[AwayWon]:[AwayWon]], Table1[[GameIsOver]:[GameIsOver]],1,Table1[[HomeTeam]:[HomeTeam]],$A17, Table1[[AwayTeam]:[AwayTeam]], V$1, Table1[[ActualResult]:[ActualResult]], "OT") + SUMIFS(Table1[[HomeWon]:[HomeWon]], Table1[[GameIsOver]:[GameIsOver]],1,Table1[[AwayTeam]:[AwayTeam]],$A17, Table1[[HomeTeam]:[HomeTeam]], V$1, Table1[[ActualResult]:[ActualResult]], "SO") + SUMIFS(Table1[[AwayWon]:[AwayWon]], Table1[[GameIsOver]:[GameIsOver]],1,Table1[[HomeTeam]:[HomeTeam]],$A17, Table1[[AwayTeam]:[AwayTeam]], V$1, Table1[[ActualResult]:[ActualResult]], "SO"),0))</f>
        <v>0-0-0</v>
      </c>
      <c r="W17" s="61" t="str">
        <f>_xlfn.CONCAT(TEXT(SUMIFS(Table1[[AwayWon]:[AwayWon]], Table1[[GameIsOver]:[GameIsOver]],1,Table1[[AwayTeam]:[AwayTeam]],$A17, Table1[[HomeTeam]:[HomeTeam]], W$1) + SUMIFS(Table1[[HomeWon]:[HomeWon]], Table1[[GameIsOver]:[GameIsOver]],1,Table1[[HomeTeam]:[HomeTeam]],$A17, Table1[[AwayTeam]:[AwayTeam]], W$1),0), "-", TEXT(SUMIFS(Table1[[HomeWon]:[HomeWon]], Table1[[GameIsOver]:[GameIsOver]],1,Table1[[AwayTeam]:[AwayTeam]],$A17, Table1[[HomeTeam]:[HomeTeam]], W$1, Table1[[ActualResult]:[ActualResult]], "REG") + SUMIFS(Table1[[AwayWon]:[AwayWon]], Table1[[GameIsOver]:[GameIsOver]],1,Table1[[HomeTeam]:[HomeTeam]],$A17, Table1[[AwayTeam]:[AwayTeam]], W$1, Table1[[ActualResult]:[ActualResult]], "REG"),0), "-", TEXT(SUMIFS(Table1[[HomeWon]:[HomeWon]], Table1[[GameIsOver]:[GameIsOver]],1,Table1[[AwayTeam]:[AwayTeam]],$A17, Table1[[HomeTeam]:[HomeTeam]], W$1, Table1[[ActualResult]:[ActualResult]], "OT") + SUMIFS(Table1[[AwayWon]:[AwayWon]], Table1[[GameIsOver]:[GameIsOver]],1,Table1[[HomeTeam]:[HomeTeam]],$A17, Table1[[AwayTeam]:[AwayTeam]], W$1, Table1[[ActualResult]:[ActualResult]], "OT") + SUMIFS(Table1[[HomeWon]:[HomeWon]], Table1[[GameIsOver]:[GameIsOver]],1,Table1[[AwayTeam]:[AwayTeam]],$A17, Table1[[HomeTeam]:[HomeTeam]], W$1, Table1[[ActualResult]:[ActualResult]], "SO") + SUMIFS(Table1[[AwayWon]:[AwayWon]], Table1[[GameIsOver]:[GameIsOver]],1,Table1[[HomeTeam]:[HomeTeam]],$A17, Table1[[AwayTeam]:[AwayTeam]], W$1, Table1[[ActualResult]:[ActualResult]], "SO"),0))</f>
        <v>0-0-0</v>
      </c>
      <c r="X17" s="61" t="str">
        <f>_xlfn.CONCAT(TEXT(SUMIFS(Table1[[AwayWon]:[AwayWon]], Table1[[GameIsOver]:[GameIsOver]],1,Table1[[AwayTeam]:[AwayTeam]],$A17, Table1[[HomeTeam]:[HomeTeam]], X$1) + SUMIFS(Table1[[HomeWon]:[HomeWon]], Table1[[GameIsOver]:[GameIsOver]],1,Table1[[HomeTeam]:[HomeTeam]],$A17, Table1[[AwayTeam]:[AwayTeam]], X$1),0), "-", TEXT(SUMIFS(Table1[[HomeWon]:[HomeWon]], Table1[[GameIsOver]:[GameIsOver]],1,Table1[[AwayTeam]:[AwayTeam]],$A17, Table1[[HomeTeam]:[HomeTeam]], X$1, Table1[[ActualResult]:[ActualResult]], "REG") + SUMIFS(Table1[[AwayWon]:[AwayWon]], Table1[[GameIsOver]:[GameIsOver]],1,Table1[[HomeTeam]:[HomeTeam]],$A17, Table1[[AwayTeam]:[AwayTeam]], X$1, Table1[[ActualResult]:[ActualResult]], "REG"),0), "-", TEXT(SUMIFS(Table1[[HomeWon]:[HomeWon]], Table1[[GameIsOver]:[GameIsOver]],1,Table1[[AwayTeam]:[AwayTeam]],$A17, Table1[[HomeTeam]:[HomeTeam]], X$1, Table1[[ActualResult]:[ActualResult]], "OT") + SUMIFS(Table1[[AwayWon]:[AwayWon]], Table1[[GameIsOver]:[GameIsOver]],1,Table1[[HomeTeam]:[HomeTeam]],$A17, Table1[[AwayTeam]:[AwayTeam]], X$1, Table1[[ActualResult]:[ActualResult]], "OT") + SUMIFS(Table1[[HomeWon]:[HomeWon]], Table1[[GameIsOver]:[GameIsOver]],1,Table1[[AwayTeam]:[AwayTeam]],$A17, Table1[[HomeTeam]:[HomeTeam]], X$1, Table1[[ActualResult]:[ActualResult]], "SO") + SUMIFS(Table1[[AwayWon]:[AwayWon]], Table1[[GameIsOver]:[GameIsOver]],1,Table1[[HomeTeam]:[HomeTeam]],$A17, Table1[[AwayTeam]:[AwayTeam]], X$1, Table1[[ActualResult]:[ActualResult]], "SO"),0))</f>
        <v>0-0-0</v>
      </c>
      <c r="Y17" s="62" t="str">
        <f>_xlfn.CONCAT(TEXT(SUMIFS(Table1[[AwayWon]:[AwayWon]], Table1[[GameIsOver]:[GameIsOver]],1,Table1[[AwayTeam]:[AwayTeam]],$A17, Table1[[HomeTeam]:[HomeTeam]], Y$1) + SUMIFS(Table1[[HomeWon]:[HomeWon]], Table1[[GameIsOver]:[GameIsOver]],1,Table1[[HomeTeam]:[HomeTeam]],$A17, Table1[[AwayTeam]:[AwayTeam]], Y$1),0), "-", TEXT(SUMIFS(Table1[[HomeWon]:[HomeWon]], Table1[[GameIsOver]:[GameIsOver]],1,Table1[[AwayTeam]:[AwayTeam]],$A17, Table1[[HomeTeam]:[HomeTeam]], Y$1, Table1[[ActualResult]:[ActualResult]], "REG") + SUMIFS(Table1[[AwayWon]:[AwayWon]], Table1[[GameIsOver]:[GameIsOver]],1,Table1[[HomeTeam]:[HomeTeam]],$A17, Table1[[AwayTeam]:[AwayTeam]], Y$1, Table1[[ActualResult]:[ActualResult]], "REG"),0), "-", TEXT(SUMIFS(Table1[[HomeWon]:[HomeWon]], Table1[[GameIsOver]:[GameIsOver]],1,Table1[[AwayTeam]:[AwayTeam]],$A17, Table1[[HomeTeam]:[HomeTeam]], Y$1, Table1[[ActualResult]:[ActualResult]], "OT") + SUMIFS(Table1[[AwayWon]:[AwayWon]], Table1[[GameIsOver]:[GameIsOver]],1,Table1[[HomeTeam]:[HomeTeam]],$A17, Table1[[AwayTeam]:[AwayTeam]], Y$1, Table1[[ActualResult]:[ActualResult]], "OT") + SUMIFS(Table1[[HomeWon]:[HomeWon]], Table1[[GameIsOver]:[GameIsOver]],1,Table1[[AwayTeam]:[AwayTeam]],$A17, Table1[[HomeTeam]:[HomeTeam]], Y$1, Table1[[ActualResult]:[ActualResult]], "SO") + SUMIFS(Table1[[AwayWon]:[AwayWon]], Table1[[GameIsOver]:[GameIsOver]],1,Table1[[HomeTeam]:[HomeTeam]],$A17, Table1[[AwayTeam]:[AwayTeam]], Y$1, Table1[[ActualResult]:[ActualResult]], "SO"),0))</f>
        <v>0-0-0</v>
      </c>
      <c r="Z17" s="61" t="str">
        <f>_xlfn.CONCAT(TEXT(SUMIFS(Table1[[AwayWon]:[AwayWon]], Table1[[GameIsOver]:[GameIsOver]],1,Table1[[AwayTeam]:[AwayTeam]],$A17, Table1[[HomeTeam]:[HomeTeam]], Z$1) + SUMIFS(Table1[[HomeWon]:[HomeWon]], Table1[[GameIsOver]:[GameIsOver]],1,Table1[[HomeTeam]:[HomeTeam]],$A17, Table1[[AwayTeam]:[AwayTeam]], Z$1),0), "-", TEXT(SUMIFS(Table1[[HomeWon]:[HomeWon]], Table1[[GameIsOver]:[GameIsOver]],1,Table1[[AwayTeam]:[AwayTeam]],$A17, Table1[[HomeTeam]:[HomeTeam]], Z$1, Table1[[ActualResult]:[ActualResult]], "REG") + SUMIFS(Table1[[AwayWon]:[AwayWon]], Table1[[GameIsOver]:[GameIsOver]],1,Table1[[HomeTeam]:[HomeTeam]],$A17, Table1[[AwayTeam]:[AwayTeam]], Z$1, Table1[[ActualResult]:[ActualResult]], "REG"),0), "-", TEXT(SUMIFS(Table1[[HomeWon]:[HomeWon]], Table1[[GameIsOver]:[GameIsOver]],1,Table1[[AwayTeam]:[AwayTeam]],$A17, Table1[[HomeTeam]:[HomeTeam]], Z$1, Table1[[ActualResult]:[ActualResult]], "OT") + SUMIFS(Table1[[AwayWon]:[AwayWon]], Table1[[GameIsOver]:[GameIsOver]],1,Table1[[HomeTeam]:[HomeTeam]],$A17, Table1[[AwayTeam]:[AwayTeam]], Z$1, Table1[[ActualResult]:[ActualResult]], "OT") + SUMIFS(Table1[[HomeWon]:[HomeWon]], Table1[[GameIsOver]:[GameIsOver]],1,Table1[[AwayTeam]:[AwayTeam]],$A17, Table1[[HomeTeam]:[HomeTeam]], Z$1, Table1[[ActualResult]:[ActualResult]], "SO") + SUMIFS(Table1[[AwayWon]:[AwayWon]], Table1[[GameIsOver]:[GameIsOver]],1,Table1[[HomeTeam]:[HomeTeam]],$A17, Table1[[AwayTeam]:[AwayTeam]], Z$1, Table1[[ActualResult]:[ActualResult]], "SO"),0))</f>
        <v>0-1-0</v>
      </c>
      <c r="AA17" s="61" t="str">
        <f>_xlfn.CONCAT(TEXT(SUMIFS(Table1[[AwayWon]:[AwayWon]], Table1[[GameIsOver]:[GameIsOver]],1,Table1[[AwayTeam]:[AwayTeam]],$A17, Table1[[HomeTeam]:[HomeTeam]], AA$1) + SUMIFS(Table1[[HomeWon]:[HomeWon]], Table1[[GameIsOver]:[GameIsOver]],1,Table1[[HomeTeam]:[HomeTeam]],$A17, Table1[[AwayTeam]:[AwayTeam]], AA$1),0), "-", TEXT(SUMIFS(Table1[[HomeWon]:[HomeWon]], Table1[[GameIsOver]:[GameIsOver]],1,Table1[[AwayTeam]:[AwayTeam]],$A17, Table1[[HomeTeam]:[HomeTeam]], AA$1, Table1[[ActualResult]:[ActualResult]], "REG") + SUMIFS(Table1[[AwayWon]:[AwayWon]], Table1[[GameIsOver]:[GameIsOver]],1,Table1[[HomeTeam]:[HomeTeam]],$A17, Table1[[AwayTeam]:[AwayTeam]], AA$1, Table1[[ActualResult]:[ActualResult]], "REG"),0), "-", TEXT(SUMIFS(Table1[[HomeWon]:[HomeWon]], Table1[[GameIsOver]:[GameIsOver]],1,Table1[[AwayTeam]:[AwayTeam]],$A17, Table1[[HomeTeam]:[HomeTeam]], AA$1, Table1[[ActualResult]:[ActualResult]], "OT") + SUMIFS(Table1[[AwayWon]:[AwayWon]], Table1[[GameIsOver]:[GameIsOver]],1,Table1[[HomeTeam]:[HomeTeam]],$A17, Table1[[AwayTeam]:[AwayTeam]], AA$1, Table1[[ActualResult]:[ActualResult]], "OT") + SUMIFS(Table1[[HomeWon]:[HomeWon]], Table1[[GameIsOver]:[GameIsOver]],1,Table1[[AwayTeam]:[AwayTeam]],$A17, Table1[[HomeTeam]:[HomeTeam]], AA$1, Table1[[ActualResult]:[ActualResult]], "SO") + SUMIFS(Table1[[AwayWon]:[AwayWon]], Table1[[GameIsOver]:[GameIsOver]],1,Table1[[HomeTeam]:[HomeTeam]],$A17, Table1[[AwayTeam]:[AwayTeam]], AA$1, Table1[[ActualResult]:[ActualResult]], "SO"),0))</f>
        <v>0-0-0</v>
      </c>
      <c r="AB17" s="61" t="str">
        <f>_xlfn.CONCAT(TEXT(SUMIFS(Table1[[AwayWon]:[AwayWon]], Table1[[GameIsOver]:[GameIsOver]],1,Table1[[AwayTeam]:[AwayTeam]],$A17, Table1[[HomeTeam]:[HomeTeam]], AB$1) + SUMIFS(Table1[[HomeWon]:[HomeWon]], Table1[[GameIsOver]:[GameIsOver]],1,Table1[[HomeTeam]:[HomeTeam]],$A17, Table1[[AwayTeam]:[AwayTeam]], AB$1),0), "-", TEXT(SUMIFS(Table1[[HomeWon]:[HomeWon]], Table1[[GameIsOver]:[GameIsOver]],1,Table1[[AwayTeam]:[AwayTeam]],$A17, Table1[[HomeTeam]:[HomeTeam]], AB$1, Table1[[ActualResult]:[ActualResult]], "REG") + SUMIFS(Table1[[AwayWon]:[AwayWon]], Table1[[GameIsOver]:[GameIsOver]],1,Table1[[HomeTeam]:[HomeTeam]],$A17, Table1[[AwayTeam]:[AwayTeam]], AB$1, Table1[[ActualResult]:[ActualResult]], "REG"),0), "-", TEXT(SUMIFS(Table1[[HomeWon]:[HomeWon]], Table1[[GameIsOver]:[GameIsOver]],1,Table1[[AwayTeam]:[AwayTeam]],$A17, Table1[[HomeTeam]:[HomeTeam]], AB$1, Table1[[ActualResult]:[ActualResult]], "OT") + SUMIFS(Table1[[AwayWon]:[AwayWon]], Table1[[GameIsOver]:[GameIsOver]],1,Table1[[HomeTeam]:[HomeTeam]],$A17, Table1[[AwayTeam]:[AwayTeam]], AB$1, Table1[[ActualResult]:[ActualResult]], "OT") + SUMIFS(Table1[[HomeWon]:[HomeWon]], Table1[[GameIsOver]:[GameIsOver]],1,Table1[[AwayTeam]:[AwayTeam]],$A17, Table1[[HomeTeam]:[HomeTeam]], AB$1, Table1[[ActualResult]:[ActualResult]], "SO") + SUMIFS(Table1[[AwayWon]:[AwayWon]], Table1[[GameIsOver]:[GameIsOver]],1,Table1[[HomeTeam]:[HomeTeam]],$A17, Table1[[AwayTeam]:[AwayTeam]], AB$1, Table1[[ActualResult]:[ActualResult]], "SO"),0))</f>
        <v>0-0-0</v>
      </c>
      <c r="AC17" s="61" t="str">
        <f>_xlfn.CONCAT(TEXT(SUMIFS(Table1[[AwayWon]:[AwayWon]], Table1[[GameIsOver]:[GameIsOver]],1,Table1[[AwayTeam]:[AwayTeam]],$A17, Table1[[HomeTeam]:[HomeTeam]], AC$1) + SUMIFS(Table1[[HomeWon]:[HomeWon]], Table1[[GameIsOver]:[GameIsOver]],1,Table1[[HomeTeam]:[HomeTeam]],$A17, Table1[[AwayTeam]:[AwayTeam]], AC$1),0), "-", TEXT(SUMIFS(Table1[[HomeWon]:[HomeWon]], Table1[[GameIsOver]:[GameIsOver]],1,Table1[[AwayTeam]:[AwayTeam]],$A17, Table1[[HomeTeam]:[HomeTeam]], AC$1, Table1[[ActualResult]:[ActualResult]], "REG") + SUMIFS(Table1[[AwayWon]:[AwayWon]], Table1[[GameIsOver]:[GameIsOver]],1,Table1[[HomeTeam]:[HomeTeam]],$A17, Table1[[AwayTeam]:[AwayTeam]], AC$1, Table1[[ActualResult]:[ActualResult]], "REG"),0), "-", TEXT(SUMIFS(Table1[[HomeWon]:[HomeWon]], Table1[[GameIsOver]:[GameIsOver]],1,Table1[[AwayTeam]:[AwayTeam]],$A17, Table1[[HomeTeam]:[HomeTeam]], AC$1, Table1[[ActualResult]:[ActualResult]], "OT") + SUMIFS(Table1[[AwayWon]:[AwayWon]], Table1[[GameIsOver]:[GameIsOver]],1,Table1[[HomeTeam]:[HomeTeam]],$A17, Table1[[AwayTeam]:[AwayTeam]], AC$1, Table1[[ActualResult]:[ActualResult]], "OT") + SUMIFS(Table1[[HomeWon]:[HomeWon]], Table1[[GameIsOver]:[GameIsOver]],1,Table1[[AwayTeam]:[AwayTeam]],$A17, Table1[[HomeTeam]:[HomeTeam]], AC$1, Table1[[ActualResult]:[ActualResult]], "SO") + SUMIFS(Table1[[AwayWon]:[AwayWon]], Table1[[GameIsOver]:[GameIsOver]],1,Table1[[HomeTeam]:[HomeTeam]],$A17, Table1[[AwayTeam]:[AwayTeam]], AC$1, Table1[[ActualResult]:[ActualResult]], "SO"),0))</f>
        <v>0-0-0</v>
      </c>
      <c r="AD17" s="61" t="str">
        <f>_xlfn.CONCAT(TEXT(SUMIFS(Table1[[AwayWon]:[AwayWon]], Table1[[GameIsOver]:[GameIsOver]],1,Table1[[AwayTeam]:[AwayTeam]],$A17, Table1[[HomeTeam]:[HomeTeam]], AD$1) + SUMIFS(Table1[[HomeWon]:[HomeWon]], Table1[[GameIsOver]:[GameIsOver]],1,Table1[[HomeTeam]:[HomeTeam]],$A17, Table1[[AwayTeam]:[AwayTeam]], AD$1),0), "-", TEXT(SUMIFS(Table1[[HomeWon]:[HomeWon]], Table1[[GameIsOver]:[GameIsOver]],1,Table1[[AwayTeam]:[AwayTeam]],$A17, Table1[[HomeTeam]:[HomeTeam]], AD$1, Table1[[ActualResult]:[ActualResult]], "REG") + SUMIFS(Table1[[AwayWon]:[AwayWon]], Table1[[GameIsOver]:[GameIsOver]],1,Table1[[HomeTeam]:[HomeTeam]],$A17, Table1[[AwayTeam]:[AwayTeam]], AD$1, Table1[[ActualResult]:[ActualResult]], "REG"),0), "-", TEXT(SUMIFS(Table1[[HomeWon]:[HomeWon]], Table1[[GameIsOver]:[GameIsOver]],1,Table1[[AwayTeam]:[AwayTeam]],$A17, Table1[[HomeTeam]:[HomeTeam]], AD$1, Table1[[ActualResult]:[ActualResult]], "OT") + SUMIFS(Table1[[AwayWon]:[AwayWon]], Table1[[GameIsOver]:[GameIsOver]],1,Table1[[HomeTeam]:[HomeTeam]],$A17, Table1[[AwayTeam]:[AwayTeam]], AD$1, Table1[[ActualResult]:[ActualResult]], "OT") + SUMIFS(Table1[[HomeWon]:[HomeWon]], Table1[[GameIsOver]:[GameIsOver]],1,Table1[[AwayTeam]:[AwayTeam]],$A17, Table1[[HomeTeam]:[HomeTeam]], AD$1, Table1[[ActualResult]:[ActualResult]], "SO") + SUMIFS(Table1[[AwayWon]:[AwayWon]], Table1[[GameIsOver]:[GameIsOver]],1,Table1[[HomeTeam]:[HomeTeam]],$A17, Table1[[AwayTeam]:[AwayTeam]], AD$1, Table1[[ActualResult]:[ActualResult]], "SO"),0))</f>
        <v>0-0-0</v>
      </c>
      <c r="AE17" s="61" t="str">
        <f>_xlfn.CONCAT(TEXT(SUMIFS(Table1[[AwayWon]:[AwayWon]], Table1[[GameIsOver]:[GameIsOver]],1,Table1[[AwayTeam]:[AwayTeam]],$A17, Table1[[HomeTeam]:[HomeTeam]], AE$1) + SUMIFS(Table1[[HomeWon]:[HomeWon]], Table1[[GameIsOver]:[GameIsOver]],1,Table1[[HomeTeam]:[HomeTeam]],$A17, Table1[[AwayTeam]:[AwayTeam]], AE$1),0), "-", TEXT(SUMIFS(Table1[[HomeWon]:[HomeWon]], Table1[[GameIsOver]:[GameIsOver]],1,Table1[[AwayTeam]:[AwayTeam]],$A17, Table1[[HomeTeam]:[HomeTeam]], AE$1, Table1[[ActualResult]:[ActualResult]], "REG") + SUMIFS(Table1[[AwayWon]:[AwayWon]], Table1[[GameIsOver]:[GameIsOver]],1,Table1[[HomeTeam]:[HomeTeam]],$A17, Table1[[AwayTeam]:[AwayTeam]], AE$1, Table1[[ActualResult]:[ActualResult]], "REG"),0), "-", TEXT(SUMIFS(Table1[[HomeWon]:[HomeWon]], Table1[[GameIsOver]:[GameIsOver]],1,Table1[[AwayTeam]:[AwayTeam]],$A17, Table1[[HomeTeam]:[HomeTeam]], AE$1, Table1[[ActualResult]:[ActualResult]], "OT") + SUMIFS(Table1[[AwayWon]:[AwayWon]], Table1[[GameIsOver]:[GameIsOver]],1,Table1[[HomeTeam]:[HomeTeam]],$A17, Table1[[AwayTeam]:[AwayTeam]], AE$1, Table1[[ActualResult]:[ActualResult]], "OT") + SUMIFS(Table1[[HomeWon]:[HomeWon]], Table1[[GameIsOver]:[GameIsOver]],1,Table1[[AwayTeam]:[AwayTeam]],$A17, Table1[[HomeTeam]:[HomeTeam]], AE$1, Table1[[ActualResult]:[ActualResult]], "SO") + SUMIFS(Table1[[AwayWon]:[AwayWon]], Table1[[GameIsOver]:[GameIsOver]],1,Table1[[HomeTeam]:[HomeTeam]],$A17, Table1[[AwayTeam]:[AwayTeam]], AE$1, Table1[[ActualResult]:[ActualResult]], "SO"),0))</f>
        <v>0-0-0</v>
      </c>
      <c r="AF17" s="61" t="str">
        <f>_xlfn.CONCAT(TEXT(SUMIFS(Table1[[AwayWon]:[AwayWon]], Table1[[GameIsOver]:[GameIsOver]],1,Table1[[AwayTeam]:[AwayTeam]],$A17, Table1[[HomeTeam]:[HomeTeam]], AF$1) + SUMIFS(Table1[[HomeWon]:[HomeWon]], Table1[[GameIsOver]:[GameIsOver]],1,Table1[[HomeTeam]:[HomeTeam]],$A17, Table1[[AwayTeam]:[AwayTeam]], AF$1),0), "-", TEXT(SUMIFS(Table1[[HomeWon]:[HomeWon]], Table1[[GameIsOver]:[GameIsOver]],1,Table1[[AwayTeam]:[AwayTeam]],$A17, Table1[[HomeTeam]:[HomeTeam]], AF$1, Table1[[ActualResult]:[ActualResult]], "REG") + SUMIFS(Table1[[AwayWon]:[AwayWon]], Table1[[GameIsOver]:[GameIsOver]],1,Table1[[HomeTeam]:[HomeTeam]],$A17, Table1[[AwayTeam]:[AwayTeam]], AF$1, Table1[[ActualResult]:[ActualResult]], "REG"),0), "-", TEXT(SUMIFS(Table1[[HomeWon]:[HomeWon]], Table1[[GameIsOver]:[GameIsOver]],1,Table1[[AwayTeam]:[AwayTeam]],$A17, Table1[[HomeTeam]:[HomeTeam]], AF$1, Table1[[ActualResult]:[ActualResult]], "OT") + SUMIFS(Table1[[AwayWon]:[AwayWon]], Table1[[GameIsOver]:[GameIsOver]],1,Table1[[HomeTeam]:[HomeTeam]],$A17, Table1[[AwayTeam]:[AwayTeam]], AF$1, Table1[[ActualResult]:[ActualResult]], "OT") + SUMIFS(Table1[[HomeWon]:[HomeWon]], Table1[[GameIsOver]:[GameIsOver]],1,Table1[[AwayTeam]:[AwayTeam]],$A17, Table1[[HomeTeam]:[HomeTeam]], AF$1, Table1[[ActualResult]:[ActualResult]], "SO") + SUMIFS(Table1[[AwayWon]:[AwayWon]], Table1[[GameIsOver]:[GameIsOver]],1,Table1[[HomeTeam]:[HomeTeam]],$A17, Table1[[AwayTeam]:[AwayTeam]], AF$1, Table1[[ActualResult]:[ActualResult]], "SO"),0))</f>
        <v>0-0-0</v>
      </c>
      <c r="AG17" s="61" t="str">
        <f>_xlfn.CONCAT(TEXT(SUMIFS(Table1[[AwayWon]:[AwayWon]], Table1[[GameIsOver]:[GameIsOver]],1,Table1[[AwayTeam]:[AwayTeam]],$A17, Table1[[HomeTeam]:[HomeTeam]], AG$1) + SUMIFS(Table1[[HomeWon]:[HomeWon]], Table1[[GameIsOver]:[GameIsOver]],1,Table1[[HomeTeam]:[HomeTeam]],$A17, Table1[[AwayTeam]:[AwayTeam]], AG$1),0), "-", TEXT(SUMIFS(Table1[[HomeWon]:[HomeWon]], Table1[[GameIsOver]:[GameIsOver]],1,Table1[[AwayTeam]:[AwayTeam]],$A17, Table1[[HomeTeam]:[HomeTeam]], AG$1, Table1[[ActualResult]:[ActualResult]], "REG") + SUMIFS(Table1[[AwayWon]:[AwayWon]], Table1[[GameIsOver]:[GameIsOver]],1,Table1[[HomeTeam]:[HomeTeam]],$A17, Table1[[AwayTeam]:[AwayTeam]], AG$1, Table1[[ActualResult]:[ActualResult]], "REG"),0), "-", TEXT(SUMIFS(Table1[[HomeWon]:[HomeWon]], Table1[[GameIsOver]:[GameIsOver]],1,Table1[[AwayTeam]:[AwayTeam]],$A17, Table1[[HomeTeam]:[HomeTeam]], AG$1, Table1[[ActualResult]:[ActualResult]], "OT") + SUMIFS(Table1[[AwayWon]:[AwayWon]], Table1[[GameIsOver]:[GameIsOver]],1,Table1[[HomeTeam]:[HomeTeam]],$A17, Table1[[AwayTeam]:[AwayTeam]], AG$1, Table1[[ActualResult]:[ActualResult]], "OT") + SUMIFS(Table1[[HomeWon]:[HomeWon]], Table1[[GameIsOver]:[GameIsOver]],1,Table1[[AwayTeam]:[AwayTeam]],$A17, Table1[[HomeTeam]:[HomeTeam]], AG$1, Table1[[ActualResult]:[ActualResult]], "SO") + SUMIFS(Table1[[AwayWon]:[AwayWon]], Table1[[GameIsOver]:[GameIsOver]],1,Table1[[HomeTeam]:[HomeTeam]],$A17, Table1[[AwayTeam]:[AwayTeam]], AG$1, Table1[[ActualResult]:[ActualResult]], "SO"),0))</f>
        <v>0-0-0</v>
      </c>
    </row>
    <row r="18" spans="1:33" ht="15.75" thickTop="1" x14ac:dyDescent="0.25">
      <c r="A18" s="28" t="s">
        <v>40</v>
      </c>
      <c r="B18" s="57" t="str">
        <f>_xlfn.CONCAT(TEXT(SUMIFS(Table1[[AwayWon]:[AwayWon]], Table1[[GameIsOver]:[GameIsOver]],1,Table1[[AwayTeam]:[AwayTeam]],$A18, Table1[[HomeTeam]:[HomeTeam]], B$1) + SUMIFS(Table1[[HomeWon]:[HomeWon]], Table1[[GameIsOver]:[GameIsOver]],1,Table1[[HomeTeam]:[HomeTeam]],$A18, Table1[[AwayTeam]:[AwayTeam]], B$1),0), "-", TEXT(SUMIFS(Table1[[HomeWon]:[HomeWon]], Table1[[GameIsOver]:[GameIsOver]],1,Table1[[AwayTeam]:[AwayTeam]],$A18, Table1[[HomeTeam]:[HomeTeam]], B$1, Table1[[ActualResult]:[ActualResult]], "REG") + SUMIFS(Table1[[AwayWon]:[AwayWon]], Table1[[GameIsOver]:[GameIsOver]],1,Table1[[HomeTeam]:[HomeTeam]],$A18, Table1[[AwayTeam]:[AwayTeam]], B$1, Table1[[ActualResult]:[ActualResult]], "REG"),0), "-", TEXT(SUMIFS(Table1[[HomeWon]:[HomeWon]], Table1[[GameIsOver]:[GameIsOver]],1,Table1[[AwayTeam]:[AwayTeam]],$A18, Table1[[HomeTeam]:[HomeTeam]], B$1, Table1[[ActualResult]:[ActualResult]], "OT") + SUMIFS(Table1[[AwayWon]:[AwayWon]], Table1[[GameIsOver]:[GameIsOver]],1,Table1[[HomeTeam]:[HomeTeam]],$A18, Table1[[AwayTeam]:[AwayTeam]], B$1, Table1[[ActualResult]:[ActualResult]], "OT") + SUMIFS(Table1[[HomeWon]:[HomeWon]], Table1[[GameIsOver]:[GameIsOver]],1,Table1[[AwayTeam]:[AwayTeam]],$A18, Table1[[HomeTeam]:[HomeTeam]], B$1, Table1[[ActualResult]:[ActualResult]], "SO") + SUMIFS(Table1[[AwayWon]:[AwayWon]], Table1[[GameIsOver]:[GameIsOver]],1,Table1[[HomeTeam]:[HomeTeam]],$A18, Table1[[AwayTeam]:[AwayTeam]], B$1, Table1[[ActualResult]:[ActualResult]], "SO"),0))</f>
        <v>0-0-0</v>
      </c>
      <c r="C18" s="57" t="str">
        <f>_xlfn.CONCAT(TEXT(SUMIFS(Table1[[AwayWon]:[AwayWon]], Table1[[GameIsOver]:[GameIsOver]],1,Table1[[AwayTeam]:[AwayTeam]],$A18, Table1[[HomeTeam]:[HomeTeam]], C$1) + SUMIFS(Table1[[HomeWon]:[HomeWon]], Table1[[GameIsOver]:[GameIsOver]],1,Table1[[HomeTeam]:[HomeTeam]],$A18, Table1[[AwayTeam]:[AwayTeam]], C$1),0), "-", TEXT(SUMIFS(Table1[[HomeWon]:[HomeWon]], Table1[[GameIsOver]:[GameIsOver]],1,Table1[[AwayTeam]:[AwayTeam]],$A18, Table1[[HomeTeam]:[HomeTeam]], C$1, Table1[[ActualResult]:[ActualResult]], "REG") + SUMIFS(Table1[[AwayWon]:[AwayWon]], Table1[[GameIsOver]:[GameIsOver]],1,Table1[[HomeTeam]:[HomeTeam]],$A18, Table1[[AwayTeam]:[AwayTeam]], C$1, Table1[[ActualResult]:[ActualResult]], "REG"),0), "-", TEXT(SUMIFS(Table1[[HomeWon]:[HomeWon]], Table1[[GameIsOver]:[GameIsOver]],1,Table1[[AwayTeam]:[AwayTeam]],$A18, Table1[[HomeTeam]:[HomeTeam]], C$1, Table1[[ActualResult]:[ActualResult]], "OT") + SUMIFS(Table1[[AwayWon]:[AwayWon]], Table1[[GameIsOver]:[GameIsOver]],1,Table1[[HomeTeam]:[HomeTeam]],$A18, Table1[[AwayTeam]:[AwayTeam]], C$1, Table1[[ActualResult]:[ActualResult]], "OT") + SUMIFS(Table1[[HomeWon]:[HomeWon]], Table1[[GameIsOver]:[GameIsOver]],1,Table1[[AwayTeam]:[AwayTeam]],$A18, Table1[[HomeTeam]:[HomeTeam]], C$1, Table1[[ActualResult]:[ActualResult]], "SO") + SUMIFS(Table1[[AwayWon]:[AwayWon]], Table1[[GameIsOver]:[GameIsOver]],1,Table1[[HomeTeam]:[HomeTeam]],$A18, Table1[[AwayTeam]:[AwayTeam]], C$1, Table1[[ActualResult]:[ActualResult]], "SO"),0))</f>
        <v>0-0-0</v>
      </c>
      <c r="D18" s="57" t="str">
        <f>_xlfn.CONCAT(TEXT(SUMIFS(Table1[[AwayWon]:[AwayWon]], Table1[[GameIsOver]:[GameIsOver]],1,Table1[[AwayTeam]:[AwayTeam]],$A18, Table1[[HomeTeam]:[HomeTeam]], D$1) + SUMIFS(Table1[[HomeWon]:[HomeWon]], Table1[[GameIsOver]:[GameIsOver]],1,Table1[[HomeTeam]:[HomeTeam]],$A18, Table1[[AwayTeam]:[AwayTeam]], D$1),0), "-", TEXT(SUMIFS(Table1[[HomeWon]:[HomeWon]], Table1[[GameIsOver]:[GameIsOver]],1,Table1[[AwayTeam]:[AwayTeam]],$A18, Table1[[HomeTeam]:[HomeTeam]], D$1, Table1[[ActualResult]:[ActualResult]], "REG") + SUMIFS(Table1[[AwayWon]:[AwayWon]], Table1[[GameIsOver]:[GameIsOver]],1,Table1[[HomeTeam]:[HomeTeam]],$A18, Table1[[AwayTeam]:[AwayTeam]], D$1, Table1[[ActualResult]:[ActualResult]], "REG"),0), "-", TEXT(SUMIFS(Table1[[HomeWon]:[HomeWon]], Table1[[GameIsOver]:[GameIsOver]],1,Table1[[AwayTeam]:[AwayTeam]],$A18, Table1[[HomeTeam]:[HomeTeam]], D$1, Table1[[ActualResult]:[ActualResult]], "OT") + SUMIFS(Table1[[AwayWon]:[AwayWon]], Table1[[GameIsOver]:[GameIsOver]],1,Table1[[HomeTeam]:[HomeTeam]],$A18, Table1[[AwayTeam]:[AwayTeam]], D$1, Table1[[ActualResult]:[ActualResult]], "OT") + SUMIFS(Table1[[HomeWon]:[HomeWon]], Table1[[GameIsOver]:[GameIsOver]],1,Table1[[AwayTeam]:[AwayTeam]],$A18, Table1[[HomeTeam]:[HomeTeam]], D$1, Table1[[ActualResult]:[ActualResult]], "SO") + SUMIFS(Table1[[AwayWon]:[AwayWon]], Table1[[GameIsOver]:[GameIsOver]],1,Table1[[HomeTeam]:[HomeTeam]],$A18, Table1[[AwayTeam]:[AwayTeam]], D$1, Table1[[ActualResult]:[ActualResult]], "SO"),0))</f>
        <v>0-0-0</v>
      </c>
      <c r="E18" s="57" t="str">
        <f>_xlfn.CONCAT(TEXT(SUMIFS(Table1[[AwayWon]:[AwayWon]], Table1[[GameIsOver]:[GameIsOver]],1,Table1[[AwayTeam]:[AwayTeam]],$A18, Table1[[HomeTeam]:[HomeTeam]], E$1) + SUMIFS(Table1[[HomeWon]:[HomeWon]], Table1[[GameIsOver]:[GameIsOver]],1,Table1[[HomeTeam]:[HomeTeam]],$A18, Table1[[AwayTeam]:[AwayTeam]], E$1),0), "-", TEXT(SUMIFS(Table1[[HomeWon]:[HomeWon]], Table1[[GameIsOver]:[GameIsOver]],1,Table1[[AwayTeam]:[AwayTeam]],$A18, Table1[[HomeTeam]:[HomeTeam]], E$1, Table1[[ActualResult]:[ActualResult]], "REG") + SUMIFS(Table1[[AwayWon]:[AwayWon]], Table1[[GameIsOver]:[GameIsOver]],1,Table1[[HomeTeam]:[HomeTeam]],$A18, Table1[[AwayTeam]:[AwayTeam]], E$1, Table1[[ActualResult]:[ActualResult]], "REG"),0), "-", TEXT(SUMIFS(Table1[[HomeWon]:[HomeWon]], Table1[[GameIsOver]:[GameIsOver]],1,Table1[[AwayTeam]:[AwayTeam]],$A18, Table1[[HomeTeam]:[HomeTeam]], E$1, Table1[[ActualResult]:[ActualResult]], "OT") + SUMIFS(Table1[[AwayWon]:[AwayWon]], Table1[[GameIsOver]:[GameIsOver]],1,Table1[[HomeTeam]:[HomeTeam]],$A18, Table1[[AwayTeam]:[AwayTeam]], E$1, Table1[[ActualResult]:[ActualResult]], "OT") + SUMIFS(Table1[[HomeWon]:[HomeWon]], Table1[[GameIsOver]:[GameIsOver]],1,Table1[[AwayTeam]:[AwayTeam]],$A18, Table1[[HomeTeam]:[HomeTeam]], E$1, Table1[[ActualResult]:[ActualResult]], "SO") + SUMIFS(Table1[[AwayWon]:[AwayWon]], Table1[[GameIsOver]:[GameIsOver]],1,Table1[[HomeTeam]:[HomeTeam]],$A18, Table1[[AwayTeam]:[AwayTeam]], E$1, Table1[[ActualResult]:[ActualResult]], "SO"),0))</f>
        <v>1-0-0</v>
      </c>
      <c r="F18" s="57" t="str">
        <f>_xlfn.CONCAT(TEXT(SUMIFS(Table1[[AwayWon]:[AwayWon]], Table1[[GameIsOver]:[GameIsOver]],1,Table1[[AwayTeam]:[AwayTeam]],$A18, Table1[[HomeTeam]:[HomeTeam]], F$1) + SUMIFS(Table1[[HomeWon]:[HomeWon]], Table1[[GameIsOver]:[GameIsOver]],1,Table1[[HomeTeam]:[HomeTeam]],$A18, Table1[[AwayTeam]:[AwayTeam]], F$1),0), "-", TEXT(SUMIFS(Table1[[HomeWon]:[HomeWon]], Table1[[GameIsOver]:[GameIsOver]],1,Table1[[AwayTeam]:[AwayTeam]],$A18, Table1[[HomeTeam]:[HomeTeam]], F$1, Table1[[ActualResult]:[ActualResult]], "REG") + SUMIFS(Table1[[AwayWon]:[AwayWon]], Table1[[GameIsOver]:[GameIsOver]],1,Table1[[HomeTeam]:[HomeTeam]],$A18, Table1[[AwayTeam]:[AwayTeam]], F$1, Table1[[ActualResult]:[ActualResult]], "REG"),0), "-", TEXT(SUMIFS(Table1[[HomeWon]:[HomeWon]], Table1[[GameIsOver]:[GameIsOver]],1,Table1[[AwayTeam]:[AwayTeam]],$A18, Table1[[HomeTeam]:[HomeTeam]], F$1, Table1[[ActualResult]:[ActualResult]], "OT") + SUMIFS(Table1[[AwayWon]:[AwayWon]], Table1[[GameIsOver]:[GameIsOver]],1,Table1[[HomeTeam]:[HomeTeam]],$A18, Table1[[AwayTeam]:[AwayTeam]], F$1, Table1[[ActualResult]:[ActualResult]], "OT") + SUMIFS(Table1[[HomeWon]:[HomeWon]], Table1[[GameIsOver]:[GameIsOver]],1,Table1[[AwayTeam]:[AwayTeam]],$A18, Table1[[HomeTeam]:[HomeTeam]], F$1, Table1[[ActualResult]:[ActualResult]], "SO") + SUMIFS(Table1[[AwayWon]:[AwayWon]], Table1[[GameIsOver]:[GameIsOver]],1,Table1[[HomeTeam]:[HomeTeam]],$A18, Table1[[AwayTeam]:[AwayTeam]], F$1, Table1[[ActualResult]:[ActualResult]], "SO"),0))</f>
        <v>0-0-0</v>
      </c>
      <c r="G18" s="57" t="str">
        <f>_xlfn.CONCAT(TEXT(SUMIFS(Table1[[AwayWon]:[AwayWon]], Table1[[GameIsOver]:[GameIsOver]],1,Table1[[AwayTeam]:[AwayTeam]],$A18, Table1[[HomeTeam]:[HomeTeam]], G$1) + SUMIFS(Table1[[HomeWon]:[HomeWon]], Table1[[GameIsOver]:[GameIsOver]],1,Table1[[HomeTeam]:[HomeTeam]],$A18, Table1[[AwayTeam]:[AwayTeam]], G$1),0), "-", TEXT(SUMIFS(Table1[[HomeWon]:[HomeWon]], Table1[[GameIsOver]:[GameIsOver]],1,Table1[[AwayTeam]:[AwayTeam]],$A18, Table1[[HomeTeam]:[HomeTeam]], G$1, Table1[[ActualResult]:[ActualResult]], "REG") + SUMIFS(Table1[[AwayWon]:[AwayWon]], Table1[[GameIsOver]:[GameIsOver]],1,Table1[[HomeTeam]:[HomeTeam]],$A18, Table1[[AwayTeam]:[AwayTeam]], G$1, Table1[[ActualResult]:[ActualResult]], "REG"),0), "-", TEXT(SUMIFS(Table1[[HomeWon]:[HomeWon]], Table1[[GameIsOver]:[GameIsOver]],1,Table1[[AwayTeam]:[AwayTeam]],$A18, Table1[[HomeTeam]:[HomeTeam]], G$1, Table1[[ActualResult]:[ActualResult]], "OT") + SUMIFS(Table1[[AwayWon]:[AwayWon]], Table1[[GameIsOver]:[GameIsOver]],1,Table1[[HomeTeam]:[HomeTeam]],$A18, Table1[[AwayTeam]:[AwayTeam]], G$1, Table1[[ActualResult]:[ActualResult]], "OT") + SUMIFS(Table1[[HomeWon]:[HomeWon]], Table1[[GameIsOver]:[GameIsOver]],1,Table1[[AwayTeam]:[AwayTeam]],$A18, Table1[[HomeTeam]:[HomeTeam]], G$1, Table1[[ActualResult]:[ActualResult]], "SO") + SUMIFS(Table1[[AwayWon]:[AwayWon]], Table1[[GameIsOver]:[GameIsOver]],1,Table1[[HomeTeam]:[HomeTeam]],$A18, Table1[[AwayTeam]:[AwayTeam]], G$1, Table1[[ActualResult]:[ActualResult]], "SO"),0))</f>
        <v>0-0-0</v>
      </c>
      <c r="H18" s="57" t="str">
        <f>_xlfn.CONCAT(TEXT(SUMIFS(Table1[[AwayWon]:[AwayWon]], Table1[[GameIsOver]:[GameIsOver]],1,Table1[[AwayTeam]:[AwayTeam]],$A18, Table1[[HomeTeam]:[HomeTeam]], H$1) + SUMIFS(Table1[[HomeWon]:[HomeWon]], Table1[[GameIsOver]:[GameIsOver]],1,Table1[[HomeTeam]:[HomeTeam]],$A18, Table1[[AwayTeam]:[AwayTeam]], H$1),0), "-", TEXT(SUMIFS(Table1[[HomeWon]:[HomeWon]], Table1[[GameIsOver]:[GameIsOver]],1,Table1[[AwayTeam]:[AwayTeam]],$A18, Table1[[HomeTeam]:[HomeTeam]], H$1, Table1[[ActualResult]:[ActualResult]], "REG") + SUMIFS(Table1[[AwayWon]:[AwayWon]], Table1[[GameIsOver]:[GameIsOver]],1,Table1[[HomeTeam]:[HomeTeam]],$A18, Table1[[AwayTeam]:[AwayTeam]], H$1, Table1[[ActualResult]:[ActualResult]], "REG"),0), "-", TEXT(SUMIFS(Table1[[HomeWon]:[HomeWon]], Table1[[GameIsOver]:[GameIsOver]],1,Table1[[AwayTeam]:[AwayTeam]],$A18, Table1[[HomeTeam]:[HomeTeam]], H$1, Table1[[ActualResult]:[ActualResult]], "OT") + SUMIFS(Table1[[AwayWon]:[AwayWon]], Table1[[GameIsOver]:[GameIsOver]],1,Table1[[HomeTeam]:[HomeTeam]],$A18, Table1[[AwayTeam]:[AwayTeam]], H$1, Table1[[ActualResult]:[ActualResult]], "OT") + SUMIFS(Table1[[HomeWon]:[HomeWon]], Table1[[GameIsOver]:[GameIsOver]],1,Table1[[AwayTeam]:[AwayTeam]],$A18, Table1[[HomeTeam]:[HomeTeam]], H$1, Table1[[ActualResult]:[ActualResult]], "SO") + SUMIFS(Table1[[AwayWon]:[AwayWon]], Table1[[GameIsOver]:[GameIsOver]],1,Table1[[HomeTeam]:[HomeTeam]],$A18, Table1[[AwayTeam]:[AwayTeam]], H$1, Table1[[ActualResult]:[ActualResult]], "SO"),0))</f>
        <v>0-0-0</v>
      </c>
      <c r="I18" s="59" t="str">
        <f>_xlfn.CONCAT(TEXT(SUMIFS(Table1[[AwayWon]:[AwayWon]], Table1[[GameIsOver]:[GameIsOver]],1,Table1[[AwayTeam]:[AwayTeam]],$A18, Table1[[HomeTeam]:[HomeTeam]], I$1) + SUMIFS(Table1[[HomeWon]:[HomeWon]], Table1[[GameIsOver]:[GameIsOver]],1,Table1[[HomeTeam]:[HomeTeam]],$A18, Table1[[AwayTeam]:[AwayTeam]], I$1),0), "-", TEXT(SUMIFS(Table1[[HomeWon]:[HomeWon]], Table1[[GameIsOver]:[GameIsOver]],1,Table1[[AwayTeam]:[AwayTeam]],$A18, Table1[[HomeTeam]:[HomeTeam]], I$1, Table1[[ActualResult]:[ActualResult]], "REG") + SUMIFS(Table1[[AwayWon]:[AwayWon]], Table1[[GameIsOver]:[GameIsOver]],1,Table1[[HomeTeam]:[HomeTeam]],$A18, Table1[[AwayTeam]:[AwayTeam]], I$1, Table1[[ActualResult]:[ActualResult]], "REG"),0), "-", TEXT(SUMIFS(Table1[[HomeWon]:[HomeWon]], Table1[[GameIsOver]:[GameIsOver]],1,Table1[[AwayTeam]:[AwayTeam]],$A18, Table1[[HomeTeam]:[HomeTeam]], I$1, Table1[[ActualResult]:[ActualResult]], "OT") + SUMIFS(Table1[[AwayWon]:[AwayWon]], Table1[[GameIsOver]:[GameIsOver]],1,Table1[[HomeTeam]:[HomeTeam]],$A18, Table1[[AwayTeam]:[AwayTeam]], I$1, Table1[[ActualResult]:[ActualResult]], "OT") + SUMIFS(Table1[[HomeWon]:[HomeWon]], Table1[[GameIsOver]:[GameIsOver]],1,Table1[[AwayTeam]:[AwayTeam]],$A18, Table1[[HomeTeam]:[HomeTeam]], I$1, Table1[[ActualResult]:[ActualResult]], "SO") + SUMIFS(Table1[[AwayWon]:[AwayWon]], Table1[[GameIsOver]:[GameIsOver]],1,Table1[[HomeTeam]:[HomeTeam]],$A18, Table1[[AwayTeam]:[AwayTeam]], I$1, Table1[[ActualResult]:[ActualResult]], "SO"),0))</f>
        <v>0-0-0</v>
      </c>
      <c r="J18" s="57" t="str">
        <f>_xlfn.CONCAT(TEXT(SUMIFS(Table1[[AwayWon]:[AwayWon]], Table1[[GameIsOver]:[GameIsOver]],1,Table1[[AwayTeam]:[AwayTeam]],$A18, Table1[[HomeTeam]:[HomeTeam]], J$1) + SUMIFS(Table1[[HomeWon]:[HomeWon]], Table1[[GameIsOver]:[GameIsOver]],1,Table1[[HomeTeam]:[HomeTeam]],$A18, Table1[[AwayTeam]:[AwayTeam]], J$1),0), "-", TEXT(SUMIFS(Table1[[HomeWon]:[HomeWon]], Table1[[GameIsOver]:[GameIsOver]],1,Table1[[AwayTeam]:[AwayTeam]],$A18, Table1[[HomeTeam]:[HomeTeam]], J$1, Table1[[ActualResult]:[ActualResult]], "REG") + SUMIFS(Table1[[AwayWon]:[AwayWon]], Table1[[GameIsOver]:[GameIsOver]],1,Table1[[HomeTeam]:[HomeTeam]],$A18, Table1[[AwayTeam]:[AwayTeam]], J$1, Table1[[ActualResult]:[ActualResult]], "REG"),0), "-", TEXT(SUMIFS(Table1[[HomeWon]:[HomeWon]], Table1[[GameIsOver]:[GameIsOver]],1,Table1[[AwayTeam]:[AwayTeam]],$A18, Table1[[HomeTeam]:[HomeTeam]], J$1, Table1[[ActualResult]:[ActualResult]], "OT") + SUMIFS(Table1[[AwayWon]:[AwayWon]], Table1[[GameIsOver]:[GameIsOver]],1,Table1[[HomeTeam]:[HomeTeam]],$A18, Table1[[AwayTeam]:[AwayTeam]], J$1, Table1[[ActualResult]:[ActualResult]], "OT") + SUMIFS(Table1[[HomeWon]:[HomeWon]], Table1[[GameIsOver]:[GameIsOver]],1,Table1[[AwayTeam]:[AwayTeam]],$A18, Table1[[HomeTeam]:[HomeTeam]], J$1, Table1[[ActualResult]:[ActualResult]], "SO") + SUMIFS(Table1[[AwayWon]:[AwayWon]], Table1[[GameIsOver]:[GameIsOver]],1,Table1[[HomeTeam]:[HomeTeam]],$A18, Table1[[AwayTeam]:[AwayTeam]], J$1, Table1[[ActualResult]:[ActualResult]], "SO"),0))</f>
        <v>0-0-0</v>
      </c>
      <c r="K18" s="57" t="str">
        <f>_xlfn.CONCAT(TEXT(SUMIFS(Table1[[AwayWon]:[AwayWon]], Table1[[GameIsOver]:[GameIsOver]],1,Table1[[AwayTeam]:[AwayTeam]],$A18, Table1[[HomeTeam]:[HomeTeam]], K$1) + SUMIFS(Table1[[HomeWon]:[HomeWon]], Table1[[GameIsOver]:[GameIsOver]],1,Table1[[HomeTeam]:[HomeTeam]],$A18, Table1[[AwayTeam]:[AwayTeam]], K$1),0), "-", TEXT(SUMIFS(Table1[[HomeWon]:[HomeWon]], Table1[[GameIsOver]:[GameIsOver]],1,Table1[[AwayTeam]:[AwayTeam]],$A18, Table1[[HomeTeam]:[HomeTeam]], K$1, Table1[[ActualResult]:[ActualResult]], "REG") + SUMIFS(Table1[[AwayWon]:[AwayWon]], Table1[[GameIsOver]:[GameIsOver]],1,Table1[[HomeTeam]:[HomeTeam]],$A18, Table1[[AwayTeam]:[AwayTeam]], K$1, Table1[[ActualResult]:[ActualResult]], "REG"),0), "-", TEXT(SUMIFS(Table1[[HomeWon]:[HomeWon]], Table1[[GameIsOver]:[GameIsOver]],1,Table1[[AwayTeam]:[AwayTeam]],$A18, Table1[[HomeTeam]:[HomeTeam]], K$1, Table1[[ActualResult]:[ActualResult]], "OT") + SUMIFS(Table1[[AwayWon]:[AwayWon]], Table1[[GameIsOver]:[GameIsOver]],1,Table1[[HomeTeam]:[HomeTeam]],$A18, Table1[[AwayTeam]:[AwayTeam]], K$1, Table1[[ActualResult]:[ActualResult]], "OT") + SUMIFS(Table1[[HomeWon]:[HomeWon]], Table1[[GameIsOver]:[GameIsOver]],1,Table1[[AwayTeam]:[AwayTeam]],$A18, Table1[[HomeTeam]:[HomeTeam]], K$1, Table1[[ActualResult]:[ActualResult]], "SO") + SUMIFS(Table1[[AwayWon]:[AwayWon]], Table1[[GameIsOver]:[GameIsOver]],1,Table1[[HomeTeam]:[HomeTeam]],$A18, Table1[[AwayTeam]:[AwayTeam]], K$1, Table1[[ActualResult]:[ActualResult]], "SO"),0))</f>
        <v>0-0-0</v>
      </c>
      <c r="L18" s="57" t="str">
        <f>_xlfn.CONCAT(TEXT(SUMIFS(Table1[[AwayWon]:[AwayWon]], Table1[[GameIsOver]:[GameIsOver]],1,Table1[[AwayTeam]:[AwayTeam]],$A18, Table1[[HomeTeam]:[HomeTeam]], L$1) + SUMIFS(Table1[[HomeWon]:[HomeWon]], Table1[[GameIsOver]:[GameIsOver]],1,Table1[[HomeTeam]:[HomeTeam]],$A18, Table1[[AwayTeam]:[AwayTeam]], L$1),0), "-", TEXT(SUMIFS(Table1[[HomeWon]:[HomeWon]], Table1[[GameIsOver]:[GameIsOver]],1,Table1[[AwayTeam]:[AwayTeam]],$A18, Table1[[HomeTeam]:[HomeTeam]], L$1, Table1[[ActualResult]:[ActualResult]], "REG") + SUMIFS(Table1[[AwayWon]:[AwayWon]], Table1[[GameIsOver]:[GameIsOver]],1,Table1[[HomeTeam]:[HomeTeam]],$A18, Table1[[AwayTeam]:[AwayTeam]], L$1, Table1[[ActualResult]:[ActualResult]], "REG"),0), "-", TEXT(SUMIFS(Table1[[HomeWon]:[HomeWon]], Table1[[GameIsOver]:[GameIsOver]],1,Table1[[AwayTeam]:[AwayTeam]],$A18, Table1[[HomeTeam]:[HomeTeam]], L$1, Table1[[ActualResult]:[ActualResult]], "OT") + SUMIFS(Table1[[AwayWon]:[AwayWon]], Table1[[GameIsOver]:[GameIsOver]],1,Table1[[HomeTeam]:[HomeTeam]],$A18, Table1[[AwayTeam]:[AwayTeam]], L$1, Table1[[ActualResult]:[ActualResult]], "OT") + SUMIFS(Table1[[HomeWon]:[HomeWon]], Table1[[GameIsOver]:[GameIsOver]],1,Table1[[AwayTeam]:[AwayTeam]],$A18, Table1[[HomeTeam]:[HomeTeam]], L$1, Table1[[ActualResult]:[ActualResult]], "SO") + SUMIFS(Table1[[AwayWon]:[AwayWon]], Table1[[GameIsOver]:[GameIsOver]],1,Table1[[HomeTeam]:[HomeTeam]],$A18, Table1[[AwayTeam]:[AwayTeam]], L$1, Table1[[ActualResult]:[ActualResult]], "SO"),0))</f>
        <v>0-0-0</v>
      </c>
      <c r="M18" s="57" t="str">
        <f>_xlfn.CONCAT(TEXT(SUMIFS(Table1[[AwayWon]:[AwayWon]], Table1[[GameIsOver]:[GameIsOver]],1,Table1[[AwayTeam]:[AwayTeam]],$A18, Table1[[HomeTeam]:[HomeTeam]], M$1) + SUMIFS(Table1[[HomeWon]:[HomeWon]], Table1[[GameIsOver]:[GameIsOver]],1,Table1[[HomeTeam]:[HomeTeam]],$A18, Table1[[AwayTeam]:[AwayTeam]], M$1),0), "-", TEXT(SUMIFS(Table1[[HomeWon]:[HomeWon]], Table1[[GameIsOver]:[GameIsOver]],1,Table1[[AwayTeam]:[AwayTeam]],$A18, Table1[[HomeTeam]:[HomeTeam]], M$1, Table1[[ActualResult]:[ActualResult]], "REG") + SUMIFS(Table1[[AwayWon]:[AwayWon]], Table1[[GameIsOver]:[GameIsOver]],1,Table1[[HomeTeam]:[HomeTeam]],$A18, Table1[[AwayTeam]:[AwayTeam]], M$1, Table1[[ActualResult]:[ActualResult]], "REG"),0), "-", TEXT(SUMIFS(Table1[[HomeWon]:[HomeWon]], Table1[[GameIsOver]:[GameIsOver]],1,Table1[[AwayTeam]:[AwayTeam]],$A18, Table1[[HomeTeam]:[HomeTeam]], M$1, Table1[[ActualResult]:[ActualResult]], "OT") + SUMIFS(Table1[[AwayWon]:[AwayWon]], Table1[[GameIsOver]:[GameIsOver]],1,Table1[[HomeTeam]:[HomeTeam]],$A18, Table1[[AwayTeam]:[AwayTeam]], M$1, Table1[[ActualResult]:[ActualResult]], "OT") + SUMIFS(Table1[[HomeWon]:[HomeWon]], Table1[[GameIsOver]:[GameIsOver]],1,Table1[[AwayTeam]:[AwayTeam]],$A18, Table1[[HomeTeam]:[HomeTeam]], M$1, Table1[[ActualResult]:[ActualResult]], "SO") + SUMIFS(Table1[[AwayWon]:[AwayWon]], Table1[[GameIsOver]:[GameIsOver]],1,Table1[[HomeTeam]:[HomeTeam]],$A18, Table1[[AwayTeam]:[AwayTeam]], M$1, Table1[[ActualResult]:[ActualResult]], "SO"),0))</f>
        <v>0-0-0</v>
      </c>
      <c r="N18" s="57" t="str">
        <f>_xlfn.CONCAT(TEXT(SUMIFS(Table1[[AwayWon]:[AwayWon]], Table1[[GameIsOver]:[GameIsOver]],1,Table1[[AwayTeam]:[AwayTeam]],$A18, Table1[[HomeTeam]:[HomeTeam]], N$1) + SUMIFS(Table1[[HomeWon]:[HomeWon]], Table1[[GameIsOver]:[GameIsOver]],1,Table1[[HomeTeam]:[HomeTeam]],$A18, Table1[[AwayTeam]:[AwayTeam]], N$1),0), "-", TEXT(SUMIFS(Table1[[HomeWon]:[HomeWon]], Table1[[GameIsOver]:[GameIsOver]],1,Table1[[AwayTeam]:[AwayTeam]],$A18, Table1[[HomeTeam]:[HomeTeam]], N$1, Table1[[ActualResult]:[ActualResult]], "REG") + SUMIFS(Table1[[AwayWon]:[AwayWon]], Table1[[GameIsOver]:[GameIsOver]],1,Table1[[HomeTeam]:[HomeTeam]],$A18, Table1[[AwayTeam]:[AwayTeam]], N$1, Table1[[ActualResult]:[ActualResult]], "REG"),0), "-", TEXT(SUMIFS(Table1[[HomeWon]:[HomeWon]], Table1[[GameIsOver]:[GameIsOver]],1,Table1[[AwayTeam]:[AwayTeam]],$A18, Table1[[HomeTeam]:[HomeTeam]], N$1, Table1[[ActualResult]:[ActualResult]], "OT") + SUMIFS(Table1[[AwayWon]:[AwayWon]], Table1[[GameIsOver]:[GameIsOver]],1,Table1[[HomeTeam]:[HomeTeam]],$A18, Table1[[AwayTeam]:[AwayTeam]], N$1, Table1[[ActualResult]:[ActualResult]], "OT") + SUMIFS(Table1[[HomeWon]:[HomeWon]], Table1[[GameIsOver]:[GameIsOver]],1,Table1[[AwayTeam]:[AwayTeam]],$A18, Table1[[HomeTeam]:[HomeTeam]], N$1, Table1[[ActualResult]:[ActualResult]], "SO") + SUMIFS(Table1[[AwayWon]:[AwayWon]], Table1[[GameIsOver]:[GameIsOver]],1,Table1[[HomeTeam]:[HomeTeam]],$A18, Table1[[AwayTeam]:[AwayTeam]], N$1, Table1[[ActualResult]:[ActualResult]], "SO"),0))</f>
        <v>0-0-0</v>
      </c>
      <c r="O18" s="57" t="str">
        <f>_xlfn.CONCAT(TEXT(SUMIFS(Table1[[AwayWon]:[AwayWon]], Table1[[GameIsOver]:[GameIsOver]],1,Table1[[AwayTeam]:[AwayTeam]],$A18, Table1[[HomeTeam]:[HomeTeam]], O$1) + SUMIFS(Table1[[HomeWon]:[HomeWon]], Table1[[GameIsOver]:[GameIsOver]],1,Table1[[HomeTeam]:[HomeTeam]],$A18, Table1[[AwayTeam]:[AwayTeam]], O$1),0), "-", TEXT(SUMIFS(Table1[[HomeWon]:[HomeWon]], Table1[[GameIsOver]:[GameIsOver]],1,Table1[[AwayTeam]:[AwayTeam]],$A18, Table1[[HomeTeam]:[HomeTeam]], O$1, Table1[[ActualResult]:[ActualResult]], "REG") + SUMIFS(Table1[[AwayWon]:[AwayWon]], Table1[[GameIsOver]:[GameIsOver]],1,Table1[[HomeTeam]:[HomeTeam]],$A18, Table1[[AwayTeam]:[AwayTeam]], O$1, Table1[[ActualResult]:[ActualResult]], "REG"),0), "-", TEXT(SUMIFS(Table1[[HomeWon]:[HomeWon]], Table1[[GameIsOver]:[GameIsOver]],1,Table1[[AwayTeam]:[AwayTeam]],$A18, Table1[[HomeTeam]:[HomeTeam]], O$1, Table1[[ActualResult]:[ActualResult]], "OT") + SUMIFS(Table1[[AwayWon]:[AwayWon]], Table1[[GameIsOver]:[GameIsOver]],1,Table1[[HomeTeam]:[HomeTeam]],$A18, Table1[[AwayTeam]:[AwayTeam]], O$1, Table1[[ActualResult]:[ActualResult]], "OT") + SUMIFS(Table1[[HomeWon]:[HomeWon]], Table1[[GameIsOver]:[GameIsOver]],1,Table1[[AwayTeam]:[AwayTeam]],$A18, Table1[[HomeTeam]:[HomeTeam]], O$1, Table1[[ActualResult]:[ActualResult]], "SO") + SUMIFS(Table1[[AwayWon]:[AwayWon]], Table1[[GameIsOver]:[GameIsOver]],1,Table1[[HomeTeam]:[HomeTeam]],$A18, Table1[[AwayTeam]:[AwayTeam]], O$1, Table1[[ActualResult]:[ActualResult]], "SO"),0))</f>
        <v>0-0-0</v>
      </c>
      <c r="P18" s="57" t="str">
        <f>_xlfn.CONCAT(TEXT(SUMIFS(Table1[[AwayWon]:[AwayWon]], Table1[[GameIsOver]:[GameIsOver]],1,Table1[[AwayTeam]:[AwayTeam]],$A18, Table1[[HomeTeam]:[HomeTeam]], P$1) + SUMIFS(Table1[[HomeWon]:[HomeWon]], Table1[[GameIsOver]:[GameIsOver]],1,Table1[[HomeTeam]:[HomeTeam]],$A18, Table1[[AwayTeam]:[AwayTeam]], P$1),0), "-", TEXT(SUMIFS(Table1[[HomeWon]:[HomeWon]], Table1[[GameIsOver]:[GameIsOver]],1,Table1[[AwayTeam]:[AwayTeam]],$A18, Table1[[HomeTeam]:[HomeTeam]], P$1, Table1[[ActualResult]:[ActualResult]], "REG") + SUMIFS(Table1[[AwayWon]:[AwayWon]], Table1[[GameIsOver]:[GameIsOver]],1,Table1[[HomeTeam]:[HomeTeam]],$A18, Table1[[AwayTeam]:[AwayTeam]], P$1, Table1[[ActualResult]:[ActualResult]], "REG"),0), "-", TEXT(SUMIFS(Table1[[HomeWon]:[HomeWon]], Table1[[GameIsOver]:[GameIsOver]],1,Table1[[AwayTeam]:[AwayTeam]],$A18, Table1[[HomeTeam]:[HomeTeam]], P$1, Table1[[ActualResult]:[ActualResult]], "OT") + SUMIFS(Table1[[AwayWon]:[AwayWon]], Table1[[GameIsOver]:[GameIsOver]],1,Table1[[HomeTeam]:[HomeTeam]],$A18, Table1[[AwayTeam]:[AwayTeam]], P$1, Table1[[ActualResult]:[ActualResult]], "OT") + SUMIFS(Table1[[HomeWon]:[HomeWon]], Table1[[GameIsOver]:[GameIsOver]],1,Table1[[AwayTeam]:[AwayTeam]],$A18, Table1[[HomeTeam]:[HomeTeam]], P$1, Table1[[ActualResult]:[ActualResult]], "SO") + SUMIFS(Table1[[AwayWon]:[AwayWon]], Table1[[GameIsOver]:[GameIsOver]],1,Table1[[HomeTeam]:[HomeTeam]],$A18, Table1[[AwayTeam]:[AwayTeam]], P$1, Table1[[ActualResult]:[ActualResult]], "SO"),0))</f>
        <v>0-0-0</v>
      </c>
      <c r="Q18" s="59" t="str">
        <f>_xlfn.CONCAT(TEXT(SUMIFS(Table1[[AwayWon]:[AwayWon]], Table1[[GameIsOver]:[GameIsOver]],1,Table1[[AwayTeam]:[AwayTeam]],$A18, Table1[[HomeTeam]:[HomeTeam]], Q$1) + SUMIFS(Table1[[HomeWon]:[HomeWon]], Table1[[GameIsOver]:[GameIsOver]],1,Table1[[HomeTeam]:[HomeTeam]],$A18, Table1[[AwayTeam]:[AwayTeam]], Q$1),0), "-", TEXT(SUMIFS(Table1[[HomeWon]:[HomeWon]], Table1[[GameIsOver]:[GameIsOver]],1,Table1[[AwayTeam]:[AwayTeam]],$A18, Table1[[HomeTeam]:[HomeTeam]], Q$1, Table1[[ActualResult]:[ActualResult]], "REG") + SUMIFS(Table1[[AwayWon]:[AwayWon]], Table1[[GameIsOver]:[GameIsOver]],1,Table1[[HomeTeam]:[HomeTeam]],$A18, Table1[[AwayTeam]:[AwayTeam]], Q$1, Table1[[ActualResult]:[ActualResult]], "REG"),0), "-", TEXT(SUMIFS(Table1[[HomeWon]:[HomeWon]], Table1[[GameIsOver]:[GameIsOver]],1,Table1[[AwayTeam]:[AwayTeam]],$A18, Table1[[HomeTeam]:[HomeTeam]], Q$1, Table1[[ActualResult]:[ActualResult]], "OT") + SUMIFS(Table1[[AwayWon]:[AwayWon]], Table1[[GameIsOver]:[GameIsOver]],1,Table1[[HomeTeam]:[HomeTeam]],$A18, Table1[[AwayTeam]:[AwayTeam]], Q$1, Table1[[ActualResult]:[ActualResult]], "OT") + SUMIFS(Table1[[HomeWon]:[HomeWon]], Table1[[GameIsOver]:[GameIsOver]],1,Table1[[AwayTeam]:[AwayTeam]],$A18, Table1[[HomeTeam]:[HomeTeam]], Q$1, Table1[[ActualResult]:[ActualResult]], "SO") + SUMIFS(Table1[[AwayWon]:[AwayWon]], Table1[[GameIsOver]:[GameIsOver]],1,Table1[[HomeTeam]:[HomeTeam]],$A18, Table1[[AwayTeam]:[AwayTeam]], Q$1, Table1[[ActualResult]:[ActualResult]], "SO"),0))</f>
        <v>0-0-0</v>
      </c>
      <c r="R18" s="57" t="str">
        <f>_xlfn.CONCAT(TEXT(SUMIFS(Table1[[AwayWon]:[AwayWon]], Table1[[GameIsOver]:[GameIsOver]],1,Table1[[AwayTeam]:[AwayTeam]],$A18, Table1[[HomeTeam]:[HomeTeam]], R$1) + SUMIFS(Table1[[HomeWon]:[HomeWon]], Table1[[GameIsOver]:[GameIsOver]],1,Table1[[HomeTeam]:[HomeTeam]],$A18, Table1[[AwayTeam]:[AwayTeam]], R$1),0), "-", TEXT(SUMIFS(Table1[[HomeWon]:[HomeWon]], Table1[[GameIsOver]:[GameIsOver]],1,Table1[[AwayTeam]:[AwayTeam]],$A18, Table1[[HomeTeam]:[HomeTeam]], R$1, Table1[[ActualResult]:[ActualResult]], "REG") + SUMIFS(Table1[[AwayWon]:[AwayWon]], Table1[[GameIsOver]:[GameIsOver]],1,Table1[[HomeTeam]:[HomeTeam]],$A18, Table1[[AwayTeam]:[AwayTeam]], R$1, Table1[[ActualResult]:[ActualResult]], "REG"),0), "-", TEXT(SUMIFS(Table1[[HomeWon]:[HomeWon]], Table1[[GameIsOver]:[GameIsOver]],1,Table1[[AwayTeam]:[AwayTeam]],$A18, Table1[[HomeTeam]:[HomeTeam]], R$1, Table1[[ActualResult]:[ActualResult]], "OT") + SUMIFS(Table1[[AwayWon]:[AwayWon]], Table1[[GameIsOver]:[GameIsOver]],1,Table1[[HomeTeam]:[HomeTeam]],$A18, Table1[[AwayTeam]:[AwayTeam]], R$1, Table1[[ActualResult]:[ActualResult]], "OT") + SUMIFS(Table1[[HomeWon]:[HomeWon]], Table1[[GameIsOver]:[GameIsOver]],1,Table1[[AwayTeam]:[AwayTeam]],$A18, Table1[[HomeTeam]:[HomeTeam]], R$1, Table1[[ActualResult]:[ActualResult]], "SO") + SUMIFS(Table1[[AwayWon]:[AwayWon]], Table1[[GameIsOver]:[GameIsOver]],1,Table1[[HomeTeam]:[HomeTeam]],$A18, Table1[[AwayTeam]:[AwayTeam]], R$1, Table1[[ActualResult]:[ActualResult]], "SO"),0))</f>
        <v>0-0-0</v>
      </c>
      <c r="S18" s="57" t="str">
        <f>_xlfn.CONCAT(TEXT(SUMIFS(Table1[[AwayWon]:[AwayWon]], Table1[[GameIsOver]:[GameIsOver]],1,Table1[[AwayTeam]:[AwayTeam]],$A18, Table1[[HomeTeam]:[HomeTeam]], S$1) + SUMIFS(Table1[[HomeWon]:[HomeWon]], Table1[[GameIsOver]:[GameIsOver]],1,Table1[[HomeTeam]:[HomeTeam]],$A18, Table1[[AwayTeam]:[AwayTeam]], S$1),0), "-", TEXT(SUMIFS(Table1[[HomeWon]:[HomeWon]], Table1[[GameIsOver]:[GameIsOver]],1,Table1[[AwayTeam]:[AwayTeam]],$A18, Table1[[HomeTeam]:[HomeTeam]], S$1, Table1[[ActualResult]:[ActualResult]], "REG") + SUMIFS(Table1[[AwayWon]:[AwayWon]], Table1[[GameIsOver]:[GameIsOver]],1,Table1[[HomeTeam]:[HomeTeam]],$A18, Table1[[AwayTeam]:[AwayTeam]], S$1, Table1[[ActualResult]:[ActualResult]], "REG"),0), "-", TEXT(SUMIFS(Table1[[HomeWon]:[HomeWon]], Table1[[GameIsOver]:[GameIsOver]],1,Table1[[AwayTeam]:[AwayTeam]],$A18, Table1[[HomeTeam]:[HomeTeam]], S$1, Table1[[ActualResult]:[ActualResult]], "OT") + SUMIFS(Table1[[AwayWon]:[AwayWon]], Table1[[GameIsOver]:[GameIsOver]],1,Table1[[HomeTeam]:[HomeTeam]],$A18, Table1[[AwayTeam]:[AwayTeam]], S$1, Table1[[ActualResult]:[ActualResult]], "OT") + SUMIFS(Table1[[HomeWon]:[HomeWon]], Table1[[GameIsOver]:[GameIsOver]],1,Table1[[AwayTeam]:[AwayTeam]],$A18, Table1[[HomeTeam]:[HomeTeam]], S$1, Table1[[ActualResult]:[ActualResult]], "SO") + SUMIFS(Table1[[AwayWon]:[AwayWon]], Table1[[GameIsOver]:[GameIsOver]],1,Table1[[HomeTeam]:[HomeTeam]],$A18, Table1[[AwayTeam]:[AwayTeam]], S$1, Table1[[ActualResult]:[ActualResult]], "SO"),0))</f>
        <v>0-0-0</v>
      </c>
      <c r="T18" s="57" t="str">
        <f>_xlfn.CONCAT(TEXT(SUMIFS(Table1[[AwayWon]:[AwayWon]], Table1[[GameIsOver]:[GameIsOver]],1,Table1[[AwayTeam]:[AwayTeam]],$A18, Table1[[HomeTeam]:[HomeTeam]], T$1) + SUMIFS(Table1[[HomeWon]:[HomeWon]], Table1[[GameIsOver]:[GameIsOver]],1,Table1[[HomeTeam]:[HomeTeam]],$A18, Table1[[AwayTeam]:[AwayTeam]], T$1),0), "-", TEXT(SUMIFS(Table1[[HomeWon]:[HomeWon]], Table1[[GameIsOver]:[GameIsOver]],1,Table1[[AwayTeam]:[AwayTeam]],$A18, Table1[[HomeTeam]:[HomeTeam]], T$1, Table1[[ActualResult]:[ActualResult]], "REG") + SUMIFS(Table1[[AwayWon]:[AwayWon]], Table1[[GameIsOver]:[GameIsOver]],1,Table1[[HomeTeam]:[HomeTeam]],$A18, Table1[[AwayTeam]:[AwayTeam]], T$1, Table1[[ActualResult]:[ActualResult]], "REG"),0), "-", TEXT(SUMIFS(Table1[[HomeWon]:[HomeWon]], Table1[[GameIsOver]:[GameIsOver]],1,Table1[[AwayTeam]:[AwayTeam]],$A18, Table1[[HomeTeam]:[HomeTeam]], T$1, Table1[[ActualResult]:[ActualResult]], "OT") + SUMIFS(Table1[[AwayWon]:[AwayWon]], Table1[[GameIsOver]:[GameIsOver]],1,Table1[[HomeTeam]:[HomeTeam]],$A18, Table1[[AwayTeam]:[AwayTeam]], T$1, Table1[[ActualResult]:[ActualResult]], "OT") + SUMIFS(Table1[[HomeWon]:[HomeWon]], Table1[[GameIsOver]:[GameIsOver]],1,Table1[[AwayTeam]:[AwayTeam]],$A18, Table1[[HomeTeam]:[HomeTeam]], T$1, Table1[[ActualResult]:[ActualResult]], "SO") + SUMIFS(Table1[[AwayWon]:[AwayWon]], Table1[[GameIsOver]:[GameIsOver]],1,Table1[[HomeTeam]:[HomeTeam]],$A18, Table1[[AwayTeam]:[AwayTeam]], T$1, Table1[[ActualResult]:[ActualResult]], "SO"),0))</f>
        <v>0-0-0</v>
      </c>
      <c r="U18" s="57" t="str">
        <f>_xlfn.CONCAT(TEXT(SUMIFS(Table1[[AwayWon]:[AwayWon]], Table1[[GameIsOver]:[GameIsOver]],1,Table1[[AwayTeam]:[AwayTeam]],$A18, Table1[[HomeTeam]:[HomeTeam]], U$1) + SUMIFS(Table1[[HomeWon]:[HomeWon]], Table1[[GameIsOver]:[GameIsOver]],1,Table1[[HomeTeam]:[HomeTeam]],$A18, Table1[[AwayTeam]:[AwayTeam]], U$1),0), "-", TEXT(SUMIFS(Table1[[HomeWon]:[HomeWon]], Table1[[GameIsOver]:[GameIsOver]],1,Table1[[AwayTeam]:[AwayTeam]],$A18, Table1[[HomeTeam]:[HomeTeam]], U$1, Table1[[ActualResult]:[ActualResult]], "REG") + SUMIFS(Table1[[AwayWon]:[AwayWon]], Table1[[GameIsOver]:[GameIsOver]],1,Table1[[HomeTeam]:[HomeTeam]],$A18, Table1[[AwayTeam]:[AwayTeam]], U$1, Table1[[ActualResult]:[ActualResult]], "REG"),0), "-", TEXT(SUMIFS(Table1[[HomeWon]:[HomeWon]], Table1[[GameIsOver]:[GameIsOver]],1,Table1[[AwayTeam]:[AwayTeam]],$A18, Table1[[HomeTeam]:[HomeTeam]], U$1, Table1[[ActualResult]:[ActualResult]], "OT") + SUMIFS(Table1[[AwayWon]:[AwayWon]], Table1[[GameIsOver]:[GameIsOver]],1,Table1[[HomeTeam]:[HomeTeam]],$A18, Table1[[AwayTeam]:[AwayTeam]], U$1, Table1[[ActualResult]:[ActualResult]], "OT") + SUMIFS(Table1[[HomeWon]:[HomeWon]], Table1[[GameIsOver]:[GameIsOver]],1,Table1[[AwayTeam]:[AwayTeam]],$A18, Table1[[HomeTeam]:[HomeTeam]], U$1, Table1[[ActualResult]:[ActualResult]], "SO") + SUMIFS(Table1[[AwayWon]:[AwayWon]], Table1[[GameIsOver]:[GameIsOver]],1,Table1[[HomeTeam]:[HomeTeam]],$A18, Table1[[AwayTeam]:[AwayTeam]], U$1, Table1[[ActualResult]:[ActualResult]], "SO"),0))</f>
        <v>0-0-0</v>
      </c>
      <c r="V18" s="57" t="str">
        <f>_xlfn.CONCAT(TEXT(SUMIFS(Table1[[AwayWon]:[AwayWon]], Table1[[GameIsOver]:[GameIsOver]],1,Table1[[AwayTeam]:[AwayTeam]],$A18, Table1[[HomeTeam]:[HomeTeam]], V$1) + SUMIFS(Table1[[HomeWon]:[HomeWon]], Table1[[GameIsOver]:[GameIsOver]],1,Table1[[HomeTeam]:[HomeTeam]],$A18, Table1[[AwayTeam]:[AwayTeam]], V$1),0), "-", TEXT(SUMIFS(Table1[[HomeWon]:[HomeWon]], Table1[[GameIsOver]:[GameIsOver]],1,Table1[[AwayTeam]:[AwayTeam]],$A18, Table1[[HomeTeam]:[HomeTeam]], V$1, Table1[[ActualResult]:[ActualResult]], "REG") + SUMIFS(Table1[[AwayWon]:[AwayWon]], Table1[[GameIsOver]:[GameIsOver]],1,Table1[[HomeTeam]:[HomeTeam]],$A18, Table1[[AwayTeam]:[AwayTeam]], V$1, Table1[[ActualResult]:[ActualResult]], "REG"),0), "-", TEXT(SUMIFS(Table1[[HomeWon]:[HomeWon]], Table1[[GameIsOver]:[GameIsOver]],1,Table1[[AwayTeam]:[AwayTeam]],$A18, Table1[[HomeTeam]:[HomeTeam]], V$1, Table1[[ActualResult]:[ActualResult]], "OT") + SUMIFS(Table1[[AwayWon]:[AwayWon]], Table1[[GameIsOver]:[GameIsOver]],1,Table1[[HomeTeam]:[HomeTeam]],$A18, Table1[[AwayTeam]:[AwayTeam]], V$1, Table1[[ActualResult]:[ActualResult]], "OT") + SUMIFS(Table1[[HomeWon]:[HomeWon]], Table1[[GameIsOver]:[GameIsOver]],1,Table1[[AwayTeam]:[AwayTeam]],$A18, Table1[[HomeTeam]:[HomeTeam]], V$1, Table1[[ActualResult]:[ActualResult]], "SO") + SUMIFS(Table1[[AwayWon]:[AwayWon]], Table1[[GameIsOver]:[GameIsOver]],1,Table1[[HomeTeam]:[HomeTeam]],$A18, Table1[[AwayTeam]:[AwayTeam]], V$1, Table1[[ActualResult]:[ActualResult]], "SO"),0))</f>
        <v>0-0-0</v>
      </c>
      <c r="W18" s="57" t="str">
        <f>_xlfn.CONCAT(TEXT(SUMIFS(Table1[[AwayWon]:[AwayWon]], Table1[[GameIsOver]:[GameIsOver]],1,Table1[[AwayTeam]:[AwayTeam]],$A18, Table1[[HomeTeam]:[HomeTeam]], W$1) + SUMIFS(Table1[[HomeWon]:[HomeWon]], Table1[[GameIsOver]:[GameIsOver]],1,Table1[[HomeTeam]:[HomeTeam]],$A18, Table1[[AwayTeam]:[AwayTeam]], W$1),0), "-", TEXT(SUMIFS(Table1[[HomeWon]:[HomeWon]], Table1[[GameIsOver]:[GameIsOver]],1,Table1[[AwayTeam]:[AwayTeam]],$A18, Table1[[HomeTeam]:[HomeTeam]], W$1, Table1[[ActualResult]:[ActualResult]], "REG") + SUMIFS(Table1[[AwayWon]:[AwayWon]], Table1[[GameIsOver]:[GameIsOver]],1,Table1[[HomeTeam]:[HomeTeam]],$A18, Table1[[AwayTeam]:[AwayTeam]], W$1, Table1[[ActualResult]:[ActualResult]], "REG"),0), "-", TEXT(SUMIFS(Table1[[HomeWon]:[HomeWon]], Table1[[GameIsOver]:[GameIsOver]],1,Table1[[AwayTeam]:[AwayTeam]],$A18, Table1[[HomeTeam]:[HomeTeam]], W$1, Table1[[ActualResult]:[ActualResult]], "OT") + SUMIFS(Table1[[AwayWon]:[AwayWon]], Table1[[GameIsOver]:[GameIsOver]],1,Table1[[HomeTeam]:[HomeTeam]],$A18, Table1[[AwayTeam]:[AwayTeam]], W$1, Table1[[ActualResult]:[ActualResult]], "OT") + SUMIFS(Table1[[HomeWon]:[HomeWon]], Table1[[GameIsOver]:[GameIsOver]],1,Table1[[AwayTeam]:[AwayTeam]],$A18, Table1[[HomeTeam]:[HomeTeam]], W$1, Table1[[ActualResult]:[ActualResult]], "SO") + SUMIFS(Table1[[AwayWon]:[AwayWon]], Table1[[GameIsOver]:[GameIsOver]],1,Table1[[HomeTeam]:[HomeTeam]],$A18, Table1[[AwayTeam]:[AwayTeam]], W$1, Table1[[ActualResult]:[ActualResult]], "SO"),0))</f>
        <v>0-0-0</v>
      </c>
      <c r="X18" s="57" t="str">
        <f>_xlfn.CONCAT(TEXT(SUMIFS(Table1[[AwayWon]:[AwayWon]], Table1[[GameIsOver]:[GameIsOver]],1,Table1[[AwayTeam]:[AwayTeam]],$A18, Table1[[HomeTeam]:[HomeTeam]], X$1) + SUMIFS(Table1[[HomeWon]:[HomeWon]], Table1[[GameIsOver]:[GameIsOver]],1,Table1[[HomeTeam]:[HomeTeam]],$A18, Table1[[AwayTeam]:[AwayTeam]], X$1),0), "-", TEXT(SUMIFS(Table1[[HomeWon]:[HomeWon]], Table1[[GameIsOver]:[GameIsOver]],1,Table1[[AwayTeam]:[AwayTeam]],$A18, Table1[[HomeTeam]:[HomeTeam]], X$1, Table1[[ActualResult]:[ActualResult]], "REG") + SUMIFS(Table1[[AwayWon]:[AwayWon]], Table1[[GameIsOver]:[GameIsOver]],1,Table1[[HomeTeam]:[HomeTeam]],$A18, Table1[[AwayTeam]:[AwayTeam]], X$1, Table1[[ActualResult]:[ActualResult]], "REG"),0), "-", TEXT(SUMIFS(Table1[[HomeWon]:[HomeWon]], Table1[[GameIsOver]:[GameIsOver]],1,Table1[[AwayTeam]:[AwayTeam]],$A18, Table1[[HomeTeam]:[HomeTeam]], X$1, Table1[[ActualResult]:[ActualResult]], "OT") + SUMIFS(Table1[[AwayWon]:[AwayWon]], Table1[[GameIsOver]:[GameIsOver]],1,Table1[[HomeTeam]:[HomeTeam]],$A18, Table1[[AwayTeam]:[AwayTeam]], X$1, Table1[[ActualResult]:[ActualResult]], "OT") + SUMIFS(Table1[[HomeWon]:[HomeWon]], Table1[[GameIsOver]:[GameIsOver]],1,Table1[[AwayTeam]:[AwayTeam]],$A18, Table1[[HomeTeam]:[HomeTeam]], X$1, Table1[[ActualResult]:[ActualResult]], "SO") + SUMIFS(Table1[[AwayWon]:[AwayWon]], Table1[[GameIsOver]:[GameIsOver]],1,Table1[[HomeTeam]:[HomeTeam]],$A18, Table1[[AwayTeam]:[AwayTeam]], X$1, Table1[[ActualResult]:[ActualResult]], "SO"),0))</f>
        <v>0-0-0</v>
      </c>
      <c r="Y18" s="59" t="str">
        <f>_xlfn.CONCAT(TEXT(SUMIFS(Table1[[AwayWon]:[AwayWon]], Table1[[GameIsOver]:[GameIsOver]],1,Table1[[AwayTeam]:[AwayTeam]],$A18, Table1[[HomeTeam]:[HomeTeam]], Y$1) + SUMIFS(Table1[[HomeWon]:[HomeWon]], Table1[[GameIsOver]:[GameIsOver]],1,Table1[[HomeTeam]:[HomeTeam]],$A18, Table1[[AwayTeam]:[AwayTeam]], Y$1),0), "-", TEXT(SUMIFS(Table1[[HomeWon]:[HomeWon]], Table1[[GameIsOver]:[GameIsOver]],1,Table1[[AwayTeam]:[AwayTeam]],$A18, Table1[[HomeTeam]:[HomeTeam]], Y$1, Table1[[ActualResult]:[ActualResult]], "REG") + SUMIFS(Table1[[AwayWon]:[AwayWon]], Table1[[GameIsOver]:[GameIsOver]],1,Table1[[HomeTeam]:[HomeTeam]],$A18, Table1[[AwayTeam]:[AwayTeam]], Y$1, Table1[[ActualResult]:[ActualResult]], "REG"),0), "-", TEXT(SUMIFS(Table1[[HomeWon]:[HomeWon]], Table1[[GameIsOver]:[GameIsOver]],1,Table1[[AwayTeam]:[AwayTeam]],$A18, Table1[[HomeTeam]:[HomeTeam]], Y$1, Table1[[ActualResult]:[ActualResult]], "OT") + SUMIFS(Table1[[AwayWon]:[AwayWon]], Table1[[GameIsOver]:[GameIsOver]],1,Table1[[HomeTeam]:[HomeTeam]],$A18, Table1[[AwayTeam]:[AwayTeam]], Y$1, Table1[[ActualResult]:[ActualResult]], "OT") + SUMIFS(Table1[[HomeWon]:[HomeWon]], Table1[[GameIsOver]:[GameIsOver]],1,Table1[[AwayTeam]:[AwayTeam]],$A18, Table1[[HomeTeam]:[HomeTeam]], Y$1, Table1[[ActualResult]:[ActualResult]], "SO") + SUMIFS(Table1[[AwayWon]:[AwayWon]], Table1[[GameIsOver]:[GameIsOver]],1,Table1[[HomeTeam]:[HomeTeam]],$A18, Table1[[AwayTeam]:[AwayTeam]], Y$1, Table1[[ActualResult]:[ActualResult]], "SO"),0))</f>
        <v>0-0-0</v>
      </c>
      <c r="Z18" s="57" t="str">
        <f>_xlfn.CONCAT(TEXT(SUMIFS(Table1[[AwayWon]:[AwayWon]], Table1[[GameIsOver]:[GameIsOver]],1,Table1[[AwayTeam]:[AwayTeam]],$A18, Table1[[HomeTeam]:[HomeTeam]], Z$1) + SUMIFS(Table1[[HomeWon]:[HomeWon]], Table1[[GameIsOver]:[GameIsOver]],1,Table1[[HomeTeam]:[HomeTeam]],$A18, Table1[[AwayTeam]:[AwayTeam]], Z$1),0), "-", TEXT(SUMIFS(Table1[[HomeWon]:[HomeWon]], Table1[[GameIsOver]:[GameIsOver]],1,Table1[[AwayTeam]:[AwayTeam]],$A18, Table1[[HomeTeam]:[HomeTeam]], Z$1, Table1[[ActualResult]:[ActualResult]], "REG") + SUMIFS(Table1[[AwayWon]:[AwayWon]], Table1[[GameIsOver]:[GameIsOver]],1,Table1[[HomeTeam]:[HomeTeam]],$A18, Table1[[AwayTeam]:[AwayTeam]], Z$1, Table1[[ActualResult]:[ActualResult]], "REG"),0), "-", TEXT(SUMIFS(Table1[[HomeWon]:[HomeWon]], Table1[[GameIsOver]:[GameIsOver]],1,Table1[[AwayTeam]:[AwayTeam]],$A18, Table1[[HomeTeam]:[HomeTeam]], Z$1, Table1[[ActualResult]:[ActualResult]], "OT") + SUMIFS(Table1[[AwayWon]:[AwayWon]], Table1[[GameIsOver]:[GameIsOver]],1,Table1[[HomeTeam]:[HomeTeam]],$A18, Table1[[AwayTeam]:[AwayTeam]], Z$1, Table1[[ActualResult]:[ActualResult]], "OT") + SUMIFS(Table1[[HomeWon]:[HomeWon]], Table1[[GameIsOver]:[GameIsOver]],1,Table1[[AwayTeam]:[AwayTeam]],$A18, Table1[[HomeTeam]:[HomeTeam]], Z$1, Table1[[ActualResult]:[ActualResult]], "SO") + SUMIFS(Table1[[AwayWon]:[AwayWon]], Table1[[GameIsOver]:[GameIsOver]],1,Table1[[HomeTeam]:[HomeTeam]],$A18, Table1[[AwayTeam]:[AwayTeam]], Z$1, Table1[[ActualResult]:[ActualResult]], "SO"),0))</f>
        <v>0-0-0</v>
      </c>
      <c r="AA18" s="57" t="str">
        <f>_xlfn.CONCAT(TEXT(SUMIFS(Table1[[AwayWon]:[AwayWon]], Table1[[GameIsOver]:[GameIsOver]],1,Table1[[AwayTeam]:[AwayTeam]],$A18, Table1[[HomeTeam]:[HomeTeam]], AA$1) + SUMIFS(Table1[[HomeWon]:[HomeWon]], Table1[[GameIsOver]:[GameIsOver]],1,Table1[[HomeTeam]:[HomeTeam]],$A18, Table1[[AwayTeam]:[AwayTeam]], AA$1),0), "-", TEXT(SUMIFS(Table1[[HomeWon]:[HomeWon]], Table1[[GameIsOver]:[GameIsOver]],1,Table1[[AwayTeam]:[AwayTeam]],$A18, Table1[[HomeTeam]:[HomeTeam]], AA$1, Table1[[ActualResult]:[ActualResult]], "REG") + SUMIFS(Table1[[AwayWon]:[AwayWon]], Table1[[GameIsOver]:[GameIsOver]],1,Table1[[HomeTeam]:[HomeTeam]],$A18, Table1[[AwayTeam]:[AwayTeam]], AA$1, Table1[[ActualResult]:[ActualResult]], "REG"),0), "-", TEXT(SUMIFS(Table1[[HomeWon]:[HomeWon]], Table1[[GameIsOver]:[GameIsOver]],1,Table1[[AwayTeam]:[AwayTeam]],$A18, Table1[[HomeTeam]:[HomeTeam]], AA$1, Table1[[ActualResult]:[ActualResult]], "OT") + SUMIFS(Table1[[AwayWon]:[AwayWon]], Table1[[GameIsOver]:[GameIsOver]],1,Table1[[HomeTeam]:[HomeTeam]],$A18, Table1[[AwayTeam]:[AwayTeam]], AA$1, Table1[[ActualResult]:[ActualResult]], "OT") + SUMIFS(Table1[[HomeWon]:[HomeWon]], Table1[[GameIsOver]:[GameIsOver]],1,Table1[[AwayTeam]:[AwayTeam]],$A18, Table1[[HomeTeam]:[HomeTeam]], AA$1, Table1[[ActualResult]:[ActualResult]], "SO") + SUMIFS(Table1[[AwayWon]:[AwayWon]], Table1[[GameIsOver]:[GameIsOver]],1,Table1[[HomeTeam]:[HomeTeam]],$A18, Table1[[AwayTeam]:[AwayTeam]], AA$1, Table1[[ActualResult]:[ActualResult]], "SO"),0))</f>
        <v>0-0-0</v>
      </c>
      <c r="AB18" s="57" t="str">
        <f>_xlfn.CONCAT(TEXT(SUMIFS(Table1[[AwayWon]:[AwayWon]], Table1[[GameIsOver]:[GameIsOver]],1,Table1[[AwayTeam]:[AwayTeam]],$A18, Table1[[HomeTeam]:[HomeTeam]], AB$1) + SUMIFS(Table1[[HomeWon]:[HomeWon]], Table1[[GameIsOver]:[GameIsOver]],1,Table1[[HomeTeam]:[HomeTeam]],$A18, Table1[[AwayTeam]:[AwayTeam]], AB$1),0), "-", TEXT(SUMIFS(Table1[[HomeWon]:[HomeWon]], Table1[[GameIsOver]:[GameIsOver]],1,Table1[[AwayTeam]:[AwayTeam]],$A18, Table1[[HomeTeam]:[HomeTeam]], AB$1, Table1[[ActualResult]:[ActualResult]], "REG") + SUMIFS(Table1[[AwayWon]:[AwayWon]], Table1[[GameIsOver]:[GameIsOver]],1,Table1[[HomeTeam]:[HomeTeam]],$A18, Table1[[AwayTeam]:[AwayTeam]], AB$1, Table1[[ActualResult]:[ActualResult]], "REG"),0), "-", TEXT(SUMIFS(Table1[[HomeWon]:[HomeWon]], Table1[[GameIsOver]:[GameIsOver]],1,Table1[[AwayTeam]:[AwayTeam]],$A18, Table1[[HomeTeam]:[HomeTeam]], AB$1, Table1[[ActualResult]:[ActualResult]], "OT") + SUMIFS(Table1[[AwayWon]:[AwayWon]], Table1[[GameIsOver]:[GameIsOver]],1,Table1[[HomeTeam]:[HomeTeam]],$A18, Table1[[AwayTeam]:[AwayTeam]], AB$1, Table1[[ActualResult]:[ActualResult]], "OT") + SUMIFS(Table1[[HomeWon]:[HomeWon]], Table1[[GameIsOver]:[GameIsOver]],1,Table1[[AwayTeam]:[AwayTeam]],$A18, Table1[[HomeTeam]:[HomeTeam]], AB$1, Table1[[ActualResult]:[ActualResult]], "SO") + SUMIFS(Table1[[AwayWon]:[AwayWon]], Table1[[GameIsOver]:[GameIsOver]],1,Table1[[HomeTeam]:[HomeTeam]],$A18, Table1[[AwayTeam]:[AwayTeam]], AB$1, Table1[[ActualResult]:[ActualResult]], "SO"),0))</f>
        <v>0-0-0</v>
      </c>
      <c r="AC18" s="57" t="str">
        <f>_xlfn.CONCAT(TEXT(SUMIFS(Table1[[AwayWon]:[AwayWon]], Table1[[GameIsOver]:[GameIsOver]],1,Table1[[AwayTeam]:[AwayTeam]],$A18, Table1[[HomeTeam]:[HomeTeam]], AC$1) + SUMIFS(Table1[[HomeWon]:[HomeWon]], Table1[[GameIsOver]:[GameIsOver]],1,Table1[[HomeTeam]:[HomeTeam]],$A18, Table1[[AwayTeam]:[AwayTeam]], AC$1),0), "-", TEXT(SUMIFS(Table1[[HomeWon]:[HomeWon]], Table1[[GameIsOver]:[GameIsOver]],1,Table1[[AwayTeam]:[AwayTeam]],$A18, Table1[[HomeTeam]:[HomeTeam]], AC$1, Table1[[ActualResult]:[ActualResult]], "REG") + SUMIFS(Table1[[AwayWon]:[AwayWon]], Table1[[GameIsOver]:[GameIsOver]],1,Table1[[HomeTeam]:[HomeTeam]],$A18, Table1[[AwayTeam]:[AwayTeam]], AC$1, Table1[[ActualResult]:[ActualResult]], "REG"),0), "-", TEXT(SUMIFS(Table1[[HomeWon]:[HomeWon]], Table1[[GameIsOver]:[GameIsOver]],1,Table1[[AwayTeam]:[AwayTeam]],$A18, Table1[[HomeTeam]:[HomeTeam]], AC$1, Table1[[ActualResult]:[ActualResult]], "OT") + SUMIFS(Table1[[AwayWon]:[AwayWon]], Table1[[GameIsOver]:[GameIsOver]],1,Table1[[HomeTeam]:[HomeTeam]],$A18, Table1[[AwayTeam]:[AwayTeam]], AC$1, Table1[[ActualResult]:[ActualResult]], "OT") + SUMIFS(Table1[[HomeWon]:[HomeWon]], Table1[[GameIsOver]:[GameIsOver]],1,Table1[[AwayTeam]:[AwayTeam]],$A18, Table1[[HomeTeam]:[HomeTeam]], AC$1, Table1[[ActualResult]:[ActualResult]], "SO") + SUMIFS(Table1[[AwayWon]:[AwayWon]], Table1[[GameIsOver]:[GameIsOver]],1,Table1[[HomeTeam]:[HomeTeam]],$A18, Table1[[AwayTeam]:[AwayTeam]], AC$1, Table1[[ActualResult]:[ActualResult]], "SO"),0))</f>
        <v>0-0-0</v>
      </c>
      <c r="AD18" s="57" t="str">
        <f>_xlfn.CONCAT(TEXT(SUMIFS(Table1[[AwayWon]:[AwayWon]], Table1[[GameIsOver]:[GameIsOver]],1,Table1[[AwayTeam]:[AwayTeam]],$A18, Table1[[HomeTeam]:[HomeTeam]], AD$1) + SUMIFS(Table1[[HomeWon]:[HomeWon]], Table1[[GameIsOver]:[GameIsOver]],1,Table1[[HomeTeam]:[HomeTeam]],$A18, Table1[[AwayTeam]:[AwayTeam]], AD$1),0), "-", TEXT(SUMIFS(Table1[[HomeWon]:[HomeWon]], Table1[[GameIsOver]:[GameIsOver]],1,Table1[[AwayTeam]:[AwayTeam]],$A18, Table1[[HomeTeam]:[HomeTeam]], AD$1, Table1[[ActualResult]:[ActualResult]], "REG") + SUMIFS(Table1[[AwayWon]:[AwayWon]], Table1[[GameIsOver]:[GameIsOver]],1,Table1[[HomeTeam]:[HomeTeam]],$A18, Table1[[AwayTeam]:[AwayTeam]], AD$1, Table1[[ActualResult]:[ActualResult]], "REG"),0), "-", TEXT(SUMIFS(Table1[[HomeWon]:[HomeWon]], Table1[[GameIsOver]:[GameIsOver]],1,Table1[[AwayTeam]:[AwayTeam]],$A18, Table1[[HomeTeam]:[HomeTeam]], AD$1, Table1[[ActualResult]:[ActualResult]], "OT") + SUMIFS(Table1[[AwayWon]:[AwayWon]], Table1[[GameIsOver]:[GameIsOver]],1,Table1[[HomeTeam]:[HomeTeam]],$A18, Table1[[AwayTeam]:[AwayTeam]], AD$1, Table1[[ActualResult]:[ActualResult]], "OT") + SUMIFS(Table1[[HomeWon]:[HomeWon]], Table1[[GameIsOver]:[GameIsOver]],1,Table1[[AwayTeam]:[AwayTeam]],$A18, Table1[[HomeTeam]:[HomeTeam]], AD$1, Table1[[ActualResult]:[ActualResult]], "SO") + SUMIFS(Table1[[AwayWon]:[AwayWon]], Table1[[GameIsOver]:[GameIsOver]],1,Table1[[HomeTeam]:[HomeTeam]],$A18, Table1[[AwayTeam]:[AwayTeam]], AD$1, Table1[[ActualResult]:[ActualResult]], "SO"),0))</f>
        <v>0-0-0</v>
      </c>
      <c r="AE18" s="57" t="str">
        <f>_xlfn.CONCAT(TEXT(SUMIFS(Table1[[AwayWon]:[AwayWon]], Table1[[GameIsOver]:[GameIsOver]],1,Table1[[AwayTeam]:[AwayTeam]],$A18, Table1[[HomeTeam]:[HomeTeam]], AE$1) + SUMIFS(Table1[[HomeWon]:[HomeWon]], Table1[[GameIsOver]:[GameIsOver]],1,Table1[[HomeTeam]:[HomeTeam]],$A18, Table1[[AwayTeam]:[AwayTeam]], AE$1),0), "-", TEXT(SUMIFS(Table1[[HomeWon]:[HomeWon]], Table1[[GameIsOver]:[GameIsOver]],1,Table1[[AwayTeam]:[AwayTeam]],$A18, Table1[[HomeTeam]:[HomeTeam]], AE$1, Table1[[ActualResult]:[ActualResult]], "REG") + SUMIFS(Table1[[AwayWon]:[AwayWon]], Table1[[GameIsOver]:[GameIsOver]],1,Table1[[HomeTeam]:[HomeTeam]],$A18, Table1[[AwayTeam]:[AwayTeam]], AE$1, Table1[[ActualResult]:[ActualResult]], "REG"),0), "-", TEXT(SUMIFS(Table1[[HomeWon]:[HomeWon]], Table1[[GameIsOver]:[GameIsOver]],1,Table1[[AwayTeam]:[AwayTeam]],$A18, Table1[[HomeTeam]:[HomeTeam]], AE$1, Table1[[ActualResult]:[ActualResult]], "OT") + SUMIFS(Table1[[AwayWon]:[AwayWon]], Table1[[GameIsOver]:[GameIsOver]],1,Table1[[HomeTeam]:[HomeTeam]],$A18, Table1[[AwayTeam]:[AwayTeam]], AE$1, Table1[[ActualResult]:[ActualResult]], "OT") + SUMIFS(Table1[[HomeWon]:[HomeWon]], Table1[[GameIsOver]:[GameIsOver]],1,Table1[[AwayTeam]:[AwayTeam]],$A18, Table1[[HomeTeam]:[HomeTeam]], AE$1, Table1[[ActualResult]:[ActualResult]], "SO") + SUMIFS(Table1[[AwayWon]:[AwayWon]], Table1[[GameIsOver]:[GameIsOver]],1,Table1[[HomeTeam]:[HomeTeam]],$A18, Table1[[AwayTeam]:[AwayTeam]], AE$1, Table1[[ActualResult]:[ActualResult]], "SO"),0))</f>
        <v>0-0-0</v>
      </c>
      <c r="AF18" s="57" t="str">
        <f>_xlfn.CONCAT(TEXT(SUMIFS(Table1[[AwayWon]:[AwayWon]], Table1[[GameIsOver]:[GameIsOver]],1,Table1[[AwayTeam]:[AwayTeam]],$A18, Table1[[HomeTeam]:[HomeTeam]], AF$1) + SUMIFS(Table1[[HomeWon]:[HomeWon]], Table1[[GameIsOver]:[GameIsOver]],1,Table1[[HomeTeam]:[HomeTeam]],$A18, Table1[[AwayTeam]:[AwayTeam]], AF$1),0), "-", TEXT(SUMIFS(Table1[[HomeWon]:[HomeWon]], Table1[[GameIsOver]:[GameIsOver]],1,Table1[[AwayTeam]:[AwayTeam]],$A18, Table1[[HomeTeam]:[HomeTeam]], AF$1, Table1[[ActualResult]:[ActualResult]], "REG") + SUMIFS(Table1[[AwayWon]:[AwayWon]], Table1[[GameIsOver]:[GameIsOver]],1,Table1[[HomeTeam]:[HomeTeam]],$A18, Table1[[AwayTeam]:[AwayTeam]], AF$1, Table1[[ActualResult]:[ActualResult]], "REG"),0), "-", TEXT(SUMIFS(Table1[[HomeWon]:[HomeWon]], Table1[[GameIsOver]:[GameIsOver]],1,Table1[[AwayTeam]:[AwayTeam]],$A18, Table1[[HomeTeam]:[HomeTeam]], AF$1, Table1[[ActualResult]:[ActualResult]], "OT") + SUMIFS(Table1[[AwayWon]:[AwayWon]], Table1[[GameIsOver]:[GameIsOver]],1,Table1[[HomeTeam]:[HomeTeam]],$A18, Table1[[AwayTeam]:[AwayTeam]], AF$1, Table1[[ActualResult]:[ActualResult]], "OT") + SUMIFS(Table1[[HomeWon]:[HomeWon]], Table1[[GameIsOver]:[GameIsOver]],1,Table1[[AwayTeam]:[AwayTeam]],$A18, Table1[[HomeTeam]:[HomeTeam]], AF$1, Table1[[ActualResult]:[ActualResult]], "SO") + SUMIFS(Table1[[AwayWon]:[AwayWon]], Table1[[GameIsOver]:[GameIsOver]],1,Table1[[HomeTeam]:[HomeTeam]],$A18, Table1[[AwayTeam]:[AwayTeam]], AF$1, Table1[[ActualResult]:[ActualResult]], "SO"),0))</f>
        <v>0-0-0</v>
      </c>
      <c r="AG18" s="57" t="str">
        <f>_xlfn.CONCAT(TEXT(SUMIFS(Table1[[AwayWon]:[AwayWon]], Table1[[GameIsOver]:[GameIsOver]],1,Table1[[AwayTeam]:[AwayTeam]],$A18, Table1[[HomeTeam]:[HomeTeam]], AG$1) + SUMIFS(Table1[[HomeWon]:[HomeWon]], Table1[[GameIsOver]:[GameIsOver]],1,Table1[[HomeTeam]:[HomeTeam]],$A18, Table1[[AwayTeam]:[AwayTeam]], AG$1),0), "-", TEXT(SUMIFS(Table1[[HomeWon]:[HomeWon]], Table1[[GameIsOver]:[GameIsOver]],1,Table1[[AwayTeam]:[AwayTeam]],$A18, Table1[[HomeTeam]:[HomeTeam]], AG$1, Table1[[ActualResult]:[ActualResult]], "REG") + SUMIFS(Table1[[AwayWon]:[AwayWon]], Table1[[GameIsOver]:[GameIsOver]],1,Table1[[HomeTeam]:[HomeTeam]],$A18, Table1[[AwayTeam]:[AwayTeam]], AG$1, Table1[[ActualResult]:[ActualResult]], "REG"),0), "-", TEXT(SUMIFS(Table1[[HomeWon]:[HomeWon]], Table1[[GameIsOver]:[GameIsOver]],1,Table1[[AwayTeam]:[AwayTeam]],$A18, Table1[[HomeTeam]:[HomeTeam]], AG$1, Table1[[ActualResult]:[ActualResult]], "OT") + SUMIFS(Table1[[AwayWon]:[AwayWon]], Table1[[GameIsOver]:[GameIsOver]],1,Table1[[HomeTeam]:[HomeTeam]],$A18, Table1[[AwayTeam]:[AwayTeam]], AG$1, Table1[[ActualResult]:[ActualResult]], "OT") + SUMIFS(Table1[[HomeWon]:[HomeWon]], Table1[[GameIsOver]:[GameIsOver]],1,Table1[[AwayTeam]:[AwayTeam]],$A18, Table1[[HomeTeam]:[HomeTeam]], AG$1, Table1[[ActualResult]:[ActualResult]], "SO") + SUMIFS(Table1[[AwayWon]:[AwayWon]], Table1[[GameIsOver]:[GameIsOver]],1,Table1[[HomeTeam]:[HomeTeam]],$A18, Table1[[AwayTeam]:[AwayTeam]], AG$1, Table1[[ActualResult]:[ActualResult]], "SO"),0))</f>
        <v>0-0-0</v>
      </c>
    </row>
    <row r="19" spans="1:33" x14ac:dyDescent="0.25">
      <c r="A19" s="28" t="s">
        <v>42</v>
      </c>
      <c r="B19" s="57" t="str">
        <f>_xlfn.CONCAT(TEXT(SUMIFS(Table1[[AwayWon]:[AwayWon]], Table1[[GameIsOver]:[GameIsOver]],1,Table1[[AwayTeam]:[AwayTeam]],$A19, Table1[[HomeTeam]:[HomeTeam]], B$1) + SUMIFS(Table1[[HomeWon]:[HomeWon]], Table1[[GameIsOver]:[GameIsOver]],1,Table1[[HomeTeam]:[HomeTeam]],$A19, Table1[[AwayTeam]:[AwayTeam]], B$1),0), "-", TEXT(SUMIFS(Table1[[HomeWon]:[HomeWon]], Table1[[GameIsOver]:[GameIsOver]],1,Table1[[AwayTeam]:[AwayTeam]],$A19, Table1[[HomeTeam]:[HomeTeam]], B$1, Table1[[ActualResult]:[ActualResult]], "REG") + SUMIFS(Table1[[AwayWon]:[AwayWon]], Table1[[GameIsOver]:[GameIsOver]],1,Table1[[HomeTeam]:[HomeTeam]],$A19, Table1[[AwayTeam]:[AwayTeam]], B$1, Table1[[ActualResult]:[ActualResult]], "REG"),0), "-", TEXT(SUMIFS(Table1[[HomeWon]:[HomeWon]], Table1[[GameIsOver]:[GameIsOver]],1,Table1[[AwayTeam]:[AwayTeam]],$A19, Table1[[HomeTeam]:[HomeTeam]], B$1, Table1[[ActualResult]:[ActualResult]], "OT") + SUMIFS(Table1[[AwayWon]:[AwayWon]], Table1[[GameIsOver]:[GameIsOver]],1,Table1[[HomeTeam]:[HomeTeam]],$A19, Table1[[AwayTeam]:[AwayTeam]], B$1, Table1[[ActualResult]:[ActualResult]], "OT") + SUMIFS(Table1[[HomeWon]:[HomeWon]], Table1[[GameIsOver]:[GameIsOver]],1,Table1[[AwayTeam]:[AwayTeam]],$A19, Table1[[HomeTeam]:[HomeTeam]], B$1, Table1[[ActualResult]:[ActualResult]], "SO") + SUMIFS(Table1[[AwayWon]:[AwayWon]], Table1[[GameIsOver]:[GameIsOver]],1,Table1[[HomeTeam]:[HomeTeam]],$A19, Table1[[AwayTeam]:[AwayTeam]], B$1, Table1[[ActualResult]:[ActualResult]], "SO"),0))</f>
        <v>0-0-0</v>
      </c>
      <c r="C19" s="57" t="str">
        <f>_xlfn.CONCAT(TEXT(SUMIFS(Table1[[AwayWon]:[AwayWon]], Table1[[GameIsOver]:[GameIsOver]],1,Table1[[AwayTeam]:[AwayTeam]],$A19, Table1[[HomeTeam]:[HomeTeam]], C$1) + SUMIFS(Table1[[HomeWon]:[HomeWon]], Table1[[GameIsOver]:[GameIsOver]],1,Table1[[HomeTeam]:[HomeTeam]],$A19, Table1[[AwayTeam]:[AwayTeam]], C$1),0), "-", TEXT(SUMIFS(Table1[[HomeWon]:[HomeWon]], Table1[[GameIsOver]:[GameIsOver]],1,Table1[[AwayTeam]:[AwayTeam]],$A19, Table1[[HomeTeam]:[HomeTeam]], C$1, Table1[[ActualResult]:[ActualResult]], "REG") + SUMIFS(Table1[[AwayWon]:[AwayWon]], Table1[[GameIsOver]:[GameIsOver]],1,Table1[[HomeTeam]:[HomeTeam]],$A19, Table1[[AwayTeam]:[AwayTeam]], C$1, Table1[[ActualResult]:[ActualResult]], "REG"),0), "-", TEXT(SUMIFS(Table1[[HomeWon]:[HomeWon]], Table1[[GameIsOver]:[GameIsOver]],1,Table1[[AwayTeam]:[AwayTeam]],$A19, Table1[[HomeTeam]:[HomeTeam]], C$1, Table1[[ActualResult]:[ActualResult]], "OT") + SUMIFS(Table1[[AwayWon]:[AwayWon]], Table1[[GameIsOver]:[GameIsOver]],1,Table1[[HomeTeam]:[HomeTeam]],$A19, Table1[[AwayTeam]:[AwayTeam]], C$1, Table1[[ActualResult]:[ActualResult]], "OT") + SUMIFS(Table1[[HomeWon]:[HomeWon]], Table1[[GameIsOver]:[GameIsOver]],1,Table1[[AwayTeam]:[AwayTeam]],$A19, Table1[[HomeTeam]:[HomeTeam]], C$1, Table1[[ActualResult]:[ActualResult]], "SO") + SUMIFS(Table1[[AwayWon]:[AwayWon]], Table1[[GameIsOver]:[GameIsOver]],1,Table1[[HomeTeam]:[HomeTeam]],$A19, Table1[[AwayTeam]:[AwayTeam]], C$1, Table1[[ActualResult]:[ActualResult]], "SO"),0))</f>
        <v>0-0-0</v>
      </c>
      <c r="D19" s="57" t="str">
        <f>_xlfn.CONCAT(TEXT(SUMIFS(Table1[[AwayWon]:[AwayWon]], Table1[[GameIsOver]:[GameIsOver]],1,Table1[[AwayTeam]:[AwayTeam]],$A19, Table1[[HomeTeam]:[HomeTeam]], D$1) + SUMIFS(Table1[[HomeWon]:[HomeWon]], Table1[[GameIsOver]:[GameIsOver]],1,Table1[[HomeTeam]:[HomeTeam]],$A19, Table1[[AwayTeam]:[AwayTeam]], D$1),0), "-", TEXT(SUMIFS(Table1[[HomeWon]:[HomeWon]], Table1[[GameIsOver]:[GameIsOver]],1,Table1[[AwayTeam]:[AwayTeam]],$A19, Table1[[HomeTeam]:[HomeTeam]], D$1, Table1[[ActualResult]:[ActualResult]], "REG") + SUMIFS(Table1[[AwayWon]:[AwayWon]], Table1[[GameIsOver]:[GameIsOver]],1,Table1[[HomeTeam]:[HomeTeam]],$A19, Table1[[AwayTeam]:[AwayTeam]], D$1, Table1[[ActualResult]:[ActualResult]], "REG"),0), "-", TEXT(SUMIFS(Table1[[HomeWon]:[HomeWon]], Table1[[GameIsOver]:[GameIsOver]],1,Table1[[AwayTeam]:[AwayTeam]],$A19, Table1[[HomeTeam]:[HomeTeam]], D$1, Table1[[ActualResult]:[ActualResult]], "OT") + SUMIFS(Table1[[AwayWon]:[AwayWon]], Table1[[GameIsOver]:[GameIsOver]],1,Table1[[HomeTeam]:[HomeTeam]],$A19, Table1[[AwayTeam]:[AwayTeam]], D$1, Table1[[ActualResult]:[ActualResult]], "OT") + SUMIFS(Table1[[HomeWon]:[HomeWon]], Table1[[GameIsOver]:[GameIsOver]],1,Table1[[AwayTeam]:[AwayTeam]],$A19, Table1[[HomeTeam]:[HomeTeam]], D$1, Table1[[ActualResult]:[ActualResult]], "SO") + SUMIFS(Table1[[AwayWon]:[AwayWon]], Table1[[GameIsOver]:[GameIsOver]],1,Table1[[HomeTeam]:[HomeTeam]],$A19, Table1[[AwayTeam]:[AwayTeam]], D$1, Table1[[ActualResult]:[ActualResult]], "SO"),0))</f>
        <v>0-0-0</v>
      </c>
      <c r="E19" s="57" t="str">
        <f>_xlfn.CONCAT(TEXT(SUMIFS(Table1[[AwayWon]:[AwayWon]], Table1[[GameIsOver]:[GameIsOver]],1,Table1[[AwayTeam]:[AwayTeam]],$A19, Table1[[HomeTeam]:[HomeTeam]], E$1) + SUMIFS(Table1[[HomeWon]:[HomeWon]], Table1[[GameIsOver]:[GameIsOver]],1,Table1[[HomeTeam]:[HomeTeam]],$A19, Table1[[AwayTeam]:[AwayTeam]], E$1),0), "-", TEXT(SUMIFS(Table1[[HomeWon]:[HomeWon]], Table1[[GameIsOver]:[GameIsOver]],1,Table1[[AwayTeam]:[AwayTeam]],$A19, Table1[[HomeTeam]:[HomeTeam]], E$1, Table1[[ActualResult]:[ActualResult]], "REG") + SUMIFS(Table1[[AwayWon]:[AwayWon]], Table1[[GameIsOver]:[GameIsOver]],1,Table1[[HomeTeam]:[HomeTeam]],$A19, Table1[[AwayTeam]:[AwayTeam]], E$1, Table1[[ActualResult]:[ActualResult]], "REG"),0), "-", TEXT(SUMIFS(Table1[[HomeWon]:[HomeWon]], Table1[[GameIsOver]:[GameIsOver]],1,Table1[[AwayTeam]:[AwayTeam]],$A19, Table1[[HomeTeam]:[HomeTeam]], E$1, Table1[[ActualResult]:[ActualResult]], "OT") + SUMIFS(Table1[[AwayWon]:[AwayWon]], Table1[[GameIsOver]:[GameIsOver]],1,Table1[[HomeTeam]:[HomeTeam]],$A19, Table1[[AwayTeam]:[AwayTeam]], E$1, Table1[[ActualResult]:[ActualResult]], "OT") + SUMIFS(Table1[[HomeWon]:[HomeWon]], Table1[[GameIsOver]:[GameIsOver]],1,Table1[[AwayTeam]:[AwayTeam]],$A19, Table1[[HomeTeam]:[HomeTeam]], E$1, Table1[[ActualResult]:[ActualResult]], "SO") + SUMIFS(Table1[[AwayWon]:[AwayWon]], Table1[[GameIsOver]:[GameIsOver]],1,Table1[[HomeTeam]:[HomeTeam]],$A19, Table1[[AwayTeam]:[AwayTeam]], E$1, Table1[[ActualResult]:[ActualResult]], "SO"),0))</f>
        <v>0-0-0</v>
      </c>
      <c r="F19" s="57" t="str">
        <f>_xlfn.CONCAT(TEXT(SUMIFS(Table1[[AwayWon]:[AwayWon]], Table1[[GameIsOver]:[GameIsOver]],1,Table1[[AwayTeam]:[AwayTeam]],$A19, Table1[[HomeTeam]:[HomeTeam]], F$1) + SUMIFS(Table1[[HomeWon]:[HomeWon]], Table1[[GameIsOver]:[GameIsOver]],1,Table1[[HomeTeam]:[HomeTeam]],$A19, Table1[[AwayTeam]:[AwayTeam]], F$1),0), "-", TEXT(SUMIFS(Table1[[HomeWon]:[HomeWon]], Table1[[GameIsOver]:[GameIsOver]],1,Table1[[AwayTeam]:[AwayTeam]],$A19, Table1[[HomeTeam]:[HomeTeam]], F$1, Table1[[ActualResult]:[ActualResult]], "REG") + SUMIFS(Table1[[AwayWon]:[AwayWon]], Table1[[GameIsOver]:[GameIsOver]],1,Table1[[HomeTeam]:[HomeTeam]],$A19, Table1[[AwayTeam]:[AwayTeam]], F$1, Table1[[ActualResult]:[ActualResult]], "REG"),0), "-", TEXT(SUMIFS(Table1[[HomeWon]:[HomeWon]], Table1[[GameIsOver]:[GameIsOver]],1,Table1[[AwayTeam]:[AwayTeam]],$A19, Table1[[HomeTeam]:[HomeTeam]], F$1, Table1[[ActualResult]:[ActualResult]], "OT") + SUMIFS(Table1[[AwayWon]:[AwayWon]], Table1[[GameIsOver]:[GameIsOver]],1,Table1[[HomeTeam]:[HomeTeam]],$A19, Table1[[AwayTeam]:[AwayTeam]], F$1, Table1[[ActualResult]:[ActualResult]], "OT") + SUMIFS(Table1[[HomeWon]:[HomeWon]], Table1[[GameIsOver]:[GameIsOver]],1,Table1[[AwayTeam]:[AwayTeam]],$A19, Table1[[HomeTeam]:[HomeTeam]], F$1, Table1[[ActualResult]:[ActualResult]], "SO") + SUMIFS(Table1[[AwayWon]:[AwayWon]], Table1[[GameIsOver]:[GameIsOver]],1,Table1[[HomeTeam]:[HomeTeam]],$A19, Table1[[AwayTeam]:[AwayTeam]], F$1, Table1[[ActualResult]:[ActualResult]], "SO"),0))</f>
        <v>0-0-0</v>
      </c>
      <c r="G19" s="57" t="str">
        <f>_xlfn.CONCAT(TEXT(SUMIFS(Table1[[AwayWon]:[AwayWon]], Table1[[GameIsOver]:[GameIsOver]],1,Table1[[AwayTeam]:[AwayTeam]],$A19, Table1[[HomeTeam]:[HomeTeam]], G$1) + SUMIFS(Table1[[HomeWon]:[HomeWon]], Table1[[GameIsOver]:[GameIsOver]],1,Table1[[HomeTeam]:[HomeTeam]],$A19, Table1[[AwayTeam]:[AwayTeam]], G$1),0), "-", TEXT(SUMIFS(Table1[[HomeWon]:[HomeWon]], Table1[[GameIsOver]:[GameIsOver]],1,Table1[[AwayTeam]:[AwayTeam]],$A19, Table1[[HomeTeam]:[HomeTeam]], G$1, Table1[[ActualResult]:[ActualResult]], "REG") + SUMIFS(Table1[[AwayWon]:[AwayWon]], Table1[[GameIsOver]:[GameIsOver]],1,Table1[[HomeTeam]:[HomeTeam]],$A19, Table1[[AwayTeam]:[AwayTeam]], G$1, Table1[[ActualResult]:[ActualResult]], "REG"),0), "-", TEXT(SUMIFS(Table1[[HomeWon]:[HomeWon]], Table1[[GameIsOver]:[GameIsOver]],1,Table1[[AwayTeam]:[AwayTeam]],$A19, Table1[[HomeTeam]:[HomeTeam]], G$1, Table1[[ActualResult]:[ActualResult]], "OT") + SUMIFS(Table1[[AwayWon]:[AwayWon]], Table1[[GameIsOver]:[GameIsOver]],1,Table1[[HomeTeam]:[HomeTeam]],$A19, Table1[[AwayTeam]:[AwayTeam]], G$1, Table1[[ActualResult]:[ActualResult]], "OT") + SUMIFS(Table1[[HomeWon]:[HomeWon]], Table1[[GameIsOver]:[GameIsOver]],1,Table1[[AwayTeam]:[AwayTeam]],$A19, Table1[[HomeTeam]:[HomeTeam]], G$1, Table1[[ActualResult]:[ActualResult]], "SO") + SUMIFS(Table1[[AwayWon]:[AwayWon]], Table1[[GameIsOver]:[GameIsOver]],1,Table1[[HomeTeam]:[HomeTeam]],$A19, Table1[[AwayTeam]:[AwayTeam]], G$1, Table1[[ActualResult]:[ActualResult]], "SO"),0))</f>
        <v>0-0-0</v>
      </c>
      <c r="H19" s="57" t="str">
        <f>_xlfn.CONCAT(TEXT(SUMIFS(Table1[[AwayWon]:[AwayWon]], Table1[[GameIsOver]:[GameIsOver]],1,Table1[[AwayTeam]:[AwayTeam]],$A19, Table1[[HomeTeam]:[HomeTeam]], H$1) + SUMIFS(Table1[[HomeWon]:[HomeWon]], Table1[[GameIsOver]:[GameIsOver]],1,Table1[[HomeTeam]:[HomeTeam]],$A19, Table1[[AwayTeam]:[AwayTeam]], H$1),0), "-", TEXT(SUMIFS(Table1[[HomeWon]:[HomeWon]], Table1[[GameIsOver]:[GameIsOver]],1,Table1[[AwayTeam]:[AwayTeam]],$A19, Table1[[HomeTeam]:[HomeTeam]], H$1, Table1[[ActualResult]:[ActualResult]], "REG") + SUMIFS(Table1[[AwayWon]:[AwayWon]], Table1[[GameIsOver]:[GameIsOver]],1,Table1[[HomeTeam]:[HomeTeam]],$A19, Table1[[AwayTeam]:[AwayTeam]], H$1, Table1[[ActualResult]:[ActualResult]], "REG"),0), "-", TEXT(SUMIFS(Table1[[HomeWon]:[HomeWon]], Table1[[GameIsOver]:[GameIsOver]],1,Table1[[AwayTeam]:[AwayTeam]],$A19, Table1[[HomeTeam]:[HomeTeam]], H$1, Table1[[ActualResult]:[ActualResult]], "OT") + SUMIFS(Table1[[AwayWon]:[AwayWon]], Table1[[GameIsOver]:[GameIsOver]],1,Table1[[HomeTeam]:[HomeTeam]],$A19, Table1[[AwayTeam]:[AwayTeam]], H$1, Table1[[ActualResult]:[ActualResult]], "OT") + SUMIFS(Table1[[HomeWon]:[HomeWon]], Table1[[GameIsOver]:[GameIsOver]],1,Table1[[AwayTeam]:[AwayTeam]],$A19, Table1[[HomeTeam]:[HomeTeam]], H$1, Table1[[ActualResult]:[ActualResult]], "SO") + SUMIFS(Table1[[AwayWon]:[AwayWon]], Table1[[GameIsOver]:[GameIsOver]],1,Table1[[HomeTeam]:[HomeTeam]],$A19, Table1[[AwayTeam]:[AwayTeam]], H$1, Table1[[ActualResult]:[ActualResult]], "SO"),0))</f>
        <v>0-0-0</v>
      </c>
      <c r="I19" s="59" t="str">
        <f>_xlfn.CONCAT(TEXT(SUMIFS(Table1[[AwayWon]:[AwayWon]], Table1[[GameIsOver]:[GameIsOver]],1,Table1[[AwayTeam]:[AwayTeam]],$A19, Table1[[HomeTeam]:[HomeTeam]], I$1) + SUMIFS(Table1[[HomeWon]:[HomeWon]], Table1[[GameIsOver]:[GameIsOver]],1,Table1[[HomeTeam]:[HomeTeam]],$A19, Table1[[AwayTeam]:[AwayTeam]], I$1),0), "-", TEXT(SUMIFS(Table1[[HomeWon]:[HomeWon]], Table1[[GameIsOver]:[GameIsOver]],1,Table1[[AwayTeam]:[AwayTeam]],$A19, Table1[[HomeTeam]:[HomeTeam]], I$1, Table1[[ActualResult]:[ActualResult]], "REG") + SUMIFS(Table1[[AwayWon]:[AwayWon]], Table1[[GameIsOver]:[GameIsOver]],1,Table1[[HomeTeam]:[HomeTeam]],$A19, Table1[[AwayTeam]:[AwayTeam]], I$1, Table1[[ActualResult]:[ActualResult]], "REG"),0), "-", TEXT(SUMIFS(Table1[[HomeWon]:[HomeWon]], Table1[[GameIsOver]:[GameIsOver]],1,Table1[[AwayTeam]:[AwayTeam]],$A19, Table1[[HomeTeam]:[HomeTeam]], I$1, Table1[[ActualResult]:[ActualResult]], "OT") + SUMIFS(Table1[[AwayWon]:[AwayWon]], Table1[[GameIsOver]:[GameIsOver]],1,Table1[[HomeTeam]:[HomeTeam]],$A19, Table1[[AwayTeam]:[AwayTeam]], I$1, Table1[[ActualResult]:[ActualResult]], "OT") + SUMIFS(Table1[[HomeWon]:[HomeWon]], Table1[[GameIsOver]:[GameIsOver]],1,Table1[[AwayTeam]:[AwayTeam]],$A19, Table1[[HomeTeam]:[HomeTeam]], I$1, Table1[[ActualResult]:[ActualResult]], "SO") + SUMIFS(Table1[[AwayWon]:[AwayWon]], Table1[[GameIsOver]:[GameIsOver]],1,Table1[[HomeTeam]:[HomeTeam]],$A19, Table1[[AwayTeam]:[AwayTeam]], I$1, Table1[[ActualResult]:[ActualResult]], "SO"),0))</f>
        <v>0-0-0</v>
      </c>
      <c r="J19" s="57" t="str">
        <f>_xlfn.CONCAT(TEXT(SUMIFS(Table1[[AwayWon]:[AwayWon]], Table1[[GameIsOver]:[GameIsOver]],1,Table1[[AwayTeam]:[AwayTeam]],$A19, Table1[[HomeTeam]:[HomeTeam]], J$1) + SUMIFS(Table1[[HomeWon]:[HomeWon]], Table1[[GameIsOver]:[GameIsOver]],1,Table1[[HomeTeam]:[HomeTeam]],$A19, Table1[[AwayTeam]:[AwayTeam]], J$1),0), "-", TEXT(SUMIFS(Table1[[HomeWon]:[HomeWon]], Table1[[GameIsOver]:[GameIsOver]],1,Table1[[AwayTeam]:[AwayTeam]],$A19, Table1[[HomeTeam]:[HomeTeam]], J$1, Table1[[ActualResult]:[ActualResult]], "REG") + SUMIFS(Table1[[AwayWon]:[AwayWon]], Table1[[GameIsOver]:[GameIsOver]],1,Table1[[HomeTeam]:[HomeTeam]],$A19, Table1[[AwayTeam]:[AwayTeam]], J$1, Table1[[ActualResult]:[ActualResult]], "REG"),0), "-", TEXT(SUMIFS(Table1[[HomeWon]:[HomeWon]], Table1[[GameIsOver]:[GameIsOver]],1,Table1[[AwayTeam]:[AwayTeam]],$A19, Table1[[HomeTeam]:[HomeTeam]], J$1, Table1[[ActualResult]:[ActualResult]], "OT") + SUMIFS(Table1[[AwayWon]:[AwayWon]], Table1[[GameIsOver]:[GameIsOver]],1,Table1[[HomeTeam]:[HomeTeam]],$A19, Table1[[AwayTeam]:[AwayTeam]], J$1, Table1[[ActualResult]:[ActualResult]], "OT") + SUMIFS(Table1[[HomeWon]:[HomeWon]], Table1[[GameIsOver]:[GameIsOver]],1,Table1[[AwayTeam]:[AwayTeam]],$A19, Table1[[HomeTeam]:[HomeTeam]], J$1, Table1[[ActualResult]:[ActualResult]], "SO") + SUMIFS(Table1[[AwayWon]:[AwayWon]], Table1[[GameIsOver]:[GameIsOver]],1,Table1[[HomeTeam]:[HomeTeam]],$A19, Table1[[AwayTeam]:[AwayTeam]], J$1, Table1[[ActualResult]:[ActualResult]], "SO"),0))</f>
        <v>0-0-0</v>
      </c>
      <c r="K19" s="57" t="str">
        <f>_xlfn.CONCAT(TEXT(SUMIFS(Table1[[AwayWon]:[AwayWon]], Table1[[GameIsOver]:[GameIsOver]],1,Table1[[AwayTeam]:[AwayTeam]],$A19, Table1[[HomeTeam]:[HomeTeam]], K$1) + SUMIFS(Table1[[HomeWon]:[HomeWon]], Table1[[GameIsOver]:[GameIsOver]],1,Table1[[HomeTeam]:[HomeTeam]],$A19, Table1[[AwayTeam]:[AwayTeam]], K$1),0), "-", TEXT(SUMIFS(Table1[[HomeWon]:[HomeWon]], Table1[[GameIsOver]:[GameIsOver]],1,Table1[[AwayTeam]:[AwayTeam]],$A19, Table1[[HomeTeam]:[HomeTeam]], K$1, Table1[[ActualResult]:[ActualResult]], "REG") + SUMIFS(Table1[[AwayWon]:[AwayWon]], Table1[[GameIsOver]:[GameIsOver]],1,Table1[[HomeTeam]:[HomeTeam]],$A19, Table1[[AwayTeam]:[AwayTeam]], K$1, Table1[[ActualResult]:[ActualResult]], "REG"),0), "-", TEXT(SUMIFS(Table1[[HomeWon]:[HomeWon]], Table1[[GameIsOver]:[GameIsOver]],1,Table1[[AwayTeam]:[AwayTeam]],$A19, Table1[[HomeTeam]:[HomeTeam]], K$1, Table1[[ActualResult]:[ActualResult]], "OT") + SUMIFS(Table1[[AwayWon]:[AwayWon]], Table1[[GameIsOver]:[GameIsOver]],1,Table1[[HomeTeam]:[HomeTeam]],$A19, Table1[[AwayTeam]:[AwayTeam]], K$1, Table1[[ActualResult]:[ActualResult]], "OT") + SUMIFS(Table1[[HomeWon]:[HomeWon]], Table1[[GameIsOver]:[GameIsOver]],1,Table1[[AwayTeam]:[AwayTeam]],$A19, Table1[[HomeTeam]:[HomeTeam]], K$1, Table1[[ActualResult]:[ActualResult]], "SO") + SUMIFS(Table1[[AwayWon]:[AwayWon]], Table1[[GameIsOver]:[GameIsOver]],1,Table1[[HomeTeam]:[HomeTeam]],$A19, Table1[[AwayTeam]:[AwayTeam]], K$1, Table1[[ActualResult]:[ActualResult]], "SO"),0))</f>
        <v>0-0-0</v>
      </c>
      <c r="L19" s="57" t="str">
        <f>_xlfn.CONCAT(TEXT(SUMIFS(Table1[[AwayWon]:[AwayWon]], Table1[[GameIsOver]:[GameIsOver]],1,Table1[[AwayTeam]:[AwayTeam]],$A19, Table1[[HomeTeam]:[HomeTeam]], L$1) + SUMIFS(Table1[[HomeWon]:[HomeWon]], Table1[[GameIsOver]:[GameIsOver]],1,Table1[[HomeTeam]:[HomeTeam]],$A19, Table1[[AwayTeam]:[AwayTeam]], L$1),0), "-", TEXT(SUMIFS(Table1[[HomeWon]:[HomeWon]], Table1[[GameIsOver]:[GameIsOver]],1,Table1[[AwayTeam]:[AwayTeam]],$A19, Table1[[HomeTeam]:[HomeTeam]], L$1, Table1[[ActualResult]:[ActualResult]], "REG") + SUMIFS(Table1[[AwayWon]:[AwayWon]], Table1[[GameIsOver]:[GameIsOver]],1,Table1[[HomeTeam]:[HomeTeam]],$A19, Table1[[AwayTeam]:[AwayTeam]], L$1, Table1[[ActualResult]:[ActualResult]], "REG"),0), "-", TEXT(SUMIFS(Table1[[HomeWon]:[HomeWon]], Table1[[GameIsOver]:[GameIsOver]],1,Table1[[AwayTeam]:[AwayTeam]],$A19, Table1[[HomeTeam]:[HomeTeam]], L$1, Table1[[ActualResult]:[ActualResult]], "OT") + SUMIFS(Table1[[AwayWon]:[AwayWon]], Table1[[GameIsOver]:[GameIsOver]],1,Table1[[HomeTeam]:[HomeTeam]],$A19, Table1[[AwayTeam]:[AwayTeam]], L$1, Table1[[ActualResult]:[ActualResult]], "OT") + SUMIFS(Table1[[HomeWon]:[HomeWon]], Table1[[GameIsOver]:[GameIsOver]],1,Table1[[AwayTeam]:[AwayTeam]],$A19, Table1[[HomeTeam]:[HomeTeam]], L$1, Table1[[ActualResult]:[ActualResult]], "SO") + SUMIFS(Table1[[AwayWon]:[AwayWon]], Table1[[GameIsOver]:[GameIsOver]],1,Table1[[HomeTeam]:[HomeTeam]],$A19, Table1[[AwayTeam]:[AwayTeam]], L$1, Table1[[ActualResult]:[ActualResult]], "SO"),0))</f>
        <v>0-0-0</v>
      </c>
      <c r="M19" s="57" t="str">
        <f>_xlfn.CONCAT(TEXT(SUMIFS(Table1[[AwayWon]:[AwayWon]], Table1[[GameIsOver]:[GameIsOver]],1,Table1[[AwayTeam]:[AwayTeam]],$A19, Table1[[HomeTeam]:[HomeTeam]], M$1) + SUMIFS(Table1[[HomeWon]:[HomeWon]], Table1[[GameIsOver]:[GameIsOver]],1,Table1[[HomeTeam]:[HomeTeam]],$A19, Table1[[AwayTeam]:[AwayTeam]], M$1),0), "-", TEXT(SUMIFS(Table1[[HomeWon]:[HomeWon]], Table1[[GameIsOver]:[GameIsOver]],1,Table1[[AwayTeam]:[AwayTeam]],$A19, Table1[[HomeTeam]:[HomeTeam]], M$1, Table1[[ActualResult]:[ActualResult]], "REG") + SUMIFS(Table1[[AwayWon]:[AwayWon]], Table1[[GameIsOver]:[GameIsOver]],1,Table1[[HomeTeam]:[HomeTeam]],$A19, Table1[[AwayTeam]:[AwayTeam]], M$1, Table1[[ActualResult]:[ActualResult]], "REG"),0), "-", TEXT(SUMIFS(Table1[[HomeWon]:[HomeWon]], Table1[[GameIsOver]:[GameIsOver]],1,Table1[[AwayTeam]:[AwayTeam]],$A19, Table1[[HomeTeam]:[HomeTeam]], M$1, Table1[[ActualResult]:[ActualResult]], "OT") + SUMIFS(Table1[[AwayWon]:[AwayWon]], Table1[[GameIsOver]:[GameIsOver]],1,Table1[[HomeTeam]:[HomeTeam]],$A19, Table1[[AwayTeam]:[AwayTeam]], M$1, Table1[[ActualResult]:[ActualResult]], "OT") + SUMIFS(Table1[[HomeWon]:[HomeWon]], Table1[[GameIsOver]:[GameIsOver]],1,Table1[[AwayTeam]:[AwayTeam]],$A19, Table1[[HomeTeam]:[HomeTeam]], M$1, Table1[[ActualResult]:[ActualResult]], "SO") + SUMIFS(Table1[[AwayWon]:[AwayWon]], Table1[[GameIsOver]:[GameIsOver]],1,Table1[[HomeTeam]:[HomeTeam]],$A19, Table1[[AwayTeam]:[AwayTeam]], M$1, Table1[[ActualResult]:[ActualResult]], "SO"),0))</f>
        <v>0-0-0</v>
      </c>
      <c r="N19" s="57" t="str">
        <f>_xlfn.CONCAT(TEXT(SUMIFS(Table1[[AwayWon]:[AwayWon]], Table1[[GameIsOver]:[GameIsOver]],1,Table1[[AwayTeam]:[AwayTeam]],$A19, Table1[[HomeTeam]:[HomeTeam]], N$1) + SUMIFS(Table1[[HomeWon]:[HomeWon]], Table1[[GameIsOver]:[GameIsOver]],1,Table1[[HomeTeam]:[HomeTeam]],$A19, Table1[[AwayTeam]:[AwayTeam]], N$1),0), "-", TEXT(SUMIFS(Table1[[HomeWon]:[HomeWon]], Table1[[GameIsOver]:[GameIsOver]],1,Table1[[AwayTeam]:[AwayTeam]],$A19, Table1[[HomeTeam]:[HomeTeam]], N$1, Table1[[ActualResult]:[ActualResult]], "REG") + SUMIFS(Table1[[AwayWon]:[AwayWon]], Table1[[GameIsOver]:[GameIsOver]],1,Table1[[HomeTeam]:[HomeTeam]],$A19, Table1[[AwayTeam]:[AwayTeam]], N$1, Table1[[ActualResult]:[ActualResult]], "REG"),0), "-", TEXT(SUMIFS(Table1[[HomeWon]:[HomeWon]], Table1[[GameIsOver]:[GameIsOver]],1,Table1[[AwayTeam]:[AwayTeam]],$A19, Table1[[HomeTeam]:[HomeTeam]], N$1, Table1[[ActualResult]:[ActualResult]], "OT") + SUMIFS(Table1[[AwayWon]:[AwayWon]], Table1[[GameIsOver]:[GameIsOver]],1,Table1[[HomeTeam]:[HomeTeam]],$A19, Table1[[AwayTeam]:[AwayTeam]], N$1, Table1[[ActualResult]:[ActualResult]], "OT") + SUMIFS(Table1[[HomeWon]:[HomeWon]], Table1[[GameIsOver]:[GameIsOver]],1,Table1[[AwayTeam]:[AwayTeam]],$A19, Table1[[HomeTeam]:[HomeTeam]], N$1, Table1[[ActualResult]:[ActualResult]], "SO") + SUMIFS(Table1[[AwayWon]:[AwayWon]], Table1[[GameIsOver]:[GameIsOver]],1,Table1[[HomeTeam]:[HomeTeam]],$A19, Table1[[AwayTeam]:[AwayTeam]], N$1, Table1[[ActualResult]:[ActualResult]], "SO"),0))</f>
        <v>0-0-0</v>
      </c>
      <c r="O19" s="57" t="str">
        <f>_xlfn.CONCAT(TEXT(SUMIFS(Table1[[AwayWon]:[AwayWon]], Table1[[GameIsOver]:[GameIsOver]],1,Table1[[AwayTeam]:[AwayTeam]],$A19, Table1[[HomeTeam]:[HomeTeam]], O$1) + SUMIFS(Table1[[HomeWon]:[HomeWon]], Table1[[GameIsOver]:[GameIsOver]],1,Table1[[HomeTeam]:[HomeTeam]],$A19, Table1[[AwayTeam]:[AwayTeam]], O$1),0), "-", TEXT(SUMIFS(Table1[[HomeWon]:[HomeWon]], Table1[[GameIsOver]:[GameIsOver]],1,Table1[[AwayTeam]:[AwayTeam]],$A19, Table1[[HomeTeam]:[HomeTeam]], O$1, Table1[[ActualResult]:[ActualResult]], "REG") + SUMIFS(Table1[[AwayWon]:[AwayWon]], Table1[[GameIsOver]:[GameIsOver]],1,Table1[[HomeTeam]:[HomeTeam]],$A19, Table1[[AwayTeam]:[AwayTeam]], O$1, Table1[[ActualResult]:[ActualResult]], "REG"),0), "-", TEXT(SUMIFS(Table1[[HomeWon]:[HomeWon]], Table1[[GameIsOver]:[GameIsOver]],1,Table1[[AwayTeam]:[AwayTeam]],$A19, Table1[[HomeTeam]:[HomeTeam]], O$1, Table1[[ActualResult]:[ActualResult]], "OT") + SUMIFS(Table1[[AwayWon]:[AwayWon]], Table1[[GameIsOver]:[GameIsOver]],1,Table1[[HomeTeam]:[HomeTeam]],$A19, Table1[[AwayTeam]:[AwayTeam]], O$1, Table1[[ActualResult]:[ActualResult]], "OT") + SUMIFS(Table1[[HomeWon]:[HomeWon]], Table1[[GameIsOver]:[GameIsOver]],1,Table1[[AwayTeam]:[AwayTeam]],$A19, Table1[[HomeTeam]:[HomeTeam]], O$1, Table1[[ActualResult]:[ActualResult]], "SO") + SUMIFS(Table1[[AwayWon]:[AwayWon]], Table1[[GameIsOver]:[GameIsOver]],1,Table1[[HomeTeam]:[HomeTeam]],$A19, Table1[[AwayTeam]:[AwayTeam]], O$1, Table1[[ActualResult]:[ActualResult]], "SO"),0))</f>
        <v>0-0-0</v>
      </c>
      <c r="P19" s="57" t="str">
        <f>_xlfn.CONCAT(TEXT(SUMIFS(Table1[[AwayWon]:[AwayWon]], Table1[[GameIsOver]:[GameIsOver]],1,Table1[[AwayTeam]:[AwayTeam]],$A19, Table1[[HomeTeam]:[HomeTeam]], P$1) + SUMIFS(Table1[[HomeWon]:[HomeWon]], Table1[[GameIsOver]:[GameIsOver]],1,Table1[[HomeTeam]:[HomeTeam]],$A19, Table1[[AwayTeam]:[AwayTeam]], P$1),0), "-", TEXT(SUMIFS(Table1[[HomeWon]:[HomeWon]], Table1[[GameIsOver]:[GameIsOver]],1,Table1[[AwayTeam]:[AwayTeam]],$A19, Table1[[HomeTeam]:[HomeTeam]], P$1, Table1[[ActualResult]:[ActualResult]], "REG") + SUMIFS(Table1[[AwayWon]:[AwayWon]], Table1[[GameIsOver]:[GameIsOver]],1,Table1[[HomeTeam]:[HomeTeam]],$A19, Table1[[AwayTeam]:[AwayTeam]], P$1, Table1[[ActualResult]:[ActualResult]], "REG"),0), "-", TEXT(SUMIFS(Table1[[HomeWon]:[HomeWon]], Table1[[GameIsOver]:[GameIsOver]],1,Table1[[AwayTeam]:[AwayTeam]],$A19, Table1[[HomeTeam]:[HomeTeam]], P$1, Table1[[ActualResult]:[ActualResult]], "OT") + SUMIFS(Table1[[AwayWon]:[AwayWon]], Table1[[GameIsOver]:[GameIsOver]],1,Table1[[HomeTeam]:[HomeTeam]],$A19, Table1[[AwayTeam]:[AwayTeam]], P$1, Table1[[ActualResult]:[ActualResult]], "OT") + SUMIFS(Table1[[HomeWon]:[HomeWon]], Table1[[GameIsOver]:[GameIsOver]],1,Table1[[AwayTeam]:[AwayTeam]],$A19, Table1[[HomeTeam]:[HomeTeam]], P$1, Table1[[ActualResult]:[ActualResult]], "SO") + SUMIFS(Table1[[AwayWon]:[AwayWon]], Table1[[GameIsOver]:[GameIsOver]],1,Table1[[HomeTeam]:[HomeTeam]],$A19, Table1[[AwayTeam]:[AwayTeam]], P$1, Table1[[ActualResult]:[ActualResult]], "SO"),0))</f>
        <v>0-0-0</v>
      </c>
      <c r="Q19" s="59" t="str">
        <f>_xlfn.CONCAT(TEXT(SUMIFS(Table1[[AwayWon]:[AwayWon]], Table1[[GameIsOver]:[GameIsOver]],1,Table1[[AwayTeam]:[AwayTeam]],$A19, Table1[[HomeTeam]:[HomeTeam]], Q$1) + SUMIFS(Table1[[HomeWon]:[HomeWon]], Table1[[GameIsOver]:[GameIsOver]],1,Table1[[HomeTeam]:[HomeTeam]],$A19, Table1[[AwayTeam]:[AwayTeam]], Q$1),0), "-", TEXT(SUMIFS(Table1[[HomeWon]:[HomeWon]], Table1[[GameIsOver]:[GameIsOver]],1,Table1[[AwayTeam]:[AwayTeam]],$A19, Table1[[HomeTeam]:[HomeTeam]], Q$1, Table1[[ActualResult]:[ActualResult]], "REG") + SUMIFS(Table1[[AwayWon]:[AwayWon]], Table1[[GameIsOver]:[GameIsOver]],1,Table1[[HomeTeam]:[HomeTeam]],$A19, Table1[[AwayTeam]:[AwayTeam]], Q$1, Table1[[ActualResult]:[ActualResult]], "REG"),0), "-", TEXT(SUMIFS(Table1[[HomeWon]:[HomeWon]], Table1[[GameIsOver]:[GameIsOver]],1,Table1[[AwayTeam]:[AwayTeam]],$A19, Table1[[HomeTeam]:[HomeTeam]], Q$1, Table1[[ActualResult]:[ActualResult]], "OT") + SUMIFS(Table1[[AwayWon]:[AwayWon]], Table1[[GameIsOver]:[GameIsOver]],1,Table1[[HomeTeam]:[HomeTeam]],$A19, Table1[[AwayTeam]:[AwayTeam]], Q$1, Table1[[ActualResult]:[ActualResult]], "OT") + SUMIFS(Table1[[HomeWon]:[HomeWon]], Table1[[GameIsOver]:[GameIsOver]],1,Table1[[AwayTeam]:[AwayTeam]],$A19, Table1[[HomeTeam]:[HomeTeam]], Q$1, Table1[[ActualResult]:[ActualResult]], "SO") + SUMIFS(Table1[[AwayWon]:[AwayWon]], Table1[[GameIsOver]:[GameIsOver]],1,Table1[[HomeTeam]:[HomeTeam]],$A19, Table1[[AwayTeam]:[AwayTeam]], Q$1, Table1[[ActualResult]:[ActualResult]], "SO"),0))</f>
        <v>0-0-0</v>
      </c>
      <c r="R19" s="57" t="str">
        <f>_xlfn.CONCAT(TEXT(SUMIFS(Table1[[AwayWon]:[AwayWon]], Table1[[GameIsOver]:[GameIsOver]],1,Table1[[AwayTeam]:[AwayTeam]],$A19, Table1[[HomeTeam]:[HomeTeam]], R$1) + SUMIFS(Table1[[HomeWon]:[HomeWon]], Table1[[GameIsOver]:[GameIsOver]],1,Table1[[HomeTeam]:[HomeTeam]],$A19, Table1[[AwayTeam]:[AwayTeam]], R$1),0), "-", TEXT(SUMIFS(Table1[[HomeWon]:[HomeWon]], Table1[[GameIsOver]:[GameIsOver]],1,Table1[[AwayTeam]:[AwayTeam]],$A19, Table1[[HomeTeam]:[HomeTeam]], R$1, Table1[[ActualResult]:[ActualResult]], "REG") + SUMIFS(Table1[[AwayWon]:[AwayWon]], Table1[[GameIsOver]:[GameIsOver]],1,Table1[[HomeTeam]:[HomeTeam]],$A19, Table1[[AwayTeam]:[AwayTeam]], R$1, Table1[[ActualResult]:[ActualResult]], "REG"),0), "-", TEXT(SUMIFS(Table1[[HomeWon]:[HomeWon]], Table1[[GameIsOver]:[GameIsOver]],1,Table1[[AwayTeam]:[AwayTeam]],$A19, Table1[[HomeTeam]:[HomeTeam]], R$1, Table1[[ActualResult]:[ActualResult]], "OT") + SUMIFS(Table1[[AwayWon]:[AwayWon]], Table1[[GameIsOver]:[GameIsOver]],1,Table1[[HomeTeam]:[HomeTeam]],$A19, Table1[[AwayTeam]:[AwayTeam]], R$1, Table1[[ActualResult]:[ActualResult]], "OT") + SUMIFS(Table1[[HomeWon]:[HomeWon]], Table1[[GameIsOver]:[GameIsOver]],1,Table1[[AwayTeam]:[AwayTeam]],$A19, Table1[[HomeTeam]:[HomeTeam]], R$1, Table1[[ActualResult]:[ActualResult]], "SO") + SUMIFS(Table1[[AwayWon]:[AwayWon]], Table1[[GameIsOver]:[GameIsOver]],1,Table1[[HomeTeam]:[HomeTeam]],$A19, Table1[[AwayTeam]:[AwayTeam]], R$1, Table1[[ActualResult]:[ActualResult]], "SO"),0))</f>
        <v>0-0-0</v>
      </c>
      <c r="S19" s="57" t="str">
        <f>_xlfn.CONCAT(TEXT(SUMIFS(Table1[[AwayWon]:[AwayWon]], Table1[[GameIsOver]:[GameIsOver]],1,Table1[[AwayTeam]:[AwayTeam]],$A19, Table1[[HomeTeam]:[HomeTeam]], S$1) + SUMIFS(Table1[[HomeWon]:[HomeWon]], Table1[[GameIsOver]:[GameIsOver]],1,Table1[[HomeTeam]:[HomeTeam]],$A19, Table1[[AwayTeam]:[AwayTeam]], S$1),0), "-", TEXT(SUMIFS(Table1[[HomeWon]:[HomeWon]], Table1[[GameIsOver]:[GameIsOver]],1,Table1[[AwayTeam]:[AwayTeam]],$A19, Table1[[HomeTeam]:[HomeTeam]], S$1, Table1[[ActualResult]:[ActualResult]], "REG") + SUMIFS(Table1[[AwayWon]:[AwayWon]], Table1[[GameIsOver]:[GameIsOver]],1,Table1[[HomeTeam]:[HomeTeam]],$A19, Table1[[AwayTeam]:[AwayTeam]], S$1, Table1[[ActualResult]:[ActualResult]], "REG"),0), "-", TEXT(SUMIFS(Table1[[HomeWon]:[HomeWon]], Table1[[GameIsOver]:[GameIsOver]],1,Table1[[AwayTeam]:[AwayTeam]],$A19, Table1[[HomeTeam]:[HomeTeam]], S$1, Table1[[ActualResult]:[ActualResult]], "OT") + SUMIFS(Table1[[AwayWon]:[AwayWon]], Table1[[GameIsOver]:[GameIsOver]],1,Table1[[HomeTeam]:[HomeTeam]],$A19, Table1[[AwayTeam]:[AwayTeam]], S$1, Table1[[ActualResult]:[ActualResult]], "OT") + SUMIFS(Table1[[HomeWon]:[HomeWon]], Table1[[GameIsOver]:[GameIsOver]],1,Table1[[AwayTeam]:[AwayTeam]],$A19, Table1[[HomeTeam]:[HomeTeam]], S$1, Table1[[ActualResult]:[ActualResult]], "SO") + SUMIFS(Table1[[AwayWon]:[AwayWon]], Table1[[GameIsOver]:[GameIsOver]],1,Table1[[HomeTeam]:[HomeTeam]],$A19, Table1[[AwayTeam]:[AwayTeam]], S$1, Table1[[ActualResult]:[ActualResult]], "SO"),0))</f>
        <v>0-0-0</v>
      </c>
      <c r="T19" s="57" t="str">
        <f>_xlfn.CONCAT(TEXT(SUMIFS(Table1[[AwayWon]:[AwayWon]], Table1[[GameIsOver]:[GameIsOver]],1,Table1[[AwayTeam]:[AwayTeam]],$A19, Table1[[HomeTeam]:[HomeTeam]], T$1) + SUMIFS(Table1[[HomeWon]:[HomeWon]], Table1[[GameIsOver]:[GameIsOver]],1,Table1[[HomeTeam]:[HomeTeam]],$A19, Table1[[AwayTeam]:[AwayTeam]], T$1),0), "-", TEXT(SUMIFS(Table1[[HomeWon]:[HomeWon]], Table1[[GameIsOver]:[GameIsOver]],1,Table1[[AwayTeam]:[AwayTeam]],$A19, Table1[[HomeTeam]:[HomeTeam]], T$1, Table1[[ActualResult]:[ActualResult]], "REG") + SUMIFS(Table1[[AwayWon]:[AwayWon]], Table1[[GameIsOver]:[GameIsOver]],1,Table1[[HomeTeam]:[HomeTeam]],$A19, Table1[[AwayTeam]:[AwayTeam]], T$1, Table1[[ActualResult]:[ActualResult]], "REG"),0), "-", TEXT(SUMIFS(Table1[[HomeWon]:[HomeWon]], Table1[[GameIsOver]:[GameIsOver]],1,Table1[[AwayTeam]:[AwayTeam]],$A19, Table1[[HomeTeam]:[HomeTeam]], T$1, Table1[[ActualResult]:[ActualResult]], "OT") + SUMIFS(Table1[[AwayWon]:[AwayWon]], Table1[[GameIsOver]:[GameIsOver]],1,Table1[[HomeTeam]:[HomeTeam]],$A19, Table1[[AwayTeam]:[AwayTeam]], T$1, Table1[[ActualResult]:[ActualResult]], "OT") + SUMIFS(Table1[[HomeWon]:[HomeWon]], Table1[[GameIsOver]:[GameIsOver]],1,Table1[[AwayTeam]:[AwayTeam]],$A19, Table1[[HomeTeam]:[HomeTeam]], T$1, Table1[[ActualResult]:[ActualResult]], "SO") + SUMIFS(Table1[[AwayWon]:[AwayWon]], Table1[[GameIsOver]:[GameIsOver]],1,Table1[[HomeTeam]:[HomeTeam]],$A19, Table1[[AwayTeam]:[AwayTeam]], T$1, Table1[[ActualResult]:[ActualResult]], "SO"),0))</f>
        <v>0-0-0</v>
      </c>
      <c r="U19" s="57" t="str">
        <f>_xlfn.CONCAT(TEXT(SUMIFS(Table1[[AwayWon]:[AwayWon]], Table1[[GameIsOver]:[GameIsOver]],1,Table1[[AwayTeam]:[AwayTeam]],$A19, Table1[[HomeTeam]:[HomeTeam]], U$1) + SUMIFS(Table1[[HomeWon]:[HomeWon]], Table1[[GameIsOver]:[GameIsOver]],1,Table1[[HomeTeam]:[HomeTeam]],$A19, Table1[[AwayTeam]:[AwayTeam]], U$1),0), "-", TEXT(SUMIFS(Table1[[HomeWon]:[HomeWon]], Table1[[GameIsOver]:[GameIsOver]],1,Table1[[AwayTeam]:[AwayTeam]],$A19, Table1[[HomeTeam]:[HomeTeam]], U$1, Table1[[ActualResult]:[ActualResult]], "REG") + SUMIFS(Table1[[AwayWon]:[AwayWon]], Table1[[GameIsOver]:[GameIsOver]],1,Table1[[HomeTeam]:[HomeTeam]],$A19, Table1[[AwayTeam]:[AwayTeam]], U$1, Table1[[ActualResult]:[ActualResult]], "REG"),0), "-", TEXT(SUMIFS(Table1[[HomeWon]:[HomeWon]], Table1[[GameIsOver]:[GameIsOver]],1,Table1[[AwayTeam]:[AwayTeam]],$A19, Table1[[HomeTeam]:[HomeTeam]], U$1, Table1[[ActualResult]:[ActualResult]], "OT") + SUMIFS(Table1[[AwayWon]:[AwayWon]], Table1[[GameIsOver]:[GameIsOver]],1,Table1[[HomeTeam]:[HomeTeam]],$A19, Table1[[AwayTeam]:[AwayTeam]], U$1, Table1[[ActualResult]:[ActualResult]], "OT") + SUMIFS(Table1[[HomeWon]:[HomeWon]], Table1[[GameIsOver]:[GameIsOver]],1,Table1[[AwayTeam]:[AwayTeam]],$A19, Table1[[HomeTeam]:[HomeTeam]], U$1, Table1[[ActualResult]:[ActualResult]], "SO") + SUMIFS(Table1[[AwayWon]:[AwayWon]], Table1[[GameIsOver]:[GameIsOver]],1,Table1[[HomeTeam]:[HomeTeam]],$A19, Table1[[AwayTeam]:[AwayTeam]], U$1, Table1[[ActualResult]:[ActualResult]], "SO"),0))</f>
        <v>0-0-0</v>
      </c>
      <c r="V19" s="57" t="str">
        <f>_xlfn.CONCAT(TEXT(SUMIFS(Table1[[AwayWon]:[AwayWon]], Table1[[GameIsOver]:[GameIsOver]],1,Table1[[AwayTeam]:[AwayTeam]],$A19, Table1[[HomeTeam]:[HomeTeam]], V$1) + SUMIFS(Table1[[HomeWon]:[HomeWon]], Table1[[GameIsOver]:[GameIsOver]],1,Table1[[HomeTeam]:[HomeTeam]],$A19, Table1[[AwayTeam]:[AwayTeam]], V$1),0), "-", TEXT(SUMIFS(Table1[[HomeWon]:[HomeWon]], Table1[[GameIsOver]:[GameIsOver]],1,Table1[[AwayTeam]:[AwayTeam]],$A19, Table1[[HomeTeam]:[HomeTeam]], V$1, Table1[[ActualResult]:[ActualResult]], "REG") + SUMIFS(Table1[[AwayWon]:[AwayWon]], Table1[[GameIsOver]:[GameIsOver]],1,Table1[[HomeTeam]:[HomeTeam]],$A19, Table1[[AwayTeam]:[AwayTeam]], V$1, Table1[[ActualResult]:[ActualResult]], "REG"),0), "-", TEXT(SUMIFS(Table1[[HomeWon]:[HomeWon]], Table1[[GameIsOver]:[GameIsOver]],1,Table1[[AwayTeam]:[AwayTeam]],$A19, Table1[[HomeTeam]:[HomeTeam]], V$1, Table1[[ActualResult]:[ActualResult]], "OT") + SUMIFS(Table1[[AwayWon]:[AwayWon]], Table1[[GameIsOver]:[GameIsOver]],1,Table1[[HomeTeam]:[HomeTeam]],$A19, Table1[[AwayTeam]:[AwayTeam]], V$1, Table1[[ActualResult]:[ActualResult]], "OT") + SUMIFS(Table1[[HomeWon]:[HomeWon]], Table1[[GameIsOver]:[GameIsOver]],1,Table1[[AwayTeam]:[AwayTeam]],$A19, Table1[[HomeTeam]:[HomeTeam]], V$1, Table1[[ActualResult]:[ActualResult]], "SO") + SUMIFS(Table1[[AwayWon]:[AwayWon]], Table1[[GameIsOver]:[GameIsOver]],1,Table1[[HomeTeam]:[HomeTeam]],$A19, Table1[[AwayTeam]:[AwayTeam]], V$1, Table1[[ActualResult]:[ActualResult]], "SO"),0))</f>
        <v>0-0-0</v>
      </c>
      <c r="W19" s="57" t="str">
        <f>_xlfn.CONCAT(TEXT(SUMIFS(Table1[[AwayWon]:[AwayWon]], Table1[[GameIsOver]:[GameIsOver]],1,Table1[[AwayTeam]:[AwayTeam]],$A19, Table1[[HomeTeam]:[HomeTeam]], W$1) + SUMIFS(Table1[[HomeWon]:[HomeWon]], Table1[[GameIsOver]:[GameIsOver]],1,Table1[[HomeTeam]:[HomeTeam]],$A19, Table1[[AwayTeam]:[AwayTeam]], W$1),0), "-", TEXT(SUMIFS(Table1[[HomeWon]:[HomeWon]], Table1[[GameIsOver]:[GameIsOver]],1,Table1[[AwayTeam]:[AwayTeam]],$A19, Table1[[HomeTeam]:[HomeTeam]], W$1, Table1[[ActualResult]:[ActualResult]], "REG") + SUMIFS(Table1[[AwayWon]:[AwayWon]], Table1[[GameIsOver]:[GameIsOver]],1,Table1[[HomeTeam]:[HomeTeam]],$A19, Table1[[AwayTeam]:[AwayTeam]], W$1, Table1[[ActualResult]:[ActualResult]], "REG"),0), "-", TEXT(SUMIFS(Table1[[HomeWon]:[HomeWon]], Table1[[GameIsOver]:[GameIsOver]],1,Table1[[AwayTeam]:[AwayTeam]],$A19, Table1[[HomeTeam]:[HomeTeam]], W$1, Table1[[ActualResult]:[ActualResult]], "OT") + SUMIFS(Table1[[AwayWon]:[AwayWon]], Table1[[GameIsOver]:[GameIsOver]],1,Table1[[HomeTeam]:[HomeTeam]],$A19, Table1[[AwayTeam]:[AwayTeam]], W$1, Table1[[ActualResult]:[ActualResult]], "OT") + SUMIFS(Table1[[HomeWon]:[HomeWon]], Table1[[GameIsOver]:[GameIsOver]],1,Table1[[AwayTeam]:[AwayTeam]],$A19, Table1[[HomeTeam]:[HomeTeam]], W$1, Table1[[ActualResult]:[ActualResult]], "SO") + SUMIFS(Table1[[AwayWon]:[AwayWon]], Table1[[GameIsOver]:[GameIsOver]],1,Table1[[HomeTeam]:[HomeTeam]],$A19, Table1[[AwayTeam]:[AwayTeam]], W$1, Table1[[ActualResult]:[ActualResult]], "SO"),0))</f>
        <v>1-0-0</v>
      </c>
      <c r="X19" s="57" t="str">
        <f>_xlfn.CONCAT(TEXT(SUMIFS(Table1[[AwayWon]:[AwayWon]], Table1[[GameIsOver]:[GameIsOver]],1,Table1[[AwayTeam]:[AwayTeam]],$A19, Table1[[HomeTeam]:[HomeTeam]], X$1) + SUMIFS(Table1[[HomeWon]:[HomeWon]], Table1[[GameIsOver]:[GameIsOver]],1,Table1[[HomeTeam]:[HomeTeam]],$A19, Table1[[AwayTeam]:[AwayTeam]], X$1),0), "-", TEXT(SUMIFS(Table1[[HomeWon]:[HomeWon]], Table1[[GameIsOver]:[GameIsOver]],1,Table1[[AwayTeam]:[AwayTeam]],$A19, Table1[[HomeTeam]:[HomeTeam]], X$1, Table1[[ActualResult]:[ActualResult]], "REG") + SUMIFS(Table1[[AwayWon]:[AwayWon]], Table1[[GameIsOver]:[GameIsOver]],1,Table1[[HomeTeam]:[HomeTeam]],$A19, Table1[[AwayTeam]:[AwayTeam]], X$1, Table1[[ActualResult]:[ActualResult]], "REG"),0), "-", TEXT(SUMIFS(Table1[[HomeWon]:[HomeWon]], Table1[[GameIsOver]:[GameIsOver]],1,Table1[[AwayTeam]:[AwayTeam]],$A19, Table1[[HomeTeam]:[HomeTeam]], X$1, Table1[[ActualResult]:[ActualResult]], "OT") + SUMIFS(Table1[[AwayWon]:[AwayWon]], Table1[[GameIsOver]:[GameIsOver]],1,Table1[[HomeTeam]:[HomeTeam]],$A19, Table1[[AwayTeam]:[AwayTeam]], X$1, Table1[[ActualResult]:[ActualResult]], "OT") + SUMIFS(Table1[[HomeWon]:[HomeWon]], Table1[[GameIsOver]:[GameIsOver]],1,Table1[[AwayTeam]:[AwayTeam]],$A19, Table1[[HomeTeam]:[HomeTeam]], X$1, Table1[[ActualResult]:[ActualResult]], "SO") + SUMIFS(Table1[[AwayWon]:[AwayWon]], Table1[[GameIsOver]:[GameIsOver]],1,Table1[[HomeTeam]:[HomeTeam]],$A19, Table1[[AwayTeam]:[AwayTeam]], X$1, Table1[[ActualResult]:[ActualResult]], "SO"),0))</f>
        <v>0-0-0</v>
      </c>
      <c r="Y19" s="59" t="str">
        <f>_xlfn.CONCAT(TEXT(SUMIFS(Table1[[AwayWon]:[AwayWon]], Table1[[GameIsOver]:[GameIsOver]],1,Table1[[AwayTeam]:[AwayTeam]],$A19, Table1[[HomeTeam]:[HomeTeam]], Y$1) + SUMIFS(Table1[[HomeWon]:[HomeWon]], Table1[[GameIsOver]:[GameIsOver]],1,Table1[[HomeTeam]:[HomeTeam]],$A19, Table1[[AwayTeam]:[AwayTeam]], Y$1),0), "-", TEXT(SUMIFS(Table1[[HomeWon]:[HomeWon]], Table1[[GameIsOver]:[GameIsOver]],1,Table1[[AwayTeam]:[AwayTeam]],$A19, Table1[[HomeTeam]:[HomeTeam]], Y$1, Table1[[ActualResult]:[ActualResult]], "REG") + SUMIFS(Table1[[AwayWon]:[AwayWon]], Table1[[GameIsOver]:[GameIsOver]],1,Table1[[HomeTeam]:[HomeTeam]],$A19, Table1[[AwayTeam]:[AwayTeam]], Y$1, Table1[[ActualResult]:[ActualResult]], "REG"),0), "-", TEXT(SUMIFS(Table1[[HomeWon]:[HomeWon]], Table1[[GameIsOver]:[GameIsOver]],1,Table1[[AwayTeam]:[AwayTeam]],$A19, Table1[[HomeTeam]:[HomeTeam]], Y$1, Table1[[ActualResult]:[ActualResult]], "OT") + SUMIFS(Table1[[AwayWon]:[AwayWon]], Table1[[GameIsOver]:[GameIsOver]],1,Table1[[HomeTeam]:[HomeTeam]],$A19, Table1[[AwayTeam]:[AwayTeam]], Y$1, Table1[[ActualResult]:[ActualResult]], "OT") + SUMIFS(Table1[[HomeWon]:[HomeWon]], Table1[[GameIsOver]:[GameIsOver]],1,Table1[[AwayTeam]:[AwayTeam]],$A19, Table1[[HomeTeam]:[HomeTeam]], Y$1, Table1[[ActualResult]:[ActualResult]], "SO") + SUMIFS(Table1[[AwayWon]:[AwayWon]], Table1[[GameIsOver]:[GameIsOver]],1,Table1[[HomeTeam]:[HomeTeam]],$A19, Table1[[AwayTeam]:[AwayTeam]], Y$1, Table1[[ActualResult]:[ActualResult]], "SO"),0))</f>
        <v>0-0-0</v>
      </c>
      <c r="Z19" s="57" t="str">
        <f>_xlfn.CONCAT(TEXT(SUMIFS(Table1[[AwayWon]:[AwayWon]], Table1[[GameIsOver]:[GameIsOver]],1,Table1[[AwayTeam]:[AwayTeam]],$A19, Table1[[HomeTeam]:[HomeTeam]], Z$1) + SUMIFS(Table1[[HomeWon]:[HomeWon]], Table1[[GameIsOver]:[GameIsOver]],1,Table1[[HomeTeam]:[HomeTeam]],$A19, Table1[[AwayTeam]:[AwayTeam]], Z$1),0), "-", TEXT(SUMIFS(Table1[[HomeWon]:[HomeWon]], Table1[[GameIsOver]:[GameIsOver]],1,Table1[[AwayTeam]:[AwayTeam]],$A19, Table1[[HomeTeam]:[HomeTeam]], Z$1, Table1[[ActualResult]:[ActualResult]], "REG") + SUMIFS(Table1[[AwayWon]:[AwayWon]], Table1[[GameIsOver]:[GameIsOver]],1,Table1[[HomeTeam]:[HomeTeam]],$A19, Table1[[AwayTeam]:[AwayTeam]], Z$1, Table1[[ActualResult]:[ActualResult]], "REG"),0), "-", TEXT(SUMIFS(Table1[[HomeWon]:[HomeWon]], Table1[[GameIsOver]:[GameIsOver]],1,Table1[[AwayTeam]:[AwayTeam]],$A19, Table1[[HomeTeam]:[HomeTeam]], Z$1, Table1[[ActualResult]:[ActualResult]], "OT") + SUMIFS(Table1[[AwayWon]:[AwayWon]], Table1[[GameIsOver]:[GameIsOver]],1,Table1[[HomeTeam]:[HomeTeam]],$A19, Table1[[AwayTeam]:[AwayTeam]], Z$1, Table1[[ActualResult]:[ActualResult]], "OT") + SUMIFS(Table1[[HomeWon]:[HomeWon]], Table1[[GameIsOver]:[GameIsOver]],1,Table1[[AwayTeam]:[AwayTeam]],$A19, Table1[[HomeTeam]:[HomeTeam]], Z$1, Table1[[ActualResult]:[ActualResult]], "SO") + SUMIFS(Table1[[AwayWon]:[AwayWon]], Table1[[GameIsOver]:[GameIsOver]],1,Table1[[HomeTeam]:[HomeTeam]],$A19, Table1[[AwayTeam]:[AwayTeam]], Z$1, Table1[[ActualResult]:[ActualResult]], "SO"),0))</f>
        <v>0-0-0</v>
      </c>
      <c r="AA19" s="57" t="str">
        <f>_xlfn.CONCAT(TEXT(SUMIFS(Table1[[AwayWon]:[AwayWon]], Table1[[GameIsOver]:[GameIsOver]],1,Table1[[AwayTeam]:[AwayTeam]],$A19, Table1[[HomeTeam]:[HomeTeam]], AA$1) + SUMIFS(Table1[[HomeWon]:[HomeWon]], Table1[[GameIsOver]:[GameIsOver]],1,Table1[[HomeTeam]:[HomeTeam]],$A19, Table1[[AwayTeam]:[AwayTeam]], AA$1),0), "-", TEXT(SUMIFS(Table1[[HomeWon]:[HomeWon]], Table1[[GameIsOver]:[GameIsOver]],1,Table1[[AwayTeam]:[AwayTeam]],$A19, Table1[[HomeTeam]:[HomeTeam]], AA$1, Table1[[ActualResult]:[ActualResult]], "REG") + SUMIFS(Table1[[AwayWon]:[AwayWon]], Table1[[GameIsOver]:[GameIsOver]],1,Table1[[HomeTeam]:[HomeTeam]],$A19, Table1[[AwayTeam]:[AwayTeam]], AA$1, Table1[[ActualResult]:[ActualResult]], "REG"),0), "-", TEXT(SUMIFS(Table1[[HomeWon]:[HomeWon]], Table1[[GameIsOver]:[GameIsOver]],1,Table1[[AwayTeam]:[AwayTeam]],$A19, Table1[[HomeTeam]:[HomeTeam]], AA$1, Table1[[ActualResult]:[ActualResult]], "OT") + SUMIFS(Table1[[AwayWon]:[AwayWon]], Table1[[GameIsOver]:[GameIsOver]],1,Table1[[HomeTeam]:[HomeTeam]],$A19, Table1[[AwayTeam]:[AwayTeam]], AA$1, Table1[[ActualResult]:[ActualResult]], "OT") + SUMIFS(Table1[[HomeWon]:[HomeWon]], Table1[[GameIsOver]:[GameIsOver]],1,Table1[[AwayTeam]:[AwayTeam]],$A19, Table1[[HomeTeam]:[HomeTeam]], AA$1, Table1[[ActualResult]:[ActualResult]], "SO") + SUMIFS(Table1[[AwayWon]:[AwayWon]], Table1[[GameIsOver]:[GameIsOver]],1,Table1[[HomeTeam]:[HomeTeam]],$A19, Table1[[AwayTeam]:[AwayTeam]], AA$1, Table1[[ActualResult]:[ActualResult]], "SO"),0))</f>
        <v>0-0-0</v>
      </c>
      <c r="AB19" s="57" t="str">
        <f>_xlfn.CONCAT(TEXT(SUMIFS(Table1[[AwayWon]:[AwayWon]], Table1[[GameIsOver]:[GameIsOver]],1,Table1[[AwayTeam]:[AwayTeam]],$A19, Table1[[HomeTeam]:[HomeTeam]], AB$1) + SUMIFS(Table1[[HomeWon]:[HomeWon]], Table1[[GameIsOver]:[GameIsOver]],1,Table1[[HomeTeam]:[HomeTeam]],$A19, Table1[[AwayTeam]:[AwayTeam]], AB$1),0), "-", TEXT(SUMIFS(Table1[[HomeWon]:[HomeWon]], Table1[[GameIsOver]:[GameIsOver]],1,Table1[[AwayTeam]:[AwayTeam]],$A19, Table1[[HomeTeam]:[HomeTeam]], AB$1, Table1[[ActualResult]:[ActualResult]], "REG") + SUMIFS(Table1[[AwayWon]:[AwayWon]], Table1[[GameIsOver]:[GameIsOver]],1,Table1[[HomeTeam]:[HomeTeam]],$A19, Table1[[AwayTeam]:[AwayTeam]], AB$1, Table1[[ActualResult]:[ActualResult]], "REG"),0), "-", TEXT(SUMIFS(Table1[[HomeWon]:[HomeWon]], Table1[[GameIsOver]:[GameIsOver]],1,Table1[[AwayTeam]:[AwayTeam]],$A19, Table1[[HomeTeam]:[HomeTeam]], AB$1, Table1[[ActualResult]:[ActualResult]], "OT") + SUMIFS(Table1[[AwayWon]:[AwayWon]], Table1[[GameIsOver]:[GameIsOver]],1,Table1[[HomeTeam]:[HomeTeam]],$A19, Table1[[AwayTeam]:[AwayTeam]], AB$1, Table1[[ActualResult]:[ActualResult]], "OT") + SUMIFS(Table1[[HomeWon]:[HomeWon]], Table1[[GameIsOver]:[GameIsOver]],1,Table1[[AwayTeam]:[AwayTeam]],$A19, Table1[[HomeTeam]:[HomeTeam]], AB$1, Table1[[ActualResult]:[ActualResult]], "SO") + SUMIFS(Table1[[AwayWon]:[AwayWon]], Table1[[GameIsOver]:[GameIsOver]],1,Table1[[HomeTeam]:[HomeTeam]],$A19, Table1[[AwayTeam]:[AwayTeam]], AB$1, Table1[[ActualResult]:[ActualResult]], "SO"),0))</f>
        <v>0-0-0</v>
      </c>
      <c r="AC19" s="57" t="str">
        <f>_xlfn.CONCAT(TEXT(SUMIFS(Table1[[AwayWon]:[AwayWon]], Table1[[GameIsOver]:[GameIsOver]],1,Table1[[AwayTeam]:[AwayTeam]],$A19, Table1[[HomeTeam]:[HomeTeam]], AC$1) + SUMIFS(Table1[[HomeWon]:[HomeWon]], Table1[[GameIsOver]:[GameIsOver]],1,Table1[[HomeTeam]:[HomeTeam]],$A19, Table1[[AwayTeam]:[AwayTeam]], AC$1),0), "-", TEXT(SUMIFS(Table1[[HomeWon]:[HomeWon]], Table1[[GameIsOver]:[GameIsOver]],1,Table1[[AwayTeam]:[AwayTeam]],$A19, Table1[[HomeTeam]:[HomeTeam]], AC$1, Table1[[ActualResult]:[ActualResult]], "REG") + SUMIFS(Table1[[AwayWon]:[AwayWon]], Table1[[GameIsOver]:[GameIsOver]],1,Table1[[HomeTeam]:[HomeTeam]],$A19, Table1[[AwayTeam]:[AwayTeam]], AC$1, Table1[[ActualResult]:[ActualResult]], "REG"),0), "-", TEXT(SUMIFS(Table1[[HomeWon]:[HomeWon]], Table1[[GameIsOver]:[GameIsOver]],1,Table1[[AwayTeam]:[AwayTeam]],$A19, Table1[[HomeTeam]:[HomeTeam]], AC$1, Table1[[ActualResult]:[ActualResult]], "OT") + SUMIFS(Table1[[AwayWon]:[AwayWon]], Table1[[GameIsOver]:[GameIsOver]],1,Table1[[HomeTeam]:[HomeTeam]],$A19, Table1[[AwayTeam]:[AwayTeam]], AC$1, Table1[[ActualResult]:[ActualResult]], "OT") + SUMIFS(Table1[[HomeWon]:[HomeWon]], Table1[[GameIsOver]:[GameIsOver]],1,Table1[[AwayTeam]:[AwayTeam]],$A19, Table1[[HomeTeam]:[HomeTeam]], AC$1, Table1[[ActualResult]:[ActualResult]], "SO") + SUMIFS(Table1[[AwayWon]:[AwayWon]], Table1[[GameIsOver]:[GameIsOver]],1,Table1[[HomeTeam]:[HomeTeam]],$A19, Table1[[AwayTeam]:[AwayTeam]], AC$1, Table1[[ActualResult]:[ActualResult]], "SO"),0))</f>
        <v>0-0-0</v>
      </c>
      <c r="AD19" s="57" t="str">
        <f>_xlfn.CONCAT(TEXT(SUMIFS(Table1[[AwayWon]:[AwayWon]], Table1[[GameIsOver]:[GameIsOver]],1,Table1[[AwayTeam]:[AwayTeam]],$A19, Table1[[HomeTeam]:[HomeTeam]], AD$1) + SUMIFS(Table1[[HomeWon]:[HomeWon]], Table1[[GameIsOver]:[GameIsOver]],1,Table1[[HomeTeam]:[HomeTeam]],$A19, Table1[[AwayTeam]:[AwayTeam]], AD$1),0), "-", TEXT(SUMIFS(Table1[[HomeWon]:[HomeWon]], Table1[[GameIsOver]:[GameIsOver]],1,Table1[[AwayTeam]:[AwayTeam]],$A19, Table1[[HomeTeam]:[HomeTeam]], AD$1, Table1[[ActualResult]:[ActualResult]], "REG") + SUMIFS(Table1[[AwayWon]:[AwayWon]], Table1[[GameIsOver]:[GameIsOver]],1,Table1[[HomeTeam]:[HomeTeam]],$A19, Table1[[AwayTeam]:[AwayTeam]], AD$1, Table1[[ActualResult]:[ActualResult]], "REG"),0), "-", TEXT(SUMIFS(Table1[[HomeWon]:[HomeWon]], Table1[[GameIsOver]:[GameIsOver]],1,Table1[[AwayTeam]:[AwayTeam]],$A19, Table1[[HomeTeam]:[HomeTeam]], AD$1, Table1[[ActualResult]:[ActualResult]], "OT") + SUMIFS(Table1[[AwayWon]:[AwayWon]], Table1[[GameIsOver]:[GameIsOver]],1,Table1[[HomeTeam]:[HomeTeam]],$A19, Table1[[AwayTeam]:[AwayTeam]], AD$1, Table1[[ActualResult]:[ActualResult]], "OT") + SUMIFS(Table1[[HomeWon]:[HomeWon]], Table1[[GameIsOver]:[GameIsOver]],1,Table1[[AwayTeam]:[AwayTeam]],$A19, Table1[[HomeTeam]:[HomeTeam]], AD$1, Table1[[ActualResult]:[ActualResult]], "SO") + SUMIFS(Table1[[AwayWon]:[AwayWon]], Table1[[GameIsOver]:[GameIsOver]],1,Table1[[HomeTeam]:[HomeTeam]],$A19, Table1[[AwayTeam]:[AwayTeam]], AD$1, Table1[[ActualResult]:[ActualResult]], "SO"),0))</f>
        <v>0-0-0</v>
      </c>
      <c r="AE19" s="57" t="str">
        <f>_xlfn.CONCAT(TEXT(SUMIFS(Table1[[AwayWon]:[AwayWon]], Table1[[GameIsOver]:[GameIsOver]],1,Table1[[AwayTeam]:[AwayTeam]],$A19, Table1[[HomeTeam]:[HomeTeam]], AE$1) + SUMIFS(Table1[[HomeWon]:[HomeWon]], Table1[[GameIsOver]:[GameIsOver]],1,Table1[[HomeTeam]:[HomeTeam]],$A19, Table1[[AwayTeam]:[AwayTeam]], AE$1),0), "-", TEXT(SUMIFS(Table1[[HomeWon]:[HomeWon]], Table1[[GameIsOver]:[GameIsOver]],1,Table1[[AwayTeam]:[AwayTeam]],$A19, Table1[[HomeTeam]:[HomeTeam]], AE$1, Table1[[ActualResult]:[ActualResult]], "REG") + SUMIFS(Table1[[AwayWon]:[AwayWon]], Table1[[GameIsOver]:[GameIsOver]],1,Table1[[HomeTeam]:[HomeTeam]],$A19, Table1[[AwayTeam]:[AwayTeam]], AE$1, Table1[[ActualResult]:[ActualResult]], "REG"),0), "-", TEXT(SUMIFS(Table1[[HomeWon]:[HomeWon]], Table1[[GameIsOver]:[GameIsOver]],1,Table1[[AwayTeam]:[AwayTeam]],$A19, Table1[[HomeTeam]:[HomeTeam]], AE$1, Table1[[ActualResult]:[ActualResult]], "OT") + SUMIFS(Table1[[AwayWon]:[AwayWon]], Table1[[GameIsOver]:[GameIsOver]],1,Table1[[HomeTeam]:[HomeTeam]],$A19, Table1[[AwayTeam]:[AwayTeam]], AE$1, Table1[[ActualResult]:[ActualResult]], "OT") + SUMIFS(Table1[[HomeWon]:[HomeWon]], Table1[[GameIsOver]:[GameIsOver]],1,Table1[[AwayTeam]:[AwayTeam]],$A19, Table1[[HomeTeam]:[HomeTeam]], AE$1, Table1[[ActualResult]:[ActualResult]], "SO") + SUMIFS(Table1[[AwayWon]:[AwayWon]], Table1[[GameIsOver]:[GameIsOver]],1,Table1[[HomeTeam]:[HomeTeam]],$A19, Table1[[AwayTeam]:[AwayTeam]], AE$1, Table1[[ActualResult]:[ActualResult]], "SO"),0))</f>
        <v>0-0-0</v>
      </c>
      <c r="AF19" s="57" t="str">
        <f>_xlfn.CONCAT(TEXT(SUMIFS(Table1[[AwayWon]:[AwayWon]], Table1[[GameIsOver]:[GameIsOver]],1,Table1[[AwayTeam]:[AwayTeam]],$A19, Table1[[HomeTeam]:[HomeTeam]], AF$1) + SUMIFS(Table1[[HomeWon]:[HomeWon]], Table1[[GameIsOver]:[GameIsOver]],1,Table1[[HomeTeam]:[HomeTeam]],$A19, Table1[[AwayTeam]:[AwayTeam]], AF$1),0), "-", TEXT(SUMIFS(Table1[[HomeWon]:[HomeWon]], Table1[[GameIsOver]:[GameIsOver]],1,Table1[[AwayTeam]:[AwayTeam]],$A19, Table1[[HomeTeam]:[HomeTeam]], AF$1, Table1[[ActualResult]:[ActualResult]], "REG") + SUMIFS(Table1[[AwayWon]:[AwayWon]], Table1[[GameIsOver]:[GameIsOver]],1,Table1[[HomeTeam]:[HomeTeam]],$A19, Table1[[AwayTeam]:[AwayTeam]], AF$1, Table1[[ActualResult]:[ActualResult]], "REG"),0), "-", TEXT(SUMIFS(Table1[[HomeWon]:[HomeWon]], Table1[[GameIsOver]:[GameIsOver]],1,Table1[[AwayTeam]:[AwayTeam]],$A19, Table1[[HomeTeam]:[HomeTeam]], AF$1, Table1[[ActualResult]:[ActualResult]], "OT") + SUMIFS(Table1[[AwayWon]:[AwayWon]], Table1[[GameIsOver]:[GameIsOver]],1,Table1[[HomeTeam]:[HomeTeam]],$A19, Table1[[AwayTeam]:[AwayTeam]], AF$1, Table1[[ActualResult]:[ActualResult]], "OT") + SUMIFS(Table1[[HomeWon]:[HomeWon]], Table1[[GameIsOver]:[GameIsOver]],1,Table1[[AwayTeam]:[AwayTeam]],$A19, Table1[[HomeTeam]:[HomeTeam]], AF$1, Table1[[ActualResult]:[ActualResult]], "SO") + SUMIFS(Table1[[AwayWon]:[AwayWon]], Table1[[GameIsOver]:[GameIsOver]],1,Table1[[HomeTeam]:[HomeTeam]],$A19, Table1[[AwayTeam]:[AwayTeam]], AF$1, Table1[[ActualResult]:[ActualResult]], "SO"),0))</f>
        <v>0-0-0</v>
      </c>
      <c r="AG19" s="57" t="str">
        <f>_xlfn.CONCAT(TEXT(SUMIFS(Table1[[AwayWon]:[AwayWon]], Table1[[GameIsOver]:[GameIsOver]],1,Table1[[AwayTeam]:[AwayTeam]],$A19, Table1[[HomeTeam]:[HomeTeam]], AG$1) + SUMIFS(Table1[[HomeWon]:[HomeWon]], Table1[[GameIsOver]:[GameIsOver]],1,Table1[[HomeTeam]:[HomeTeam]],$A19, Table1[[AwayTeam]:[AwayTeam]], AG$1),0), "-", TEXT(SUMIFS(Table1[[HomeWon]:[HomeWon]], Table1[[GameIsOver]:[GameIsOver]],1,Table1[[AwayTeam]:[AwayTeam]],$A19, Table1[[HomeTeam]:[HomeTeam]], AG$1, Table1[[ActualResult]:[ActualResult]], "REG") + SUMIFS(Table1[[AwayWon]:[AwayWon]], Table1[[GameIsOver]:[GameIsOver]],1,Table1[[HomeTeam]:[HomeTeam]],$A19, Table1[[AwayTeam]:[AwayTeam]], AG$1, Table1[[ActualResult]:[ActualResult]], "REG"),0), "-", TEXT(SUMIFS(Table1[[HomeWon]:[HomeWon]], Table1[[GameIsOver]:[GameIsOver]],1,Table1[[AwayTeam]:[AwayTeam]],$A19, Table1[[HomeTeam]:[HomeTeam]], AG$1, Table1[[ActualResult]:[ActualResult]], "OT") + SUMIFS(Table1[[AwayWon]:[AwayWon]], Table1[[GameIsOver]:[GameIsOver]],1,Table1[[HomeTeam]:[HomeTeam]],$A19, Table1[[AwayTeam]:[AwayTeam]], AG$1, Table1[[ActualResult]:[ActualResult]], "OT") + SUMIFS(Table1[[HomeWon]:[HomeWon]], Table1[[GameIsOver]:[GameIsOver]],1,Table1[[AwayTeam]:[AwayTeam]],$A19, Table1[[HomeTeam]:[HomeTeam]], AG$1, Table1[[ActualResult]:[ActualResult]], "SO") + SUMIFS(Table1[[AwayWon]:[AwayWon]], Table1[[GameIsOver]:[GameIsOver]],1,Table1[[HomeTeam]:[HomeTeam]],$A19, Table1[[AwayTeam]:[AwayTeam]], AG$1, Table1[[ActualResult]:[ActualResult]], "SO"),0))</f>
        <v>0-0-0</v>
      </c>
    </row>
    <row r="20" spans="1:33" x14ac:dyDescent="0.25">
      <c r="A20" s="28" t="s">
        <v>49</v>
      </c>
      <c r="B20" s="57" t="str">
        <f>_xlfn.CONCAT(TEXT(SUMIFS(Table1[[AwayWon]:[AwayWon]], Table1[[GameIsOver]:[GameIsOver]],1,Table1[[AwayTeam]:[AwayTeam]],$A20, Table1[[HomeTeam]:[HomeTeam]], B$1) + SUMIFS(Table1[[HomeWon]:[HomeWon]], Table1[[GameIsOver]:[GameIsOver]],1,Table1[[HomeTeam]:[HomeTeam]],$A20, Table1[[AwayTeam]:[AwayTeam]], B$1),0), "-", TEXT(SUMIFS(Table1[[HomeWon]:[HomeWon]], Table1[[GameIsOver]:[GameIsOver]],1,Table1[[AwayTeam]:[AwayTeam]],$A20, Table1[[HomeTeam]:[HomeTeam]], B$1, Table1[[ActualResult]:[ActualResult]], "REG") + SUMIFS(Table1[[AwayWon]:[AwayWon]], Table1[[GameIsOver]:[GameIsOver]],1,Table1[[HomeTeam]:[HomeTeam]],$A20, Table1[[AwayTeam]:[AwayTeam]], B$1, Table1[[ActualResult]:[ActualResult]], "REG"),0), "-", TEXT(SUMIFS(Table1[[HomeWon]:[HomeWon]], Table1[[GameIsOver]:[GameIsOver]],1,Table1[[AwayTeam]:[AwayTeam]],$A20, Table1[[HomeTeam]:[HomeTeam]], B$1, Table1[[ActualResult]:[ActualResult]], "OT") + SUMIFS(Table1[[AwayWon]:[AwayWon]], Table1[[GameIsOver]:[GameIsOver]],1,Table1[[HomeTeam]:[HomeTeam]],$A20, Table1[[AwayTeam]:[AwayTeam]], B$1, Table1[[ActualResult]:[ActualResult]], "OT") + SUMIFS(Table1[[HomeWon]:[HomeWon]], Table1[[GameIsOver]:[GameIsOver]],1,Table1[[AwayTeam]:[AwayTeam]],$A20, Table1[[HomeTeam]:[HomeTeam]], B$1, Table1[[ActualResult]:[ActualResult]], "SO") + SUMIFS(Table1[[AwayWon]:[AwayWon]], Table1[[GameIsOver]:[GameIsOver]],1,Table1[[HomeTeam]:[HomeTeam]],$A20, Table1[[AwayTeam]:[AwayTeam]], B$1, Table1[[ActualResult]:[ActualResult]], "SO"),0))</f>
        <v>0-0-0</v>
      </c>
      <c r="C20" s="57" t="str">
        <f>_xlfn.CONCAT(TEXT(SUMIFS(Table1[[AwayWon]:[AwayWon]], Table1[[GameIsOver]:[GameIsOver]],1,Table1[[AwayTeam]:[AwayTeam]],$A20, Table1[[HomeTeam]:[HomeTeam]], C$1) + SUMIFS(Table1[[HomeWon]:[HomeWon]], Table1[[GameIsOver]:[GameIsOver]],1,Table1[[HomeTeam]:[HomeTeam]],$A20, Table1[[AwayTeam]:[AwayTeam]], C$1),0), "-", TEXT(SUMIFS(Table1[[HomeWon]:[HomeWon]], Table1[[GameIsOver]:[GameIsOver]],1,Table1[[AwayTeam]:[AwayTeam]],$A20, Table1[[HomeTeam]:[HomeTeam]], C$1, Table1[[ActualResult]:[ActualResult]], "REG") + SUMIFS(Table1[[AwayWon]:[AwayWon]], Table1[[GameIsOver]:[GameIsOver]],1,Table1[[HomeTeam]:[HomeTeam]],$A20, Table1[[AwayTeam]:[AwayTeam]], C$1, Table1[[ActualResult]:[ActualResult]], "REG"),0), "-", TEXT(SUMIFS(Table1[[HomeWon]:[HomeWon]], Table1[[GameIsOver]:[GameIsOver]],1,Table1[[AwayTeam]:[AwayTeam]],$A20, Table1[[HomeTeam]:[HomeTeam]], C$1, Table1[[ActualResult]:[ActualResult]], "OT") + SUMIFS(Table1[[AwayWon]:[AwayWon]], Table1[[GameIsOver]:[GameIsOver]],1,Table1[[HomeTeam]:[HomeTeam]],$A20, Table1[[AwayTeam]:[AwayTeam]], C$1, Table1[[ActualResult]:[ActualResult]], "OT") + SUMIFS(Table1[[HomeWon]:[HomeWon]], Table1[[GameIsOver]:[GameIsOver]],1,Table1[[AwayTeam]:[AwayTeam]],$A20, Table1[[HomeTeam]:[HomeTeam]], C$1, Table1[[ActualResult]:[ActualResult]], "SO") + SUMIFS(Table1[[AwayWon]:[AwayWon]], Table1[[GameIsOver]:[GameIsOver]],1,Table1[[HomeTeam]:[HomeTeam]],$A20, Table1[[AwayTeam]:[AwayTeam]], C$1, Table1[[ActualResult]:[ActualResult]], "SO"),0))</f>
        <v>0-0-0</v>
      </c>
      <c r="D20" s="57" t="str">
        <f>_xlfn.CONCAT(TEXT(SUMIFS(Table1[[AwayWon]:[AwayWon]], Table1[[GameIsOver]:[GameIsOver]],1,Table1[[AwayTeam]:[AwayTeam]],$A20, Table1[[HomeTeam]:[HomeTeam]], D$1) + SUMIFS(Table1[[HomeWon]:[HomeWon]], Table1[[GameIsOver]:[GameIsOver]],1,Table1[[HomeTeam]:[HomeTeam]],$A20, Table1[[AwayTeam]:[AwayTeam]], D$1),0), "-", TEXT(SUMIFS(Table1[[HomeWon]:[HomeWon]], Table1[[GameIsOver]:[GameIsOver]],1,Table1[[AwayTeam]:[AwayTeam]],$A20, Table1[[HomeTeam]:[HomeTeam]], D$1, Table1[[ActualResult]:[ActualResult]], "REG") + SUMIFS(Table1[[AwayWon]:[AwayWon]], Table1[[GameIsOver]:[GameIsOver]],1,Table1[[HomeTeam]:[HomeTeam]],$A20, Table1[[AwayTeam]:[AwayTeam]], D$1, Table1[[ActualResult]:[ActualResult]], "REG"),0), "-", TEXT(SUMIFS(Table1[[HomeWon]:[HomeWon]], Table1[[GameIsOver]:[GameIsOver]],1,Table1[[AwayTeam]:[AwayTeam]],$A20, Table1[[HomeTeam]:[HomeTeam]], D$1, Table1[[ActualResult]:[ActualResult]], "OT") + SUMIFS(Table1[[AwayWon]:[AwayWon]], Table1[[GameIsOver]:[GameIsOver]],1,Table1[[HomeTeam]:[HomeTeam]],$A20, Table1[[AwayTeam]:[AwayTeam]], D$1, Table1[[ActualResult]:[ActualResult]], "OT") + SUMIFS(Table1[[HomeWon]:[HomeWon]], Table1[[GameIsOver]:[GameIsOver]],1,Table1[[AwayTeam]:[AwayTeam]],$A20, Table1[[HomeTeam]:[HomeTeam]], D$1, Table1[[ActualResult]:[ActualResult]], "SO") + SUMIFS(Table1[[AwayWon]:[AwayWon]], Table1[[GameIsOver]:[GameIsOver]],1,Table1[[HomeTeam]:[HomeTeam]],$A20, Table1[[AwayTeam]:[AwayTeam]], D$1, Table1[[ActualResult]:[ActualResult]], "SO"),0))</f>
        <v>0-0-0</v>
      </c>
      <c r="E20" s="57" t="str">
        <f>_xlfn.CONCAT(TEXT(SUMIFS(Table1[[AwayWon]:[AwayWon]], Table1[[GameIsOver]:[GameIsOver]],1,Table1[[AwayTeam]:[AwayTeam]],$A20, Table1[[HomeTeam]:[HomeTeam]], E$1) + SUMIFS(Table1[[HomeWon]:[HomeWon]], Table1[[GameIsOver]:[GameIsOver]],1,Table1[[HomeTeam]:[HomeTeam]],$A20, Table1[[AwayTeam]:[AwayTeam]], E$1),0), "-", TEXT(SUMIFS(Table1[[HomeWon]:[HomeWon]], Table1[[GameIsOver]:[GameIsOver]],1,Table1[[AwayTeam]:[AwayTeam]],$A20, Table1[[HomeTeam]:[HomeTeam]], E$1, Table1[[ActualResult]:[ActualResult]], "REG") + SUMIFS(Table1[[AwayWon]:[AwayWon]], Table1[[GameIsOver]:[GameIsOver]],1,Table1[[HomeTeam]:[HomeTeam]],$A20, Table1[[AwayTeam]:[AwayTeam]], E$1, Table1[[ActualResult]:[ActualResult]], "REG"),0), "-", TEXT(SUMIFS(Table1[[HomeWon]:[HomeWon]], Table1[[GameIsOver]:[GameIsOver]],1,Table1[[AwayTeam]:[AwayTeam]],$A20, Table1[[HomeTeam]:[HomeTeam]], E$1, Table1[[ActualResult]:[ActualResult]], "OT") + SUMIFS(Table1[[AwayWon]:[AwayWon]], Table1[[GameIsOver]:[GameIsOver]],1,Table1[[HomeTeam]:[HomeTeam]],$A20, Table1[[AwayTeam]:[AwayTeam]], E$1, Table1[[ActualResult]:[ActualResult]], "OT") + SUMIFS(Table1[[HomeWon]:[HomeWon]], Table1[[GameIsOver]:[GameIsOver]],1,Table1[[AwayTeam]:[AwayTeam]],$A20, Table1[[HomeTeam]:[HomeTeam]], E$1, Table1[[ActualResult]:[ActualResult]], "SO") + SUMIFS(Table1[[AwayWon]:[AwayWon]], Table1[[GameIsOver]:[GameIsOver]],1,Table1[[HomeTeam]:[HomeTeam]],$A20, Table1[[AwayTeam]:[AwayTeam]], E$1, Table1[[ActualResult]:[ActualResult]], "SO"),0))</f>
        <v>0-0-0</v>
      </c>
      <c r="F20" s="57" t="str">
        <f>_xlfn.CONCAT(TEXT(SUMIFS(Table1[[AwayWon]:[AwayWon]], Table1[[GameIsOver]:[GameIsOver]],1,Table1[[AwayTeam]:[AwayTeam]],$A20, Table1[[HomeTeam]:[HomeTeam]], F$1) + SUMIFS(Table1[[HomeWon]:[HomeWon]], Table1[[GameIsOver]:[GameIsOver]],1,Table1[[HomeTeam]:[HomeTeam]],$A20, Table1[[AwayTeam]:[AwayTeam]], F$1),0), "-", TEXT(SUMIFS(Table1[[HomeWon]:[HomeWon]], Table1[[GameIsOver]:[GameIsOver]],1,Table1[[AwayTeam]:[AwayTeam]],$A20, Table1[[HomeTeam]:[HomeTeam]], F$1, Table1[[ActualResult]:[ActualResult]], "REG") + SUMIFS(Table1[[AwayWon]:[AwayWon]], Table1[[GameIsOver]:[GameIsOver]],1,Table1[[HomeTeam]:[HomeTeam]],$A20, Table1[[AwayTeam]:[AwayTeam]], F$1, Table1[[ActualResult]:[ActualResult]], "REG"),0), "-", TEXT(SUMIFS(Table1[[HomeWon]:[HomeWon]], Table1[[GameIsOver]:[GameIsOver]],1,Table1[[AwayTeam]:[AwayTeam]],$A20, Table1[[HomeTeam]:[HomeTeam]], F$1, Table1[[ActualResult]:[ActualResult]], "OT") + SUMIFS(Table1[[AwayWon]:[AwayWon]], Table1[[GameIsOver]:[GameIsOver]],1,Table1[[HomeTeam]:[HomeTeam]],$A20, Table1[[AwayTeam]:[AwayTeam]], F$1, Table1[[ActualResult]:[ActualResult]], "OT") + SUMIFS(Table1[[HomeWon]:[HomeWon]], Table1[[GameIsOver]:[GameIsOver]],1,Table1[[AwayTeam]:[AwayTeam]],$A20, Table1[[HomeTeam]:[HomeTeam]], F$1, Table1[[ActualResult]:[ActualResult]], "SO") + SUMIFS(Table1[[AwayWon]:[AwayWon]], Table1[[GameIsOver]:[GameIsOver]],1,Table1[[HomeTeam]:[HomeTeam]],$A20, Table1[[AwayTeam]:[AwayTeam]], F$1, Table1[[ActualResult]:[ActualResult]], "SO"),0))</f>
        <v>0-0-0</v>
      </c>
      <c r="G20" s="57" t="str">
        <f>_xlfn.CONCAT(TEXT(SUMIFS(Table1[[AwayWon]:[AwayWon]], Table1[[GameIsOver]:[GameIsOver]],1,Table1[[AwayTeam]:[AwayTeam]],$A20, Table1[[HomeTeam]:[HomeTeam]], G$1) + SUMIFS(Table1[[HomeWon]:[HomeWon]], Table1[[GameIsOver]:[GameIsOver]],1,Table1[[HomeTeam]:[HomeTeam]],$A20, Table1[[AwayTeam]:[AwayTeam]], G$1),0), "-", TEXT(SUMIFS(Table1[[HomeWon]:[HomeWon]], Table1[[GameIsOver]:[GameIsOver]],1,Table1[[AwayTeam]:[AwayTeam]],$A20, Table1[[HomeTeam]:[HomeTeam]], G$1, Table1[[ActualResult]:[ActualResult]], "REG") + SUMIFS(Table1[[AwayWon]:[AwayWon]], Table1[[GameIsOver]:[GameIsOver]],1,Table1[[HomeTeam]:[HomeTeam]],$A20, Table1[[AwayTeam]:[AwayTeam]], G$1, Table1[[ActualResult]:[ActualResult]], "REG"),0), "-", TEXT(SUMIFS(Table1[[HomeWon]:[HomeWon]], Table1[[GameIsOver]:[GameIsOver]],1,Table1[[AwayTeam]:[AwayTeam]],$A20, Table1[[HomeTeam]:[HomeTeam]], G$1, Table1[[ActualResult]:[ActualResult]], "OT") + SUMIFS(Table1[[AwayWon]:[AwayWon]], Table1[[GameIsOver]:[GameIsOver]],1,Table1[[HomeTeam]:[HomeTeam]],$A20, Table1[[AwayTeam]:[AwayTeam]], G$1, Table1[[ActualResult]:[ActualResult]], "OT") + SUMIFS(Table1[[HomeWon]:[HomeWon]], Table1[[GameIsOver]:[GameIsOver]],1,Table1[[AwayTeam]:[AwayTeam]],$A20, Table1[[HomeTeam]:[HomeTeam]], G$1, Table1[[ActualResult]:[ActualResult]], "SO") + SUMIFS(Table1[[AwayWon]:[AwayWon]], Table1[[GameIsOver]:[GameIsOver]],1,Table1[[HomeTeam]:[HomeTeam]],$A20, Table1[[AwayTeam]:[AwayTeam]], G$1, Table1[[ActualResult]:[ActualResult]], "SO"),0))</f>
        <v>1-0-0</v>
      </c>
      <c r="H20" s="57" t="str">
        <f>_xlfn.CONCAT(TEXT(SUMIFS(Table1[[AwayWon]:[AwayWon]], Table1[[GameIsOver]:[GameIsOver]],1,Table1[[AwayTeam]:[AwayTeam]],$A20, Table1[[HomeTeam]:[HomeTeam]], H$1) + SUMIFS(Table1[[HomeWon]:[HomeWon]], Table1[[GameIsOver]:[GameIsOver]],1,Table1[[HomeTeam]:[HomeTeam]],$A20, Table1[[AwayTeam]:[AwayTeam]], H$1),0), "-", TEXT(SUMIFS(Table1[[HomeWon]:[HomeWon]], Table1[[GameIsOver]:[GameIsOver]],1,Table1[[AwayTeam]:[AwayTeam]],$A20, Table1[[HomeTeam]:[HomeTeam]], H$1, Table1[[ActualResult]:[ActualResult]], "REG") + SUMIFS(Table1[[AwayWon]:[AwayWon]], Table1[[GameIsOver]:[GameIsOver]],1,Table1[[HomeTeam]:[HomeTeam]],$A20, Table1[[AwayTeam]:[AwayTeam]], H$1, Table1[[ActualResult]:[ActualResult]], "REG"),0), "-", TEXT(SUMIFS(Table1[[HomeWon]:[HomeWon]], Table1[[GameIsOver]:[GameIsOver]],1,Table1[[AwayTeam]:[AwayTeam]],$A20, Table1[[HomeTeam]:[HomeTeam]], H$1, Table1[[ActualResult]:[ActualResult]], "OT") + SUMIFS(Table1[[AwayWon]:[AwayWon]], Table1[[GameIsOver]:[GameIsOver]],1,Table1[[HomeTeam]:[HomeTeam]],$A20, Table1[[AwayTeam]:[AwayTeam]], H$1, Table1[[ActualResult]:[ActualResult]], "OT") + SUMIFS(Table1[[HomeWon]:[HomeWon]], Table1[[GameIsOver]:[GameIsOver]],1,Table1[[AwayTeam]:[AwayTeam]],$A20, Table1[[HomeTeam]:[HomeTeam]], H$1, Table1[[ActualResult]:[ActualResult]], "SO") + SUMIFS(Table1[[AwayWon]:[AwayWon]], Table1[[GameIsOver]:[GameIsOver]],1,Table1[[HomeTeam]:[HomeTeam]],$A20, Table1[[AwayTeam]:[AwayTeam]], H$1, Table1[[ActualResult]:[ActualResult]], "SO"),0))</f>
        <v>0-0-0</v>
      </c>
      <c r="I20" s="59" t="str">
        <f>_xlfn.CONCAT(TEXT(SUMIFS(Table1[[AwayWon]:[AwayWon]], Table1[[GameIsOver]:[GameIsOver]],1,Table1[[AwayTeam]:[AwayTeam]],$A20, Table1[[HomeTeam]:[HomeTeam]], I$1) + SUMIFS(Table1[[HomeWon]:[HomeWon]], Table1[[GameIsOver]:[GameIsOver]],1,Table1[[HomeTeam]:[HomeTeam]],$A20, Table1[[AwayTeam]:[AwayTeam]], I$1),0), "-", TEXT(SUMIFS(Table1[[HomeWon]:[HomeWon]], Table1[[GameIsOver]:[GameIsOver]],1,Table1[[AwayTeam]:[AwayTeam]],$A20, Table1[[HomeTeam]:[HomeTeam]], I$1, Table1[[ActualResult]:[ActualResult]], "REG") + SUMIFS(Table1[[AwayWon]:[AwayWon]], Table1[[GameIsOver]:[GameIsOver]],1,Table1[[HomeTeam]:[HomeTeam]],$A20, Table1[[AwayTeam]:[AwayTeam]], I$1, Table1[[ActualResult]:[ActualResult]], "REG"),0), "-", TEXT(SUMIFS(Table1[[HomeWon]:[HomeWon]], Table1[[GameIsOver]:[GameIsOver]],1,Table1[[AwayTeam]:[AwayTeam]],$A20, Table1[[HomeTeam]:[HomeTeam]], I$1, Table1[[ActualResult]:[ActualResult]], "OT") + SUMIFS(Table1[[AwayWon]:[AwayWon]], Table1[[GameIsOver]:[GameIsOver]],1,Table1[[HomeTeam]:[HomeTeam]],$A20, Table1[[AwayTeam]:[AwayTeam]], I$1, Table1[[ActualResult]:[ActualResult]], "OT") + SUMIFS(Table1[[HomeWon]:[HomeWon]], Table1[[GameIsOver]:[GameIsOver]],1,Table1[[AwayTeam]:[AwayTeam]],$A20, Table1[[HomeTeam]:[HomeTeam]], I$1, Table1[[ActualResult]:[ActualResult]], "SO") + SUMIFS(Table1[[AwayWon]:[AwayWon]], Table1[[GameIsOver]:[GameIsOver]],1,Table1[[HomeTeam]:[HomeTeam]],$A20, Table1[[AwayTeam]:[AwayTeam]], I$1, Table1[[ActualResult]:[ActualResult]], "SO"),0))</f>
        <v>0-0-0</v>
      </c>
      <c r="J20" s="57" t="str">
        <f>_xlfn.CONCAT(TEXT(SUMIFS(Table1[[AwayWon]:[AwayWon]], Table1[[GameIsOver]:[GameIsOver]],1,Table1[[AwayTeam]:[AwayTeam]],$A20, Table1[[HomeTeam]:[HomeTeam]], J$1) + SUMIFS(Table1[[HomeWon]:[HomeWon]], Table1[[GameIsOver]:[GameIsOver]],1,Table1[[HomeTeam]:[HomeTeam]],$A20, Table1[[AwayTeam]:[AwayTeam]], J$1),0), "-", TEXT(SUMIFS(Table1[[HomeWon]:[HomeWon]], Table1[[GameIsOver]:[GameIsOver]],1,Table1[[AwayTeam]:[AwayTeam]],$A20, Table1[[HomeTeam]:[HomeTeam]], J$1, Table1[[ActualResult]:[ActualResult]], "REG") + SUMIFS(Table1[[AwayWon]:[AwayWon]], Table1[[GameIsOver]:[GameIsOver]],1,Table1[[HomeTeam]:[HomeTeam]],$A20, Table1[[AwayTeam]:[AwayTeam]], J$1, Table1[[ActualResult]:[ActualResult]], "REG"),0), "-", TEXT(SUMIFS(Table1[[HomeWon]:[HomeWon]], Table1[[GameIsOver]:[GameIsOver]],1,Table1[[AwayTeam]:[AwayTeam]],$A20, Table1[[HomeTeam]:[HomeTeam]], J$1, Table1[[ActualResult]:[ActualResult]], "OT") + SUMIFS(Table1[[AwayWon]:[AwayWon]], Table1[[GameIsOver]:[GameIsOver]],1,Table1[[HomeTeam]:[HomeTeam]],$A20, Table1[[AwayTeam]:[AwayTeam]], J$1, Table1[[ActualResult]:[ActualResult]], "OT") + SUMIFS(Table1[[HomeWon]:[HomeWon]], Table1[[GameIsOver]:[GameIsOver]],1,Table1[[AwayTeam]:[AwayTeam]],$A20, Table1[[HomeTeam]:[HomeTeam]], J$1, Table1[[ActualResult]:[ActualResult]], "SO") + SUMIFS(Table1[[AwayWon]:[AwayWon]], Table1[[GameIsOver]:[GameIsOver]],1,Table1[[HomeTeam]:[HomeTeam]],$A20, Table1[[AwayTeam]:[AwayTeam]], J$1, Table1[[ActualResult]:[ActualResult]], "SO"),0))</f>
        <v>0-0-0</v>
      </c>
      <c r="K20" s="57" t="str">
        <f>_xlfn.CONCAT(TEXT(SUMIFS(Table1[[AwayWon]:[AwayWon]], Table1[[GameIsOver]:[GameIsOver]],1,Table1[[AwayTeam]:[AwayTeam]],$A20, Table1[[HomeTeam]:[HomeTeam]], K$1) + SUMIFS(Table1[[HomeWon]:[HomeWon]], Table1[[GameIsOver]:[GameIsOver]],1,Table1[[HomeTeam]:[HomeTeam]],$A20, Table1[[AwayTeam]:[AwayTeam]], K$1),0), "-", TEXT(SUMIFS(Table1[[HomeWon]:[HomeWon]], Table1[[GameIsOver]:[GameIsOver]],1,Table1[[AwayTeam]:[AwayTeam]],$A20, Table1[[HomeTeam]:[HomeTeam]], K$1, Table1[[ActualResult]:[ActualResult]], "REG") + SUMIFS(Table1[[AwayWon]:[AwayWon]], Table1[[GameIsOver]:[GameIsOver]],1,Table1[[HomeTeam]:[HomeTeam]],$A20, Table1[[AwayTeam]:[AwayTeam]], K$1, Table1[[ActualResult]:[ActualResult]], "REG"),0), "-", TEXT(SUMIFS(Table1[[HomeWon]:[HomeWon]], Table1[[GameIsOver]:[GameIsOver]],1,Table1[[AwayTeam]:[AwayTeam]],$A20, Table1[[HomeTeam]:[HomeTeam]], K$1, Table1[[ActualResult]:[ActualResult]], "OT") + SUMIFS(Table1[[AwayWon]:[AwayWon]], Table1[[GameIsOver]:[GameIsOver]],1,Table1[[HomeTeam]:[HomeTeam]],$A20, Table1[[AwayTeam]:[AwayTeam]], K$1, Table1[[ActualResult]:[ActualResult]], "OT") + SUMIFS(Table1[[HomeWon]:[HomeWon]], Table1[[GameIsOver]:[GameIsOver]],1,Table1[[AwayTeam]:[AwayTeam]],$A20, Table1[[HomeTeam]:[HomeTeam]], K$1, Table1[[ActualResult]:[ActualResult]], "SO") + SUMIFS(Table1[[AwayWon]:[AwayWon]], Table1[[GameIsOver]:[GameIsOver]],1,Table1[[HomeTeam]:[HomeTeam]],$A20, Table1[[AwayTeam]:[AwayTeam]], K$1, Table1[[ActualResult]:[ActualResult]], "SO"),0))</f>
        <v>0-0-0</v>
      </c>
      <c r="L20" s="57" t="str">
        <f>_xlfn.CONCAT(TEXT(SUMIFS(Table1[[AwayWon]:[AwayWon]], Table1[[GameIsOver]:[GameIsOver]],1,Table1[[AwayTeam]:[AwayTeam]],$A20, Table1[[HomeTeam]:[HomeTeam]], L$1) + SUMIFS(Table1[[HomeWon]:[HomeWon]], Table1[[GameIsOver]:[GameIsOver]],1,Table1[[HomeTeam]:[HomeTeam]],$A20, Table1[[AwayTeam]:[AwayTeam]], L$1),0), "-", TEXT(SUMIFS(Table1[[HomeWon]:[HomeWon]], Table1[[GameIsOver]:[GameIsOver]],1,Table1[[AwayTeam]:[AwayTeam]],$A20, Table1[[HomeTeam]:[HomeTeam]], L$1, Table1[[ActualResult]:[ActualResult]], "REG") + SUMIFS(Table1[[AwayWon]:[AwayWon]], Table1[[GameIsOver]:[GameIsOver]],1,Table1[[HomeTeam]:[HomeTeam]],$A20, Table1[[AwayTeam]:[AwayTeam]], L$1, Table1[[ActualResult]:[ActualResult]], "REG"),0), "-", TEXT(SUMIFS(Table1[[HomeWon]:[HomeWon]], Table1[[GameIsOver]:[GameIsOver]],1,Table1[[AwayTeam]:[AwayTeam]],$A20, Table1[[HomeTeam]:[HomeTeam]], L$1, Table1[[ActualResult]:[ActualResult]], "OT") + SUMIFS(Table1[[AwayWon]:[AwayWon]], Table1[[GameIsOver]:[GameIsOver]],1,Table1[[HomeTeam]:[HomeTeam]],$A20, Table1[[AwayTeam]:[AwayTeam]], L$1, Table1[[ActualResult]:[ActualResult]], "OT") + SUMIFS(Table1[[HomeWon]:[HomeWon]], Table1[[GameIsOver]:[GameIsOver]],1,Table1[[AwayTeam]:[AwayTeam]],$A20, Table1[[HomeTeam]:[HomeTeam]], L$1, Table1[[ActualResult]:[ActualResult]], "SO") + SUMIFS(Table1[[AwayWon]:[AwayWon]], Table1[[GameIsOver]:[GameIsOver]],1,Table1[[HomeTeam]:[HomeTeam]],$A20, Table1[[AwayTeam]:[AwayTeam]], L$1, Table1[[ActualResult]:[ActualResult]], "SO"),0))</f>
        <v>0-0-0</v>
      </c>
      <c r="M20" s="57" t="str">
        <f>_xlfn.CONCAT(TEXT(SUMIFS(Table1[[AwayWon]:[AwayWon]], Table1[[GameIsOver]:[GameIsOver]],1,Table1[[AwayTeam]:[AwayTeam]],$A20, Table1[[HomeTeam]:[HomeTeam]], M$1) + SUMIFS(Table1[[HomeWon]:[HomeWon]], Table1[[GameIsOver]:[GameIsOver]],1,Table1[[HomeTeam]:[HomeTeam]],$A20, Table1[[AwayTeam]:[AwayTeam]], M$1),0), "-", TEXT(SUMIFS(Table1[[HomeWon]:[HomeWon]], Table1[[GameIsOver]:[GameIsOver]],1,Table1[[AwayTeam]:[AwayTeam]],$A20, Table1[[HomeTeam]:[HomeTeam]], M$1, Table1[[ActualResult]:[ActualResult]], "REG") + SUMIFS(Table1[[AwayWon]:[AwayWon]], Table1[[GameIsOver]:[GameIsOver]],1,Table1[[HomeTeam]:[HomeTeam]],$A20, Table1[[AwayTeam]:[AwayTeam]], M$1, Table1[[ActualResult]:[ActualResult]], "REG"),0), "-", TEXT(SUMIFS(Table1[[HomeWon]:[HomeWon]], Table1[[GameIsOver]:[GameIsOver]],1,Table1[[AwayTeam]:[AwayTeam]],$A20, Table1[[HomeTeam]:[HomeTeam]], M$1, Table1[[ActualResult]:[ActualResult]], "OT") + SUMIFS(Table1[[AwayWon]:[AwayWon]], Table1[[GameIsOver]:[GameIsOver]],1,Table1[[HomeTeam]:[HomeTeam]],$A20, Table1[[AwayTeam]:[AwayTeam]], M$1, Table1[[ActualResult]:[ActualResult]], "OT") + SUMIFS(Table1[[HomeWon]:[HomeWon]], Table1[[GameIsOver]:[GameIsOver]],1,Table1[[AwayTeam]:[AwayTeam]],$A20, Table1[[HomeTeam]:[HomeTeam]], M$1, Table1[[ActualResult]:[ActualResult]], "SO") + SUMIFS(Table1[[AwayWon]:[AwayWon]], Table1[[GameIsOver]:[GameIsOver]],1,Table1[[HomeTeam]:[HomeTeam]],$A20, Table1[[AwayTeam]:[AwayTeam]], M$1, Table1[[ActualResult]:[ActualResult]], "SO"),0))</f>
        <v>0-0-0</v>
      </c>
      <c r="N20" s="57" t="str">
        <f>_xlfn.CONCAT(TEXT(SUMIFS(Table1[[AwayWon]:[AwayWon]], Table1[[GameIsOver]:[GameIsOver]],1,Table1[[AwayTeam]:[AwayTeam]],$A20, Table1[[HomeTeam]:[HomeTeam]], N$1) + SUMIFS(Table1[[HomeWon]:[HomeWon]], Table1[[GameIsOver]:[GameIsOver]],1,Table1[[HomeTeam]:[HomeTeam]],$A20, Table1[[AwayTeam]:[AwayTeam]], N$1),0), "-", TEXT(SUMIFS(Table1[[HomeWon]:[HomeWon]], Table1[[GameIsOver]:[GameIsOver]],1,Table1[[AwayTeam]:[AwayTeam]],$A20, Table1[[HomeTeam]:[HomeTeam]], N$1, Table1[[ActualResult]:[ActualResult]], "REG") + SUMIFS(Table1[[AwayWon]:[AwayWon]], Table1[[GameIsOver]:[GameIsOver]],1,Table1[[HomeTeam]:[HomeTeam]],$A20, Table1[[AwayTeam]:[AwayTeam]], N$1, Table1[[ActualResult]:[ActualResult]], "REG"),0), "-", TEXT(SUMIFS(Table1[[HomeWon]:[HomeWon]], Table1[[GameIsOver]:[GameIsOver]],1,Table1[[AwayTeam]:[AwayTeam]],$A20, Table1[[HomeTeam]:[HomeTeam]], N$1, Table1[[ActualResult]:[ActualResult]], "OT") + SUMIFS(Table1[[AwayWon]:[AwayWon]], Table1[[GameIsOver]:[GameIsOver]],1,Table1[[HomeTeam]:[HomeTeam]],$A20, Table1[[AwayTeam]:[AwayTeam]], N$1, Table1[[ActualResult]:[ActualResult]], "OT") + SUMIFS(Table1[[HomeWon]:[HomeWon]], Table1[[GameIsOver]:[GameIsOver]],1,Table1[[AwayTeam]:[AwayTeam]],$A20, Table1[[HomeTeam]:[HomeTeam]], N$1, Table1[[ActualResult]:[ActualResult]], "SO") + SUMIFS(Table1[[AwayWon]:[AwayWon]], Table1[[GameIsOver]:[GameIsOver]],1,Table1[[HomeTeam]:[HomeTeam]],$A20, Table1[[AwayTeam]:[AwayTeam]], N$1, Table1[[ActualResult]:[ActualResult]], "SO"),0))</f>
        <v>0-0-0</v>
      </c>
      <c r="O20" s="57" t="str">
        <f>_xlfn.CONCAT(TEXT(SUMIFS(Table1[[AwayWon]:[AwayWon]], Table1[[GameIsOver]:[GameIsOver]],1,Table1[[AwayTeam]:[AwayTeam]],$A20, Table1[[HomeTeam]:[HomeTeam]], O$1) + SUMIFS(Table1[[HomeWon]:[HomeWon]], Table1[[GameIsOver]:[GameIsOver]],1,Table1[[HomeTeam]:[HomeTeam]],$A20, Table1[[AwayTeam]:[AwayTeam]], O$1),0), "-", TEXT(SUMIFS(Table1[[HomeWon]:[HomeWon]], Table1[[GameIsOver]:[GameIsOver]],1,Table1[[AwayTeam]:[AwayTeam]],$A20, Table1[[HomeTeam]:[HomeTeam]], O$1, Table1[[ActualResult]:[ActualResult]], "REG") + SUMIFS(Table1[[AwayWon]:[AwayWon]], Table1[[GameIsOver]:[GameIsOver]],1,Table1[[HomeTeam]:[HomeTeam]],$A20, Table1[[AwayTeam]:[AwayTeam]], O$1, Table1[[ActualResult]:[ActualResult]], "REG"),0), "-", TEXT(SUMIFS(Table1[[HomeWon]:[HomeWon]], Table1[[GameIsOver]:[GameIsOver]],1,Table1[[AwayTeam]:[AwayTeam]],$A20, Table1[[HomeTeam]:[HomeTeam]], O$1, Table1[[ActualResult]:[ActualResult]], "OT") + SUMIFS(Table1[[AwayWon]:[AwayWon]], Table1[[GameIsOver]:[GameIsOver]],1,Table1[[HomeTeam]:[HomeTeam]],$A20, Table1[[AwayTeam]:[AwayTeam]], O$1, Table1[[ActualResult]:[ActualResult]], "OT") + SUMIFS(Table1[[HomeWon]:[HomeWon]], Table1[[GameIsOver]:[GameIsOver]],1,Table1[[AwayTeam]:[AwayTeam]],$A20, Table1[[HomeTeam]:[HomeTeam]], O$1, Table1[[ActualResult]:[ActualResult]], "SO") + SUMIFS(Table1[[AwayWon]:[AwayWon]], Table1[[GameIsOver]:[GameIsOver]],1,Table1[[HomeTeam]:[HomeTeam]],$A20, Table1[[AwayTeam]:[AwayTeam]], O$1, Table1[[ActualResult]:[ActualResult]], "SO"),0))</f>
        <v>0-0-0</v>
      </c>
      <c r="P20" s="57" t="str">
        <f>_xlfn.CONCAT(TEXT(SUMIFS(Table1[[AwayWon]:[AwayWon]], Table1[[GameIsOver]:[GameIsOver]],1,Table1[[AwayTeam]:[AwayTeam]],$A20, Table1[[HomeTeam]:[HomeTeam]], P$1) + SUMIFS(Table1[[HomeWon]:[HomeWon]], Table1[[GameIsOver]:[GameIsOver]],1,Table1[[HomeTeam]:[HomeTeam]],$A20, Table1[[AwayTeam]:[AwayTeam]], P$1),0), "-", TEXT(SUMIFS(Table1[[HomeWon]:[HomeWon]], Table1[[GameIsOver]:[GameIsOver]],1,Table1[[AwayTeam]:[AwayTeam]],$A20, Table1[[HomeTeam]:[HomeTeam]], P$1, Table1[[ActualResult]:[ActualResult]], "REG") + SUMIFS(Table1[[AwayWon]:[AwayWon]], Table1[[GameIsOver]:[GameIsOver]],1,Table1[[HomeTeam]:[HomeTeam]],$A20, Table1[[AwayTeam]:[AwayTeam]], P$1, Table1[[ActualResult]:[ActualResult]], "REG"),0), "-", TEXT(SUMIFS(Table1[[HomeWon]:[HomeWon]], Table1[[GameIsOver]:[GameIsOver]],1,Table1[[AwayTeam]:[AwayTeam]],$A20, Table1[[HomeTeam]:[HomeTeam]], P$1, Table1[[ActualResult]:[ActualResult]], "OT") + SUMIFS(Table1[[AwayWon]:[AwayWon]], Table1[[GameIsOver]:[GameIsOver]],1,Table1[[HomeTeam]:[HomeTeam]],$A20, Table1[[AwayTeam]:[AwayTeam]], P$1, Table1[[ActualResult]:[ActualResult]], "OT") + SUMIFS(Table1[[HomeWon]:[HomeWon]], Table1[[GameIsOver]:[GameIsOver]],1,Table1[[AwayTeam]:[AwayTeam]],$A20, Table1[[HomeTeam]:[HomeTeam]], P$1, Table1[[ActualResult]:[ActualResult]], "SO") + SUMIFS(Table1[[AwayWon]:[AwayWon]], Table1[[GameIsOver]:[GameIsOver]],1,Table1[[HomeTeam]:[HomeTeam]],$A20, Table1[[AwayTeam]:[AwayTeam]], P$1, Table1[[ActualResult]:[ActualResult]], "SO"),0))</f>
        <v>0-0-0</v>
      </c>
      <c r="Q20" s="59" t="str">
        <f>_xlfn.CONCAT(TEXT(SUMIFS(Table1[[AwayWon]:[AwayWon]], Table1[[GameIsOver]:[GameIsOver]],1,Table1[[AwayTeam]:[AwayTeam]],$A20, Table1[[HomeTeam]:[HomeTeam]], Q$1) + SUMIFS(Table1[[HomeWon]:[HomeWon]], Table1[[GameIsOver]:[GameIsOver]],1,Table1[[HomeTeam]:[HomeTeam]],$A20, Table1[[AwayTeam]:[AwayTeam]], Q$1),0), "-", TEXT(SUMIFS(Table1[[HomeWon]:[HomeWon]], Table1[[GameIsOver]:[GameIsOver]],1,Table1[[AwayTeam]:[AwayTeam]],$A20, Table1[[HomeTeam]:[HomeTeam]], Q$1, Table1[[ActualResult]:[ActualResult]], "REG") + SUMIFS(Table1[[AwayWon]:[AwayWon]], Table1[[GameIsOver]:[GameIsOver]],1,Table1[[HomeTeam]:[HomeTeam]],$A20, Table1[[AwayTeam]:[AwayTeam]], Q$1, Table1[[ActualResult]:[ActualResult]], "REG"),0), "-", TEXT(SUMIFS(Table1[[HomeWon]:[HomeWon]], Table1[[GameIsOver]:[GameIsOver]],1,Table1[[AwayTeam]:[AwayTeam]],$A20, Table1[[HomeTeam]:[HomeTeam]], Q$1, Table1[[ActualResult]:[ActualResult]], "OT") + SUMIFS(Table1[[AwayWon]:[AwayWon]], Table1[[GameIsOver]:[GameIsOver]],1,Table1[[HomeTeam]:[HomeTeam]],$A20, Table1[[AwayTeam]:[AwayTeam]], Q$1, Table1[[ActualResult]:[ActualResult]], "OT") + SUMIFS(Table1[[HomeWon]:[HomeWon]], Table1[[GameIsOver]:[GameIsOver]],1,Table1[[AwayTeam]:[AwayTeam]],$A20, Table1[[HomeTeam]:[HomeTeam]], Q$1, Table1[[ActualResult]:[ActualResult]], "SO") + SUMIFS(Table1[[AwayWon]:[AwayWon]], Table1[[GameIsOver]:[GameIsOver]],1,Table1[[HomeTeam]:[HomeTeam]],$A20, Table1[[AwayTeam]:[AwayTeam]], Q$1, Table1[[ActualResult]:[ActualResult]], "SO"),0))</f>
        <v>0-0-0</v>
      </c>
      <c r="R20" s="57" t="str">
        <f>_xlfn.CONCAT(TEXT(SUMIFS(Table1[[AwayWon]:[AwayWon]], Table1[[GameIsOver]:[GameIsOver]],1,Table1[[AwayTeam]:[AwayTeam]],$A20, Table1[[HomeTeam]:[HomeTeam]], R$1) + SUMIFS(Table1[[HomeWon]:[HomeWon]], Table1[[GameIsOver]:[GameIsOver]],1,Table1[[HomeTeam]:[HomeTeam]],$A20, Table1[[AwayTeam]:[AwayTeam]], R$1),0), "-", TEXT(SUMIFS(Table1[[HomeWon]:[HomeWon]], Table1[[GameIsOver]:[GameIsOver]],1,Table1[[AwayTeam]:[AwayTeam]],$A20, Table1[[HomeTeam]:[HomeTeam]], R$1, Table1[[ActualResult]:[ActualResult]], "REG") + SUMIFS(Table1[[AwayWon]:[AwayWon]], Table1[[GameIsOver]:[GameIsOver]],1,Table1[[HomeTeam]:[HomeTeam]],$A20, Table1[[AwayTeam]:[AwayTeam]], R$1, Table1[[ActualResult]:[ActualResult]], "REG"),0), "-", TEXT(SUMIFS(Table1[[HomeWon]:[HomeWon]], Table1[[GameIsOver]:[GameIsOver]],1,Table1[[AwayTeam]:[AwayTeam]],$A20, Table1[[HomeTeam]:[HomeTeam]], R$1, Table1[[ActualResult]:[ActualResult]], "OT") + SUMIFS(Table1[[AwayWon]:[AwayWon]], Table1[[GameIsOver]:[GameIsOver]],1,Table1[[HomeTeam]:[HomeTeam]],$A20, Table1[[AwayTeam]:[AwayTeam]], R$1, Table1[[ActualResult]:[ActualResult]], "OT") + SUMIFS(Table1[[HomeWon]:[HomeWon]], Table1[[GameIsOver]:[GameIsOver]],1,Table1[[AwayTeam]:[AwayTeam]],$A20, Table1[[HomeTeam]:[HomeTeam]], R$1, Table1[[ActualResult]:[ActualResult]], "SO") + SUMIFS(Table1[[AwayWon]:[AwayWon]], Table1[[GameIsOver]:[GameIsOver]],1,Table1[[HomeTeam]:[HomeTeam]],$A20, Table1[[AwayTeam]:[AwayTeam]], R$1, Table1[[ActualResult]:[ActualResult]], "SO"),0))</f>
        <v>0-0-0</v>
      </c>
      <c r="S20" s="57" t="str">
        <f>_xlfn.CONCAT(TEXT(SUMIFS(Table1[[AwayWon]:[AwayWon]], Table1[[GameIsOver]:[GameIsOver]],1,Table1[[AwayTeam]:[AwayTeam]],$A20, Table1[[HomeTeam]:[HomeTeam]], S$1) + SUMIFS(Table1[[HomeWon]:[HomeWon]], Table1[[GameIsOver]:[GameIsOver]],1,Table1[[HomeTeam]:[HomeTeam]],$A20, Table1[[AwayTeam]:[AwayTeam]], S$1),0), "-", TEXT(SUMIFS(Table1[[HomeWon]:[HomeWon]], Table1[[GameIsOver]:[GameIsOver]],1,Table1[[AwayTeam]:[AwayTeam]],$A20, Table1[[HomeTeam]:[HomeTeam]], S$1, Table1[[ActualResult]:[ActualResult]], "REG") + SUMIFS(Table1[[AwayWon]:[AwayWon]], Table1[[GameIsOver]:[GameIsOver]],1,Table1[[HomeTeam]:[HomeTeam]],$A20, Table1[[AwayTeam]:[AwayTeam]], S$1, Table1[[ActualResult]:[ActualResult]], "REG"),0), "-", TEXT(SUMIFS(Table1[[HomeWon]:[HomeWon]], Table1[[GameIsOver]:[GameIsOver]],1,Table1[[AwayTeam]:[AwayTeam]],$A20, Table1[[HomeTeam]:[HomeTeam]], S$1, Table1[[ActualResult]:[ActualResult]], "OT") + SUMIFS(Table1[[AwayWon]:[AwayWon]], Table1[[GameIsOver]:[GameIsOver]],1,Table1[[HomeTeam]:[HomeTeam]],$A20, Table1[[AwayTeam]:[AwayTeam]], S$1, Table1[[ActualResult]:[ActualResult]], "OT") + SUMIFS(Table1[[HomeWon]:[HomeWon]], Table1[[GameIsOver]:[GameIsOver]],1,Table1[[AwayTeam]:[AwayTeam]],$A20, Table1[[HomeTeam]:[HomeTeam]], S$1, Table1[[ActualResult]:[ActualResult]], "SO") + SUMIFS(Table1[[AwayWon]:[AwayWon]], Table1[[GameIsOver]:[GameIsOver]],1,Table1[[HomeTeam]:[HomeTeam]],$A20, Table1[[AwayTeam]:[AwayTeam]], S$1, Table1[[ActualResult]:[ActualResult]], "SO"),0))</f>
        <v>0-0-0</v>
      </c>
      <c r="T20" s="57" t="str">
        <f>_xlfn.CONCAT(TEXT(SUMIFS(Table1[[AwayWon]:[AwayWon]], Table1[[GameIsOver]:[GameIsOver]],1,Table1[[AwayTeam]:[AwayTeam]],$A20, Table1[[HomeTeam]:[HomeTeam]], T$1) + SUMIFS(Table1[[HomeWon]:[HomeWon]], Table1[[GameIsOver]:[GameIsOver]],1,Table1[[HomeTeam]:[HomeTeam]],$A20, Table1[[AwayTeam]:[AwayTeam]], T$1),0), "-", TEXT(SUMIFS(Table1[[HomeWon]:[HomeWon]], Table1[[GameIsOver]:[GameIsOver]],1,Table1[[AwayTeam]:[AwayTeam]],$A20, Table1[[HomeTeam]:[HomeTeam]], T$1, Table1[[ActualResult]:[ActualResult]], "REG") + SUMIFS(Table1[[AwayWon]:[AwayWon]], Table1[[GameIsOver]:[GameIsOver]],1,Table1[[HomeTeam]:[HomeTeam]],$A20, Table1[[AwayTeam]:[AwayTeam]], T$1, Table1[[ActualResult]:[ActualResult]], "REG"),0), "-", TEXT(SUMIFS(Table1[[HomeWon]:[HomeWon]], Table1[[GameIsOver]:[GameIsOver]],1,Table1[[AwayTeam]:[AwayTeam]],$A20, Table1[[HomeTeam]:[HomeTeam]], T$1, Table1[[ActualResult]:[ActualResult]], "OT") + SUMIFS(Table1[[AwayWon]:[AwayWon]], Table1[[GameIsOver]:[GameIsOver]],1,Table1[[HomeTeam]:[HomeTeam]],$A20, Table1[[AwayTeam]:[AwayTeam]], T$1, Table1[[ActualResult]:[ActualResult]], "OT") + SUMIFS(Table1[[HomeWon]:[HomeWon]], Table1[[GameIsOver]:[GameIsOver]],1,Table1[[AwayTeam]:[AwayTeam]],$A20, Table1[[HomeTeam]:[HomeTeam]], T$1, Table1[[ActualResult]:[ActualResult]], "SO") + SUMIFS(Table1[[AwayWon]:[AwayWon]], Table1[[GameIsOver]:[GameIsOver]],1,Table1[[HomeTeam]:[HomeTeam]],$A20, Table1[[AwayTeam]:[AwayTeam]], T$1, Table1[[ActualResult]:[ActualResult]], "SO"),0))</f>
        <v>0-0-0</v>
      </c>
      <c r="U20" s="57" t="str">
        <f>_xlfn.CONCAT(TEXT(SUMIFS(Table1[[AwayWon]:[AwayWon]], Table1[[GameIsOver]:[GameIsOver]],1,Table1[[AwayTeam]:[AwayTeam]],$A20, Table1[[HomeTeam]:[HomeTeam]], U$1) + SUMIFS(Table1[[HomeWon]:[HomeWon]], Table1[[GameIsOver]:[GameIsOver]],1,Table1[[HomeTeam]:[HomeTeam]],$A20, Table1[[AwayTeam]:[AwayTeam]], U$1),0), "-", TEXT(SUMIFS(Table1[[HomeWon]:[HomeWon]], Table1[[GameIsOver]:[GameIsOver]],1,Table1[[AwayTeam]:[AwayTeam]],$A20, Table1[[HomeTeam]:[HomeTeam]], U$1, Table1[[ActualResult]:[ActualResult]], "REG") + SUMIFS(Table1[[AwayWon]:[AwayWon]], Table1[[GameIsOver]:[GameIsOver]],1,Table1[[HomeTeam]:[HomeTeam]],$A20, Table1[[AwayTeam]:[AwayTeam]], U$1, Table1[[ActualResult]:[ActualResult]], "REG"),0), "-", TEXT(SUMIFS(Table1[[HomeWon]:[HomeWon]], Table1[[GameIsOver]:[GameIsOver]],1,Table1[[AwayTeam]:[AwayTeam]],$A20, Table1[[HomeTeam]:[HomeTeam]], U$1, Table1[[ActualResult]:[ActualResult]], "OT") + SUMIFS(Table1[[AwayWon]:[AwayWon]], Table1[[GameIsOver]:[GameIsOver]],1,Table1[[HomeTeam]:[HomeTeam]],$A20, Table1[[AwayTeam]:[AwayTeam]], U$1, Table1[[ActualResult]:[ActualResult]], "OT") + SUMIFS(Table1[[HomeWon]:[HomeWon]], Table1[[GameIsOver]:[GameIsOver]],1,Table1[[AwayTeam]:[AwayTeam]],$A20, Table1[[HomeTeam]:[HomeTeam]], U$1, Table1[[ActualResult]:[ActualResult]], "SO") + SUMIFS(Table1[[AwayWon]:[AwayWon]], Table1[[GameIsOver]:[GameIsOver]],1,Table1[[HomeTeam]:[HomeTeam]],$A20, Table1[[AwayTeam]:[AwayTeam]], U$1, Table1[[ActualResult]:[ActualResult]], "SO"),0))</f>
        <v>0-0-0</v>
      </c>
      <c r="V20" s="57" t="str">
        <f>_xlfn.CONCAT(TEXT(SUMIFS(Table1[[AwayWon]:[AwayWon]], Table1[[GameIsOver]:[GameIsOver]],1,Table1[[AwayTeam]:[AwayTeam]],$A20, Table1[[HomeTeam]:[HomeTeam]], V$1) + SUMIFS(Table1[[HomeWon]:[HomeWon]], Table1[[GameIsOver]:[GameIsOver]],1,Table1[[HomeTeam]:[HomeTeam]],$A20, Table1[[AwayTeam]:[AwayTeam]], V$1),0), "-", TEXT(SUMIFS(Table1[[HomeWon]:[HomeWon]], Table1[[GameIsOver]:[GameIsOver]],1,Table1[[AwayTeam]:[AwayTeam]],$A20, Table1[[HomeTeam]:[HomeTeam]], V$1, Table1[[ActualResult]:[ActualResult]], "REG") + SUMIFS(Table1[[AwayWon]:[AwayWon]], Table1[[GameIsOver]:[GameIsOver]],1,Table1[[HomeTeam]:[HomeTeam]],$A20, Table1[[AwayTeam]:[AwayTeam]], V$1, Table1[[ActualResult]:[ActualResult]], "REG"),0), "-", TEXT(SUMIFS(Table1[[HomeWon]:[HomeWon]], Table1[[GameIsOver]:[GameIsOver]],1,Table1[[AwayTeam]:[AwayTeam]],$A20, Table1[[HomeTeam]:[HomeTeam]], V$1, Table1[[ActualResult]:[ActualResult]], "OT") + SUMIFS(Table1[[AwayWon]:[AwayWon]], Table1[[GameIsOver]:[GameIsOver]],1,Table1[[HomeTeam]:[HomeTeam]],$A20, Table1[[AwayTeam]:[AwayTeam]], V$1, Table1[[ActualResult]:[ActualResult]], "OT") + SUMIFS(Table1[[HomeWon]:[HomeWon]], Table1[[GameIsOver]:[GameIsOver]],1,Table1[[AwayTeam]:[AwayTeam]],$A20, Table1[[HomeTeam]:[HomeTeam]], V$1, Table1[[ActualResult]:[ActualResult]], "SO") + SUMIFS(Table1[[AwayWon]:[AwayWon]], Table1[[GameIsOver]:[GameIsOver]],1,Table1[[HomeTeam]:[HomeTeam]],$A20, Table1[[AwayTeam]:[AwayTeam]], V$1, Table1[[ActualResult]:[ActualResult]], "SO"),0))</f>
        <v>0-0-0</v>
      </c>
      <c r="W20" s="57" t="str">
        <f>_xlfn.CONCAT(TEXT(SUMIFS(Table1[[AwayWon]:[AwayWon]], Table1[[GameIsOver]:[GameIsOver]],1,Table1[[AwayTeam]:[AwayTeam]],$A20, Table1[[HomeTeam]:[HomeTeam]], W$1) + SUMIFS(Table1[[HomeWon]:[HomeWon]], Table1[[GameIsOver]:[GameIsOver]],1,Table1[[HomeTeam]:[HomeTeam]],$A20, Table1[[AwayTeam]:[AwayTeam]], W$1),0), "-", TEXT(SUMIFS(Table1[[HomeWon]:[HomeWon]], Table1[[GameIsOver]:[GameIsOver]],1,Table1[[AwayTeam]:[AwayTeam]],$A20, Table1[[HomeTeam]:[HomeTeam]], W$1, Table1[[ActualResult]:[ActualResult]], "REG") + SUMIFS(Table1[[AwayWon]:[AwayWon]], Table1[[GameIsOver]:[GameIsOver]],1,Table1[[HomeTeam]:[HomeTeam]],$A20, Table1[[AwayTeam]:[AwayTeam]], W$1, Table1[[ActualResult]:[ActualResult]], "REG"),0), "-", TEXT(SUMIFS(Table1[[HomeWon]:[HomeWon]], Table1[[GameIsOver]:[GameIsOver]],1,Table1[[AwayTeam]:[AwayTeam]],$A20, Table1[[HomeTeam]:[HomeTeam]], W$1, Table1[[ActualResult]:[ActualResult]], "OT") + SUMIFS(Table1[[AwayWon]:[AwayWon]], Table1[[GameIsOver]:[GameIsOver]],1,Table1[[HomeTeam]:[HomeTeam]],$A20, Table1[[AwayTeam]:[AwayTeam]], W$1, Table1[[ActualResult]:[ActualResult]], "OT") + SUMIFS(Table1[[HomeWon]:[HomeWon]], Table1[[GameIsOver]:[GameIsOver]],1,Table1[[AwayTeam]:[AwayTeam]],$A20, Table1[[HomeTeam]:[HomeTeam]], W$1, Table1[[ActualResult]:[ActualResult]], "SO") + SUMIFS(Table1[[AwayWon]:[AwayWon]], Table1[[GameIsOver]:[GameIsOver]],1,Table1[[HomeTeam]:[HomeTeam]],$A20, Table1[[AwayTeam]:[AwayTeam]], W$1, Table1[[ActualResult]:[ActualResult]], "SO"),0))</f>
        <v>0-0-0</v>
      </c>
      <c r="X20" s="57" t="str">
        <f>_xlfn.CONCAT(TEXT(SUMIFS(Table1[[AwayWon]:[AwayWon]], Table1[[GameIsOver]:[GameIsOver]],1,Table1[[AwayTeam]:[AwayTeam]],$A20, Table1[[HomeTeam]:[HomeTeam]], X$1) + SUMIFS(Table1[[HomeWon]:[HomeWon]], Table1[[GameIsOver]:[GameIsOver]],1,Table1[[HomeTeam]:[HomeTeam]],$A20, Table1[[AwayTeam]:[AwayTeam]], X$1),0), "-", TEXT(SUMIFS(Table1[[HomeWon]:[HomeWon]], Table1[[GameIsOver]:[GameIsOver]],1,Table1[[AwayTeam]:[AwayTeam]],$A20, Table1[[HomeTeam]:[HomeTeam]], X$1, Table1[[ActualResult]:[ActualResult]], "REG") + SUMIFS(Table1[[AwayWon]:[AwayWon]], Table1[[GameIsOver]:[GameIsOver]],1,Table1[[HomeTeam]:[HomeTeam]],$A20, Table1[[AwayTeam]:[AwayTeam]], X$1, Table1[[ActualResult]:[ActualResult]], "REG"),0), "-", TEXT(SUMIFS(Table1[[HomeWon]:[HomeWon]], Table1[[GameIsOver]:[GameIsOver]],1,Table1[[AwayTeam]:[AwayTeam]],$A20, Table1[[HomeTeam]:[HomeTeam]], X$1, Table1[[ActualResult]:[ActualResult]], "OT") + SUMIFS(Table1[[AwayWon]:[AwayWon]], Table1[[GameIsOver]:[GameIsOver]],1,Table1[[HomeTeam]:[HomeTeam]],$A20, Table1[[AwayTeam]:[AwayTeam]], X$1, Table1[[ActualResult]:[ActualResult]], "OT") + SUMIFS(Table1[[HomeWon]:[HomeWon]], Table1[[GameIsOver]:[GameIsOver]],1,Table1[[AwayTeam]:[AwayTeam]],$A20, Table1[[HomeTeam]:[HomeTeam]], X$1, Table1[[ActualResult]:[ActualResult]], "SO") + SUMIFS(Table1[[AwayWon]:[AwayWon]], Table1[[GameIsOver]:[GameIsOver]],1,Table1[[HomeTeam]:[HomeTeam]],$A20, Table1[[AwayTeam]:[AwayTeam]], X$1, Table1[[ActualResult]:[ActualResult]], "SO"),0))</f>
        <v>0-0-0</v>
      </c>
      <c r="Y20" s="59" t="str">
        <f>_xlfn.CONCAT(TEXT(SUMIFS(Table1[[AwayWon]:[AwayWon]], Table1[[GameIsOver]:[GameIsOver]],1,Table1[[AwayTeam]:[AwayTeam]],$A20, Table1[[HomeTeam]:[HomeTeam]], Y$1) + SUMIFS(Table1[[HomeWon]:[HomeWon]], Table1[[GameIsOver]:[GameIsOver]],1,Table1[[HomeTeam]:[HomeTeam]],$A20, Table1[[AwayTeam]:[AwayTeam]], Y$1),0), "-", TEXT(SUMIFS(Table1[[HomeWon]:[HomeWon]], Table1[[GameIsOver]:[GameIsOver]],1,Table1[[AwayTeam]:[AwayTeam]],$A20, Table1[[HomeTeam]:[HomeTeam]], Y$1, Table1[[ActualResult]:[ActualResult]], "REG") + SUMIFS(Table1[[AwayWon]:[AwayWon]], Table1[[GameIsOver]:[GameIsOver]],1,Table1[[HomeTeam]:[HomeTeam]],$A20, Table1[[AwayTeam]:[AwayTeam]], Y$1, Table1[[ActualResult]:[ActualResult]], "REG"),0), "-", TEXT(SUMIFS(Table1[[HomeWon]:[HomeWon]], Table1[[GameIsOver]:[GameIsOver]],1,Table1[[AwayTeam]:[AwayTeam]],$A20, Table1[[HomeTeam]:[HomeTeam]], Y$1, Table1[[ActualResult]:[ActualResult]], "OT") + SUMIFS(Table1[[AwayWon]:[AwayWon]], Table1[[GameIsOver]:[GameIsOver]],1,Table1[[HomeTeam]:[HomeTeam]],$A20, Table1[[AwayTeam]:[AwayTeam]], Y$1, Table1[[ActualResult]:[ActualResult]], "OT") + SUMIFS(Table1[[HomeWon]:[HomeWon]], Table1[[GameIsOver]:[GameIsOver]],1,Table1[[AwayTeam]:[AwayTeam]],$A20, Table1[[HomeTeam]:[HomeTeam]], Y$1, Table1[[ActualResult]:[ActualResult]], "SO") + SUMIFS(Table1[[AwayWon]:[AwayWon]], Table1[[GameIsOver]:[GameIsOver]],1,Table1[[HomeTeam]:[HomeTeam]],$A20, Table1[[AwayTeam]:[AwayTeam]], Y$1, Table1[[ActualResult]:[ActualResult]], "SO"),0))</f>
        <v>0-0-0</v>
      </c>
      <c r="Z20" s="57" t="str">
        <f>_xlfn.CONCAT(TEXT(SUMIFS(Table1[[AwayWon]:[AwayWon]], Table1[[GameIsOver]:[GameIsOver]],1,Table1[[AwayTeam]:[AwayTeam]],$A20, Table1[[HomeTeam]:[HomeTeam]], Z$1) + SUMIFS(Table1[[HomeWon]:[HomeWon]], Table1[[GameIsOver]:[GameIsOver]],1,Table1[[HomeTeam]:[HomeTeam]],$A20, Table1[[AwayTeam]:[AwayTeam]], Z$1),0), "-", TEXT(SUMIFS(Table1[[HomeWon]:[HomeWon]], Table1[[GameIsOver]:[GameIsOver]],1,Table1[[AwayTeam]:[AwayTeam]],$A20, Table1[[HomeTeam]:[HomeTeam]], Z$1, Table1[[ActualResult]:[ActualResult]], "REG") + SUMIFS(Table1[[AwayWon]:[AwayWon]], Table1[[GameIsOver]:[GameIsOver]],1,Table1[[HomeTeam]:[HomeTeam]],$A20, Table1[[AwayTeam]:[AwayTeam]], Z$1, Table1[[ActualResult]:[ActualResult]], "REG"),0), "-", TEXT(SUMIFS(Table1[[HomeWon]:[HomeWon]], Table1[[GameIsOver]:[GameIsOver]],1,Table1[[AwayTeam]:[AwayTeam]],$A20, Table1[[HomeTeam]:[HomeTeam]], Z$1, Table1[[ActualResult]:[ActualResult]], "OT") + SUMIFS(Table1[[AwayWon]:[AwayWon]], Table1[[GameIsOver]:[GameIsOver]],1,Table1[[HomeTeam]:[HomeTeam]],$A20, Table1[[AwayTeam]:[AwayTeam]], Z$1, Table1[[ActualResult]:[ActualResult]], "OT") + SUMIFS(Table1[[HomeWon]:[HomeWon]], Table1[[GameIsOver]:[GameIsOver]],1,Table1[[AwayTeam]:[AwayTeam]],$A20, Table1[[HomeTeam]:[HomeTeam]], Z$1, Table1[[ActualResult]:[ActualResult]], "SO") + SUMIFS(Table1[[AwayWon]:[AwayWon]], Table1[[GameIsOver]:[GameIsOver]],1,Table1[[HomeTeam]:[HomeTeam]],$A20, Table1[[AwayTeam]:[AwayTeam]], Z$1, Table1[[ActualResult]:[ActualResult]], "SO"),0))</f>
        <v>0-0-0</v>
      </c>
      <c r="AA20" s="57" t="str">
        <f>_xlfn.CONCAT(TEXT(SUMIFS(Table1[[AwayWon]:[AwayWon]], Table1[[GameIsOver]:[GameIsOver]],1,Table1[[AwayTeam]:[AwayTeam]],$A20, Table1[[HomeTeam]:[HomeTeam]], AA$1) + SUMIFS(Table1[[HomeWon]:[HomeWon]], Table1[[GameIsOver]:[GameIsOver]],1,Table1[[HomeTeam]:[HomeTeam]],$A20, Table1[[AwayTeam]:[AwayTeam]], AA$1),0), "-", TEXT(SUMIFS(Table1[[HomeWon]:[HomeWon]], Table1[[GameIsOver]:[GameIsOver]],1,Table1[[AwayTeam]:[AwayTeam]],$A20, Table1[[HomeTeam]:[HomeTeam]], AA$1, Table1[[ActualResult]:[ActualResult]], "REG") + SUMIFS(Table1[[AwayWon]:[AwayWon]], Table1[[GameIsOver]:[GameIsOver]],1,Table1[[HomeTeam]:[HomeTeam]],$A20, Table1[[AwayTeam]:[AwayTeam]], AA$1, Table1[[ActualResult]:[ActualResult]], "REG"),0), "-", TEXT(SUMIFS(Table1[[HomeWon]:[HomeWon]], Table1[[GameIsOver]:[GameIsOver]],1,Table1[[AwayTeam]:[AwayTeam]],$A20, Table1[[HomeTeam]:[HomeTeam]], AA$1, Table1[[ActualResult]:[ActualResult]], "OT") + SUMIFS(Table1[[AwayWon]:[AwayWon]], Table1[[GameIsOver]:[GameIsOver]],1,Table1[[HomeTeam]:[HomeTeam]],$A20, Table1[[AwayTeam]:[AwayTeam]], AA$1, Table1[[ActualResult]:[ActualResult]], "OT") + SUMIFS(Table1[[HomeWon]:[HomeWon]], Table1[[GameIsOver]:[GameIsOver]],1,Table1[[AwayTeam]:[AwayTeam]],$A20, Table1[[HomeTeam]:[HomeTeam]], AA$1, Table1[[ActualResult]:[ActualResult]], "SO") + SUMIFS(Table1[[AwayWon]:[AwayWon]], Table1[[GameIsOver]:[GameIsOver]],1,Table1[[HomeTeam]:[HomeTeam]],$A20, Table1[[AwayTeam]:[AwayTeam]], AA$1, Table1[[ActualResult]:[ActualResult]], "SO"),0))</f>
        <v>0-0-0</v>
      </c>
      <c r="AB20" s="57" t="str">
        <f>_xlfn.CONCAT(TEXT(SUMIFS(Table1[[AwayWon]:[AwayWon]], Table1[[GameIsOver]:[GameIsOver]],1,Table1[[AwayTeam]:[AwayTeam]],$A20, Table1[[HomeTeam]:[HomeTeam]], AB$1) + SUMIFS(Table1[[HomeWon]:[HomeWon]], Table1[[GameIsOver]:[GameIsOver]],1,Table1[[HomeTeam]:[HomeTeam]],$A20, Table1[[AwayTeam]:[AwayTeam]], AB$1),0), "-", TEXT(SUMIFS(Table1[[HomeWon]:[HomeWon]], Table1[[GameIsOver]:[GameIsOver]],1,Table1[[AwayTeam]:[AwayTeam]],$A20, Table1[[HomeTeam]:[HomeTeam]], AB$1, Table1[[ActualResult]:[ActualResult]], "REG") + SUMIFS(Table1[[AwayWon]:[AwayWon]], Table1[[GameIsOver]:[GameIsOver]],1,Table1[[HomeTeam]:[HomeTeam]],$A20, Table1[[AwayTeam]:[AwayTeam]], AB$1, Table1[[ActualResult]:[ActualResult]], "REG"),0), "-", TEXT(SUMIFS(Table1[[HomeWon]:[HomeWon]], Table1[[GameIsOver]:[GameIsOver]],1,Table1[[AwayTeam]:[AwayTeam]],$A20, Table1[[HomeTeam]:[HomeTeam]], AB$1, Table1[[ActualResult]:[ActualResult]], "OT") + SUMIFS(Table1[[AwayWon]:[AwayWon]], Table1[[GameIsOver]:[GameIsOver]],1,Table1[[HomeTeam]:[HomeTeam]],$A20, Table1[[AwayTeam]:[AwayTeam]], AB$1, Table1[[ActualResult]:[ActualResult]], "OT") + SUMIFS(Table1[[HomeWon]:[HomeWon]], Table1[[GameIsOver]:[GameIsOver]],1,Table1[[AwayTeam]:[AwayTeam]],$A20, Table1[[HomeTeam]:[HomeTeam]], AB$1, Table1[[ActualResult]:[ActualResult]], "SO") + SUMIFS(Table1[[AwayWon]:[AwayWon]], Table1[[GameIsOver]:[GameIsOver]],1,Table1[[HomeTeam]:[HomeTeam]],$A20, Table1[[AwayTeam]:[AwayTeam]], AB$1, Table1[[ActualResult]:[ActualResult]], "SO"),0))</f>
        <v>0-0-0</v>
      </c>
      <c r="AC20" s="57" t="str">
        <f>_xlfn.CONCAT(TEXT(SUMIFS(Table1[[AwayWon]:[AwayWon]], Table1[[GameIsOver]:[GameIsOver]],1,Table1[[AwayTeam]:[AwayTeam]],$A20, Table1[[HomeTeam]:[HomeTeam]], AC$1) + SUMIFS(Table1[[HomeWon]:[HomeWon]], Table1[[GameIsOver]:[GameIsOver]],1,Table1[[HomeTeam]:[HomeTeam]],$A20, Table1[[AwayTeam]:[AwayTeam]], AC$1),0), "-", TEXT(SUMIFS(Table1[[HomeWon]:[HomeWon]], Table1[[GameIsOver]:[GameIsOver]],1,Table1[[AwayTeam]:[AwayTeam]],$A20, Table1[[HomeTeam]:[HomeTeam]], AC$1, Table1[[ActualResult]:[ActualResult]], "REG") + SUMIFS(Table1[[AwayWon]:[AwayWon]], Table1[[GameIsOver]:[GameIsOver]],1,Table1[[HomeTeam]:[HomeTeam]],$A20, Table1[[AwayTeam]:[AwayTeam]], AC$1, Table1[[ActualResult]:[ActualResult]], "REG"),0), "-", TEXT(SUMIFS(Table1[[HomeWon]:[HomeWon]], Table1[[GameIsOver]:[GameIsOver]],1,Table1[[AwayTeam]:[AwayTeam]],$A20, Table1[[HomeTeam]:[HomeTeam]], AC$1, Table1[[ActualResult]:[ActualResult]], "OT") + SUMIFS(Table1[[AwayWon]:[AwayWon]], Table1[[GameIsOver]:[GameIsOver]],1,Table1[[HomeTeam]:[HomeTeam]],$A20, Table1[[AwayTeam]:[AwayTeam]], AC$1, Table1[[ActualResult]:[ActualResult]], "OT") + SUMIFS(Table1[[HomeWon]:[HomeWon]], Table1[[GameIsOver]:[GameIsOver]],1,Table1[[AwayTeam]:[AwayTeam]],$A20, Table1[[HomeTeam]:[HomeTeam]], AC$1, Table1[[ActualResult]:[ActualResult]], "SO") + SUMIFS(Table1[[AwayWon]:[AwayWon]], Table1[[GameIsOver]:[GameIsOver]],1,Table1[[HomeTeam]:[HomeTeam]],$A20, Table1[[AwayTeam]:[AwayTeam]], AC$1, Table1[[ActualResult]:[ActualResult]], "SO"),0))</f>
        <v>0-0-0</v>
      </c>
      <c r="AD20" s="57" t="str">
        <f>_xlfn.CONCAT(TEXT(SUMIFS(Table1[[AwayWon]:[AwayWon]], Table1[[GameIsOver]:[GameIsOver]],1,Table1[[AwayTeam]:[AwayTeam]],$A20, Table1[[HomeTeam]:[HomeTeam]], AD$1) + SUMIFS(Table1[[HomeWon]:[HomeWon]], Table1[[GameIsOver]:[GameIsOver]],1,Table1[[HomeTeam]:[HomeTeam]],$A20, Table1[[AwayTeam]:[AwayTeam]], AD$1),0), "-", TEXT(SUMIFS(Table1[[HomeWon]:[HomeWon]], Table1[[GameIsOver]:[GameIsOver]],1,Table1[[AwayTeam]:[AwayTeam]],$A20, Table1[[HomeTeam]:[HomeTeam]], AD$1, Table1[[ActualResult]:[ActualResult]], "REG") + SUMIFS(Table1[[AwayWon]:[AwayWon]], Table1[[GameIsOver]:[GameIsOver]],1,Table1[[HomeTeam]:[HomeTeam]],$A20, Table1[[AwayTeam]:[AwayTeam]], AD$1, Table1[[ActualResult]:[ActualResult]], "REG"),0), "-", TEXT(SUMIFS(Table1[[HomeWon]:[HomeWon]], Table1[[GameIsOver]:[GameIsOver]],1,Table1[[AwayTeam]:[AwayTeam]],$A20, Table1[[HomeTeam]:[HomeTeam]], AD$1, Table1[[ActualResult]:[ActualResult]], "OT") + SUMIFS(Table1[[AwayWon]:[AwayWon]], Table1[[GameIsOver]:[GameIsOver]],1,Table1[[HomeTeam]:[HomeTeam]],$A20, Table1[[AwayTeam]:[AwayTeam]], AD$1, Table1[[ActualResult]:[ActualResult]], "OT") + SUMIFS(Table1[[HomeWon]:[HomeWon]], Table1[[GameIsOver]:[GameIsOver]],1,Table1[[AwayTeam]:[AwayTeam]],$A20, Table1[[HomeTeam]:[HomeTeam]], AD$1, Table1[[ActualResult]:[ActualResult]], "SO") + SUMIFS(Table1[[AwayWon]:[AwayWon]], Table1[[GameIsOver]:[GameIsOver]],1,Table1[[HomeTeam]:[HomeTeam]],$A20, Table1[[AwayTeam]:[AwayTeam]], AD$1, Table1[[ActualResult]:[ActualResult]], "SO"),0))</f>
        <v>0-0-0</v>
      </c>
      <c r="AE20" s="57" t="str">
        <f>_xlfn.CONCAT(TEXT(SUMIFS(Table1[[AwayWon]:[AwayWon]], Table1[[GameIsOver]:[GameIsOver]],1,Table1[[AwayTeam]:[AwayTeam]],$A20, Table1[[HomeTeam]:[HomeTeam]], AE$1) + SUMIFS(Table1[[HomeWon]:[HomeWon]], Table1[[GameIsOver]:[GameIsOver]],1,Table1[[HomeTeam]:[HomeTeam]],$A20, Table1[[AwayTeam]:[AwayTeam]], AE$1),0), "-", TEXT(SUMIFS(Table1[[HomeWon]:[HomeWon]], Table1[[GameIsOver]:[GameIsOver]],1,Table1[[AwayTeam]:[AwayTeam]],$A20, Table1[[HomeTeam]:[HomeTeam]], AE$1, Table1[[ActualResult]:[ActualResult]], "REG") + SUMIFS(Table1[[AwayWon]:[AwayWon]], Table1[[GameIsOver]:[GameIsOver]],1,Table1[[HomeTeam]:[HomeTeam]],$A20, Table1[[AwayTeam]:[AwayTeam]], AE$1, Table1[[ActualResult]:[ActualResult]], "REG"),0), "-", TEXT(SUMIFS(Table1[[HomeWon]:[HomeWon]], Table1[[GameIsOver]:[GameIsOver]],1,Table1[[AwayTeam]:[AwayTeam]],$A20, Table1[[HomeTeam]:[HomeTeam]], AE$1, Table1[[ActualResult]:[ActualResult]], "OT") + SUMIFS(Table1[[AwayWon]:[AwayWon]], Table1[[GameIsOver]:[GameIsOver]],1,Table1[[HomeTeam]:[HomeTeam]],$A20, Table1[[AwayTeam]:[AwayTeam]], AE$1, Table1[[ActualResult]:[ActualResult]], "OT") + SUMIFS(Table1[[HomeWon]:[HomeWon]], Table1[[GameIsOver]:[GameIsOver]],1,Table1[[AwayTeam]:[AwayTeam]],$A20, Table1[[HomeTeam]:[HomeTeam]], AE$1, Table1[[ActualResult]:[ActualResult]], "SO") + SUMIFS(Table1[[AwayWon]:[AwayWon]], Table1[[GameIsOver]:[GameIsOver]],1,Table1[[HomeTeam]:[HomeTeam]],$A20, Table1[[AwayTeam]:[AwayTeam]], AE$1, Table1[[ActualResult]:[ActualResult]], "SO"),0))</f>
        <v>0-0-0</v>
      </c>
      <c r="AF20" s="57" t="str">
        <f>_xlfn.CONCAT(TEXT(SUMIFS(Table1[[AwayWon]:[AwayWon]], Table1[[GameIsOver]:[GameIsOver]],1,Table1[[AwayTeam]:[AwayTeam]],$A20, Table1[[HomeTeam]:[HomeTeam]], AF$1) + SUMIFS(Table1[[HomeWon]:[HomeWon]], Table1[[GameIsOver]:[GameIsOver]],1,Table1[[HomeTeam]:[HomeTeam]],$A20, Table1[[AwayTeam]:[AwayTeam]], AF$1),0), "-", TEXT(SUMIFS(Table1[[HomeWon]:[HomeWon]], Table1[[GameIsOver]:[GameIsOver]],1,Table1[[AwayTeam]:[AwayTeam]],$A20, Table1[[HomeTeam]:[HomeTeam]], AF$1, Table1[[ActualResult]:[ActualResult]], "REG") + SUMIFS(Table1[[AwayWon]:[AwayWon]], Table1[[GameIsOver]:[GameIsOver]],1,Table1[[HomeTeam]:[HomeTeam]],$A20, Table1[[AwayTeam]:[AwayTeam]], AF$1, Table1[[ActualResult]:[ActualResult]], "REG"),0), "-", TEXT(SUMIFS(Table1[[HomeWon]:[HomeWon]], Table1[[GameIsOver]:[GameIsOver]],1,Table1[[AwayTeam]:[AwayTeam]],$A20, Table1[[HomeTeam]:[HomeTeam]], AF$1, Table1[[ActualResult]:[ActualResult]], "OT") + SUMIFS(Table1[[AwayWon]:[AwayWon]], Table1[[GameIsOver]:[GameIsOver]],1,Table1[[HomeTeam]:[HomeTeam]],$A20, Table1[[AwayTeam]:[AwayTeam]], AF$1, Table1[[ActualResult]:[ActualResult]], "OT") + SUMIFS(Table1[[HomeWon]:[HomeWon]], Table1[[GameIsOver]:[GameIsOver]],1,Table1[[AwayTeam]:[AwayTeam]],$A20, Table1[[HomeTeam]:[HomeTeam]], AF$1, Table1[[ActualResult]:[ActualResult]], "SO") + SUMIFS(Table1[[AwayWon]:[AwayWon]], Table1[[GameIsOver]:[GameIsOver]],1,Table1[[HomeTeam]:[HomeTeam]],$A20, Table1[[AwayTeam]:[AwayTeam]], AF$1, Table1[[ActualResult]:[ActualResult]], "SO"),0))</f>
        <v>0-0-0</v>
      </c>
      <c r="AG20" s="57" t="str">
        <f>_xlfn.CONCAT(TEXT(SUMIFS(Table1[[AwayWon]:[AwayWon]], Table1[[GameIsOver]:[GameIsOver]],1,Table1[[AwayTeam]:[AwayTeam]],$A20, Table1[[HomeTeam]:[HomeTeam]], AG$1) + SUMIFS(Table1[[HomeWon]:[HomeWon]], Table1[[GameIsOver]:[GameIsOver]],1,Table1[[HomeTeam]:[HomeTeam]],$A20, Table1[[AwayTeam]:[AwayTeam]], AG$1),0), "-", TEXT(SUMIFS(Table1[[HomeWon]:[HomeWon]], Table1[[GameIsOver]:[GameIsOver]],1,Table1[[AwayTeam]:[AwayTeam]],$A20, Table1[[HomeTeam]:[HomeTeam]], AG$1, Table1[[ActualResult]:[ActualResult]], "REG") + SUMIFS(Table1[[AwayWon]:[AwayWon]], Table1[[GameIsOver]:[GameIsOver]],1,Table1[[HomeTeam]:[HomeTeam]],$A20, Table1[[AwayTeam]:[AwayTeam]], AG$1, Table1[[ActualResult]:[ActualResult]], "REG"),0), "-", TEXT(SUMIFS(Table1[[HomeWon]:[HomeWon]], Table1[[GameIsOver]:[GameIsOver]],1,Table1[[AwayTeam]:[AwayTeam]],$A20, Table1[[HomeTeam]:[HomeTeam]], AG$1, Table1[[ActualResult]:[ActualResult]], "OT") + SUMIFS(Table1[[AwayWon]:[AwayWon]], Table1[[GameIsOver]:[GameIsOver]],1,Table1[[HomeTeam]:[HomeTeam]],$A20, Table1[[AwayTeam]:[AwayTeam]], AG$1, Table1[[ActualResult]:[ActualResult]], "OT") + SUMIFS(Table1[[HomeWon]:[HomeWon]], Table1[[GameIsOver]:[GameIsOver]],1,Table1[[AwayTeam]:[AwayTeam]],$A20, Table1[[HomeTeam]:[HomeTeam]], AG$1, Table1[[ActualResult]:[ActualResult]], "SO") + SUMIFS(Table1[[AwayWon]:[AwayWon]], Table1[[GameIsOver]:[GameIsOver]],1,Table1[[HomeTeam]:[HomeTeam]],$A20, Table1[[AwayTeam]:[AwayTeam]], AG$1, Table1[[ActualResult]:[ActualResult]], "SO"),0))</f>
        <v>0-0-0</v>
      </c>
    </row>
    <row r="21" spans="1:33" x14ac:dyDescent="0.25">
      <c r="A21" s="28" t="s">
        <v>50</v>
      </c>
      <c r="B21" s="57" t="str">
        <f>_xlfn.CONCAT(TEXT(SUMIFS(Table1[[AwayWon]:[AwayWon]], Table1[[GameIsOver]:[GameIsOver]],1,Table1[[AwayTeam]:[AwayTeam]],$A21, Table1[[HomeTeam]:[HomeTeam]], B$1) + SUMIFS(Table1[[HomeWon]:[HomeWon]], Table1[[GameIsOver]:[GameIsOver]],1,Table1[[HomeTeam]:[HomeTeam]],$A21, Table1[[AwayTeam]:[AwayTeam]], B$1),0), "-", TEXT(SUMIFS(Table1[[HomeWon]:[HomeWon]], Table1[[GameIsOver]:[GameIsOver]],1,Table1[[AwayTeam]:[AwayTeam]],$A21, Table1[[HomeTeam]:[HomeTeam]], B$1, Table1[[ActualResult]:[ActualResult]], "REG") + SUMIFS(Table1[[AwayWon]:[AwayWon]], Table1[[GameIsOver]:[GameIsOver]],1,Table1[[HomeTeam]:[HomeTeam]],$A21, Table1[[AwayTeam]:[AwayTeam]], B$1, Table1[[ActualResult]:[ActualResult]], "REG"),0), "-", TEXT(SUMIFS(Table1[[HomeWon]:[HomeWon]], Table1[[GameIsOver]:[GameIsOver]],1,Table1[[AwayTeam]:[AwayTeam]],$A21, Table1[[HomeTeam]:[HomeTeam]], B$1, Table1[[ActualResult]:[ActualResult]], "OT") + SUMIFS(Table1[[AwayWon]:[AwayWon]], Table1[[GameIsOver]:[GameIsOver]],1,Table1[[HomeTeam]:[HomeTeam]],$A21, Table1[[AwayTeam]:[AwayTeam]], B$1, Table1[[ActualResult]:[ActualResult]], "OT") + SUMIFS(Table1[[HomeWon]:[HomeWon]], Table1[[GameIsOver]:[GameIsOver]],1,Table1[[AwayTeam]:[AwayTeam]],$A21, Table1[[HomeTeam]:[HomeTeam]], B$1, Table1[[ActualResult]:[ActualResult]], "SO") + SUMIFS(Table1[[AwayWon]:[AwayWon]], Table1[[GameIsOver]:[GameIsOver]],1,Table1[[HomeTeam]:[HomeTeam]],$A21, Table1[[AwayTeam]:[AwayTeam]], B$1, Table1[[ActualResult]:[ActualResult]], "SO"),0))</f>
        <v>0-0-0</v>
      </c>
      <c r="C21" s="57" t="str">
        <f>_xlfn.CONCAT(TEXT(SUMIFS(Table1[[AwayWon]:[AwayWon]], Table1[[GameIsOver]:[GameIsOver]],1,Table1[[AwayTeam]:[AwayTeam]],$A21, Table1[[HomeTeam]:[HomeTeam]], C$1) + SUMIFS(Table1[[HomeWon]:[HomeWon]], Table1[[GameIsOver]:[GameIsOver]],1,Table1[[HomeTeam]:[HomeTeam]],$A21, Table1[[AwayTeam]:[AwayTeam]], C$1),0), "-", TEXT(SUMIFS(Table1[[HomeWon]:[HomeWon]], Table1[[GameIsOver]:[GameIsOver]],1,Table1[[AwayTeam]:[AwayTeam]],$A21, Table1[[HomeTeam]:[HomeTeam]], C$1, Table1[[ActualResult]:[ActualResult]], "REG") + SUMIFS(Table1[[AwayWon]:[AwayWon]], Table1[[GameIsOver]:[GameIsOver]],1,Table1[[HomeTeam]:[HomeTeam]],$A21, Table1[[AwayTeam]:[AwayTeam]], C$1, Table1[[ActualResult]:[ActualResult]], "REG"),0), "-", TEXT(SUMIFS(Table1[[HomeWon]:[HomeWon]], Table1[[GameIsOver]:[GameIsOver]],1,Table1[[AwayTeam]:[AwayTeam]],$A21, Table1[[HomeTeam]:[HomeTeam]], C$1, Table1[[ActualResult]:[ActualResult]], "OT") + SUMIFS(Table1[[AwayWon]:[AwayWon]], Table1[[GameIsOver]:[GameIsOver]],1,Table1[[HomeTeam]:[HomeTeam]],$A21, Table1[[AwayTeam]:[AwayTeam]], C$1, Table1[[ActualResult]:[ActualResult]], "OT") + SUMIFS(Table1[[HomeWon]:[HomeWon]], Table1[[GameIsOver]:[GameIsOver]],1,Table1[[AwayTeam]:[AwayTeam]],$A21, Table1[[HomeTeam]:[HomeTeam]], C$1, Table1[[ActualResult]:[ActualResult]], "SO") + SUMIFS(Table1[[AwayWon]:[AwayWon]], Table1[[GameIsOver]:[GameIsOver]],1,Table1[[HomeTeam]:[HomeTeam]],$A21, Table1[[AwayTeam]:[AwayTeam]], C$1, Table1[[ActualResult]:[ActualResult]], "SO"),0))</f>
        <v>0-0-0</v>
      </c>
      <c r="D21" s="57" t="str">
        <f>_xlfn.CONCAT(TEXT(SUMIFS(Table1[[AwayWon]:[AwayWon]], Table1[[GameIsOver]:[GameIsOver]],1,Table1[[AwayTeam]:[AwayTeam]],$A21, Table1[[HomeTeam]:[HomeTeam]], D$1) + SUMIFS(Table1[[HomeWon]:[HomeWon]], Table1[[GameIsOver]:[GameIsOver]],1,Table1[[HomeTeam]:[HomeTeam]],$A21, Table1[[AwayTeam]:[AwayTeam]], D$1),0), "-", TEXT(SUMIFS(Table1[[HomeWon]:[HomeWon]], Table1[[GameIsOver]:[GameIsOver]],1,Table1[[AwayTeam]:[AwayTeam]],$A21, Table1[[HomeTeam]:[HomeTeam]], D$1, Table1[[ActualResult]:[ActualResult]], "REG") + SUMIFS(Table1[[AwayWon]:[AwayWon]], Table1[[GameIsOver]:[GameIsOver]],1,Table1[[HomeTeam]:[HomeTeam]],$A21, Table1[[AwayTeam]:[AwayTeam]], D$1, Table1[[ActualResult]:[ActualResult]], "REG"),0), "-", TEXT(SUMIFS(Table1[[HomeWon]:[HomeWon]], Table1[[GameIsOver]:[GameIsOver]],1,Table1[[AwayTeam]:[AwayTeam]],$A21, Table1[[HomeTeam]:[HomeTeam]], D$1, Table1[[ActualResult]:[ActualResult]], "OT") + SUMIFS(Table1[[AwayWon]:[AwayWon]], Table1[[GameIsOver]:[GameIsOver]],1,Table1[[HomeTeam]:[HomeTeam]],$A21, Table1[[AwayTeam]:[AwayTeam]], D$1, Table1[[ActualResult]:[ActualResult]], "OT") + SUMIFS(Table1[[HomeWon]:[HomeWon]], Table1[[GameIsOver]:[GameIsOver]],1,Table1[[AwayTeam]:[AwayTeam]],$A21, Table1[[HomeTeam]:[HomeTeam]], D$1, Table1[[ActualResult]:[ActualResult]], "SO") + SUMIFS(Table1[[AwayWon]:[AwayWon]], Table1[[GameIsOver]:[GameIsOver]],1,Table1[[HomeTeam]:[HomeTeam]],$A21, Table1[[AwayTeam]:[AwayTeam]], D$1, Table1[[ActualResult]:[ActualResult]], "SO"),0))</f>
        <v>0-0-0</v>
      </c>
      <c r="E21" s="57" t="str">
        <f>_xlfn.CONCAT(TEXT(SUMIFS(Table1[[AwayWon]:[AwayWon]], Table1[[GameIsOver]:[GameIsOver]],1,Table1[[AwayTeam]:[AwayTeam]],$A21, Table1[[HomeTeam]:[HomeTeam]], E$1) + SUMIFS(Table1[[HomeWon]:[HomeWon]], Table1[[GameIsOver]:[GameIsOver]],1,Table1[[HomeTeam]:[HomeTeam]],$A21, Table1[[AwayTeam]:[AwayTeam]], E$1),0), "-", TEXT(SUMIFS(Table1[[HomeWon]:[HomeWon]], Table1[[GameIsOver]:[GameIsOver]],1,Table1[[AwayTeam]:[AwayTeam]],$A21, Table1[[HomeTeam]:[HomeTeam]], E$1, Table1[[ActualResult]:[ActualResult]], "REG") + SUMIFS(Table1[[AwayWon]:[AwayWon]], Table1[[GameIsOver]:[GameIsOver]],1,Table1[[HomeTeam]:[HomeTeam]],$A21, Table1[[AwayTeam]:[AwayTeam]], E$1, Table1[[ActualResult]:[ActualResult]], "REG"),0), "-", TEXT(SUMIFS(Table1[[HomeWon]:[HomeWon]], Table1[[GameIsOver]:[GameIsOver]],1,Table1[[AwayTeam]:[AwayTeam]],$A21, Table1[[HomeTeam]:[HomeTeam]], E$1, Table1[[ActualResult]:[ActualResult]], "OT") + SUMIFS(Table1[[AwayWon]:[AwayWon]], Table1[[GameIsOver]:[GameIsOver]],1,Table1[[HomeTeam]:[HomeTeam]],$A21, Table1[[AwayTeam]:[AwayTeam]], E$1, Table1[[ActualResult]:[ActualResult]], "OT") + SUMIFS(Table1[[HomeWon]:[HomeWon]], Table1[[GameIsOver]:[GameIsOver]],1,Table1[[AwayTeam]:[AwayTeam]],$A21, Table1[[HomeTeam]:[HomeTeam]], E$1, Table1[[ActualResult]:[ActualResult]], "SO") + SUMIFS(Table1[[AwayWon]:[AwayWon]], Table1[[GameIsOver]:[GameIsOver]],1,Table1[[HomeTeam]:[HomeTeam]],$A21, Table1[[AwayTeam]:[AwayTeam]], E$1, Table1[[ActualResult]:[ActualResult]], "SO"),0))</f>
        <v>0-0-0</v>
      </c>
      <c r="F21" s="57" t="str">
        <f>_xlfn.CONCAT(TEXT(SUMIFS(Table1[[AwayWon]:[AwayWon]], Table1[[GameIsOver]:[GameIsOver]],1,Table1[[AwayTeam]:[AwayTeam]],$A21, Table1[[HomeTeam]:[HomeTeam]], F$1) + SUMIFS(Table1[[HomeWon]:[HomeWon]], Table1[[GameIsOver]:[GameIsOver]],1,Table1[[HomeTeam]:[HomeTeam]],$A21, Table1[[AwayTeam]:[AwayTeam]], F$1),0), "-", TEXT(SUMIFS(Table1[[HomeWon]:[HomeWon]], Table1[[GameIsOver]:[GameIsOver]],1,Table1[[AwayTeam]:[AwayTeam]],$A21, Table1[[HomeTeam]:[HomeTeam]], F$1, Table1[[ActualResult]:[ActualResult]], "REG") + SUMIFS(Table1[[AwayWon]:[AwayWon]], Table1[[GameIsOver]:[GameIsOver]],1,Table1[[HomeTeam]:[HomeTeam]],$A21, Table1[[AwayTeam]:[AwayTeam]], F$1, Table1[[ActualResult]:[ActualResult]], "REG"),0), "-", TEXT(SUMIFS(Table1[[HomeWon]:[HomeWon]], Table1[[GameIsOver]:[GameIsOver]],1,Table1[[AwayTeam]:[AwayTeam]],$A21, Table1[[HomeTeam]:[HomeTeam]], F$1, Table1[[ActualResult]:[ActualResult]], "OT") + SUMIFS(Table1[[AwayWon]:[AwayWon]], Table1[[GameIsOver]:[GameIsOver]],1,Table1[[HomeTeam]:[HomeTeam]],$A21, Table1[[AwayTeam]:[AwayTeam]], F$1, Table1[[ActualResult]:[ActualResult]], "OT") + SUMIFS(Table1[[HomeWon]:[HomeWon]], Table1[[GameIsOver]:[GameIsOver]],1,Table1[[AwayTeam]:[AwayTeam]],$A21, Table1[[HomeTeam]:[HomeTeam]], F$1, Table1[[ActualResult]:[ActualResult]], "SO") + SUMIFS(Table1[[AwayWon]:[AwayWon]], Table1[[GameIsOver]:[GameIsOver]],1,Table1[[HomeTeam]:[HomeTeam]],$A21, Table1[[AwayTeam]:[AwayTeam]], F$1, Table1[[ActualResult]:[ActualResult]], "SO"),0))</f>
        <v>0-0-0</v>
      </c>
      <c r="G21" s="57" t="str">
        <f>_xlfn.CONCAT(TEXT(SUMIFS(Table1[[AwayWon]:[AwayWon]], Table1[[GameIsOver]:[GameIsOver]],1,Table1[[AwayTeam]:[AwayTeam]],$A21, Table1[[HomeTeam]:[HomeTeam]], G$1) + SUMIFS(Table1[[HomeWon]:[HomeWon]], Table1[[GameIsOver]:[GameIsOver]],1,Table1[[HomeTeam]:[HomeTeam]],$A21, Table1[[AwayTeam]:[AwayTeam]], G$1),0), "-", TEXT(SUMIFS(Table1[[HomeWon]:[HomeWon]], Table1[[GameIsOver]:[GameIsOver]],1,Table1[[AwayTeam]:[AwayTeam]],$A21, Table1[[HomeTeam]:[HomeTeam]], G$1, Table1[[ActualResult]:[ActualResult]], "REG") + SUMIFS(Table1[[AwayWon]:[AwayWon]], Table1[[GameIsOver]:[GameIsOver]],1,Table1[[HomeTeam]:[HomeTeam]],$A21, Table1[[AwayTeam]:[AwayTeam]], G$1, Table1[[ActualResult]:[ActualResult]], "REG"),0), "-", TEXT(SUMIFS(Table1[[HomeWon]:[HomeWon]], Table1[[GameIsOver]:[GameIsOver]],1,Table1[[AwayTeam]:[AwayTeam]],$A21, Table1[[HomeTeam]:[HomeTeam]], G$1, Table1[[ActualResult]:[ActualResult]], "OT") + SUMIFS(Table1[[AwayWon]:[AwayWon]], Table1[[GameIsOver]:[GameIsOver]],1,Table1[[HomeTeam]:[HomeTeam]],$A21, Table1[[AwayTeam]:[AwayTeam]], G$1, Table1[[ActualResult]:[ActualResult]], "OT") + SUMIFS(Table1[[HomeWon]:[HomeWon]], Table1[[GameIsOver]:[GameIsOver]],1,Table1[[AwayTeam]:[AwayTeam]],$A21, Table1[[HomeTeam]:[HomeTeam]], G$1, Table1[[ActualResult]:[ActualResult]], "SO") + SUMIFS(Table1[[AwayWon]:[AwayWon]], Table1[[GameIsOver]:[GameIsOver]],1,Table1[[HomeTeam]:[HomeTeam]],$A21, Table1[[AwayTeam]:[AwayTeam]], G$1, Table1[[ActualResult]:[ActualResult]], "SO"),0))</f>
        <v>0-0-0</v>
      </c>
      <c r="H21" s="57" t="str">
        <f>_xlfn.CONCAT(TEXT(SUMIFS(Table1[[AwayWon]:[AwayWon]], Table1[[GameIsOver]:[GameIsOver]],1,Table1[[AwayTeam]:[AwayTeam]],$A21, Table1[[HomeTeam]:[HomeTeam]], H$1) + SUMIFS(Table1[[HomeWon]:[HomeWon]], Table1[[GameIsOver]:[GameIsOver]],1,Table1[[HomeTeam]:[HomeTeam]],$A21, Table1[[AwayTeam]:[AwayTeam]], H$1),0), "-", TEXT(SUMIFS(Table1[[HomeWon]:[HomeWon]], Table1[[GameIsOver]:[GameIsOver]],1,Table1[[AwayTeam]:[AwayTeam]],$A21, Table1[[HomeTeam]:[HomeTeam]], H$1, Table1[[ActualResult]:[ActualResult]], "REG") + SUMIFS(Table1[[AwayWon]:[AwayWon]], Table1[[GameIsOver]:[GameIsOver]],1,Table1[[HomeTeam]:[HomeTeam]],$A21, Table1[[AwayTeam]:[AwayTeam]], H$1, Table1[[ActualResult]:[ActualResult]], "REG"),0), "-", TEXT(SUMIFS(Table1[[HomeWon]:[HomeWon]], Table1[[GameIsOver]:[GameIsOver]],1,Table1[[AwayTeam]:[AwayTeam]],$A21, Table1[[HomeTeam]:[HomeTeam]], H$1, Table1[[ActualResult]:[ActualResult]], "OT") + SUMIFS(Table1[[AwayWon]:[AwayWon]], Table1[[GameIsOver]:[GameIsOver]],1,Table1[[HomeTeam]:[HomeTeam]],$A21, Table1[[AwayTeam]:[AwayTeam]], H$1, Table1[[ActualResult]:[ActualResult]], "OT") + SUMIFS(Table1[[HomeWon]:[HomeWon]], Table1[[GameIsOver]:[GameIsOver]],1,Table1[[AwayTeam]:[AwayTeam]],$A21, Table1[[HomeTeam]:[HomeTeam]], H$1, Table1[[ActualResult]:[ActualResult]], "SO") + SUMIFS(Table1[[AwayWon]:[AwayWon]], Table1[[GameIsOver]:[GameIsOver]],1,Table1[[HomeTeam]:[HomeTeam]],$A21, Table1[[AwayTeam]:[AwayTeam]], H$1, Table1[[ActualResult]:[ActualResult]], "SO"),0))</f>
        <v>0-0-0</v>
      </c>
      <c r="I21" s="59" t="str">
        <f>_xlfn.CONCAT(TEXT(SUMIFS(Table1[[AwayWon]:[AwayWon]], Table1[[GameIsOver]:[GameIsOver]],1,Table1[[AwayTeam]:[AwayTeam]],$A21, Table1[[HomeTeam]:[HomeTeam]], I$1) + SUMIFS(Table1[[HomeWon]:[HomeWon]], Table1[[GameIsOver]:[GameIsOver]],1,Table1[[HomeTeam]:[HomeTeam]],$A21, Table1[[AwayTeam]:[AwayTeam]], I$1),0), "-", TEXT(SUMIFS(Table1[[HomeWon]:[HomeWon]], Table1[[GameIsOver]:[GameIsOver]],1,Table1[[AwayTeam]:[AwayTeam]],$A21, Table1[[HomeTeam]:[HomeTeam]], I$1, Table1[[ActualResult]:[ActualResult]], "REG") + SUMIFS(Table1[[AwayWon]:[AwayWon]], Table1[[GameIsOver]:[GameIsOver]],1,Table1[[HomeTeam]:[HomeTeam]],$A21, Table1[[AwayTeam]:[AwayTeam]], I$1, Table1[[ActualResult]:[ActualResult]], "REG"),0), "-", TEXT(SUMIFS(Table1[[HomeWon]:[HomeWon]], Table1[[GameIsOver]:[GameIsOver]],1,Table1[[AwayTeam]:[AwayTeam]],$A21, Table1[[HomeTeam]:[HomeTeam]], I$1, Table1[[ActualResult]:[ActualResult]], "OT") + SUMIFS(Table1[[AwayWon]:[AwayWon]], Table1[[GameIsOver]:[GameIsOver]],1,Table1[[HomeTeam]:[HomeTeam]],$A21, Table1[[AwayTeam]:[AwayTeam]], I$1, Table1[[ActualResult]:[ActualResult]], "OT") + SUMIFS(Table1[[HomeWon]:[HomeWon]], Table1[[GameIsOver]:[GameIsOver]],1,Table1[[AwayTeam]:[AwayTeam]],$A21, Table1[[HomeTeam]:[HomeTeam]], I$1, Table1[[ActualResult]:[ActualResult]], "SO") + SUMIFS(Table1[[AwayWon]:[AwayWon]], Table1[[GameIsOver]:[GameIsOver]],1,Table1[[HomeTeam]:[HomeTeam]],$A21, Table1[[AwayTeam]:[AwayTeam]], I$1, Table1[[ActualResult]:[ActualResult]], "SO"),0))</f>
        <v>0-0-0</v>
      </c>
      <c r="J21" s="57" t="str">
        <f>_xlfn.CONCAT(TEXT(SUMIFS(Table1[[AwayWon]:[AwayWon]], Table1[[GameIsOver]:[GameIsOver]],1,Table1[[AwayTeam]:[AwayTeam]],$A21, Table1[[HomeTeam]:[HomeTeam]], J$1) + SUMIFS(Table1[[HomeWon]:[HomeWon]], Table1[[GameIsOver]:[GameIsOver]],1,Table1[[HomeTeam]:[HomeTeam]],$A21, Table1[[AwayTeam]:[AwayTeam]], J$1),0), "-", TEXT(SUMIFS(Table1[[HomeWon]:[HomeWon]], Table1[[GameIsOver]:[GameIsOver]],1,Table1[[AwayTeam]:[AwayTeam]],$A21, Table1[[HomeTeam]:[HomeTeam]], J$1, Table1[[ActualResult]:[ActualResult]], "REG") + SUMIFS(Table1[[AwayWon]:[AwayWon]], Table1[[GameIsOver]:[GameIsOver]],1,Table1[[HomeTeam]:[HomeTeam]],$A21, Table1[[AwayTeam]:[AwayTeam]], J$1, Table1[[ActualResult]:[ActualResult]], "REG"),0), "-", TEXT(SUMIFS(Table1[[HomeWon]:[HomeWon]], Table1[[GameIsOver]:[GameIsOver]],1,Table1[[AwayTeam]:[AwayTeam]],$A21, Table1[[HomeTeam]:[HomeTeam]], J$1, Table1[[ActualResult]:[ActualResult]], "OT") + SUMIFS(Table1[[AwayWon]:[AwayWon]], Table1[[GameIsOver]:[GameIsOver]],1,Table1[[HomeTeam]:[HomeTeam]],$A21, Table1[[AwayTeam]:[AwayTeam]], J$1, Table1[[ActualResult]:[ActualResult]], "OT") + SUMIFS(Table1[[HomeWon]:[HomeWon]], Table1[[GameIsOver]:[GameIsOver]],1,Table1[[AwayTeam]:[AwayTeam]],$A21, Table1[[HomeTeam]:[HomeTeam]], J$1, Table1[[ActualResult]:[ActualResult]], "SO") + SUMIFS(Table1[[AwayWon]:[AwayWon]], Table1[[GameIsOver]:[GameIsOver]],1,Table1[[HomeTeam]:[HomeTeam]],$A21, Table1[[AwayTeam]:[AwayTeam]], J$1, Table1[[ActualResult]:[ActualResult]], "SO"),0))</f>
        <v>0-0-0</v>
      </c>
      <c r="K21" s="57" t="str">
        <f>_xlfn.CONCAT(TEXT(SUMIFS(Table1[[AwayWon]:[AwayWon]], Table1[[GameIsOver]:[GameIsOver]],1,Table1[[AwayTeam]:[AwayTeam]],$A21, Table1[[HomeTeam]:[HomeTeam]], K$1) + SUMIFS(Table1[[HomeWon]:[HomeWon]], Table1[[GameIsOver]:[GameIsOver]],1,Table1[[HomeTeam]:[HomeTeam]],$A21, Table1[[AwayTeam]:[AwayTeam]], K$1),0), "-", TEXT(SUMIFS(Table1[[HomeWon]:[HomeWon]], Table1[[GameIsOver]:[GameIsOver]],1,Table1[[AwayTeam]:[AwayTeam]],$A21, Table1[[HomeTeam]:[HomeTeam]], K$1, Table1[[ActualResult]:[ActualResult]], "REG") + SUMIFS(Table1[[AwayWon]:[AwayWon]], Table1[[GameIsOver]:[GameIsOver]],1,Table1[[HomeTeam]:[HomeTeam]],$A21, Table1[[AwayTeam]:[AwayTeam]], K$1, Table1[[ActualResult]:[ActualResult]], "REG"),0), "-", TEXT(SUMIFS(Table1[[HomeWon]:[HomeWon]], Table1[[GameIsOver]:[GameIsOver]],1,Table1[[AwayTeam]:[AwayTeam]],$A21, Table1[[HomeTeam]:[HomeTeam]], K$1, Table1[[ActualResult]:[ActualResult]], "OT") + SUMIFS(Table1[[AwayWon]:[AwayWon]], Table1[[GameIsOver]:[GameIsOver]],1,Table1[[HomeTeam]:[HomeTeam]],$A21, Table1[[AwayTeam]:[AwayTeam]], K$1, Table1[[ActualResult]:[ActualResult]], "OT") + SUMIFS(Table1[[HomeWon]:[HomeWon]], Table1[[GameIsOver]:[GameIsOver]],1,Table1[[AwayTeam]:[AwayTeam]],$A21, Table1[[HomeTeam]:[HomeTeam]], K$1, Table1[[ActualResult]:[ActualResult]], "SO") + SUMIFS(Table1[[AwayWon]:[AwayWon]], Table1[[GameIsOver]:[GameIsOver]],1,Table1[[HomeTeam]:[HomeTeam]],$A21, Table1[[AwayTeam]:[AwayTeam]], K$1, Table1[[ActualResult]:[ActualResult]], "SO"),0))</f>
        <v>0-0-0</v>
      </c>
      <c r="L21" s="57" t="str">
        <f>_xlfn.CONCAT(TEXT(SUMIFS(Table1[[AwayWon]:[AwayWon]], Table1[[GameIsOver]:[GameIsOver]],1,Table1[[AwayTeam]:[AwayTeam]],$A21, Table1[[HomeTeam]:[HomeTeam]], L$1) + SUMIFS(Table1[[HomeWon]:[HomeWon]], Table1[[GameIsOver]:[GameIsOver]],1,Table1[[HomeTeam]:[HomeTeam]],$A21, Table1[[AwayTeam]:[AwayTeam]], L$1),0), "-", TEXT(SUMIFS(Table1[[HomeWon]:[HomeWon]], Table1[[GameIsOver]:[GameIsOver]],1,Table1[[AwayTeam]:[AwayTeam]],$A21, Table1[[HomeTeam]:[HomeTeam]], L$1, Table1[[ActualResult]:[ActualResult]], "REG") + SUMIFS(Table1[[AwayWon]:[AwayWon]], Table1[[GameIsOver]:[GameIsOver]],1,Table1[[HomeTeam]:[HomeTeam]],$A21, Table1[[AwayTeam]:[AwayTeam]], L$1, Table1[[ActualResult]:[ActualResult]], "REG"),0), "-", TEXT(SUMIFS(Table1[[HomeWon]:[HomeWon]], Table1[[GameIsOver]:[GameIsOver]],1,Table1[[AwayTeam]:[AwayTeam]],$A21, Table1[[HomeTeam]:[HomeTeam]], L$1, Table1[[ActualResult]:[ActualResult]], "OT") + SUMIFS(Table1[[AwayWon]:[AwayWon]], Table1[[GameIsOver]:[GameIsOver]],1,Table1[[HomeTeam]:[HomeTeam]],$A21, Table1[[AwayTeam]:[AwayTeam]], L$1, Table1[[ActualResult]:[ActualResult]], "OT") + SUMIFS(Table1[[HomeWon]:[HomeWon]], Table1[[GameIsOver]:[GameIsOver]],1,Table1[[AwayTeam]:[AwayTeam]],$A21, Table1[[HomeTeam]:[HomeTeam]], L$1, Table1[[ActualResult]:[ActualResult]], "SO") + SUMIFS(Table1[[AwayWon]:[AwayWon]], Table1[[GameIsOver]:[GameIsOver]],1,Table1[[HomeTeam]:[HomeTeam]],$A21, Table1[[AwayTeam]:[AwayTeam]], L$1, Table1[[ActualResult]:[ActualResult]], "SO"),0))</f>
        <v>0-0-0</v>
      </c>
      <c r="M21" s="57" t="str">
        <f>_xlfn.CONCAT(TEXT(SUMIFS(Table1[[AwayWon]:[AwayWon]], Table1[[GameIsOver]:[GameIsOver]],1,Table1[[AwayTeam]:[AwayTeam]],$A21, Table1[[HomeTeam]:[HomeTeam]], M$1) + SUMIFS(Table1[[HomeWon]:[HomeWon]], Table1[[GameIsOver]:[GameIsOver]],1,Table1[[HomeTeam]:[HomeTeam]],$A21, Table1[[AwayTeam]:[AwayTeam]], M$1),0), "-", TEXT(SUMIFS(Table1[[HomeWon]:[HomeWon]], Table1[[GameIsOver]:[GameIsOver]],1,Table1[[AwayTeam]:[AwayTeam]],$A21, Table1[[HomeTeam]:[HomeTeam]], M$1, Table1[[ActualResult]:[ActualResult]], "REG") + SUMIFS(Table1[[AwayWon]:[AwayWon]], Table1[[GameIsOver]:[GameIsOver]],1,Table1[[HomeTeam]:[HomeTeam]],$A21, Table1[[AwayTeam]:[AwayTeam]], M$1, Table1[[ActualResult]:[ActualResult]], "REG"),0), "-", TEXT(SUMIFS(Table1[[HomeWon]:[HomeWon]], Table1[[GameIsOver]:[GameIsOver]],1,Table1[[AwayTeam]:[AwayTeam]],$A21, Table1[[HomeTeam]:[HomeTeam]], M$1, Table1[[ActualResult]:[ActualResult]], "OT") + SUMIFS(Table1[[AwayWon]:[AwayWon]], Table1[[GameIsOver]:[GameIsOver]],1,Table1[[HomeTeam]:[HomeTeam]],$A21, Table1[[AwayTeam]:[AwayTeam]], M$1, Table1[[ActualResult]:[ActualResult]], "OT") + SUMIFS(Table1[[HomeWon]:[HomeWon]], Table1[[GameIsOver]:[GameIsOver]],1,Table1[[AwayTeam]:[AwayTeam]],$A21, Table1[[HomeTeam]:[HomeTeam]], M$1, Table1[[ActualResult]:[ActualResult]], "SO") + SUMIFS(Table1[[AwayWon]:[AwayWon]], Table1[[GameIsOver]:[GameIsOver]],1,Table1[[HomeTeam]:[HomeTeam]],$A21, Table1[[AwayTeam]:[AwayTeam]], M$1, Table1[[ActualResult]:[ActualResult]], "SO"),0))</f>
        <v>0-0-0</v>
      </c>
      <c r="N21" s="57" t="str">
        <f>_xlfn.CONCAT(TEXT(SUMIFS(Table1[[AwayWon]:[AwayWon]], Table1[[GameIsOver]:[GameIsOver]],1,Table1[[AwayTeam]:[AwayTeam]],$A21, Table1[[HomeTeam]:[HomeTeam]], N$1) + SUMIFS(Table1[[HomeWon]:[HomeWon]], Table1[[GameIsOver]:[GameIsOver]],1,Table1[[HomeTeam]:[HomeTeam]],$A21, Table1[[AwayTeam]:[AwayTeam]], N$1),0), "-", TEXT(SUMIFS(Table1[[HomeWon]:[HomeWon]], Table1[[GameIsOver]:[GameIsOver]],1,Table1[[AwayTeam]:[AwayTeam]],$A21, Table1[[HomeTeam]:[HomeTeam]], N$1, Table1[[ActualResult]:[ActualResult]], "REG") + SUMIFS(Table1[[AwayWon]:[AwayWon]], Table1[[GameIsOver]:[GameIsOver]],1,Table1[[HomeTeam]:[HomeTeam]],$A21, Table1[[AwayTeam]:[AwayTeam]], N$1, Table1[[ActualResult]:[ActualResult]], "REG"),0), "-", TEXT(SUMIFS(Table1[[HomeWon]:[HomeWon]], Table1[[GameIsOver]:[GameIsOver]],1,Table1[[AwayTeam]:[AwayTeam]],$A21, Table1[[HomeTeam]:[HomeTeam]], N$1, Table1[[ActualResult]:[ActualResult]], "OT") + SUMIFS(Table1[[AwayWon]:[AwayWon]], Table1[[GameIsOver]:[GameIsOver]],1,Table1[[HomeTeam]:[HomeTeam]],$A21, Table1[[AwayTeam]:[AwayTeam]], N$1, Table1[[ActualResult]:[ActualResult]], "OT") + SUMIFS(Table1[[HomeWon]:[HomeWon]], Table1[[GameIsOver]:[GameIsOver]],1,Table1[[AwayTeam]:[AwayTeam]],$A21, Table1[[HomeTeam]:[HomeTeam]], N$1, Table1[[ActualResult]:[ActualResult]], "SO") + SUMIFS(Table1[[AwayWon]:[AwayWon]], Table1[[GameIsOver]:[GameIsOver]],1,Table1[[HomeTeam]:[HomeTeam]],$A21, Table1[[AwayTeam]:[AwayTeam]], N$1, Table1[[ActualResult]:[ActualResult]], "SO"),0))</f>
        <v>0-0-0</v>
      </c>
      <c r="O21" s="57" t="str">
        <f>_xlfn.CONCAT(TEXT(SUMIFS(Table1[[AwayWon]:[AwayWon]], Table1[[GameIsOver]:[GameIsOver]],1,Table1[[AwayTeam]:[AwayTeam]],$A21, Table1[[HomeTeam]:[HomeTeam]], O$1) + SUMIFS(Table1[[HomeWon]:[HomeWon]], Table1[[GameIsOver]:[GameIsOver]],1,Table1[[HomeTeam]:[HomeTeam]],$A21, Table1[[AwayTeam]:[AwayTeam]], O$1),0), "-", TEXT(SUMIFS(Table1[[HomeWon]:[HomeWon]], Table1[[GameIsOver]:[GameIsOver]],1,Table1[[AwayTeam]:[AwayTeam]],$A21, Table1[[HomeTeam]:[HomeTeam]], O$1, Table1[[ActualResult]:[ActualResult]], "REG") + SUMIFS(Table1[[AwayWon]:[AwayWon]], Table1[[GameIsOver]:[GameIsOver]],1,Table1[[HomeTeam]:[HomeTeam]],$A21, Table1[[AwayTeam]:[AwayTeam]], O$1, Table1[[ActualResult]:[ActualResult]], "REG"),0), "-", TEXT(SUMIFS(Table1[[HomeWon]:[HomeWon]], Table1[[GameIsOver]:[GameIsOver]],1,Table1[[AwayTeam]:[AwayTeam]],$A21, Table1[[HomeTeam]:[HomeTeam]], O$1, Table1[[ActualResult]:[ActualResult]], "OT") + SUMIFS(Table1[[AwayWon]:[AwayWon]], Table1[[GameIsOver]:[GameIsOver]],1,Table1[[HomeTeam]:[HomeTeam]],$A21, Table1[[AwayTeam]:[AwayTeam]], O$1, Table1[[ActualResult]:[ActualResult]], "OT") + SUMIFS(Table1[[HomeWon]:[HomeWon]], Table1[[GameIsOver]:[GameIsOver]],1,Table1[[AwayTeam]:[AwayTeam]],$A21, Table1[[HomeTeam]:[HomeTeam]], O$1, Table1[[ActualResult]:[ActualResult]], "SO") + SUMIFS(Table1[[AwayWon]:[AwayWon]], Table1[[GameIsOver]:[GameIsOver]],1,Table1[[HomeTeam]:[HomeTeam]],$A21, Table1[[AwayTeam]:[AwayTeam]], O$1, Table1[[ActualResult]:[ActualResult]], "SO"),0))</f>
        <v>1-0-0</v>
      </c>
      <c r="P21" s="57" t="str">
        <f>_xlfn.CONCAT(TEXT(SUMIFS(Table1[[AwayWon]:[AwayWon]], Table1[[GameIsOver]:[GameIsOver]],1,Table1[[AwayTeam]:[AwayTeam]],$A21, Table1[[HomeTeam]:[HomeTeam]], P$1) + SUMIFS(Table1[[HomeWon]:[HomeWon]], Table1[[GameIsOver]:[GameIsOver]],1,Table1[[HomeTeam]:[HomeTeam]],$A21, Table1[[AwayTeam]:[AwayTeam]], P$1),0), "-", TEXT(SUMIFS(Table1[[HomeWon]:[HomeWon]], Table1[[GameIsOver]:[GameIsOver]],1,Table1[[AwayTeam]:[AwayTeam]],$A21, Table1[[HomeTeam]:[HomeTeam]], P$1, Table1[[ActualResult]:[ActualResult]], "REG") + SUMIFS(Table1[[AwayWon]:[AwayWon]], Table1[[GameIsOver]:[GameIsOver]],1,Table1[[HomeTeam]:[HomeTeam]],$A21, Table1[[AwayTeam]:[AwayTeam]], P$1, Table1[[ActualResult]:[ActualResult]], "REG"),0), "-", TEXT(SUMIFS(Table1[[HomeWon]:[HomeWon]], Table1[[GameIsOver]:[GameIsOver]],1,Table1[[AwayTeam]:[AwayTeam]],$A21, Table1[[HomeTeam]:[HomeTeam]], P$1, Table1[[ActualResult]:[ActualResult]], "OT") + SUMIFS(Table1[[AwayWon]:[AwayWon]], Table1[[GameIsOver]:[GameIsOver]],1,Table1[[HomeTeam]:[HomeTeam]],$A21, Table1[[AwayTeam]:[AwayTeam]], P$1, Table1[[ActualResult]:[ActualResult]], "OT") + SUMIFS(Table1[[HomeWon]:[HomeWon]], Table1[[GameIsOver]:[GameIsOver]],1,Table1[[AwayTeam]:[AwayTeam]],$A21, Table1[[HomeTeam]:[HomeTeam]], P$1, Table1[[ActualResult]:[ActualResult]], "SO") + SUMIFS(Table1[[AwayWon]:[AwayWon]], Table1[[GameIsOver]:[GameIsOver]],1,Table1[[HomeTeam]:[HomeTeam]],$A21, Table1[[AwayTeam]:[AwayTeam]], P$1, Table1[[ActualResult]:[ActualResult]], "SO"),0))</f>
        <v>0-0-0</v>
      </c>
      <c r="Q21" s="59" t="str">
        <f>_xlfn.CONCAT(TEXT(SUMIFS(Table1[[AwayWon]:[AwayWon]], Table1[[GameIsOver]:[GameIsOver]],1,Table1[[AwayTeam]:[AwayTeam]],$A21, Table1[[HomeTeam]:[HomeTeam]], Q$1) + SUMIFS(Table1[[HomeWon]:[HomeWon]], Table1[[GameIsOver]:[GameIsOver]],1,Table1[[HomeTeam]:[HomeTeam]],$A21, Table1[[AwayTeam]:[AwayTeam]], Q$1),0), "-", TEXT(SUMIFS(Table1[[HomeWon]:[HomeWon]], Table1[[GameIsOver]:[GameIsOver]],1,Table1[[AwayTeam]:[AwayTeam]],$A21, Table1[[HomeTeam]:[HomeTeam]], Q$1, Table1[[ActualResult]:[ActualResult]], "REG") + SUMIFS(Table1[[AwayWon]:[AwayWon]], Table1[[GameIsOver]:[GameIsOver]],1,Table1[[HomeTeam]:[HomeTeam]],$A21, Table1[[AwayTeam]:[AwayTeam]], Q$1, Table1[[ActualResult]:[ActualResult]], "REG"),0), "-", TEXT(SUMIFS(Table1[[HomeWon]:[HomeWon]], Table1[[GameIsOver]:[GameIsOver]],1,Table1[[AwayTeam]:[AwayTeam]],$A21, Table1[[HomeTeam]:[HomeTeam]], Q$1, Table1[[ActualResult]:[ActualResult]], "OT") + SUMIFS(Table1[[AwayWon]:[AwayWon]], Table1[[GameIsOver]:[GameIsOver]],1,Table1[[HomeTeam]:[HomeTeam]],$A21, Table1[[AwayTeam]:[AwayTeam]], Q$1, Table1[[ActualResult]:[ActualResult]], "OT") + SUMIFS(Table1[[HomeWon]:[HomeWon]], Table1[[GameIsOver]:[GameIsOver]],1,Table1[[AwayTeam]:[AwayTeam]],$A21, Table1[[HomeTeam]:[HomeTeam]], Q$1, Table1[[ActualResult]:[ActualResult]], "SO") + SUMIFS(Table1[[AwayWon]:[AwayWon]], Table1[[GameIsOver]:[GameIsOver]],1,Table1[[HomeTeam]:[HomeTeam]],$A21, Table1[[AwayTeam]:[AwayTeam]], Q$1, Table1[[ActualResult]:[ActualResult]], "SO"),0))</f>
        <v>0-0-0</v>
      </c>
      <c r="R21" s="57" t="str">
        <f>_xlfn.CONCAT(TEXT(SUMIFS(Table1[[AwayWon]:[AwayWon]], Table1[[GameIsOver]:[GameIsOver]],1,Table1[[AwayTeam]:[AwayTeam]],$A21, Table1[[HomeTeam]:[HomeTeam]], R$1) + SUMIFS(Table1[[HomeWon]:[HomeWon]], Table1[[GameIsOver]:[GameIsOver]],1,Table1[[HomeTeam]:[HomeTeam]],$A21, Table1[[AwayTeam]:[AwayTeam]], R$1),0), "-", TEXT(SUMIFS(Table1[[HomeWon]:[HomeWon]], Table1[[GameIsOver]:[GameIsOver]],1,Table1[[AwayTeam]:[AwayTeam]],$A21, Table1[[HomeTeam]:[HomeTeam]], R$1, Table1[[ActualResult]:[ActualResult]], "REG") + SUMIFS(Table1[[AwayWon]:[AwayWon]], Table1[[GameIsOver]:[GameIsOver]],1,Table1[[HomeTeam]:[HomeTeam]],$A21, Table1[[AwayTeam]:[AwayTeam]], R$1, Table1[[ActualResult]:[ActualResult]], "REG"),0), "-", TEXT(SUMIFS(Table1[[HomeWon]:[HomeWon]], Table1[[GameIsOver]:[GameIsOver]],1,Table1[[AwayTeam]:[AwayTeam]],$A21, Table1[[HomeTeam]:[HomeTeam]], R$1, Table1[[ActualResult]:[ActualResult]], "OT") + SUMIFS(Table1[[AwayWon]:[AwayWon]], Table1[[GameIsOver]:[GameIsOver]],1,Table1[[HomeTeam]:[HomeTeam]],$A21, Table1[[AwayTeam]:[AwayTeam]], R$1, Table1[[ActualResult]:[ActualResult]], "OT") + SUMIFS(Table1[[HomeWon]:[HomeWon]], Table1[[GameIsOver]:[GameIsOver]],1,Table1[[AwayTeam]:[AwayTeam]],$A21, Table1[[HomeTeam]:[HomeTeam]], R$1, Table1[[ActualResult]:[ActualResult]], "SO") + SUMIFS(Table1[[AwayWon]:[AwayWon]], Table1[[GameIsOver]:[GameIsOver]],1,Table1[[HomeTeam]:[HomeTeam]],$A21, Table1[[AwayTeam]:[AwayTeam]], R$1, Table1[[ActualResult]:[ActualResult]], "SO"),0))</f>
        <v>0-0-0</v>
      </c>
      <c r="S21" s="57" t="str">
        <f>_xlfn.CONCAT(TEXT(SUMIFS(Table1[[AwayWon]:[AwayWon]], Table1[[GameIsOver]:[GameIsOver]],1,Table1[[AwayTeam]:[AwayTeam]],$A21, Table1[[HomeTeam]:[HomeTeam]], S$1) + SUMIFS(Table1[[HomeWon]:[HomeWon]], Table1[[GameIsOver]:[GameIsOver]],1,Table1[[HomeTeam]:[HomeTeam]],$A21, Table1[[AwayTeam]:[AwayTeam]], S$1),0), "-", TEXT(SUMIFS(Table1[[HomeWon]:[HomeWon]], Table1[[GameIsOver]:[GameIsOver]],1,Table1[[AwayTeam]:[AwayTeam]],$A21, Table1[[HomeTeam]:[HomeTeam]], S$1, Table1[[ActualResult]:[ActualResult]], "REG") + SUMIFS(Table1[[AwayWon]:[AwayWon]], Table1[[GameIsOver]:[GameIsOver]],1,Table1[[HomeTeam]:[HomeTeam]],$A21, Table1[[AwayTeam]:[AwayTeam]], S$1, Table1[[ActualResult]:[ActualResult]], "REG"),0), "-", TEXT(SUMIFS(Table1[[HomeWon]:[HomeWon]], Table1[[GameIsOver]:[GameIsOver]],1,Table1[[AwayTeam]:[AwayTeam]],$A21, Table1[[HomeTeam]:[HomeTeam]], S$1, Table1[[ActualResult]:[ActualResult]], "OT") + SUMIFS(Table1[[AwayWon]:[AwayWon]], Table1[[GameIsOver]:[GameIsOver]],1,Table1[[HomeTeam]:[HomeTeam]],$A21, Table1[[AwayTeam]:[AwayTeam]], S$1, Table1[[ActualResult]:[ActualResult]], "OT") + SUMIFS(Table1[[HomeWon]:[HomeWon]], Table1[[GameIsOver]:[GameIsOver]],1,Table1[[AwayTeam]:[AwayTeam]],$A21, Table1[[HomeTeam]:[HomeTeam]], S$1, Table1[[ActualResult]:[ActualResult]], "SO") + SUMIFS(Table1[[AwayWon]:[AwayWon]], Table1[[GameIsOver]:[GameIsOver]],1,Table1[[HomeTeam]:[HomeTeam]],$A21, Table1[[AwayTeam]:[AwayTeam]], S$1, Table1[[ActualResult]:[ActualResult]], "SO"),0))</f>
        <v>0-0-0</v>
      </c>
      <c r="T21" s="57" t="str">
        <f>_xlfn.CONCAT(TEXT(SUMIFS(Table1[[AwayWon]:[AwayWon]], Table1[[GameIsOver]:[GameIsOver]],1,Table1[[AwayTeam]:[AwayTeam]],$A21, Table1[[HomeTeam]:[HomeTeam]], T$1) + SUMIFS(Table1[[HomeWon]:[HomeWon]], Table1[[GameIsOver]:[GameIsOver]],1,Table1[[HomeTeam]:[HomeTeam]],$A21, Table1[[AwayTeam]:[AwayTeam]], T$1),0), "-", TEXT(SUMIFS(Table1[[HomeWon]:[HomeWon]], Table1[[GameIsOver]:[GameIsOver]],1,Table1[[AwayTeam]:[AwayTeam]],$A21, Table1[[HomeTeam]:[HomeTeam]], T$1, Table1[[ActualResult]:[ActualResult]], "REG") + SUMIFS(Table1[[AwayWon]:[AwayWon]], Table1[[GameIsOver]:[GameIsOver]],1,Table1[[HomeTeam]:[HomeTeam]],$A21, Table1[[AwayTeam]:[AwayTeam]], T$1, Table1[[ActualResult]:[ActualResult]], "REG"),0), "-", TEXT(SUMIFS(Table1[[HomeWon]:[HomeWon]], Table1[[GameIsOver]:[GameIsOver]],1,Table1[[AwayTeam]:[AwayTeam]],$A21, Table1[[HomeTeam]:[HomeTeam]], T$1, Table1[[ActualResult]:[ActualResult]], "OT") + SUMIFS(Table1[[AwayWon]:[AwayWon]], Table1[[GameIsOver]:[GameIsOver]],1,Table1[[HomeTeam]:[HomeTeam]],$A21, Table1[[AwayTeam]:[AwayTeam]], T$1, Table1[[ActualResult]:[ActualResult]], "OT") + SUMIFS(Table1[[HomeWon]:[HomeWon]], Table1[[GameIsOver]:[GameIsOver]],1,Table1[[AwayTeam]:[AwayTeam]],$A21, Table1[[HomeTeam]:[HomeTeam]], T$1, Table1[[ActualResult]:[ActualResult]], "SO") + SUMIFS(Table1[[AwayWon]:[AwayWon]], Table1[[GameIsOver]:[GameIsOver]],1,Table1[[HomeTeam]:[HomeTeam]],$A21, Table1[[AwayTeam]:[AwayTeam]], T$1, Table1[[ActualResult]:[ActualResult]], "SO"),0))</f>
        <v>0-0-0</v>
      </c>
      <c r="U21" s="57" t="str">
        <f>_xlfn.CONCAT(TEXT(SUMIFS(Table1[[AwayWon]:[AwayWon]], Table1[[GameIsOver]:[GameIsOver]],1,Table1[[AwayTeam]:[AwayTeam]],$A21, Table1[[HomeTeam]:[HomeTeam]], U$1) + SUMIFS(Table1[[HomeWon]:[HomeWon]], Table1[[GameIsOver]:[GameIsOver]],1,Table1[[HomeTeam]:[HomeTeam]],$A21, Table1[[AwayTeam]:[AwayTeam]], U$1),0), "-", TEXT(SUMIFS(Table1[[HomeWon]:[HomeWon]], Table1[[GameIsOver]:[GameIsOver]],1,Table1[[AwayTeam]:[AwayTeam]],$A21, Table1[[HomeTeam]:[HomeTeam]], U$1, Table1[[ActualResult]:[ActualResult]], "REG") + SUMIFS(Table1[[AwayWon]:[AwayWon]], Table1[[GameIsOver]:[GameIsOver]],1,Table1[[HomeTeam]:[HomeTeam]],$A21, Table1[[AwayTeam]:[AwayTeam]], U$1, Table1[[ActualResult]:[ActualResult]], "REG"),0), "-", TEXT(SUMIFS(Table1[[HomeWon]:[HomeWon]], Table1[[GameIsOver]:[GameIsOver]],1,Table1[[AwayTeam]:[AwayTeam]],$A21, Table1[[HomeTeam]:[HomeTeam]], U$1, Table1[[ActualResult]:[ActualResult]], "OT") + SUMIFS(Table1[[AwayWon]:[AwayWon]], Table1[[GameIsOver]:[GameIsOver]],1,Table1[[HomeTeam]:[HomeTeam]],$A21, Table1[[AwayTeam]:[AwayTeam]], U$1, Table1[[ActualResult]:[ActualResult]], "OT") + SUMIFS(Table1[[HomeWon]:[HomeWon]], Table1[[GameIsOver]:[GameIsOver]],1,Table1[[AwayTeam]:[AwayTeam]],$A21, Table1[[HomeTeam]:[HomeTeam]], U$1, Table1[[ActualResult]:[ActualResult]], "SO") + SUMIFS(Table1[[AwayWon]:[AwayWon]], Table1[[GameIsOver]:[GameIsOver]],1,Table1[[HomeTeam]:[HomeTeam]],$A21, Table1[[AwayTeam]:[AwayTeam]], U$1, Table1[[ActualResult]:[ActualResult]], "SO"),0))</f>
        <v>0-0-0</v>
      </c>
      <c r="V21" s="57" t="str">
        <f>_xlfn.CONCAT(TEXT(SUMIFS(Table1[[AwayWon]:[AwayWon]], Table1[[GameIsOver]:[GameIsOver]],1,Table1[[AwayTeam]:[AwayTeam]],$A21, Table1[[HomeTeam]:[HomeTeam]], V$1) + SUMIFS(Table1[[HomeWon]:[HomeWon]], Table1[[GameIsOver]:[GameIsOver]],1,Table1[[HomeTeam]:[HomeTeam]],$A21, Table1[[AwayTeam]:[AwayTeam]], V$1),0), "-", TEXT(SUMIFS(Table1[[HomeWon]:[HomeWon]], Table1[[GameIsOver]:[GameIsOver]],1,Table1[[AwayTeam]:[AwayTeam]],$A21, Table1[[HomeTeam]:[HomeTeam]], V$1, Table1[[ActualResult]:[ActualResult]], "REG") + SUMIFS(Table1[[AwayWon]:[AwayWon]], Table1[[GameIsOver]:[GameIsOver]],1,Table1[[HomeTeam]:[HomeTeam]],$A21, Table1[[AwayTeam]:[AwayTeam]], V$1, Table1[[ActualResult]:[ActualResult]], "REG"),0), "-", TEXT(SUMIFS(Table1[[HomeWon]:[HomeWon]], Table1[[GameIsOver]:[GameIsOver]],1,Table1[[AwayTeam]:[AwayTeam]],$A21, Table1[[HomeTeam]:[HomeTeam]], V$1, Table1[[ActualResult]:[ActualResult]], "OT") + SUMIFS(Table1[[AwayWon]:[AwayWon]], Table1[[GameIsOver]:[GameIsOver]],1,Table1[[HomeTeam]:[HomeTeam]],$A21, Table1[[AwayTeam]:[AwayTeam]], V$1, Table1[[ActualResult]:[ActualResult]], "OT") + SUMIFS(Table1[[HomeWon]:[HomeWon]], Table1[[GameIsOver]:[GameIsOver]],1,Table1[[AwayTeam]:[AwayTeam]],$A21, Table1[[HomeTeam]:[HomeTeam]], V$1, Table1[[ActualResult]:[ActualResult]], "SO") + SUMIFS(Table1[[AwayWon]:[AwayWon]], Table1[[GameIsOver]:[GameIsOver]],1,Table1[[HomeTeam]:[HomeTeam]],$A21, Table1[[AwayTeam]:[AwayTeam]], V$1, Table1[[ActualResult]:[ActualResult]], "SO"),0))</f>
        <v>0-0-0</v>
      </c>
      <c r="W21" s="57" t="str">
        <f>_xlfn.CONCAT(TEXT(SUMIFS(Table1[[AwayWon]:[AwayWon]], Table1[[GameIsOver]:[GameIsOver]],1,Table1[[AwayTeam]:[AwayTeam]],$A21, Table1[[HomeTeam]:[HomeTeam]], W$1) + SUMIFS(Table1[[HomeWon]:[HomeWon]], Table1[[GameIsOver]:[GameIsOver]],1,Table1[[HomeTeam]:[HomeTeam]],$A21, Table1[[AwayTeam]:[AwayTeam]], W$1),0), "-", TEXT(SUMIFS(Table1[[HomeWon]:[HomeWon]], Table1[[GameIsOver]:[GameIsOver]],1,Table1[[AwayTeam]:[AwayTeam]],$A21, Table1[[HomeTeam]:[HomeTeam]], W$1, Table1[[ActualResult]:[ActualResult]], "REG") + SUMIFS(Table1[[AwayWon]:[AwayWon]], Table1[[GameIsOver]:[GameIsOver]],1,Table1[[HomeTeam]:[HomeTeam]],$A21, Table1[[AwayTeam]:[AwayTeam]], W$1, Table1[[ActualResult]:[ActualResult]], "REG"),0), "-", TEXT(SUMIFS(Table1[[HomeWon]:[HomeWon]], Table1[[GameIsOver]:[GameIsOver]],1,Table1[[AwayTeam]:[AwayTeam]],$A21, Table1[[HomeTeam]:[HomeTeam]], W$1, Table1[[ActualResult]:[ActualResult]], "OT") + SUMIFS(Table1[[AwayWon]:[AwayWon]], Table1[[GameIsOver]:[GameIsOver]],1,Table1[[HomeTeam]:[HomeTeam]],$A21, Table1[[AwayTeam]:[AwayTeam]], W$1, Table1[[ActualResult]:[ActualResult]], "OT") + SUMIFS(Table1[[HomeWon]:[HomeWon]], Table1[[GameIsOver]:[GameIsOver]],1,Table1[[AwayTeam]:[AwayTeam]],$A21, Table1[[HomeTeam]:[HomeTeam]], W$1, Table1[[ActualResult]:[ActualResult]], "SO") + SUMIFS(Table1[[AwayWon]:[AwayWon]], Table1[[GameIsOver]:[GameIsOver]],1,Table1[[HomeTeam]:[HomeTeam]],$A21, Table1[[AwayTeam]:[AwayTeam]], W$1, Table1[[ActualResult]:[ActualResult]], "SO"),0))</f>
        <v>0-0-0</v>
      </c>
      <c r="X21" s="57" t="str">
        <f>_xlfn.CONCAT(TEXT(SUMIFS(Table1[[AwayWon]:[AwayWon]], Table1[[GameIsOver]:[GameIsOver]],1,Table1[[AwayTeam]:[AwayTeam]],$A21, Table1[[HomeTeam]:[HomeTeam]], X$1) + SUMIFS(Table1[[HomeWon]:[HomeWon]], Table1[[GameIsOver]:[GameIsOver]],1,Table1[[HomeTeam]:[HomeTeam]],$A21, Table1[[AwayTeam]:[AwayTeam]], X$1),0), "-", TEXT(SUMIFS(Table1[[HomeWon]:[HomeWon]], Table1[[GameIsOver]:[GameIsOver]],1,Table1[[AwayTeam]:[AwayTeam]],$A21, Table1[[HomeTeam]:[HomeTeam]], X$1, Table1[[ActualResult]:[ActualResult]], "REG") + SUMIFS(Table1[[AwayWon]:[AwayWon]], Table1[[GameIsOver]:[GameIsOver]],1,Table1[[HomeTeam]:[HomeTeam]],$A21, Table1[[AwayTeam]:[AwayTeam]], X$1, Table1[[ActualResult]:[ActualResult]], "REG"),0), "-", TEXT(SUMIFS(Table1[[HomeWon]:[HomeWon]], Table1[[GameIsOver]:[GameIsOver]],1,Table1[[AwayTeam]:[AwayTeam]],$A21, Table1[[HomeTeam]:[HomeTeam]], X$1, Table1[[ActualResult]:[ActualResult]], "OT") + SUMIFS(Table1[[AwayWon]:[AwayWon]], Table1[[GameIsOver]:[GameIsOver]],1,Table1[[HomeTeam]:[HomeTeam]],$A21, Table1[[AwayTeam]:[AwayTeam]], X$1, Table1[[ActualResult]:[ActualResult]], "OT") + SUMIFS(Table1[[HomeWon]:[HomeWon]], Table1[[GameIsOver]:[GameIsOver]],1,Table1[[AwayTeam]:[AwayTeam]],$A21, Table1[[HomeTeam]:[HomeTeam]], X$1, Table1[[ActualResult]:[ActualResult]], "SO") + SUMIFS(Table1[[AwayWon]:[AwayWon]], Table1[[GameIsOver]:[GameIsOver]],1,Table1[[HomeTeam]:[HomeTeam]],$A21, Table1[[AwayTeam]:[AwayTeam]], X$1, Table1[[ActualResult]:[ActualResult]], "SO"),0))</f>
        <v>0-0-0</v>
      </c>
      <c r="Y21" s="59" t="str">
        <f>_xlfn.CONCAT(TEXT(SUMIFS(Table1[[AwayWon]:[AwayWon]], Table1[[GameIsOver]:[GameIsOver]],1,Table1[[AwayTeam]:[AwayTeam]],$A21, Table1[[HomeTeam]:[HomeTeam]], Y$1) + SUMIFS(Table1[[HomeWon]:[HomeWon]], Table1[[GameIsOver]:[GameIsOver]],1,Table1[[HomeTeam]:[HomeTeam]],$A21, Table1[[AwayTeam]:[AwayTeam]], Y$1),0), "-", TEXT(SUMIFS(Table1[[HomeWon]:[HomeWon]], Table1[[GameIsOver]:[GameIsOver]],1,Table1[[AwayTeam]:[AwayTeam]],$A21, Table1[[HomeTeam]:[HomeTeam]], Y$1, Table1[[ActualResult]:[ActualResult]], "REG") + SUMIFS(Table1[[AwayWon]:[AwayWon]], Table1[[GameIsOver]:[GameIsOver]],1,Table1[[HomeTeam]:[HomeTeam]],$A21, Table1[[AwayTeam]:[AwayTeam]], Y$1, Table1[[ActualResult]:[ActualResult]], "REG"),0), "-", TEXT(SUMIFS(Table1[[HomeWon]:[HomeWon]], Table1[[GameIsOver]:[GameIsOver]],1,Table1[[AwayTeam]:[AwayTeam]],$A21, Table1[[HomeTeam]:[HomeTeam]], Y$1, Table1[[ActualResult]:[ActualResult]], "OT") + SUMIFS(Table1[[AwayWon]:[AwayWon]], Table1[[GameIsOver]:[GameIsOver]],1,Table1[[HomeTeam]:[HomeTeam]],$A21, Table1[[AwayTeam]:[AwayTeam]], Y$1, Table1[[ActualResult]:[ActualResult]], "OT") + SUMIFS(Table1[[HomeWon]:[HomeWon]], Table1[[GameIsOver]:[GameIsOver]],1,Table1[[AwayTeam]:[AwayTeam]],$A21, Table1[[HomeTeam]:[HomeTeam]], Y$1, Table1[[ActualResult]:[ActualResult]], "SO") + SUMIFS(Table1[[AwayWon]:[AwayWon]], Table1[[GameIsOver]:[GameIsOver]],1,Table1[[HomeTeam]:[HomeTeam]],$A21, Table1[[AwayTeam]:[AwayTeam]], Y$1, Table1[[ActualResult]:[ActualResult]], "SO"),0))</f>
        <v>0-0-0</v>
      </c>
      <c r="Z21" s="57" t="str">
        <f>_xlfn.CONCAT(TEXT(SUMIFS(Table1[[AwayWon]:[AwayWon]], Table1[[GameIsOver]:[GameIsOver]],1,Table1[[AwayTeam]:[AwayTeam]],$A21, Table1[[HomeTeam]:[HomeTeam]], Z$1) + SUMIFS(Table1[[HomeWon]:[HomeWon]], Table1[[GameIsOver]:[GameIsOver]],1,Table1[[HomeTeam]:[HomeTeam]],$A21, Table1[[AwayTeam]:[AwayTeam]], Z$1),0), "-", TEXT(SUMIFS(Table1[[HomeWon]:[HomeWon]], Table1[[GameIsOver]:[GameIsOver]],1,Table1[[AwayTeam]:[AwayTeam]],$A21, Table1[[HomeTeam]:[HomeTeam]], Z$1, Table1[[ActualResult]:[ActualResult]], "REG") + SUMIFS(Table1[[AwayWon]:[AwayWon]], Table1[[GameIsOver]:[GameIsOver]],1,Table1[[HomeTeam]:[HomeTeam]],$A21, Table1[[AwayTeam]:[AwayTeam]], Z$1, Table1[[ActualResult]:[ActualResult]], "REG"),0), "-", TEXT(SUMIFS(Table1[[HomeWon]:[HomeWon]], Table1[[GameIsOver]:[GameIsOver]],1,Table1[[AwayTeam]:[AwayTeam]],$A21, Table1[[HomeTeam]:[HomeTeam]], Z$1, Table1[[ActualResult]:[ActualResult]], "OT") + SUMIFS(Table1[[AwayWon]:[AwayWon]], Table1[[GameIsOver]:[GameIsOver]],1,Table1[[HomeTeam]:[HomeTeam]],$A21, Table1[[AwayTeam]:[AwayTeam]], Z$1, Table1[[ActualResult]:[ActualResult]], "OT") + SUMIFS(Table1[[HomeWon]:[HomeWon]], Table1[[GameIsOver]:[GameIsOver]],1,Table1[[AwayTeam]:[AwayTeam]],$A21, Table1[[HomeTeam]:[HomeTeam]], Z$1, Table1[[ActualResult]:[ActualResult]], "SO") + SUMIFS(Table1[[AwayWon]:[AwayWon]], Table1[[GameIsOver]:[GameIsOver]],1,Table1[[HomeTeam]:[HomeTeam]],$A21, Table1[[AwayTeam]:[AwayTeam]], Z$1, Table1[[ActualResult]:[ActualResult]], "SO"),0))</f>
        <v>0-0-0</v>
      </c>
      <c r="AA21" s="57" t="str">
        <f>_xlfn.CONCAT(TEXT(SUMIFS(Table1[[AwayWon]:[AwayWon]], Table1[[GameIsOver]:[GameIsOver]],1,Table1[[AwayTeam]:[AwayTeam]],$A21, Table1[[HomeTeam]:[HomeTeam]], AA$1) + SUMIFS(Table1[[HomeWon]:[HomeWon]], Table1[[GameIsOver]:[GameIsOver]],1,Table1[[HomeTeam]:[HomeTeam]],$A21, Table1[[AwayTeam]:[AwayTeam]], AA$1),0), "-", TEXT(SUMIFS(Table1[[HomeWon]:[HomeWon]], Table1[[GameIsOver]:[GameIsOver]],1,Table1[[AwayTeam]:[AwayTeam]],$A21, Table1[[HomeTeam]:[HomeTeam]], AA$1, Table1[[ActualResult]:[ActualResult]], "REG") + SUMIFS(Table1[[AwayWon]:[AwayWon]], Table1[[GameIsOver]:[GameIsOver]],1,Table1[[HomeTeam]:[HomeTeam]],$A21, Table1[[AwayTeam]:[AwayTeam]], AA$1, Table1[[ActualResult]:[ActualResult]], "REG"),0), "-", TEXT(SUMIFS(Table1[[HomeWon]:[HomeWon]], Table1[[GameIsOver]:[GameIsOver]],1,Table1[[AwayTeam]:[AwayTeam]],$A21, Table1[[HomeTeam]:[HomeTeam]], AA$1, Table1[[ActualResult]:[ActualResult]], "OT") + SUMIFS(Table1[[AwayWon]:[AwayWon]], Table1[[GameIsOver]:[GameIsOver]],1,Table1[[HomeTeam]:[HomeTeam]],$A21, Table1[[AwayTeam]:[AwayTeam]], AA$1, Table1[[ActualResult]:[ActualResult]], "OT") + SUMIFS(Table1[[HomeWon]:[HomeWon]], Table1[[GameIsOver]:[GameIsOver]],1,Table1[[AwayTeam]:[AwayTeam]],$A21, Table1[[HomeTeam]:[HomeTeam]], AA$1, Table1[[ActualResult]:[ActualResult]], "SO") + SUMIFS(Table1[[AwayWon]:[AwayWon]], Table1[[GameIsOver]:[GameIsOver]],1,Table1[[HomeTeam]:[HomeTeam]],$A21, Table1[[AwayTeam]:[AwayTeam]], AA$1, Table1[[ActualResult]:[ActualResult]], "SO"),0))</f>
        <v>0-0-0</v>
      </c>
      <c r="AB21" s="57" t="str">
        <f>_xlfn.CONCAT(TEXT(SUMIFS(Table1[[AwayWon]:[AwayWon]], Table1[[GameIsOver]:[GameIsOver]],1,Table1[[AwayTeam]:[AwayTeam]],$A21, Table1[[HomeTeam]:[HomeTeam]], AB$1) + SUMIFS(Table1[[HomeWon]:[HomeWon]], Table1[[GameIsOver]:[GameIsOver]],1,Table1[[HomeTeam]:[HomeTeam]],$A21, Table1[[AwayTeam]:[AwayTeam]], AB$1),0), "-", TEXT(SUMIFS(Table1[[HomeWon]:[HomeWon]], Table1[[GameIsOver]:[GameIsOver]],1,Table1[[AwayTeam]:[AwayTeam]],$A21, Table1[[HomeTeam]:[HomeTeam]], AB$1, Table1[[ActualResult]:[ActualResult]], "REG") + SUMIFS(Table1[[AwayWon]:[AwayWon]], Table1[[GameIsOver]:[GameIsOver]],1,Table1[[HomeTeam]:[HomeTeam]],$A21, Table1[[AwayTeam]:[AwayTeam]], AB$1, Table1[[ActualResult]:[ActualResult]], "REG"),0), "-", TEXT(SUMIFS(Table1[[HomeWon]:[HomeWon]], Table1[[GameIsOver]:[GameIsOver]],1,Table1[[AwayTeam]:[AwayTeam]],$A21, Table1[[HomeTeam]:[HomeTeam]], AB$1, Table1[[ActualResult]:[ActualResult]], "OT") + SUMIFS(Table1[[AwayWon]:[AwayWon]], Table1[[GameIsOver]:[GameIsOver]],1,Table1[[HomeTeam]:[HomeTeam]],$A21, Table1[[AwayTeam]:[AwayTeam]], AB$1, Table1[[ActualResult]:[ActualResult]], "OT") + SUMIFS(Table1[[HomeWon]:[HomeWon]], Table1[[GameIsOver]:[GameIsOver]],1,Table1[[AwayTeam]:[AwayTeam]],$A21, Table1[[HomeTeam]:[HomeTeam]], AB$1, Table1[[ActualResult]:[ActualResult]], "SO") + SUMIFS(Table1[[AwayWon]:[AwayWon]], Table1[[GameIsOver]:[GameIsOver]],1,Table1[[HomeTeam]:[HomeTeam]],$A21, Table1[[AwayTeam]:[AwayTeam]], AB$1, Table1[[ActualResult]:[ActualResult]], "SO"),0))</f>
        <v>0-0-0</v>
      </c>
      <c r="AC21" s="57" t="str">
        <f>_xlfn.CONCAT(TEXT(SUMIFS(Table1[[AwayWon]:[AwayWon]], Table1[[GameIsOver]:[GameIsOver]],1,Table1[[AwayTeam]:[AwayTeam]],$A21, Table1[[HomeTeam]:[HomeTeam]], AC$1) + SUMIFS(Table1[[HomeWon]:[HomeWon]], Table1[[GameIsOver]:[GameIsOver]],1,Table1[[HomeTeam]:[HomeTeam]],$A21, Table1[[AwayTeam]:[AwayTeam]], AC$1),0), "-", TEXT(SUMIFS(Table1[[HomeWon]:[HomeWon]], Table1[[GameIsOver]:[GameIsOver]],1,Table1[[AwayTeam]:[AwayTeam]],$A21, Table1[[HomeTeam]:[HomeTeam]], AC$1, Table1[[ActualResult]:[ActualResult]], "REG") + SUMIFS(Table1[[AwayWon]:[AwayWon]], Table1[[GameIsOver]:[GameIsOver]],1,Table1[[HomeTeam]:[HomeTeam]],$A21, Table1[[AwayTeam]:[AwayTeam]], AC$1, Table1[[ActualResult]:[ActualResult]], "REG"),0), "-", TEXT(SUMIFS(Table1[[HomeWon]:[HomeWon]], Table1[[GameIsOver]:[GameIsOver]],1,Table1[[AwayTeam]:[AwayTeam]],$A21, Table1[[HomeTeam]:[HomeTeam]], AC$1, Table1[[ActualResult]:[ActualResult]], "OT") + SUMIFS(Table1[[AwayWon]:[AwayWon]], Table1[[GameIsOver]:[GameIsOver]],1,Table1[[HomeTeam]:[HomeTeam]],$A21, Table1[[AwayTeam]:[AwayTeam]], AC$1, Table1[[ActualResult]:[ActualResult]], "OT") + SUMIFS(Table1[[HomeWon]:[HomeWon]], Table1[[GameIsOver]:[GameIsOver]],1,Table1[[AwayTeam]:[AwayTeam]],$A21, Table1[[HomeTeam]:[HomeTeam]], AC$1, Table1[[ActualResult]:[ActualResult]], "SO") + SUMIFS(Table1[[AwayWon]:[AwayWon]], Table1[[GameIsOver]:[GameIsOver]],1,Table1[[HomeTeam]:[HomeTeam]],$A21, Table1[[AwayTeam]:[AwayTeam]], AC$1, Table1[[ActualResult]:[ActualResult]], "SO"),0))</f>
        <v>0-0-0</v>
      </c>
      <c r="AD21" s="57" t="str">
        <f>_xlfn.CONCAT(TEXT(SUMIFS(Table1[[AwayWon]:[AwayWon]], Table1[[GameIsOver]:[GameIsOver]],1,Table1[[AwayTeam]:[AwayTeam]],$A21, Table1[[HomeTeam]:[HomeTeam]], AD$1) + SUMIFS(Table1[[HomeWon]:[HomeWon]], Table1[[GameIsOver]:[GameIsOver]],1,Table1[[HomeTeam]:[HomeTeam]],$A21, Table1[[AwayTeam]:[AwayTeam]], AD$1),0), "-", TEXT(SUMIFS(Table1[[HomeWon]:[HomeWon]], Table1[[GameIsOver]:[GameIsOver]],1,Table1[[AwayTeam]:[AwayTeam]],$A21, Table1[[HomeTeam]:[HomeTeam]], AD$1, Table1[[ActualResult]:[ActualResult]], "REG") + SUMIFS(Table1[[AwayWon]:[AwayWon]], Table1[[GameIsOver]:[GameIsOver]],1,Table1[[HomeTeam]:[HomeTeam]],$A21, Table1[[AwayTeam]:[AwayTeam]], AD$1, Table1[[ActualResult]:[ActualResult]], "REG"),0), "-", TEXT(SUMIFS(Table1[[HomeWon]:[HomeWon]], Table1[[GameIsOver]:[GameIsOver]],1,Table1[[AwayTeam]:[AwayTeam]],$A21, Table1[[HomeTeam]:[HomeTeam]], AD$1, Table1[[ActualResult]:[ActualResult]], "OT") + SUMIFS(Table1[[AwayWon]:[AwayWon]], Table1[[GameIsOver]:[GameIsOver]],1,Table1[[HomeTeam]:[HomeTeam]],$A21, Table1[[AwayTeam]:[AwayTeam]], AD$1, Table1[[ActualResult]:[ActualResult]], "OT") + SUMIFS(Table1[[HomeWon]:[HomeWon]], Table1[[GameIsOver]:[GameIsOver]],1,Table1[[AwayTeam]:[AwayTeam]],$A21, Table1[[HomeTeam]:[HomeTeam]], AD$1, Table1[[ActualResult]:[ActualResult]], "SO") + SUMIFS(Table1[[AwayWon]:[AwayWon]], Table1[[GameIsOver]:[GameIsOver]],1,Table1[[HomeTeam]:[HomeTeam]],$A21, Table1[[AwayTeam]:[AwayTeam]], AD$1, Table1[[ActualResult]:[ActualResult]], "SO"),0))</f>
        <v>0-0-0</v>
      </c>
      <c r="AE21" s="57" t="str">
        <f>_xlfn.CONCAT(TEXT(SUMIFS(Table1[[AwayWon]:[AwayWon]], Table1[[GameIsOver]:[GameIsOver]],1,Table1[[AwayTeam]:[AwayTeam]],$A21, Table1[[HomeTeam]:[HomeTeam]], AE$1) + SUMIFS(Table1[[HomeWon]:[HomeWon]], Table1[[GameIsOver]:[GameIsOver]],1,Table1[[HomeTeam]:[HomeTeam]],$A21, Table1[[AwayTeam]:[AwayTeam]], AE$1),0), "-", TEXT(SUMIFS(Table1[[HomeWon]:[HomeWon]], Table1[[GameIsOver]:[GameIsOver]],1,Table1[[AwayTeam]:[AwayTeam]],$A21, Table1[[HomeTeam]:[HomeTeam]], AE$1, Table1[[ActualResult]:[ActualResult]], "REG") + SUMIFS(Table1[[AwayWon]:[AwayWon]], Table1[[GameIsOver]:[GameIsOver]],1,Table1[[HomeTeam]:[HomeTeam]],$A21, Table1[[AwayTeam]:[AwayTeam]], AE$1, Table1[[ActualResult]:[ActualResult]], "REG"),0), "-", TEXT(SUMIFS(Table1[[HomeWon]:[HomeWon]], Table1[[GameIsOver]:[GameIsOver]],1,Table1[[AwayTeam]:[AwayTeam]],$A21, Table1[[HomeTeam]:[HomeTeam]], AE$1, Table1[[ActualResult]:[ActualResult]], "OT") + SUMIFS(Table1[[AwayWon]:[AwayWon]], Table1[[GameIsOver]:[GameIsOver]],1,Table1[[HomeTeam]:[HomeTeam]],$A21, Table1[[AwayTeam]:[AwayTeam]], AE$1, Table1[[ActualResult]:[ActualResult]], "OT") + SUMIFS(Table1[[HomeWon]:[HomeWon]], Table1[[GameIsOver]:[GameIsOver]],1,Table1[[AwayTeam]:[AwayTeam]],$A21, Table1[[HomeTeam]:[HomeTeam]], AE$1, Table1[[ActualResult]:[ActualResult]], "SO") + SUMIFS(Table1[[AwayWon]:[AwayWon]], Table1[[GameIsOver]:[GameIsOver]],1,Table1[[HomeTeam]:[HomeTeam]],$A21, Table1[[AwayTeam]:[AwayTeam]], AE$1, Table1[[ActualResult]:[ActualResult]], "SO"),0))</f>
        <v>0-0-0</v>
      </c>
      <c r="AF21" s="57" t="str">
        <f>_xlfn.CONCAT(TEXT(SUMIFS(Table1[[AwayWon]:[AwayWon]], Table1[[GameIsOver]:[GameIsOver]],1,Table1[[AwayTeam]:[AwayTeam]],$A21, Table1[[HomeTeam]:[HomeTeam]], AF$1) + SUMIFS(Table1[[HomeWon]:[HomeWon]], Table1[[GameIsOver]:[GameIsOver]],1,Table1[[HomeTeam]:[HomeTeam]],$A21, Table1[[AwayTeam]:[AwayTeam]], AF$1),0), "-", TEXT(SUMIFS(Table1[[HomeWon]:[HomeWon]], Table1[[GameIsOver]:[GameIsOver]],1,Table1[[AwayTeam]:[AwayTeam]],$A21, Table1[[HomeTeam]:[HomeTeam]], AF$1, Table1[[ActualResult]:[ActualResult]], "REG") + SUMIFS(Table1[[AwayWon]:[AwayWon]], Table1[[GameIsOver]:[GameIsOver]],1,Table1[[HomeTeam]:[HomeTeam]],$A21, Table1[[AwayTeam]:[AwayTeam]], AF$1, Table1[[ActualResult]:[ActualResult]], "REG"),0), "-", TEXT(SUMIFS(Table1[[HomeWon]:[HomeWon]], Table1[[GameIsOver]:[GameIsOver]],1,Table1[[AwayTeam]:[AwayTeam]],$A21, Table1[[HomeTeam]:[HomeTeam]], AF$1, Table1[[ActualResult]:[ActualResult]], "OT") + SUMIFS(Table1[[AwayWon]:[AwayWon]], Table1[[GameIsOver]:[GameIsOver]],1,Table1[[HomeTeam]:[HomeTeam]],$A21, Table1[[AwayTeam]:[AwayTeam]], AF$1, Table1[[ActualResult]:[ActualResult]], "OT") + SUMIFS(Table1[[HomeWon]:[HomeWon]], Table1[[GameIsOver]:[GameIsOver]],1,Table1[[AwayTeam]:[AwayTeam]],$A21, Table1[[HomeTeam]:[HomeTeam]], AF$1, Table1[[ActualResult]:[ActualResult]], "SO") + SUMIFS(Table1[[AwayWon]:[AwayWon]], Table1[[GameIsOver]:[GameIsOver]],1,Table1[[HomeTeam]:[HomeTeam]],$A21, Table1[[AwayTeam]:[AwayTeam]], AF$1, Table1[[ActualResult]:[ActualResult]], "SO"),0))</f>
        <v>0-0-0</v>
      </c>
      <c r="AG21" s="57" t="str">
        <f>_xlfn.CONCAT(TEXT(SUMIFS(Table1[[AwayWon]:[AwayWon]], Table1[[GameIsOver]:[GameIsOver]],1,Table1[[AwayTeam]:[AwayTeam]],$A21, Table1[[HomeTeam]:[HomeTeam]], AG$1) + SUMIFS(Table1[[HomeWon]:[HomeWon]], Table1[[GameIsOver]:[GameIsOver]],1,Table1[[HomeTeam]:[HomeTeam]],$A21, Table1[[AwayTeam]:[AwayTeam]], AG$1),0), "-", TEXT(SUMIFS(Table1[[HomeWon]:[HomeWon]], Table1[[GameIsOver]:[GameIsOver]],1,Table1[[AwayTeam]:[AwayTeam]],$A21, Table1[[HomeTeam]:[HomeTeam]], AG$1, Table1[[ActualResult]:[ActualResult]], "REG") + SUMIFS(Table1[[AwayWon]:[AwayWon]], Table1[[GameIsOver]:[GameIsOver]],1,Table1[[HomeTeam]:[HomeTeam]],$A21, Table1[[AwayTeam]:[AwayTeam]], AG$1, Table1[[ActualResult]:[ActualResult]], "REG"),0), "-", TEXT(SUMIFS(Table1[[HomeWon]:[HomeWon]], Table1[[GameIsOver]:[GameIsOver]],1,Table1[[AwayTeam]:[AwayTeam]],$A21, Table1[[HomeTeam]:[HomeTeam]], AG$1, Table1[[ActualResult]:[ActualResult]], "OT") + SUMIFS(Table1[[AwayWon]:[AwayWon]], Table1[[GameIsOver]:[GameIsOver]],1,Table1[[HomeTeam]:[HomeTeam]],$A21, Table1[[AwayTeam]:[AwayTeam]], AG$1, Table1[[ActualResult]:[ActualResult]], "OT") + SUMIFS(Table1[[HomeWon]:[HomeWon]], Table1[[GameIsOver]:[GameIsOver]],1,Table1[[AwayTeam]:[AwayTeam]],$A21, Table1[[HomeTeam]:[HomeTeam]], AG$1, Table1[[ActualResult]:[ActualResult]], "SO") + SUMIFS(Table1[[AwayWon]:[AwayWon]], Table1[[GameIsOver]:[GameIsOver]],1,Table1[[HomeTeam]:[HomeTeam]],$A21, Table1[[AwayTeam]:[AwayTeam]], AG$1, Table1[[ActualResult]:[ActualResult]], "SO"),0))</f>
        <v>0-0-0</v>
      </c>
    </row>
    <row r="22" spans="1:33" x14ac:dyDescent="0.25">
      <c r="A22" s="28" t="s">
        <v>51</v>
      </c>
      <c r="B22" s="57" t="str">
        <f>_xlfn.CONCAT(TEXT(SUMIFS(Table1[[AwayWon]:[AwayWon]], Table1[[GameIsOver]:[GameIsOver]],1,Table1[[AwayTeam]:[AwayTeam]],$A22, Table1[[HomeTeam]:[HomeTeam]], B$1) + SUMIFS(Table1[[HomeWon]:[HomeWon]], Table1[[GameIsOver]:[GameIsOver]],1,Table1[[HomeTeam]:[HomeTeam]],$A22, Table1[[AwayTeam]:[AwayTeam]], B$1),0), "-", TEXT(SUMIFS(Table1[[HomeWon]:[HomeWon]], Table1[[GameIsOver]:[GameIsOver]],1,Table1[[AwayTeam]:[AwayTeam]],$A22, Table1[[HomeTeam]:[HomeTeam]], B$1, Table1[[ActualResult]:[ActualResult]], "REG") + SUMIFS(Table1[[AwayWon]:[AwayWon]], Table1[[GameIsOver]:[GameIsOver]],1,Table1[[HomeTeam]:[HomeTeam]],$A22, Table1[[AwayTeam]:[AwayTeam]], B$1, Table1[[ActualResult]:[ActualResult]], "REG"),0), "-", TEXT(SUMIFS(Table1[[HomeWon]:[HomeWon]], Table1[[GameIsOver]:[GameIsOver]],1,Table1[[AwayTeam]:[AwayTeam]],$A22, Table1[[HomeTeam]:[HomeTeam]], B$1, Table1[[ActualResult]:[ActualResult]], "OT") + SUMIFS(Table1[[AwayWon]:[AwayWon]], Table1[[GameIsOver]:[GameIsOver]],1,Table1[[HomeTeam]:[HomeTeam]],$A22, Table1[[AwayTeam]:[AwayTeam]], B$1, Table1[[ActualResult]:[ActualResult]], "OT") + SUMIFS(Table1[[HomeWon]:[HomeWon]], Table1[[GameIsOver]:[GameIsOver]],1,Table1[[AwayTeam]:[AwayTeam]],$A22, Table1[[HomeTeam]:[HomeTeam]], B$1, Table1[[ActualResult]:[ActualResult]], "SO") + SUMIFS(Table1[[AwayWon]:[AwayWon]], Table1[[GameIsOver]:[GameIsOver]],1,Table1[[HomeTeam]:[HomeTeam]],$A22, Table1[[AwayTeam]:[AwayTeam]], B$1, Table1[[ActualResult]:[ActualResult]], "SO"),0))</f>
        <v>0-0-0</v>
      </c>
      <c r="C22" s="57" t="str">
        <f>_xlfn.CONCAT(TEXT(SUMIFS(Table1[[AwayWon]:[AwayWon]], Table1[[GameIsOver]:[GameIsOver]],1,Table1[[AwayTeam]:[AwayTeam]],$A22, Table1[[HomeTeam]:[HomeTeam]], C$1) + SUMIFS(Table1[[HomeWon]:[HomeWon]], Table1[[GameIsOver]:[GameIsOver]],1,Table1[[HomeTeam]:[HomeTeam]],$A22, Table1[[AwayTeam]:[AwayTeam]], C$1),0), "-", TEXT(SUMIFS(Table1[[HomeWon]:[HomeWon]], Table1[[GameIsOver]:[GameIsOver]],1,Table1[[AwayTeam]:[AwayTeam]],$A22, Table1[[HomeTeam]:[HomeTeam]], C$1, Table1[[ActualResult]:[ActualResult]], "REG") + SUMIFS(Table1[[AwayWon]:[AwayWon]], Table1[[GameIsOver]:[GameIsOver]],1,Table1[[HomeTeam]:[HomeTeam]],$A22, Table1[[AwayTeam]:[AwayTeam]], C$1, Table1[[ActualResult]:[ActualResult]], "REG"),0), "-", TEXT(SUMIFS(Table1[[HomeWon]:[HomeWon]], Table1[[GameIsOver]:[GameIsOver]],1,Table1[[AwayTeam]:[AwayTeam]],$A22, Table1[[HomeTeam]:[HomeTeam]], C$1, Table1[[ActualResult]:[ActualResult]], "OT") + SUMIFS(Table1[[AwayWon]:[AwayWon]], Table1[[GameIsOver]:[GameIsOver]],1,Table1[[HomeTeam]:[HomeTeam]],$A22, Table1[[AwayTeam]:[AwayTeam]], C$1, Table1[[ActualResult]:[ActualResult]], "OT") + SUMIFS(Table1[[HomeWon]:[HomeWon]], Table1[[GameIsOver]:[GameIsOver]],1,Table1[[AwayTeam]:[AwayTeam]],$A22, Table1[[HomeTeam]:[HomeTeam]], C$1, Table1[[ActualResult]:[ActualResult]], "SO") + SUMIFS(Table1[[AwayWon]:[AwayWon]], Table1[[GameIsOver]:[GameIsOver]],1,Table1[[HomeTeam]:[HomeTeam]],$A22, Table1[[AwayTeam]:[AwayTeam]], C$1, Table1[[ActualResult]:[ActualResult]], "SO"),0))</f>
        <v>0-0-0</v>
      </c>
      <c r="D22" s="57" t="str">
        <f>_xlfn.CONCAT(TEXT(SUMIFS(Table1[[AwayWon]:[AwayWon]], Table1[[GameIsOver]:[GameIsOver]],1,Table1[[AwayTeam]:[AwayTeam]],$A22, Table1[[HomeTeam]:[HomeTeam]], D$1) + SUMIFS(Table1[[HomeWon]:[HomeWon]], Table1[[GameIsOver]:[GameIsOver]],1,Table1[[HomeTeam]:[HomeTeam]],$A22, Table1[[AwayTeam]:[AwayTeam]], D$1),0), "-", TEXT(SUMIFS(Table1[[HomeWon]:[HomeWon]], Table1[[GameIsOver]:[GameIsOver]],1,Table1[[AwayTeam]:[AwayTeam]],$A22, Table1[[HomeTeam]:[HomeTeam]], D$1, Table1[[ActualResult]:[ActualResult]], "REG") + SUMIFS(Table1[[AwayWon]:[AwayWon]], Table1[[GameIsOver]:[GameIsOver]],1,Table1[[HomeTeam]:[HomeTeam]],$A22, Table1[[AwayTeam]:[AwayTeam]], D$1, Table1[[ActualResult]:[ActualResult]], "REG"),0), "-", TEXT(SUMIFS(Table1[[HomeWon]:[HomeWon]], Table1[[GameIsOver]:[GameIsOver]],1,Table1[[AwayTeam]:[AwayTeam]],$A22, Table1[[HomeTeam]:[HomeTeam]], D$1, Table1[[ActualResult]:[ActualResult]], "OT") + SUMIFS(Table1[[AwayWon]:[AwayWon]], Table1[[GameIsOver]:[GameIsOver]],1,Table1[[HomeTeam]:[HomeTeam]],$A22, Table1[[AwayTeam]:[AwayTeam]], D$1, Table1[[ActualResult]:[ActualResult]], "OT") + SUMIFS(Table1[[HomeWon]:[HomeWon]], Table1[[GameIsOver]:[GameIsOver]],1,Table1[[AwayTeam]:[AwayTeam]],$A22, Table1[[HomeTeam]:[HomeTeam]], D$1, Table1[[ActualResult]:[ActualResult]], "SO") + SUMIFS(Table1[[AwayWon]:[AwayWon]], Table1[[GameIsOver]:[GameIsOver]],1,Table1[[HomeTeam]:[HomeTeam]],$A22, Table1[[AwayTeam]:[AwayTeam]], D$1, Table1[[ActualResult]:[ActualResult]], "SO"),0))</f>
        <v>0-0-0</v>
      </c>
      <c r="E22" s="57" t="str">
        <f>_xlfn.CONCAT(TEXT(SUMIFS(Table1[[AwayWon]:[AwayWon]], Table1[[GameIsOver]:[GameIsOver]],1,Table1[[AwayTeam]:[AwayTeam]],$A22, Table1[[HomeTeam]:[HomeTeam]], E$1) + SUMIFS(Table1[[HomeWon]:[HomeWon]], Table1[[GameIsOver]:[GameIsOver]],1,Table1[[HomeTeam]:[HomeTeam]],$A22, Table1[[AwayTeam]:[AwayTeam]], E$1),0), "-", TEXT(SUMIFS(Table1[[HomeWon]:[HomeWon]], Table1[[GameIsOver]:[GameIsOver]],1,Table1[[AwayTeam]:[AwayTeam]],$A22, Table1[[HomeTeam]:[HomeTeam]], E$1, Table1[[ActualResult]:[ActualResult]], "REG") + SUMIFS(Table1[[AwayWon]:[AwayWon]], Table1[[GameIsOver]:[GameIsOver]],1,Table1[[HomeTeam]:[HomeTeam]],$A22, Table1[[AwayTeam]:[AwayTeam]], E$1, Table1[[ActualResult]:[ActualResult]], "REG"),0), "-", TEXT(SUMIFS(Table1[[HomeWon]:[HomeWon]], Table1[[GameIsOver]:[GameIsOver]],1,Table1[[AwayTeam]:[AwayTeam]],$A22, Table1[[HomeTeam]:[HomeTeam]], E$1, Table1[[ActualResult]:[ActualResult]], "OT") + SUMIFS(Table1[[AwayWon]:[AwayWon]], Table1[[GameIsOver]:[GameIsOver]],1,Table1[[HomeTeam]:[HomeTeam]],$A22, Table1[[AwayTeam]:[AwayTeam]], E$1, Table1[[ActualResult]:[ActualResult]], "OT") + SUMIFS(Table1[[HomeWon]:[HomeWon]], Table1[[GameIsOver]:[GameIsOver]],1,Table1[[AwayTeam]:[AwayTeam]],$A22, Table1[[HomeTeam]:[HomeTeam]], E$1, Table1[[ActualResult]:[ActualResult]], "SO") + SUMIFS(Table1[[AwayWon]:[AwayWon]], Table1[[GameIsOver]:[GameIsOver]],1,Table1[[HomeTeam]:[HomeTeam]],$A22, Table1[[AwayTeam]:[AwayTeam]], E$1, Table1[[ActualResult]:[ActualResult]], "SO"),0))</f>
        <v>0-0-0</v>
      </c>
      <c r="F22" s="57" t="str">
        <f>_xlfn.CONCAT(TEXT(SUMIFS(Table1[[AwayWon]:[AwayWon]], Table1[[GameIsOver]:[GameIsOver]],1,Table1[[AwayTeam]:[AwayTeam]],$A22, Table1[[HomeTeam]:[HomeTeam]], F$1) + SUMIFS(Table1[[HomeWon]:[HomeWon]], Table1[[GameIsOver]:[GameIsOver]],1,Table1[[HomeTeam]:[HomeTeam]],$A22, Table1[[AwayTeam]:[AwayTeam]], F$1),0), "-", TEXT(SUMIFS(Table1[[HomeWon]:[HomeWon]], Table1[[GameIsOver]:[GameIsOver]],1,Table1[[AwayTeam]:[AwayTeam]],$A22, Table1[[HomeTeam]:[HomeTeam]], F$1, Table1[[ActualResult]:[ActualResult]], "REG") + SUMIFS(Table1[[AwayWon]:[AwayWon]], Table1[[GameIsOver]:[GameIsOver]],1,Table1[[HomeTeam]:[HomeTeam]],$A22, Table1[[AwayTeam]:[AwayTeam]], F$1, Table1[[ActualResult]:[ActualResult]], "REG"),0), "-", TEXT(SUMIFS(Table1[[HomeWon]:[HomeWon]], Table1[[GameIsOver]:[GameIsOver]],1,Table1[[AwayTeam]:[AwayTeam]],$A22, Table1[[HomeTeam]:[HomeTeam]], F$1, Table1[[ActualResult]:[ActualResult]], "OT") + SUMIFS(Table1[[AwayWon]:[AwayWon]], Table1[[GameIsOver]:[GameIsOver]],1,Table1[[HomeTeam]:[HomeTeam]],$A22, Table1[[AwayTeam]:[AwayTeam]], F$1, Table1[[ActualResult]:[ActualResult]], "OT") + SUMIFS(Table1[[HomeWon]:[HomeWon]], Table1[[GameIsOver]:[GameIsOver]],1,Table1[[AwayTeam]:[AwayTeam]],$A22, Table1[[HomeTeam]:[HomeTeam]], F$1, Table1[[ActualResult]:[ActualResult]], "SO") + SUMIFS(Table1[[AwayWon]:[AwayWon]], Table1[[GameIsOver]:[GameIsOver]],1,Table1[[HomeTeam]:[HomeTeam]],$A22, Table1[[AwayTeam]:[AwayTeam]], F$1, Table1[[ActualResult]:[ActualResult]], "SO"),0))</f>
        <v>0-0-0</v>
      </c>
      <c r="G22" s="57" t="str">
        <f>_xlfn.CONCAT(TEXT(SUMIFS(Table1[[AwayWon]:[AwayWon]], Table1[[GameIsOver]:[GameIsOver]],1,Table1[[AwayTeam]:[AwayTeam]],$A22, Table1[[HomeTeam]:[HomeTeam]], G$1) + SUMIFS(Table1[[HomeWon]:[HomeWon]], Table1[[GameIsOver]:[GameIsOver]],1,Table1[[HomeTeam]:[HomeTeam]],$A22, Table1[[AwayTeam]:[AwayTeam]], G$1),0), "-", TEXT(SUMIFS(Table1[[HomeWon]:[HomeWon]], Table1[[GameIsOver]:[GameIsOver]],1,Table1[[AwayTeam]:[AwayTeam]],$A22, Table1[[HomeTeam]:[HomeTeam]], G$1, Table1[[ActualResult]:[ActualResult]], "REG") + SUMIFS(Table1[[AwayWon]:[AwayWon]], Table1[[GameIsOver]:[GameIsOver]],1,Table1[[HomeTeam]:[HomeTeam]],$A22, Table1[[AwayTeam]:[AwayTeam]], G$1, Table1[[ActualResult]:[ActualResult]], "REG"),0), "-", TEXT(SUMIFS(Table1[[HomeWon]:[HomeWon]], Table1[[GameIsOver]:[GameIsOver]],1,Table1[[AwayTeam]:[AwayTeam]],$A22, Table1[[HomeTeam]:[HomeTeam]], G$1, Table1[[ActualResult]:[ActualResult]], "OT") + SUMIFS(Table1[[AwayWon]:[AwayWon]], Table1[[GameIsOver]:[GameIsOver]],1,Table1[[HomeTeam]:[HomeTeam]],$A22, Table1[[AwayTeam]:[AwayTeam]], G$1, Table1[[ActualResult]:[ActualResult]], "OT") + SUMIFS(Table1[[HomeWon]:[HomeWon]], Table1[[GameIsOver]:[GameIsOver]],1,Table1[[AwayTeam]:[AwayTeam]],$A22, Table1[[HomeTeam]:[HomeTeam]], G$1, Table1[[ActualResult]:[ActualResult]], "SO") + SUMIFS(Table1[[AwayWon]:[AwayWon]], Table1[[GameIsOver]:[GameIsOver]],1,Table1[[HomeTeam]:[HomeTeam]],$A22, Table1[[AwayTeam]:[AwayTeam]], G$1, Table1[[ActualResult]:[ActualResult]], "SO"),0))</f>
        <v>0-0-0</v>
      </c>
      <c r="H22" s="57" t="str">
        <f>_xlfn.CONCAT(TEXT(SUMIFS(Table1[[AwayWon]:[AwayWon]], Table1[[GameIsOver]:[GameIsOver]],1,Table1[[AwayTeam]:[AwayTeam]],$A22, Table1[[HomeTeam]:[HomeTeam]], H$1) + SUMIFS(Table1[[HomeWon]:[HomeWon]], Table1[[GameIsOver]:[GameIsOver]],1,Table1[[HomeTeam]:[HomeTeam]],$A22, Table1[[AwayTeam]:[AwayTeam]], H$1),0), "-", TEXT(SUMIFS(Table1[[HomeWon]:[HomeWon]], Table1[[GameIsOver]:[GameIsOver]],1,Table1[[AwayTeam]:[AwayTeam]],$A22, Table1[[HomeTeam]:[HomeTeam]], H$1, Table1[[ActualResult]:[ActualResult]], "REG") + SUMIFS(Table1[[AwayWon]:[AwayWon]], Table1[[GameIsOver]:[GameIsOver]],1,Table1[[HomeTeam]:[HomeTeam]],$A22, Table1[[AwayTeam]:[AwayTeam]], H$1, Table1[[ActualResult]:[ActualResult]], "REG"),0), "-", TEXT(SUMIFS(Table1[[HomeWon]:[HomeWon]], Table1[[GameIsOver]:[GameIsOver]],1,Table1[[AwayTeam]:[AwayTeam]],$A22, Table1[[HomeTeam]:[HomeTeam]], H$1, Table1[[ActualResult]:[ActualResult]], "OT") + SUMIFS(Table1[[AwayWon]:[AwayWon]], Table1[[GameIsOver]:[GameIsOver]],1,Table1[[HomeTeam]:[HomeTeam]],$A22, Table1[[AwayTeam]:[AwayTeam]], H$1, Table1[[ActualResult]:[ActualResult]], "OT") + SUMIFS(Table1[[HomeWon]:[HomeWon]], Table1[[GameIsOver]:[GameIsOver]],1,Table1[[AwayTeam]:[AwayTeam]],$A22, Table1[[HomeTeam]:[HomeTeam]], H$1, Table1[[ActualResult]:[ActualResult]], "SO") + SUMIFS(Table1[[AwayWon]:[AwayWon]], Table1[[GameIsOver]:[GameIsOver]],1,Table1[[HomeTeam]:[HomeTeam]],$A22, Table1[[AwayTeam]:[AwayTeam]], H$1, Table1[[ActualResult]:[ActualResult]], "SO"),0))</f>
        <v>0-0-0</v>
      </c>
      <c r="I22" s="59" t="str">
        <f>_xlfn.CONCAT(TEXT(SUMIFS(Table1[[AwayWon]:[AwayWon]], Table1[[GameIsOver]:[GameIsOver]],1,Table1[[AwayTeam]:[AwayTeam]],$A22, Table1[[HomeTeam]:[HomeTeam]], I$1) + SUMIFS(Table1[[HomeWon]:[HomeWon]], Table1[[GameIsOver]:[GameIsOver]],1,Table1[[HomeTeam]:[HomeTeam]],$A22, Table1[[AwayTeam]:[AwayTeam]], I$1),0), "-", TEXT(SUMIFS(Table1[[HomeWon]:[HomeWon]], Table1[[GameIsOver]:[GameIsOver]],1,Table1[[AwayTeam]:[AwayTeam]],$A22, Table1[[HomeTeam]:[HomeTeam]], I$1, Table1[[ActualResult]:[ActualResult]], "REG") + SUMIFS(Table1[[AwayWon]:[AwayWon]], Table1[[GameIsOver]:[GameIsOver]],1,Table1[[HomeTeam]:[HomeTeam]],$A22, Table1[[AwayTeam]:[AwayTeam]], I$1, Table1[[ActualResult]:[ActualResult]], "REG"),0), "-", TEXT(SUMIFS(Table1[[HomeWon]:[HomeWon]], Table1[[GameIsOver]:[GameIsOver]],1,Table1[[AwayTeam]:[AwayTeam]],$A22, Table1[[HomeTeam]:[HomeTeam]], I$1, Table1[[ActualResult]:[ActualResult]], "OT") + SUMIFS(Table1[[AwayWon]:[AwayWon]], Table1[[GameIsOver]:[GameIsOver]],1,Table1[[HomeTeam]:[HomeTeam]],$A22, Table1[[AwayTeam]:[AwayTeam]], I$1, Table1[[ActualResult]:[ActualResult]], "OT") + SUMIFS(Table1[[HomeWon]:[HomeWon]], Table1[[GameIsOver]:[GameIsOver]],1,Table1[[AwayTeam]:[AwayTeam]],$A22, Table1[[HomeTeam]:[HomeTeam]], I$1, Table1[[ActualResult]:[ActualResult]], "SO") + SUMIFS(Table1[[AwayWon]:[AwayWon]], Table1[[GameIsOver]:[GameIsOver]],1,Table1[[HomeTeam]:[HomeTeam]],$A22, Table1[[AwayTeam]:[AwayTeam]], I$1, Table1[[ActualResult]:[ActualResult]], "SO"),0))</f>
        <v>0-0-0</v>
      </c>
      <c r="J22" s="57" t="str">
        <f>_xlfn.CONCAT(TEXT(SUMIFS(Table1[[AwayWon]:[AwayWon]], Table1[[GameIsOver]:[GameIsOver]],1,Table1[[AwayTeam]:[AwayTeam]],$A22, Table1[[HomeTeam]:[HomeTeam]], J$1) + SUMIFS(Table1[[HomeWon]:[HomeWon]], Table1[[GameIsOver]:[GameIsOver]],1,Table1[[HomeTeam]:[HomeTeam]],$A22, Table1[[AwayTeam]:[AwayTeam]], J$1),0), "-", TEXT(SUMIFS(Table1[[HomeWon]:[HomeWon]], Table1[[GameIsOver]:[GameIsOver]],1,Table1[[AwayTeam]:[AwayTeam]],$A22, Table1[[HomeTeam]:[HomeTeam]], J$1, Table1[[ActualResult]:[ActualResult]], "REG") + SUMIFS(Table1[[AwayWon]:[AwayWon]], Table1[[GameIsOver]:[GameIsOver]],1,Table1[[HomeTeam]:[HomeTeam]],$A22, Table1[[AwayTeam]:[AwayTeam]], J$1, Table1[[ActualResult]:[ActualResult]], "REG"),0), "-", TEXT(SUMIFS(Table1[[HomeWon]:[HomeWon]], Table1[[GameIsOver]:[GameIsOver]],1,Table1[[AwayTeam]:[AwayTeam]],$A22, Table1[[HomeTeam]:[HomeTeam]], J$1, Table1[[ActualResult]:[ActualResult]], "OT") + SUMIFS(Table1[[AwayWon]:[AwayWon]], Table1[[GameIsOver]:[GameIsOver]],1,Table1[[HomeTeam]:[HomeTeam]],$A22, Table1[[AwayTeam]:[AwayTeam]], J$1, Table1[[ActualResult]:[ActualResult]], "OT") + SUMIFS(Table1[[HomeWon]:[HomeWon]], Table1[[GameIsOver]:[GameIsOver]],1,Table1[[AwayTeam]:[AwayTeam]],$A22, Table1[[HomeTeam]:[HomeTeam]], J$1, Table1[[ActualResult]:[ActualResult]], "SO") + SUMIFS(Table1[[AwayWon]:[AwayWon]], Table1[[GameIsOver]:[GameIsOver]],1,Table1[[HomeTeam]:[HomeTeam]],$A22, Table1[[AwayTeam]:[AwayTeam]], J$1, Table1[[ActualResult]:[ActualResult]], "SO"),0))</f>
        <v>0-0-0</v>
      </c>
      <c r="K22" s="57" t="str">
        <f>_xlfn.CONCAT(TEXT(SUMIFS(Table1[[AwayWon]:[AwayWon]], Table1[[GameIsOver]:[GameIsOver]],1,Table1[[AwayTeam]:[AwayTeam]],$A22, Table1[[HomeTeam]:[HomeTeam]], K$1) + SUMIFS(Table1[[HomeWon]:[HomeWon]], Table1[[GameIsOver]:[GameIsOver]],1,Table1[[HomeTeam]:[HomeTeam]],$A22, Table1[[AwayTeam]:[AwayTeam]], K$1),0), "-", TEXT(SUMIFS(Table1[[HomeWon]:[HomeWon]], Table1[[GameIsOver]:[GameIsOver]],1,Table1[[AwayTeam]:[AwayTeam]],$A22, Table1[[HomeTeam]:[HomeTeam]], K$1, Table1[[ActualResult]:[ActualResult]], "REG") + SUMIFS(Table1[[AwayWon]:[AwayWon]], Table1[[GameIsOver]:[GameIsOver]],1,Table1[[HomeTeam]:[HomeTeam]],$A22, Table1[[AwayTeam]:[AwayTeam]], K$1, Table1[[ActualResult]:[ActualResult]], "REG"),0), "-", TEXT(SUMIFS(Table1[[HomeWon]:[HomeWon]], Table1[[GameIsOver]:[GameIsOver]],1,Table1[[AwayTeam]:[AwayTeam]],$A22, Table1[[HomeTeam]:[HomeTeam]], K$1, Table1[[ActualResult]:[ActualResult]], "OT") + SUMIFS(Table1[[AwayWon]:[AwayWon]], Table1[[GameIsOver]:[GameIsOver]],1,Table1[[HomeTeam]:[HomeTeam]],$A22, Table1[[AwayTeam]:[AwayTeam]], K$1, Table1[[ActualResult]:[ActualResult]], "OT") + SUMIFS(Table1[[HomeWon]:[HomeWon]], Table1[[GameIsOver]:[GameIsOver]],1,Table1[[AwayTeam]:[AwayTeam]],$A22, Table1[[HomeTeam]:[HomeTeam]], K$1, Table1[[ActualResult]:[ActualResult]], "SO") + SUMIFS(Table1[[AwayWon]:[AwayWon]], Table1[[GameIsOver]:[GameIsOver]],1,Table1[[HomeTeam]:[HomeTeam]],$A22, Table1[[AwayTeam]:[AwayTeam]], K$1, Table1[[ActualResult]:[ActualResult]], "SO"),0))</f>
        <v>0-0-0</v>
      </c>
      <c r="L22" s="57" t="str">
        <f>_xlfn.CONCAT(TEXT(SUMIFS(Table1[[AwayWon]:[AwayWon]], Table1[[GameIsOver]:[GameIsOver]],1,Table1[[AwayTeam]:[AwayTeam]],$A22, Table1[[HomeTeam]:[HomeTeam]], L$1) + SUMIFS(Table1[[HomeWon]:[HomeWon]], Table1[[GameIsOver]:[GameIsOver]],1,Table1[[HomeTeam]:[HomeTeam]],$A22, Table1[[AwayTeam]:[AwayTeam]], L$1),0), "-", TEXT(SUMIFS(Table1[[HomeWon]:[HomeWon]], Table1[[GameIsOver]:[GameIsOver]],1,Table1[[AwayTeam]:[AwayTeam]],$A22, Table1[[HomeTeam]:[HomeTeam]], L$1, Table1[[ActualResult]:[ActualResult]], "REG") + SUMIFS(Table1[[AwayWon]:[AwayWon]], Table1[[GameIsOver]:[GameIsOver]],1,Table1[[HomeTeam]:[HomeTeam]],$A22, Table1[[AwayTeam]:[AwayTeam]], L$1, Table1[[ActualResult]:[ActualResult]], "REG"),0), "-", TEXT(SUMIFS(Table1[[HomeWon]:[HomeWon]], Table1[[GameIsOver]:[GameIsOver]],1,Table1[[AwayTeam]:[AwayTeam]],$A22, Table1[[HomeTeam]:[HomeTeam]], L$1, Table1[[ActualResult]:[ActualResult]], "OT") + SUMIFS(Table1[[AwayWon]:[AwayWon]], Table1[[GameIsOver]:[GameIsOver]],1,Table1[[HomeTeam]:[HomeTeam]],$A22, Table1[[AwayTeam]:[AwayTeam]], L$1, Table1[[ActualResult]:[ActualResult]], "OT") + SUMIFS(Table1[[HomeWon]:[HomeWon]], Table1[[GameIsOver]:[GameIsOver]],1,Table1[[AwayTeam]:[AwayTeam]],$A22, Table1[[HomeTeam]:[HomeTeam]], L$1, Table1[[ActualResult]:[ActualResult]], "SO") + SUMIFS(Table1[[AwayWon]:[AwayWon]], Table1[[GameIsOver]:[GameIsOver]],1,Table1[[HomeTeam]:[HomeTeam]],$A22, Table1[[AwayTeam]:[AwayTeam]], L$1, Table1[[ActualResult]:[ActualResult]], "SO"),0))</f>
        <v>0-0-0</v>
      </c>
      <c r="M22" s="57" t="str">
        <f>_xlfn.CONCAT(TEXT(SUMIFS(Table1[[AwayWon]:[AwayWon]], Table1[[GameIsOver]:[GameIsOver]],1,Table1[[AwayTeam]:[AwayTeam]],$A22, Table1[[HomeTeam]:[HomeTeam]], M$1) + SUMIFS(Table1[[HomeWon]:[HomeWon]], Table1[[GameIsOver]:[GameIsOver]],1,Table1[[HomeTeam]:[HomeTeam]],$A22, Table1[[AwayTeam]:[AwayTeam]], M$1),0), "-", TEXT(SUMIFS(Table1[[HomeWon]:[HomeWon]], Table1[[GameIsOver]:[GameIsOver]],1,Table1[[AwayTeam]:[AwayTeam]],$A22, Table1[[HomeTeam]:[HomeTeam]], M$1, Table1[[ActualResult]:[ActualResult]], "REG") + SUMIFS(Table1[[AwayWon]:[AwayWon]], Table1[[GameIsOver]:[GameIsOver]],1,Table1[[HomeTeam]:[HomeTeam]],$A22, Table1[[AwayTeam]:[AwayTeam]], M$1, Table1[[ActualResult]:[ActualResult]], "REG"),0), "-", TEXT(SUMIFS(Table1[[HomeWon]:[HomeWon]], Table1[[GameIsOver]:[GameIsOver]],1,Table1[[AwayTeam]:[AwayTeam]],$A22, Table1[[HomeTeam]:[HomeTeam]], M$1, Table1[[ActualResult]:[ActualResult]], "OT") + SUMIFS(Table1[[AwayWon]:[AwayWon]], Table1[[GameIsOver]:[GameIsOver]],1,Table1[[HomeTeam]:[HomeTeam]],$A22, Table1[[AwayTeam]:[AwayTeam]], M$1, Table1[[ActualResult]:[ActualResult]], "OT") + SUMIFS(Table1[[HomeWon]:[HomeWon]], Table1[[GameIsOver]:[GameIsOver]],1,Table1[[AwayTeam]:[AwayTeam]],$A22, Table1[[HomeTeam]:[HomeTeam]], M$1, Table1[[ActualResult]:[ActualResult]], "SO") + SUMIFS(Table1[[AwayWon]:[AwayWon]], Table1[[GameIsOver]:[GameIsOver]],1,Table1[[HomeTeam]:[HomeTeam]],$A22, Table1[[AwayTeam]:[AwayTeam]], M$1, Table1[[ActualResult]:[ActualResult]], "SO"),0))</f>
        <v>0-0-0</v>
      </c>
      <c r="N22" s="57" t="str">
        <f>_xlfn.CONCAT(TEXT(SUMIFS(Table1[[AwayWon]:[AwayWon]], Table1[[GameIsOver]:[GameIsOver]],1,Table1[[AwayTeam]:[AwayTeam]],$A22, Table1[[HomeTeam]:[HomeTeam]], N$1) + SUMIFS(Table1[[HomeWon]:[HomeWon]], Table1[[GameIsOver]:[GameIsOver]],1,Table1[[HomeTeam]:[HomeTeam]],$A22, Table1[[AwayTeam]:[AwayTeam]], N$1),0), "-", TEXT(SUMIFS(Table1[[HomeWon]:[HomeWon]], Table1[[GameIsOver]:[GameIsOver]],1,Table1[[AwayTeam]:[AwayTeam]],$A22, Table1[[HomeTeam]:[HomeTeam]], N$1, Table1[[ActualResult]:[ActualResult]], "REG") + SUMIFS(Table1[[AwayWon]:[AwayWon]], Table1[[GameIsOver]:[GameIsOver]],1,Table1[[HomeTeam]:[HomeTeam]],$A22, Table1[[AwayTeam]:[AwayTeam]], N$1, Table1[[ActualResult]:[ActualResult]], "REG"),0), "-", TEXT(SUMIFS(Table1[[HomeWon]:[HomeWon]], Table1[[GameIsOver]:[GameIsOver]],1,Table1[[AwayTeam]:[AwayTeam]],$A22, Table1[[HomeTeam]:[HomeTeam]], N$1, Table1[[ActualResult]:[ActualResult]], "OT") + SUMIFS(Table1[[AwayWon]:[AwayWon]], Table1[[GameIsOver]:[GameIsOver]],1,Table1[[HomeTeam]:[HomeTeam]],$A22, Table1[[AwayTeam]:[AwayTeam]], N$1, Table1[[ActualResult]:[ActualResult]], "OT") + SUMIFS(Table1[[HomeWon]:[HomeWon]], Table1[[GameIsOver]:[GameIsOver]],1,Table1[[AwayTeam]:[AwayTeam]],$A22, Table1[[HomeTeam]:[HomeTeam]], N$1, Table1[[ActualResult]:[ActualResult]], "SO") + SUMIFS(Table1[[AwayWon]:[AwayWon]], Table1[[GameIsOver]:[GameIsOver]],1,Table1[[HomeTeam]:[HomeTeam]],$A22, Table1[[AwayTeam]:[AwayTeam]], N$1, Table1[[ActualResult]:[ActualResult]], "SO"),0))</f>
        <v>0-0-0</v>
      </c>
      <c r="O22" s="57" t="str">
        <f>_xlfn.CONCAT(TEXT(SUMIFS(Table1[[AwayWon]:[AwayWon]], Table1[[GameIsOver]:[GameIsOver]],1,Table1[[AwayTeam]:[AwayTeam]],$A22, Table1[[HomeTeam]:[HomeTeam]], O$1) + SUMIFS(Table1[[HomeWon]:[HomeWon]], Table1[[GameIsOver]:[GameIsOver]],1,Table1[[HomeTeam]:[HomeTeam]],$A22, Table1[[AwayTeam]:[AwayTeam]], O$1),0), "-", TEXT(SUMIFS(Table1[[HomeWon]:[HomeWon]], Table1[[GameIsOver]:[GameIsOver]],1,Table1[[AwayTeam]:[AwayTeam]],$A22, Table1[[HomeTeam]:[HomeTeam]], O$1, Table1[[ActualResult]:[ActualResult]], "REG") + SUMIFS(Table1[[AwayWon]:[AwayWon]], Table1[[GameIsOver]:[GameIsOver]],1,Table1[[HomeTeam]:[HomeTeam]],$A22, Table1[[AwayTeam]:[AwayTeam]], O$1, Table1[[ActualResult]:[ActualResult]], "REG"),0), "-", TEXT(SUMIFS(Table1[[HomeWon]:[HomeWon]], Table1[[GameIsOver]:[GameIsOver]],1,Table1[[AwayTeam]:[AwayTeam]],$A22, Table1[[HomeTeam]:[HomeTeam]], O$1, Table1[[ActualResult]:[ActualResult]], "OT") + SUMIFS(Table1[[AwayWon]:[AwayWon]], Table1[[GameIsOver]:[GameIsOver]],1,Table1[[HomeTeam]:[HomeTeam]],$A22, Table1[[AwayTeam]:[AwayTeam]], O$1, Table1[[ActualResult]:[ActualResult]], "OT") + SUMIFS(Table1[[HomeWon]:[HomeWon]], Table1[[GameIsOver]:[GameIsOver]],1,Table1[[AwayTeam]:[AwayTeam]],$A22, Table1[[HomeTeam]:[HomeTeam]], O$1, Table1[[ActualResult]:[ActualResult]], "SO") + SUMIFS(Table1[[AwayWon]:[AwayWon]], Table1[[GameIsOver]:[GameIsOver]],1,Table1[[HomeTeam]:[HomeTeam]],$A22, Table1[[AwayTeam]:[AwayTeam]], O$1, Table1[[ActualResult]:[ActualResult]], "SO"),0))</f>
        <v>0-0-0</v>
      </c>
      <c r="P22" s="57" t="str">
        <f>_xlfn.CONCAT(TEXT(SUMIFS(Table1[[AwayWon]:[AwayWon]], Table1[[GameIsOver]:[GameIsOver]],1,Table1[[AwayTeam]:[AwayTeam]],$A22, Table1[[HomeTeam]:[HomeTeam]], P$1) + SUMIFS(Table1[[HomeWon]:[HomeWon]], Table1[[GameIsOver]:[GameIsOver]],1,Table1[[HomeTeam]:[HomeTeam]],$A22, Table1[[AwayTeam]:[AwayTeam]], P$1),0), "-", TEXT(SUMIFS(Table1[[HomeWon]:[HomeWon]], Table1[[GameIsOver]:[GameIsOver]],1,Table1[[AwayTeam]:[AwayTeam]],$A22, Table1[[HomeTeam]:[HomeTeam]], P$1, Table1[[ActualResult]:[ActualResult]], "REG") + SUMIFS(Table1[[AwayWon]:[AwayWon]], Table1[[GameIsOver]:[GameIsOver]],1,Table1[[HomeTeam]:[HomeTeam]],$A22, Table1[[AwayTeam]:[AwayTeam]], P$1, Table1[[ActualResult]:[ActualResult]], "REG"),0), "-", TEXT(SUMIFS(Table1[[HomeWon]:[HomeWon]], Table1[[GameIsOver]:[GameIsOver]],1,Table1[[AwayTeam]:[AwayTeam]],$A22, Table1[[HomeTeam]:[HomeTeam]], P$1, Table1[[ActualResult]:[ActualResult]], "OT") + SUMIFS(Table1[[AwayWon]:[AwayWon]], Table1[[GameIsOver]:[GameIsOver]],1,Table1[[HomeTeam]:[HomeTeam]],$A22, Table1[[AwayTeam]:[AwayTeam]], P$1, Table1[[ActualResult]:[ActualResult]], "OT") + SUMIFS(Table1[[HomeWon]:[HomeWon]], Table1[[GameIsOver]:[GameIsOver]],1,Table1[[AwayTeam]:[AwayTeam]],$A22, Table1[[HomeTeam]:[HomeTeam]], P$1, Table1[[ActualResult]:[ActualResult]], "SO") + SUMIFS(Table1[[AwayWon]:[AwayWon]], Table1[[GameIsOver]:[GameIsOver]],1,Table1[[HomeTeam]:[HomeTeam]],$A22, Table1[[AwayTeam]:[AwayTeam]], P$1, Table1[[ActualResult]:[ActualResult]], "SO"),0))</f>
        <v>0-0-0</v>
      </c>
      <c r="Q22" s="59" t="str">
        <f>_xlfn.CONCAT(TEXT(SUMIFS(Table1[[AwayWon]:[AwayWon]], Table1[[GameIsOver]:[GameIsOver]],1,Table1[[AwayTeam]:[AwayTeam]],$A22, Table1[[HomeTeam]:[HomeTeam]], Q$1) + SUMIFS(Table1[[HomeWon]:[HomeWon]], Table1[[GameIsOver]:[GameIsOver]],1,Table1[[HomeTeam]:[HomeTeam]],$A22, Table1[[AwayTeam]:[AwayTeam]], Q$1),0), "-", TEXT(SUMIFS(Table1[[HomeWon]:[HomeWon]], Table1[[GameIsOver]:[GameIsOver]],1,Table1[[AwayTeam]:[AwayTeam]],$A22, Table1[[HomeTeam]:[HomeTeam]], Q$1, Table1[[ActualResult]:[ActualResult]], "REG") + SUMIFS(Table1[[AwayWon]:[AwayWon]], Table1[[GameIsOver]:[GameIsOver]],1,Table1[[HomeTeam]:[HomeTeam]],$A22, Table1[[AwayTeam]:[AwayTeam]], Q$1, Table1[[ActualResult]:[ActualResult]], "REG"),0), "-", TEXT(SUMIFS(Table1[[HomeWon]:[HomeWon]], Table1[[GameIsOver]:[GameIsOver]],1,Table1[[AwayTeam]:[AwayTeam]],$A22, Table1[[HomeTeam]:[HomeTeam]], Q$1, Table1[[ActualResult]:[ActualResult]], "OT") + SUMIFS(Table1[[AwayWon]:[AwayWon]], Table1[[GameIsOver]:[GameIsOver]],1,Table1[[HomeTeam]:[HomeTeam]],$A22, Table1[[AwayTeam]:[AwayTeam]], Q$1, Table1[[ActualResult]:[ActualResult]], "OT") + SUMIFS(Table1[[HomeWon]:[HomeWon]], Table1[[GameIsOver]:[GameIsOver]],1,Table1[[AwayTeam]:[AwayTeam]],$A22, Table1[[HomeTeam]:[HomeTeam]], Q$1, Table1[[ActualResult]:[ActualResult]], "SO") + SUMIFS(Table1[[AwayWon]:[AwayWon]], Table1[[GameIsOver]:[GameIsOver]],1,Table1[[HomeTeam]:[HomeTeam]],$A22, Table1[[AwayTeam]:[AwayTeam]], Q$1, Table1[[ActualResult]:[ActualResult]], "SO"),0))</f>
        <v>0-0-0</v>
      </c>
      <c r="R22" s="57" t="str">
        <f>_xlfn.CONCAT(TEXT(SUMIFS(Table1[[AwayWon]:[AwayWon]], Table1[[GameIsOver]:[GameIsOver]],1,Table1[[AwayTeam]:[AwayTeam]],$A22, Table1[[HomeTeam]:[HomeTeam]], R$1) + SUMIFS(Table1[[HomeWon]:[HomeWon]], Table1[[GameIsOver]:[GameIsOver]],1,Table1[[HomeTeam]:[HomeTeam]],$A22, Table1[[AwayTeam]:[AwayTeam]], R$1),0), "-", TEXT(SUMIFS(Table1[[HomeWon]:[HomeWon]], Table1[[GameIsOver]:[GameIsOver]],1,Table1[[AwayTeam]:[AwayTeam]],$A22, Table1[[HomeTeam]:[HomeTeam]], R$1, Table1[[ActualResult]:[ActualResult]], "REG") + SUMIFS(Table1[[AwayWon]:[AwayWon]], Table1[[GameIsOver]:[GameIsOver]],1,Table1[[HomeTeam]:[HomeTeam]],$A22, Table1[[AwayTeam]:[AwayTeam]], R$1, Table1[[ActualResult]:[ActualResult]], "REG"),0), "-", TEXT(SUMIFS(Table1[[HomeWon]:[HomeWon]], Table1[[GameIsOver]:[GameIsOver]],1,Table1[[AwayTeam]:[AwayTeam]],$A22, Table1[[HomeTeam]:[HomeTeam]], R$1, Table1[[ActualResult]:[ActualResult]], "OT") + SUMIFS(Table1[[AwayWon]:[AwayWon]], Table1[[GameIsOver]:[GameIsOver]],1,Table1[[HomeTeam]:[HomeTeam]],$A22, Table1[[AwayTeam]:[AwayTeam]], R$1, Table1[[ActualResult]:[ActualResult]], "OT") + SUMIFS(Table1[[HomeWon]:[HomeWon]], Table1[[GameIsOver]:[GameIsOver]],1,Table1[[AwayTeam]:[AwayTeam]],$A22, Table1[[HomeTeam]:[HomeTeam]], R$1, Table1[[ActualResult]:[ActualResult]], "SO") + SUMIFS(Table1[[AwayWon]:[AwayWon]], Table1[[GameIsOver]:[GameIsOver]],1,Table1[[HomeTeam]:[HomeTeam]],$A22, Table1[[AwayTeam]:[AwayTeam]], R$1, Table1[[ActualResult]:[ActualResult]], "SO"),0))</f>
        <v>0-0-0</v>
      </c>
      <c r="S22" s="57" t="str">
        <f>_xlfn.CONCAT(TEXT(SUMIFS(Table1[[AwayWon]:[AwayWon]], Table1[[GameIsOver]:[GameIsOver]],1,Table1[[AwayTeam]:[AwayTeam]],$A22, Table1[[HomeTeam]:[HomeTeam]], S$1) + SUMIFS(Table1[[HomeWon]:[HomeWon]], Table1[[GameIsOver]:[GameIsOver]],1,Table1[[HomeTeam]:[HomeTeam]],$A22, Table1[[AwayTeam]:[AwayTeam]], S$1),0), "-", TEXT(SUMIFS(Table1[[HomeWon]:[HomeWon]], Table1[[GameIsOver]:[GameIsOver]],1,Table1[[AwayTeam]:[AwayTeam]],$A22, Table1[[HomeTeam]:[HomeTeam]], S$1, Table1[[ActualResult]:[ActualResult]], "REG") + SUMIFS(Table1[[AwayWon]:[AwayWon]], Table1[[GameIsOver]:[GameIsOver]],1,Table1[[HomeTeam]:[HomeTeam]],$A22, Table1[[AwayTeam]:[AwayTeam]], S$1, Table1[[ActualResult]:[ActualResult]], "REG"),0), "-", TEXT(SUMIFS(Table1[[HomeWon]:[HomeWon]], Table1[[GameIsOver]:[GameIsOver]],1,Table1[[AwayTeam]:[AwayTeam]],$A22, Table1[[HomeTeam]:[HomeTeam]], S$1, Table1[[ActualResult]:[ActualResult]], "OT") + SUMIFS(Table1[[AwayWon]:[AwayWon]], Table1[[GameIsOver]:[GameIsOver]],1,Table1[[HomeTeam]:[HomeTeam]],$A22, Table1[[AwayTeam]:[AwayTeam]], S$1, Table1[[ActualResult]:[ActualResult]], "OT") + SUMIFS(Table1[[HomeWon]:[HomeWon]], Table1[[GameIsOver]:[GameIsOver]],1,Table1[[AwayTeam]:[AwayTeam]],$A22, Table1[[HomeTeam]:[HomeTeam]], S$1, Table1[[ActualResult]:[ActualResult]], "SO") + SUMIFS(Table1[[AwayWon]:[AwayWon]], Table1[[GameIsOver]:[GameIsOver]],1,Table1[[HomeTeam]:[HomeTeam]],$A22, Table1[[AwayTeam]:[AwayTeam]], S$1, Table1[[ActualResult]:[ActualResult]], "SO"),0))</f>
        <v>0-0-0</v>
      </c>
      <c r="T22" s="57" t="str">
        <f>_xlfn.CONCAT(TEXT(SUMIFS(Table1[[AwayWon]:[AwayWon]], Table1[[GameIsOver]:[GameIsOver]],1,Table1[[AwayTeam]:[AwayTeam]],$A22, Table1[[HomeTeam]:[HomeTeam]], T$1) + SUMIFS(Table1[[HomeWon]:[HomeWon]], Table1[[GameIsOver]:[GameIsOver]],1,Table1[[HomeTeam]:[HomeTeam]],$A22, Table1[[AwayTeam]:[AwayTeam]], T$1),0), "-", TEXT(SUMIFS(Table1[[HomeWon]:[HomeWon]], Table1[[GameIsOver]:[GameIsOver]],1,Table1[[AwayTeam]:[AwayTeam]],$A22, Table1[[HomeTeam]:[HomeTeam]], T$1, Table1[[ActualResult]:[ActualResult]], "REG") + SUMIFS(Table1[[AwayWon]:[AwayWon]], Table1[[GameIsOver]:[GameIsOver]],1,Table1[[HomeTeam]:[HomeTeam]],$A22, Table1[[AwayTeam]:[AwayTeam]], T$1, Table1[[ActualResult]:[ActualResult]], "REG"),0), "-", TEXT(SUMIFS(Table1[[HomeWon]:[HomeWon]], Table1[[GameIsOver]:[GameIsOver]],1,Table1[[AwayTeam]:[AwayTeam]],$A22, Table1[[HomeTeam]:[HomeTeam]], T$1, Table1[[ActualResult]:[ActualResult]], "OT") + SUMIFS(Table1[[AwayWon]:[AwayWon]], Table1[[GameIsOver]:[GameIsOver]],1,Table1[[HomeTeam]:[HomeTeam]],$A22, Table1[[AwayTeam]:[AwayTeam]], T$1, Table1[[ActualResult]:[ActualResult]], "OT") + SUMIFS(Table1[[HomeWon]:[HomeWon]], Table1[[GameIsOver]:[GameIsOver]],1,Table1[[AwayTeam]:[AwayTeam]],$A22, Table1[[HomeTeam]:[HomeTeam]], T$1, Table1[[ActualResult]:[ActualResult]], "SO") + SUMIFS(Table1[[AwayWon]:[AwayWon]], Table1[[GameIsOver]:[GameIsOver]],1,Table1[[HomeTeam]:[HomeTeam]],$A22, Table1[[AwayTeam]:[AwayTeam]], T$1, Table1[[ActualResult]:[ActualResult]], "SO"),0))</f>
        <v>0-0-0</v>
      </c>
      <c r="U22" s="57" t="str">
        <f>_xlfn.CONCAT(TEXT(SUMIFS(Table1[[AwayWon]:[AwayWon]], Table1[[GameIsOver]:[GameIsOver]],1,Table1[[AwayTeam]:[AwayTeam]],$A22, Table1[[HomeTeam]:[HomeTeam]], U$1) + SUMIFS(Table1[[HomeWon]:[HomeWon]], Table1[[GameIsOver]:[GameIsOver]],1,Table1[[HomeTeam]:[HomeTeam]],$A22, Table1[[AwayTeam]:[AwayTeam]], U$1),0), "-", TEXT(SUMIFS(Table1[[HomeWon]:[HomeWon]], Table1[[GameIsOver]:[GameIsOver]],1,Table1[[AwayTeam]:[AwayTeam]],$A22, Table1[[HomeTeam]:[HomeTeam]], U$1, Table1[[ActualResult]:[ActualResult]], "REG") + SUMIFS(Table1[[AwayWon]:[AwayWon]], Table1[[GameIsOver]:[GameIsOver]],1,Table1[[HomeTeam]:[HomeTeam]],$A22, Table1[[AwayTeam]:[AwayTeam]], U$1, Table1[[ActualResult]:[ActualResult]], "REG"),0), "-", TEXT(SUMIFS(Table1[[HomeWon]:[HomeWon]], Table1[[GameIsOver]:[GameIsOver]],1,Table1[[AwayTeam]:[AwayTeam]],$A22, Table1[[HomeTeam]:[HomeTeam]], U$1, Table1[[ActualResult]:[ActualResult]], "OT") + SUMIFS(Table1[[AwayWon]:[AwayWon]], Table1[[GameIsOver]:[GameIsOver]],1,Table1[[HomeTeam]:[HomeTeam]],$A22, Table1[[AwayTeam]:[AwayTeam]], U$1, Table1[[ActualResult]:[ActualResult]], "OT") + SUMIFS(Table1[[HomeWon]:[HomeWon]], Table1[[GameIsOver]:[GameIsOver]],1,Table1[[AwayTeam]:[AwayTeam]],$A22, Table1[[HomeTeam]:[HomeTeam]], U$1, Table1[[ActualResult]:[ActualResult]], "SO") + SUMIFS(Table1[[AwayWon]:[AwayWon]], Table1[[GameIsOver]:[GameIsOver]],1,Table1[[HomeTeam]:[HomeTeam]],$A22, Table1[[AwayTeam]:[AwayTeam]], U$1, Table1[[ActualResult]:[ActualResult]], "SO"),0))</f>
        <v>0-0-0</v>
      </c>
      <c r="V22" s="57" t="str">
        <f>_xlfn.CONCAT(TEXT(SUMIFS(Table1[[AwayWon]:[AwayWon]], Table1[[GameIsOver]:[GameIsOver]],1,Table1[[AwayTeam]:[AwayTeam]],$A22, Table1[[HomeTeam]:[HomeTeam]], V$1) + SUMIFS(Table1[[HomeWon]:[HomeWon]], Table1[[GameIsOver]:[GameIsOver]],1,Table1[[HomeTeam]:[HomeTeam]],$A22, Table1[[AwayTeam]:[AwayTeam]], V$1),0), "-", TEXT(SUMIFS(Table1[[HomeWon]:[HomeWon]], Table1[[GameIsOver]:[GameIsOver]],1,Table1[[AwayTeam]:[AwayTeam]],$A22, Table1[[HomeTeam]:[HomeTeam]], V$1, Table1[[ActualResult]:[ActualResult]], "REG") + SUMIFS(Table1[[AwayWon]:[AwayWon]], Table1[[GameIsOver]:[GameIsOver]],1,Table1[[HomeTeam]:[HomeTeam]],$A22, Table1[[AwayTeam]:[AwayTeam]], V$1, Table1[[ActualResult]:[ActualResult]], "REG"),0), "-", TEXT(SUMIFS(Table1[[HomeWon]:[HomeWon]], Table1[[GameIsOver]:[GameIsOver]],1,Table1[[AwayTeam]:[AwayTeam]],$A22, Table1[[HomeTeam]:[HomeTeam]], V$1, Table1[[ActualResult]:[ActualResult]], "OT") + SUMIFS(Table1[[AwayWon]:[AwayWon]], Table1[[GameIsOver]:[GameIsOver]],1,Table1[[HomeTeam]:[HomeTeam]],$A22, Table1[[AwayTeam]:[AwayTeam]], V$1, Table1[[ActualResult]:[ActualResult]], "OT") + SUMIFS(Table1[[HomeWon]:[HomeWon]], Table1[[GameIsOver]:[GameIsOver]],1,Table1[[AwayTeam]:[AwayTeam]],$A22, Table1[[HomeTeam]:[HomeTeam]], V$1, Table1[[ActualResult]:[ActualResult]], "SO") + SUMIFS(Table1[[AwayWon]:[AwayWon]], Table1[[GameIsOver]:[GameIsOver]],1,Table1[[HomeTeam]:[HomeTeam]],$A22, Table1[[AwayTeam]:[AwayTeam]], V$1, Table1[[ActualResult]:[ActualResult]], "SO"),0))</f>
        <v>0-0-0</v>
      </c>
      <c r="W22" s="57" t="str">
        <f>_xlfn.CONCAT(TEXT(SUMIFS(Table1[[AwayWon]:[AwayWon]], Table1[[GameIsOver]:[GameIsOver]],1,Table1[[AwayTeam]:[AwayTeam]],$A22, Table1[[HomeTeam]:[HomeTeam]], W$1) + SUMIFS(Table1[[HomeWon]:[HomeWon]], Table1[[GameIsOver]:[GameIsOver]],1,Table1[[HomeTeam]:[HomeTeam]],$A22, Table1[[AwayTeam]:[AwayTeam]], W$1),0), "-", TEXT(SUMIFS(Table1[[HomeWon]:[HomeWon]], Table1[[GameIsOver]:[GameIsOver]],1,Table1[[AwayTeam]:[AwayTeam]],$A22, Table1[[HomeTeam]:[HomeTeam]], W$1, Table1[[ActualResult]:[ActualResult]], "REG") + SUMIFS(Table1[[AwayWon]:[AwayWon]], Table1[[GameIsOver]:[GameIsOver]],1,Table1[[HomeTeam]:[HomeTeam]],$A22, Table1[[AwayTeam]:[AwayTeam]], W$1, Table1[[ActualResult]:[ActualResult]], "REG"),0), "-", TEXT(SUMIFS(Table1[[HomeWon]:[HomeWon]], Table1[[GameIsOver]:[GameIsOver]],1,Table1[[AwayTeam]:[AwayTeam]],$A22, Table1[[HomeTeam]:[HomeTeam]], W$1, Table1[[ActualResult]:[ActualResult]], "OT") + SUMIFS(Table1[[AwayWon]:[AwayWon]], Table1[[GameIsOver]:[GameIsOver]],1,Table1[[HomeTeam]:[HomeTeam]],$A22, Table1[[AwayTeam]:[AwayTeam]], W$1, Table1[[ActualResult]:[ActualResult]], "OT") + SUMIFS(Table1[[HomeWon]:[HomeWon]], Table1[[GameIsOver]:[GameIsOver]],1,Table1[[AwayTeam]:[AwayTeam]],$A22, Table1[[HomeTeam]:[HomeTeam]], W$1, Table1[[ActualResult]:[ActualResult]], "SO") + SUMIFS(Table1[[AwayWon]:[AwayWon]], Table1[[GameIsOver]:[GameIsOver]],1,Table1[[HomeTeam]:[HomeTeam]],$A22, Table1[[AwayTeam]:[AwayTeam]], W$1, Table1[[ActualResult]:[ActualResult]], "SO"),0))</f>
        <v>0-0-0</v>
      </c>
      <c r="X22" s="57" t="str">
        <f>_xlfn.CONCAT(TEXT(SUMIFS(Table1[[AwayWon]:[AwayWon]], Table1[[GameIsOver]:[GameIsOver]],1,Table1[[AwayTeam]:[AwayTeam]],$A22, Table1[[HomeTeam]:[HomeTeam]], X$1) + SUMIFS(Table1[[HomeWon]:[HomeWon]], Table1[[GameIsOver]:[GameIsOver]],1,Table1[[HomeTeam]:[HomeTeam]],$A22, Table1[[AwayTeam]:[AwayTeam]], X$1),0), "-", TEXT(SUMIFS(Table1[[HomeWon]:[HomeWon]], Table1[[GameIsOver]:[GameIsOver]],1,Table1[[AwayTeam]:[AwayTeam]],$A22, Table1[[HomeTeam]:[HomeTeam]], X$1, Table1[[ActualResult]:[ActualResult]], "REG") + SUMIFS(Table1[[AwayWon]:[AwayWon]], Table1[[GameIsOver]:[GameIsOver]],1,Table1[[HomeTeam]:[HomeTeam]],$A22, Table1[[AwayTeam]:[AwayTeam]], X$1, Table1[[ActualResult]:[ActualResult]], "REG"),0), "-", TEXT(SUMIFS(Table1[[HomeWon]:[HomeWon]], Table1[[GameIsOver]:[GameIsOver]],1,Table1[[AwayTeam]:[AwayTeam]],$A22, Table1[[HomeTeam]:[HomeTeam]], X$1, Table1[[ActualResult]:[ActualResult]], "OT") + SUMIFS(Table1[[AwayWon]:[AwayWon]], Table1[[GameIsOver]:[GameIsOver]],1,Table1[[HomeTeam]:[HomeTeam]],$A22, Table1[[AwayTeam]:[AwayTeam]], X$1, Table1[[ActualResult]:[ActualResult]], "OT") + SUMIFS(Table1[[HomeWon]:[HomeWon]], Table1[[GameIsOver]:[GameIsOver]],1,Table1[[AwayTeam]:[AwayTeam]],$A22, Table1[[HomeTeam]:[HomeTeam]], X$1, Table1[[ActualResult]:[ActualResult]], "SO") + SUMIFS(Table1[[AwayWon]:[AwayWon]], Table1[[GameIsOver]:[GameIsOver]],1,Table1[[HomeTeam]:[HomeTeam]],$A22, Table1[[AwayTeam]:[AwayTeam]], X$1, Table1[[ActualResult]:[ActualResult]], "SO"),0))</f>
        <v>0-0-0</v>
      </c>
      <c r="Y22" s="59" t="str">
        <f>_xlfn.CONCAT(TEXT(SUMIFS(Table1[[AwayWon]:[AwayWon]], Table1[[GameIsOver]:[GameIsOver]],1,Table1[[AwayTeam]:[AwayTeam]],$A22, Table1[[HomeTeam]:[HomeTeam]], Y$1) + SUMIFS(Table1[[HomeWon]:[HomeWon]], Table1[[GameIsOver]:[GameIsOver]],1,Table1[[HomeTeam]:[HomeTeam]],$A22, Table1[[AwayTeam]:[AwayTeam]], Y$1),0), "-", TEXT(SUMIFS(Table1[[HomeWon]:[HomeWon]], Table1[[GameIsOver]:[GameIsOver]],1,Table1[[AwayTeam]:[AwayTeam]],$A22, Table1[[HomeTeam]:[HomeTeam]], Y$1, Table1[[ActualResult]:[ActualResult]], "REG") + SUMIFS(Table1[[AwayWon]:[AwayWon]], Table1[[GameIsOver]:[GameIsOver]],1,Table1[[HomeTeam]:[HomeTeam]],$A22, Table1[[AwayTeam]:[AwayTeam]], Y$1, Table1[[ActualResult]:[ActualResult]], "REG"),0), "-", TEXT(SUMIFS(Table1[[HomeWon]:[HomeWon]], Table1[[GameIsOver]:[GameIsOver]],1,Table1[[AwayTeam]:[AwayTeam]],$A22, Table1[[HomeTeam]:[HomeTeam]], Y$1, Table1[[ActualResult]:[ActualResult]], "OT") + SUMIFS(Table1[[AwayWon]:[AwayWon]], Table1[[GameIsOver]:[GameIsOver]],1,Table1[[HomeTeam]:[HomeTeam]],$A22, Table1[[AwayTeam]:[AwayTeam]], Y$1, Table1[[ActualResult]:[ActualResult]], "OT") + SUMIFS(Table1[[HomeWon]:[HomeWon]], Table1[[GameIsOver]:[GameIsOver]],1,Table1[[AwayTeam]:[AwayTeam]],$A22, Table1[[HomeTeam]:[HomeTeam]], Y$1, Table1[[ActualResult]:[ActualResult]], "SO") + SUMIFS(Table1[[AwayWon]:[AwayWon]], Table1[[GameIsOver]:[GameIsOver]],1,Table1[[HomeTeam]:[HomeTeam]],$A22, Table1[[AwayTeam]:[AwayTeam]], Y$1, Table1[[ActualResult]:[ActualResult]], "SO"),0))</f>
        <v>0-0-0</v>
      </c>
      <c r="Z22" s="57" t="str">
        <f>_xlfn.CONCAT(TEXT(SUMIFS(Table1[[AwayWon]:[AwayWon]], Table1[[GameIsOver]:[GameIsOver]],1,Table1[[AwayTeam]:[AwayTeam]],$A22, Table1[[HomeTeam]:[HomeTeam]], Z$1) + SUMIFS(Table1[[HomeWon]:[HomeWon]], Table1[[GameIsOver]:[GameIsOver]],1,Table1[[HomeTeam]:[HomeTeam]],$A22, Table1[[AwayTeam]:[AwayTeam]], Z$1),0), "-", TEXT(SUMIFS(Table1[[HomeWon]:[HomeWon]], Table1[[GameIsOver]:[GameIsOver]],1,Table1[[AwayTeam]:[AwayTeam]],$A22, Table1[[HomeTeam]:[HomeTeam]], Z$1, Table1[[ActualResult]:[ActualResult]], "REG") + SUMIFS(Table1[[AwayWon]:[AwayWon]], Table1[[GameIsOver]:[GameIsOver]],1,Table1[[HomeTeam]:[HomeTeam]],$A22, Table1[[AwayTeam]:[AwayTeam]], Z$1, Table1[[ActualResult]:[ActualResult]], "REG"),0), "-", TEXT(SUMIFS(Table1[[HomeWon]:[HomeWon]], Table1[[GameIsOver]:[GameIsOver]],1,Table1[[AwayTeam]:[AwayTeam]],$A22, Table1[[HomeTeam]:[HomeTeam]], Z$1, Table1[[ActualResult]:[ActualResult]], "OT") + SUMIFS(Table1[[AwayWon]:[AwayWon]], Table1[[GameIsOver]:[GameIsOver]],1,Table1[[HomeTeam]:[HomeTeam]],$A22, Table1[[AwayTeam]:[AwayTeam]], Z$1, Table1[[ActualResult]:[ActualResult]], "OT") + SUMIFS(Table1[[HomeWon]:[HomeWon]], Table1[[GameIsOver]:[GameIsOver]],1,Table1[[AwayTeam]:[AwayTeam]],$A22, Table1[[HomeTeam]:[HomeTeam]], Z$1, Table1[[ActualResult]:[ActualResult]], "SO") + SUMIFS(Table1[[AwayWon]:[AwayWon]], Table1[[GameIsOver]:[GameIsOver]],1,Table1[[HomeTeam]:[HomeTeam]],$A22, Table1[[AwayTeam]:[AwayTeam]], Z$1, Table1[[ActualResult]:[ActualResult]], "SO"),0))</f>
        <v>0-0-0</v>
      </c>
      <c r="AA22" s="57" t="str">
        <f>_xlfn.CONCAT(TEXT(SUMIFS(Table1[[AwayWon]:[AwayWon]], Table1[[GameIsOver]:[GameIsOver]],1,Table1[[AwayTeam]:[AwayTeam]],$A22, Table1[[HomeTeam]:[HomeTeam]], AA$1) + SUMIFS(Table1[[HomeWon]:[HomeWon]], Table1[[GameIsOver]:[GameIsOver]],1,Table1[[HomeTeam]:[HomeTeam]],$A22, Table1[[AwayTeam]:[AwayTeam]], AA$1),0), "-", TEXT(SUMIFS(Table1[[HomeWon]:[HomeWon]], Table1[[GameIsOver]:[GameIsOver]],1,Table1[[AwayTeam]:[AwayTeam]],$A22, Table1[[HomeTeam]:[HomeTeam]], AA$1, Table1[[ActualResult]:[ActualResult]], "REG") + SUMIFS(Table1[[AwayWon]:[AwayWon]], Table1[[GameIsOver]:[GameIsOver]],1,Table1[[HomeTeam]:[HomeTeam]],$A22, Table1[[AwayTeam]:[AwayTeam]], AA$1, Table1[[ActualResult]:[ActualResult]], "REG"),0), "-", TEXT(SUMIFS(Table1[[HomeWon]:[HomeWon]], Table1[[GameIsOver]:[GameIsOver]],1,Table1[[AwayTeam]:[AwayTeam]],$A22, Table1[[HomeTeam]:[HomeTeam]], AA$1, Table1[[ActualResult]:[ActualResult]], "OT") + SUMIFS(Table1[[AwayWon]:[AwayWon]], Table1[[GameIsOver]:[GameIsOver]],1,Table1[[HomeTeam]:[HomeTeam]],$A22, Table1[[AwayTeam]:[AwayTeam]], AA$1, Table1[[ActualResult]:[ActualResult]], "OT") + SUMIFS(Table1[[HomeWon]:[HomeWon]], Table1[[GameIsOver]:[GameIsOver]],1,Table1[[AwayTeam]:[AwayTeam]],$A22, Table1[[HomeTeam]:[HomeTeam]], AA$1, Table1[[ActualResult]:[ActualResult]], "SO") + SUMIFS(Table1[[AwayWon]:[AwayWon]], Table1[[GameIsOver]:[GameIsOver]],1,Table1[[HomeTeam]:[HomeTeam]],$A22, Table1[[AwayTeam]:[AwayTeam]], AA$1, Table1[[ActualResult]:[ActualResult]], "SO"),0))</f>
        <v>0-0-0</v>
      </c>
      <c r="AB22" s="57" t="str">
        <f>_xlfn.CONCAT(TEXT(SUMIFS(Table1[[AwayWon]:[AwayWon]], Table1[[GameIsOver]:[GameIsOver]],1,Table1[[AwayTeam]:[AwayTeam]],$A22, Table1[[HomeTeam]:[HomeTeam]], AB$1) + SUMIFS(Table1[[HomeWon]:[HomeWon]], Table1[[GameIsOver]:[GameIsOver]],1,Table1[[HomeTeam]:[HomeTeam]],$A22, Table1[[AwayTeam]:[AwayTeam]], AB$1),0), "-", TEXT(SUMIFS(Table1[[HomeWon]:[HomeWon]], Table1[[GameIsOver]:[GameIsOver]],1,Table1[[AwayTeam]:[AwayTeam]],$A22, Table1[[HomeTeam]:[HomeTeam]], AB$1, Table1[[ActualResult]:[ActualResult]], "REG") + SUMIFS(Table1[[AwayWon]:[AwayWon]], Table1[[GameIsOver]:[GameIsOver]],1,Table1[[HomeTeam]:[HomeTeam]],$A22, Table1[[AwayTeam]:[AwayTeam]], AB$1, Table1[[ActualResult]:[ActualResult]], "REG"),0), "-", TEXT(SUMIFS(Table1[[HomeWon]:[HomeWon]], Table1[[GameIsOver]:[GameIsOver]],1,Table1[[AwayTeam]:[AwayTeam]],$A22, Table1[[HomeTeam]:[HomeTeam]], AB$1, Table1[[ActualResult]:[ActualResult]], "OT") + SUMIFS(Table1[[AwayWon]:[AwayWon]], Table1[[GameIsOver]:[GameIsOver]],1,Table1[[HomeTeam]:[HomeTeam]],$A22, Table1[[AwayTeam]:[AwayTeam]], AB$1, Table1[[ActualResult]:[ActualResult]], "OT") + SUMIFS(Table1[[HomeWon]:[HomeWon]], Table1[[GameIsOver]:[GameIsOver]],1,Table1[[AwayTeam]:[AwayTeam]],$A22, Table1[[HomeTeam]:[HomeTeam]], AB$1, Table1[[ActualResult]:[ActualResult]], "SO") + SUMIFS(Table1[[AwayWon]:[AwayWon]], Table1[[GameIsOver]:[GameIsOver]],1,Table1[[HomeTeam]:[HomeTeam]],$A22, Table1[[AwayTeam]:[AwayTeam]], AB$1, Table1[[ActualResult]:[ActualResult]], "SO"),0))</f>
        <v>0-0-0</v>
      </c>
      <c r="AC22" s="57" t="str">
        <f>_xlfn.CONCAT(TEXT(SUMIFS(Table1[[AwayWon]:[AwayWon]], Table1[[GameIsOver]:[GameIsOver]],1,Table1[[AwayTeam]:[AwayTeam]],$A22, Table1[[HomeTeam]:[HomeTeam]], AC$1) + SUMIFS(Table1[[HomeWon]:[HomeWon]], Table1[[GameIsOver]:[GameIsOver]],1,Table1[[HomeTeam]:[HomeTeam]],$A22, Table1[[AwayTeam]:[AwayTeam]], AC$1),0), "-", TEXT(SUMIFS(Table1[[HomeWon]:[HomeWon]], Table1[[GameIsOver]:[GameIsOver]],1,Table1[[AwayTeam]:[AwayTeam]],$A22, Table1[[HomeTeam]:[HomeTeam]], AC$1, Table1[[ActualResult]:[ActualResult]], "REG") + SUMIFS(Table1[[AwayWon]:[AwayWon]], Table1[[GameIsOver]:[GameIsOver]],1,Table1[[HomeTeam]:[HomeTeam]],$A22, Table1[[AwayTeam]:[AwayTeam]], AC$1, Table1[[ActualResult]:[ActualResult]], "REG"),0), "-", TEXT(SUMIFS(Table1[[HomeWon]:[HomeWon]], Table1[[GameIsOver]:[GameIsOver]],1,Table1[[AwayTeam]:[AwayTeam]],$A22, Table1[[HomeTeam]:[HomeTeam]], AC$1, Table1[[ActualResult]:[ActualResult]], "OT") + SUMIFS(Table1[[AwayWon]:[AwayWon]], Table1[[GameIsOver]:[GameIsOver]],1,Table1[[HomeTeam]:[HomeTeam]],$A22, Table1[[AwayTeam]:[AwayTeam]], AC$1, Table1[[ActualResult]:[ActualResult]], "OT") + SUMIFS(Table1[[HomeWon]:[HomeWon]], Table1[[GameIsOver]:[GameIsOver]],1,Table1[[AwayTeam]:[AwayTeam]],$A22, Table1[[HomeTeam]:[HomeTeam]], AC$1, Table1[[ActualResult]:[ActualResult]], "SO") + SUMIFS(Table1[[AwayWon]:[AwayWon]], Table1[[GameIsOver]:[GameIsOver]],1,Table1[[HomeTeam]:[HomeTeam]],$A22, Table1[[AwayTeam]:[AwayTeam]], AC$1, Table1[[ActualResult]:[ActualResult]], "SO"),0))</f>
        <v>0-0-0</v>
      </c>
      <c r="AD22" s="57" t="str">
        <f>_xlfn.CONCAT(TEXT(SUMIFS(Table1[[AwayWon]:[AwayWon]], Table1[[GameIsOver]:[GameIsOver]],1,Table1[[AwayTeam]:[AwayTeam]],$A22, Table1[[HomeTeam]:[HomeTeam]], AD$1) + SUMIFS(Table1[[HomeWon]:[HomeWon]], Table1[[GameIsOver]:[GameIsOver]],1,Table1[[HomeTeam]:[HomeTeam]],$A22, Table1[[AwayTeam]:[AwayTeam]], AD$1),0), "-", TEXT(SUMIFS(Table1[[HomeWon]:[HomeWon]], Table1[[GameIsOver]:[GameIsOver]],1,Table1[[AwayTeam]:[AwayTeam]],$A22, Table1[[HomeTeam]:[HomeTeam]], AD$1, Table1[[ActualResult]:[ActualResult]], "REG") + SUMIFS(Table1[[AwayWon]:[AwayWon]], Table1[[GameIsOver]:[GameIsOver]],1,Table1[[HomeTeam]:[HomeTeam]],$A22, Table1[[AwayTeam]:[AwayTeam]], AD$1, Table1[[ActualResult]:[ActualResult]], "REG"),0), "-", TEXT(SUMIFS(Table1[[HomeWon]:[HomeWon]], Table1[[GameIsOver]:[GameIsOver]],1,Table1[[AwayTeam]:[AwayTeam]],$A22, Table1[[HomeTeam]:[HomeTeam]], AD$1, Table1[[ActualResult]:[ActualResult]], "OT") + SUMIFS(Table1[[AwayWon]:[AwayWon]], Table1[[GameIsOver]:[GameIsOver]],1,Table1[[HomeTeam]:[HomeTeam]],$A22, Table1[[AwayTeam]:[AwayTeam]], AD$1, Table1[[ActualResult]:[ActualResult]], "OT") + SUMIFS(Table1[[HomeWon]:[HomeWon]], Table1[[GameIsOver]:[GameIsOver]],1,Table1[[AwayTeam]:[AwayTeam]],$A22, Table1[[HomeTeam]:[HomeTeam]], AD$1, Table1[[ActualResult]:[ActualResult]], "SO") + SUMIFS(Table1[[AwayWon]:[AwayWon]], Table1[[GameIsOver]:[GameIsOver]],1,Table1[[HomeTeam]:[HomeTeam]],$A22, Table1[[AwayTeam]:[AwayTeam]], AD$1, Table1[[ActualResult]:[ActualResult]], "SO"),0))</f>
        <v>0-0-0</v>
      </c>
      <c r="AE22" s="57" t="str">
        <f>_xlfn.CONCAT(TEXT(SUMIFS(Table1[[AwayWon]:[AwayWon]], Table1[[GameIsOver]:[GameIsOver]],1,Table1[[AwayTeam]:[AwayTeam]],$A22, Table1[[HomeTeam]:[HomeTeam]], AE$1) + SUMIFS(Table1[[HomeWon]:[HomeWon]], Table1[[GameIsOver]:[GameIsOver]],1,Table1[[HomeTeam]:[HomeTeam]],$A22, Table1[[AwayTeam]:[AwayTeam]], AE$1),0), "-", TEXT(SUMIFS(Table1[[HomeWon]:[HomeWon]], Table1[[GameIsOver]:[GameIsOver]],1,Table1[[AwayTeam]:[AwayTeam]],$A22, Table1[[HomeTeam]:[HomeTeam]], AE$1, Table1[[ActualResult]:[ActualResult]], "REG") + SUMIFS(Table1[[AwayWon]:[AwayWon]], Table1[[GameIsOver]:[GameIsOver]],1,Table1[[HomeTeam]:[HomeTeam]],$A22, Table1[[AwayTeam]:[AwayTeam]], AE$1, Table1[[ActualResult]:[ActualResult]], "REG"),0), "-", TEXT(SUMIFS(Table1[[HomeWon]:[HomeWon]], Table1[[GameIsOver]:[GameIsOver]],1,Table1[[AwayTeam]:[AwayTeam]],$A22, Table1[[HomeTeam]:[HomeTeam]], AE$1, Table1[[ActualResult]:[ActualResult]], "OT") + SUMIFS(Table1[[AwayWon]:[AwayWon]], Table1[[GameIsOver]:[GameIsOver]],1,Table1[[HomeTeam]:[HomeTeam]],$A22, Table1[[AwayTeam]:[AwayTeam]], AE$1, Table1[[ActualResult]:[ActualResult]], "OT") + SUMIFS(Table1[[HomeWon]:[HomeWon]], Table1[[GameIsOver]:[GameIsOver]],1,Table1[[AwayTeam]:[AwayTeam]],$A22, Table1[[HomeTeam]:[HomeTeam]], AE$1, Table1[[ActualResult]:[ActualResult]], "SO") + SUMIFS(Table1[[AwayWon]:[AwayWon]], Table1[[GameIsOver]:[GameIsOver]],1,Table1[[HomeTeam]:[HomeTeam]],$A22, Table1[[AwayTeam]:[AwayTeam]], AE$1, Table1[[ActualResult]:[ActualResult]], "SO"),0))</f>
        <v>0-0-0</v>
      </c>
      <c r="AF22" s="57" t="str">
        <f>_xlfn.CONCAT(TEXT(SUMIFS(Table1[[AwayWon]:[AwayWon]], Table1[[GameIsOver]:[GameIsOver]],1,Table1[[AwayTeam]:[AwayTeam]],$A22, Table1[[HomeTeam]:[HomeTeam]], AF$1) + SUMIFS(Table1[[HomeWon]:[HomeWon]], Table1[[GameIsOver]:[GameIsOver]],1,Table1[[HomeTeam]:[HomeTeam]],$A22, Table1[[AwayTeam]:[AwayTeam]], AF$1),0), "-", TEXT(SUMIFS(Table1[[HomeWon]:[HomeWon]], Table1[[GameIsOver]:[GameIsOver]],1,Table1[[AwayTeam]:[AwayTeam]],$A22, Table1[[HomeTeam]:[HomeTeam]], AF$1, Table1[[ActualResult]:[ActualResult]], "REG") + SUMIFS(Table1[[AwayWon]:[AwayWon]], Table1[[GameIsOver]:[GameIsOver]],1,Table1[[HomeTeam]:[HomeTeam]],$A22, Table1[[AwayTeam]:[AwayTeam]], AF$1, Table1[[ActualResult]:[ActualResult]], "REG"),0), "-", TEXT(SUMIFS(Table1[[HomeWon]:[HomeWon]], Table1[[GameIsOver]:[GameIsOver]],1,Table1[[AwayTeam]:[AwayTeam]],$A22, Table1[[HomeTeam]:[HomeTeam]], AF$1, Table1[[ActualResult]:[ActualResult]], "OT") + SUMIFS(Table1[[AwayWon]:[AwayWon]], Table1[[GameIsOver]:[GameIsOver]],1,Table1[[HomeTeam]:[HomeTeam]],$A22, Table1[[AwayTeam]:[AwayTeam]], AF$1, Table1[[ActualResult]:[ActualResult]], "OT") + SUMIFS(Table1[[HomeWon]:[HomeWon]], Table1[[GameIsOver]:[GameIsOver]],1,Table1[[AwayTeam]:[AwayTeam]],$A22, Table1[[HomeTeam]:[HomeTeam]], AF$1, Table1[[ActualResult]:[ActualResult]], "SO") + SUMIFS(Table1[[AwayWon]:[AwayWon]], Table1[[GameIsOver]:[GameIsOver]],1,Table1[[HomeTeam]:[HomeTeam]],$A22, Table1[[AwayTeam]:[AwayTeam]], AF$1, Table1[[ActualResult]:[ActualResult]], "SO"),0))</f>
        <v>0-1-0</v>
      </c>
      <c r="AG22" s="57" t="str">
        <f>_xlfn.CONCAT(TEXT(SUMIFS(Table1[[AwayWon]:[AwayWon]], Table1[[GameIsOver]:[GameIsOver]],1,Table1[[AwayTeam]:[AwayTeam]],$A22, Table1[[HomeTeam]:[HomeTeam]], AG$1) + SUMIFS(Table1[[HomeWon]:[HomeWon]], Table1[[GameIsOver]:[GameIsOver]],1,Table1[[HomeTeam]:[HomeTeam]],$A22, Table1[[AwayTeam]:[AwayTeam]], AG$1),0), "-", TEXT(SUMIFS(Table1[[HomeWon]:[HomeWon]], Table1[[GameIsOver]:[GameIsOver]],1,Table1[[AwayTeam]:[AwayTeam]],$A22, Table1[[HomeTeam]:[HomeTeam]], AG$1, Table1[[ActualResult]:[ActualResult]], "REG") + SUMIFS(Table1[[AwayWon]:[AwayWon]], Table1[[GameIsOver]:[GameIsOver]],1,Table1[[HomeTeam]:[HomeTeam]],$A22, Table1[[AwayTeam]:[AwayTeam]], AG$1, Table1[[ActualResult]:[ActualResult]], "REG"),0), "-", TEXT(SUMIFS(Table1[[HomeWon]:[HomeWon]], Table1[[GameIsOver]:[GameIsOver]],1,Table1[[AwayTeam]:[AwayTeam]],$A22, Table1[[HomeTeam]:[HomeTeam]], AG$1, Table1[[ActualResult]:[ActualResult]], "OT") + SUMIFS(Table1[[AwayWon]:[AwayWon]], Table1[[GameIsOver]:[GameIsOver]],1,Table1[[HomeTeam]:[HomeTeam]],$A22, Table1[[AwayTeam]:[AwayTeam]], AG$1, Table1[[ActualResult]:[ActualResult]], "OT") + SUMIFS(Table1[[HomeWon]:[HomeWon]], Table1[[GameIsOver]:[GameIsOver]],1,Table1[[AwayTeam]:[AwayTeam]],$A22, Table1[[HomeTeam]:[HomeTeam]], AG$1, Table1[[ActualResult]:[ActualResult]], "SO") + SUMIFS(Table1[[AwayWon]:[AwayWon]], Table1[[GameIsOver]:[GameIsOver]],1,Table1[[HomeTeam]:[HomeTeam]],$A22, Table1[[AwayTeam]:[AwayTeam]], AG$1, Table1[[ActualResult]:[ActualResult]], "SO"),0))</f>
        <v>0-0-0</v>
      </c>
    </row>
    <row r="23" spans="1:33" x14ac:dyDescent="0.25">
      <c r="A23" s="28" t="s">
        <v>53</v>
      </c>
      <c r="B23" s="57" t="str">
        <f>_xlfn.CONCAT(TEXT(SUMIFS(Table1[[AwayWon]:[AwayWon]], Table1[[GameIsOver]:[GameIsOver]],1,Table1[[AwayTeam]:[AwayTeam]],$A23, Table1[[HomeTeam]:[HomeTeam]], B$1) + SUMIFS(Table1[[HomeWon]:[HomeWon]], Table1[[GameIsOver]:[GameIsOver]],1,Table1[[HomeTeam]:[HomeTeam]],$A23, Table1[[AwayTeam]:[AwayTeam]], B$1),0), "-", TEXT(SUMIFS(Table1[[HomeWon]:[HomeWon]], Table1[[GameIsOver]:[GameIsOver]],1,Table1[[AwayTeam]:[AwayTeam]],$A23, Table1[[HomeTeam]:[HomeTeam]], B$1, Table1[[ActualResult]:[ActualResult]], "REG") + SUMIFS(Table1[[AwayWon]:[AwayWon]], Table1[[GameIsOver]:[GameIsOver]],1,Table1[[HomeTeam]:[HomeTeam]],$A23, Table1[[AwayTeam]:[AwayTeam]], B$1, Table1[[ActualResult]:[ActualResult]], "REG"),0), "-", TEXT(SUMIFS(Table1[[HomeWon]:[HomeWon]], Table1[[GameIsOver]:[GameIsOver]],1,Table1[[AwayTeam]:[AwayTeam]],$A23, Table1[[HomeTeam]:[HomeTeam]], B$1, Table1[[ActualResult]:[ActualResult]], "OT") + SUMIFS(Table1[[AwayWon]:[AwayWon]], Table1[[GameIsOver]:[GameIsOver]],1,Table1[[HomeTeam]:[HomeTeam]],$A23, Table1[[AwayTeam]:[AwayTeam]], B$1, Table1[[ActualResult]:[ActualResult]], "OT") + SUMIFS(Table1[[HomeWon]:[HomeWon]], Table1[[GameIsOver]:[GameIsOver]],1,Table1[[AwayTeam]:[AwayTeam]],$A23, Table1[[HomeTeam]:[HomeTeam]], B$1, Table1[[ActualResult]:[ActualResult]], "SO") + SUMIFS(Table1[[AwayWon]:[AwayWon]], Table1[[GameIsOver]:[GameIsOver]],1,Table1[[HomeTeam]:[HomeTeam]],$A23, Table1[[AwayTeam]:[AwayTeam]], B$1, Table1[[ActualResult]:[ActualResult]], "SO"),0))</f>
        <v>0-0-0</v>
      </c>
      <c r="C23" s="57" t="str">
        <f>_xlfn.CONCAT(TEXT(SUMIFS(Table1[[AwayWon]:[AwayWon]], Table1[[GameIsOver]:[GameIsOver]],1,Table1[[AwayTeam]:[AwayTeam]],$A23, Table1[[HomeTeam]:[HomeTeam]], C$1) + SUMIFS(Table1[[HomeWon]:[HomeWon]], Table1[[GameIsOver]:[GameIsOver]],1,Table1[[HomeTeam]:[HomeTeam]],$A23, Table1[[AwayTeam]:[AwayTeam]], C$1),0), "-", TEXT(SUMIFS(Table1[[HomeWon]:[HomeWon]], Table1[[GameIsOver]:[GameIsOver]],1,Table1[[AwayTeam]:[AwayTeam]],$A23, Table1[[HomeTeam]:[HomeTeam]], C$1, Table1[[ActualResult]:[ActualResult]], "REG") + SUMIFS(Table1[[AwayWon]:[AwayWon]], Table1[[GameIsOver]:[GameIsOver]],1,Table1[[HomeTeam]:[HomeTeam]],$A23, Table1[[AwayTeam]:[AwayTeam]], C$1, Table1[[ActualResult]:[ActualResult]], "REG"),0), "-", TEXT(SUMIFS(Table1[[HomeWon]:[HomeWon]], Table1[[GameIsOver]:[GameIsOver]],1,Table1[[AwayTeam]:[AwayTeam]],$A23, Table1[[HomeTeam]:[HomeTeam]], C$1, Table1[[ActualResult]:[ActualResult]], "OT") + SUMIFS(Table1[[AwayWon]:[AwayWon]], Table1[[GameIsOver]:[GameIsOver]],1,Table1[[HomeTeam]:[HomeTeam]],$A23, Table1[[AwayTeam]:[AwayTeam]], C$1, Table1[[ActualResult]:[ActualResult]], "OT") + SUMIFS(Table1[[HomeWon]:[HomeWon]], Table1[[GameIsOver]:[GameIsOver]],1,Table1[[AwayTeam]:[AwayTeam]],$A23, Table1[[HomeTeam]:[HomeTeam]], C$1, Table1[[ActualResult]:[ActualResult]], "SO") + SUMIFS(Table1[[AwayWon]:[AwayWon]], Table1[[GameIsOver]:[GameIsOver]],1,Table1[[HomeTeam]:[HomeTeam]],$A23, Table1[[AwayTeam]:[AwayTeam]], C$1, Table1[[ActualResult]:[ActualResult]], "SO"),0))</f>
        <v>0-0-0</v>
      </c>
      <c r="D23" s="57" t="str">
        <f>_xlfn.CONCAT(TEXT(SUMIFS(Table1[[AwayWon]:[AwayWon]], Table1[[GameIsOver]:[GameIsOver]],1,Table1[[AwayTeam]:[AwayTeam]],$A23, Table1[[HomeTeam]:[HomeTeam]], D$1) + SUMIFS(Table1[[HomeWon]:[HomeWon]], Table1[[GameIsOver]:[GameIsOver]],1,Table1[[HomeTeam]:[HomeTeam]],$A23, Table1[[AwayTeam]:[AwayTeam]], D$1),0), "-", TEXT(SUMIFS(Table1[[HomeWon]:[HomeWon]], Table1[[GameIsOver]:[GameIsOver]],1,Table1[[AwayTeam]:[AwayTeam]],$A23, Table1[[HomeTeam]:[HomeTeam]], D$1, Table1[[ActualResult]:[ActualResult]], "REG") + SUMIFS(Table1[[AwayWon]:[AwayWon]], Table1[[GameIsOver]:[GameIsOver]],1,Table1[[HomeTeam]:[HomeTeam]],$A23, Table1[[AwayTeam]:[AwayTeam]], D$1, Table1[[ActualResult]:[ActualResult]], "REG"),0), "-", TEXT(SUMIFS(Table1[[HomeWon]:[HomeWon]], Table1[[GameIsOver]:[GameIsOver]],1,Table1[[AwayTeam]:[AwayTeam]],$A23, Table1[[HomeTeam]:[HomeTeam]], D$1, Table1[[ActualResult]:[ActualResult]], "OT") + SUMIFS(Table1[[AwayWon]:[AwayWon]], Table1[[GameIsOver]:[GameIsOver]],1,Table1[[HomeTeam]:[HomeTeam]],$A23, Table1[[AwayTeam]:[AwayTeam]], D$1, Table1[[ActualResult]:[ActualResult]], "OT") + SUMIFS(Table1[[HomeWon]:[HomeWon]], Table1[[GameIsOver]:[GameIsOver]],1,Table1[[AwayTeam]:[AwayTeam]],$A23, Table1[[HomeTeam]:[HomeTeam]], D$1, Table1[[ActualResult]:[ActualResult]], "SO") + SUMIFS(Table1[[AwayWon]:[AwayWon]], Table1[[GameIsOver]:[GameIsOver]],1,Table1[[HomeTeam]:[HomeTeam]],$A23, Table1[[AwayTeam]:[AwayTeam]], D$1, Table1[[ActualResult]:[ActualResult]], "SO"),0))</f>
        <v>0-0-0</v>
      </c>
      <c r="E23" s="57" t="str">
        <f>_xlfn.CONCAT(TEXT(SUMIFS(Table1[[AwayWon]:[AwayWon]], Table1[[GameIsOver]:[GameIsOver]],1,Table1[[AwayTeam]:[AwayTeam]],$A23, Table1[[HomeTeam]:[HomeTeam]], E$1) + SUMIFS(Table1[[HomeWon]:[HomeWon]], Table1[[GameIsOver]:[GameIsOver]],1,Table1[[HomeTeam]:[HomeTeam]],$A23, Table1[[AwayTeam]:[AwayTeam]], E$1),0), "-", TEXT(SUMIFS(Table1[[HomeWon]:[HomeWon]], Table1[[GameIsOver]:[GameIsOver]],1,Table1[[AwayTeam]:[AwayTeam]],$A23, Table1[[HomeTeam]:[HomeTeam]], E$1, Table1[[ActualResult]:[ActualResult]], "REG") + SUMIFS(Table1[[AwayWon]:[AwayWon]], Table1[[GameIsOver]:[GameIsOver]],1,Table1[[HomeTeam]:[HomeTeam]],$A23, Table1[[AwayTeam]:[AwayTeam]], E$1, Table1[[ActualResult]:[ActualResult]], "REG"),0), "-", TEXT(SUMIFS(Table1[[HomeWon]:[HomeWon]], Table1[[GameIsOver]:[GameIsOver]],1,Table1[[AwayTeam]:[AwayTeam]],$A23, Table1[[HomeTeam]:[HomeTeam]], E$1, Table1[[ActualResult]:[ActualResult]], "OT") + SUMIFS(Table1[[AwayWon]:[AwayWon]], Table1[[GameIsOver]:[GameIsOver]],1,Table1[[HomeTeam]:[HomeTeam]],$A23, Table1[[AwayTeam]:[AwayTeam]], E$1, Table1[[ActualResult]:[ActualResult]], "OT") + SUMIFS(Table1[[HomeWon]:[HomeWon]], Table1[[GameIsOver]:[GameIsOver]],1,Table1[[AwayTeam]:[AwayTeam]],$A23, Table1[[HomeTeam]:[HomeTeam]], E$1, Table1[[ActualResult]:[ActualResult]], "SO") + SUMIFS(Table1[[AwayWon]:[AwayWon]], Table1[[GameIsOver]:[GameIsOver]],1,Table1[[HomeTeam]:[HomeTeam]],$A23, Table1[[AwayTeam]:[AwayTeam]], E$1, Table1[[ActualResult]:[ActualResult]], "SO"),0))</f>
        <v>0-0-0</v>
      </c>
      <c r="F23" s="57" t="str">
        <f>_xlfn.CONCAT(TEXT(SUMIFS(Table1[[AwayWon]:[AwayWon]], Table1[[GameIsOver]:[GameIsOver]],1,Table1[[AwayTeam]:[AwayTeam]],$A23, Table1[[HomeTeam]:[HomeTeam]], F$1) + SUMIFS(Table1[[HomeWon]:[HomeWon]], Table1[[GameIsOver]:[GameIsOver]],1,Table1[[HomeTeam]:[HomeTeam]],$A23, Table1[[AwayTeam]:[AwayTeam]], F$1),0), "-", TEXT(SUMIFS(Table1[[HomeWon]:[HomeWon]], Table1[[GameIsOver]:[GameIsOver]],1,Table1[[AwayTeam]:[AwayTeam]],$A23, Table1[[HomeTeam]:[HomeTeam]], F$1, Table1[[ActualResult]:[ActualResult]], "REG") + SUMIFS(Table1[[AwayWon]:[AwayWon]], Table1[[GameIsOver]:[GameIsOver]],1,Table1[[HomeTeam]:[HomeTeam]],$A23, Table1[[AwayTeam]:[AwayTeam]], F$1, Table1[[ActualResult]:[ActualResult]], "REG"),0), "-", TEXT(SUMIFS(Table1[[HomeWon]:[HomeWon]], Table1[[GameIsOver]:[GameIsOver]],1,Table1[[AwayTeam]:[AwayTeam]],$A23, Table1[[HomeTeam]:[HomeTeam]], F$1, Table1[[ActualResult]:[ActualResult]], "OT") + SUMIFS(Table1[[AwayWon]:[AwayWon]], Table1[[GameIsOver]:[GameIsOver]],1,Table1[[HomeTeam]:[HomeTeam]],$A23, Table1[[AwayTeam]:[AwayTeam]], F$1, Table1[[ActualResult]:[ActualResult]], "OT") + SUMIFS(Table1[[HomeWon]:[HomeWon]], Table1[[GameIsOver]:[GameIsOver]],1,Table1[[AwayTeam]:[AwayTeam]],$A23, Table1[[HomeTeam]:[HomeTeam]], F$1, Table1[[ActualResult]:[ActualResult]], "SO") + SUMIFS(Table1[[AwayWon]:[AwayWon]], Table1[[GameIsOver]:[GameIsOver]],1,Table1[[HomeTeam]:[HomeTeam]],$A23, Table1[[AwayTeam]:[AwayTeam]], F$1, Table1[[ActualResult]:[ActualResult]], "SO"),0))</f>
        <v>0-0-0</v>
      </c>
      <c r="G23" s="57" t="str">
        <f>_xlfn.CONCAT(TEXT(SUMIFS(Table1[[AwayWon]:[AwayWon]], Table1[[GameIsOver]:[GameIsOver]],1,Table1[[AwayTeam]:[AwayTeam]],$A23, Table1[[HomeTeam]:[HomeTeam]], G$1) + SUMIFS(Table1[[HomeWon]:[HomeWon]], Table1[[GameIsOver]:[GameIsOver]],1,Table1[[HomeTeam]:[HomeTeam]],$A23, Table1[[AwayTeam]:[AwayTeam]], G$1),0), "-", TEXT(SUMIFS(Table1[[HomeWon]:[HomeWon]], Table1[[GameIsOver]:[GameIsOver]],1,Table1[[AwayTeam]:[AwayTeam]],$A23, Table1[[HomeTeam]:[HomeTeam]], G$1, Table1[[ActualResult]:[ActualResult]], "REG") + SUMIFS(Table1[[AwayWon]:[AwayWon]], Table1[[GameIsOver]:[GameIsOver]],1,Table1[[HomeTeam]:[HomeTeam]],$A23, Table1[[AwayTeam]:[AwayTeam]], G$1, Table1[[ActualResult]:[ActualResult]], "REG"),0), "-", TEXT(SUMIFS(Table1[[HomeWon]:[HomeWon]], Table1[[GameIsOver]:[GameIsOver]],1,Table1[[AwayTeam]:[AwayTeam]],$A23, Table1[[HomeTeam]:[HomeTeam]], G$1, Table1[[ActualResult]:[ActualResult]], "OT") + SUMIFS(Table1[[AwayWon]:[AwayWon]], Table1[[GameIsOver]:[GameIsOver]],1,Table1[[HomeTeam]:[HomeTeam]],$A23, Table1[[AwayTeam]:[AwayTeam]], G$1, Table1[[ActualResult]:[ActualResult]], "OT") + SUMIFS(Table1[[HomeWon]:[HomeWon]], Table1[[GameIsOver]:[GameIsOver]],1,Table1[[AwayTeam]:[AwayTeam]],$A23, Table1[[HomeTeam]:[HomeTeam]], G$1, Table1[[ActualResult]:[ActualResult]], "SO") + SUMIFS(Table1[[AwayWon]:[AwayWon]], Table1[[GameIsOver]:[GameIsOver]],1,Table1[[HomeTeam]:[HomeTeam]],$A23, Table1[[AwayTeam]:[AwayTeam]], G$1, Table1[[ActualResult]:[ActualResult]], "SO"),0))</f>
        <v>0-0-0</v>
      </c>
      <c r="H23" s="57" t="str">
        <f>_xlfn.CONCAT(TEXT(SUMIFS(Table1[[AwayWon]:[AwayWon]], Table1[[GameIsOver]:[GameIsOver]],1,Table1[[AwayTeam]:[AwayTeam]],$A23, Table1[[HomeTeam]:[HomeTeam]], H$1) + SUMIFS(Table1[[HomeWon]:[HomeWon]], Table1[[GameIsOver]:[GameIsOver]],1,Table1[[HomeTeam]:[HomeTeam]],$A23, Table1[[AwayTeam]:[AwayTeam]], H$1),0), "-", TEXT(SUMIFS(Table1[[HomeWon]:[HomeWon]], Table1[[GameIsOver]:[GameIsOver]],1,Table1[[AwayTeam]:[AwayTeam]],$A23, Table1[[HomeTeam]:[HomeTeam]], H$1, Table1[[ActualResult]:[ActualResult]], "REG") + SUMIFS(Table1[[AwayWon]:[AwayWon]], Table1[[GameIsOver]:[GameIsOver]],1,Table1[[HomeTeam]:[HomeTeam]],$A23, Table1[[AwayTeam]:[AwayTeam]], H$1, Table1[[ActualResult]:[ActualResult]], "REG"),0), "-", TEXT(SUMIFS(Table1[[HomeWon]:[HomeWon]], Table1[[GameIsOver]:[GameIsOver]],1,Table1[[AwayTeam]:[AwayTeam]],$A23, Table1[[HomeTeam]:[HomeTeam]], H$1, Table1[[ActualResult]:[ActualResult]], "OT") + SUMIFS(Table1[[AwayWon]:[AwayWon]], Table1[[GameIsOver]:[GameIsOver]],1,Table1[[HomeTeam]:[HomeTeam]],$A23, Table1[[AwayTeam]:[AwayTeam]], H$1, Table1[[ActualResult]:[ActualResult]], "OT") + SUMIFS(Table1[[HomeWon]:[HomeWon]], Table1[[GameIsOver]:[GameIsOver]],1,Table1[[AwayTeam]:[AwayTeam]],$A23, Table1[[HomeTeam]:[HomeTeam]], H$1, Table1[[ActualResult]:[ActualResult]], "SO") + SUMIFS(Table1[[AwayWon]:[AwayWon]], Table1[[GameIsOver]:[GameIsOver]],1,Table1[[HomeTeam]:[HomeTeam]],$A23, Table1[[AwayTeam]:[AwayTeam]], H$1, Table1[[ActualResult]:[ActualResult]], "SO"),0))</f>
        <v>0-0-0</v>
      </c>
      <c r="I23" s="59" t="str">
        <f>_xlfn.CONCAT(TEXT(SUMIFS(Table1[[AwayWon]:[AwayWon]], Table1[[GameIsOver]:[GameIsOver]],1,Table1[[AwayTeam]:[AwayTeam]],$A23, Table1[[HomeTeam]:[HomeTeam]], I$1) + SUMIFS(Table1[[HomeWon]:[HomeWon]], Table1[[GameIsOver]:[GameIsOver]],1,Table1[[HomeTeam]:[HomeTeam]],$A23, Table1[[AwayTeam]:[AwayTeam]], I$1),0), "-", TEXT(SUMIFS(Table1[[HomeWon]:[HomeWon]], Table1[[GameIsOver]:[GameIsOver]],1,Table1[[AwayTeam]:[AwayTeam]],$A23, Table1[[HomeTeam]:[HomeTeam]], I$1, Table1[[ActualResult]:[ActualResult]], "REG") + SUMIFS(Table1[[AwayWon]:[AwayWon]], Table1[[GameIsOver]:[GameIsOver]],1,Table1[[HomeTeam]:[HomeTeam]],$A23, Table1[[AwayTeam]:[AwayTeam]], I$1, Table1[[ActualResult]:[ActualResult]], "REG"),0), "-", TEXT(SUMIFS(Table1[[HomeWon]:[HomeWon]], Table1[[GameIsOver]:[GameIsOver]],1,Table1[[AwayTeam]:[AwayTeam]],$A23, Table1[[HomeTeam]:[HomeTeam]], I$1, Table1[[ActualResult]:[ActualResult]], "OT") + SUMIFS(Table1[[AwayWon]:[AwayWon]], Table1[[GameIsOver]:[GameIsOver]],1,Table1[[HomeTeam]:[HomeTeam]],$A23, Table1[[AwayTeam]:[AwayTeam]], I$1, Table1[[ActualResult]:[ActualResult]], "OT") + SUMIFS(Table1[[HomeWon]:[HomeWon]], Table1[[GameIsOver]:[GameIsOver]],1,Table1[[AwayTeam]:[AwayTeam]],$A23, Table1[[HomeTeam]:[HomeTeam]], I$1, Table1[[ActualResult]:[ActualResult]], "SO") + SUMIFS(Table1[[AwayWon]:[AwayWon]], Table1[[GameIsOver]:[GameIsOver]],1,Table1[[HomeTeam]:[HomeTeam]],$A23, Table1[[AwayTeam]:[AwayTeam]], I$1, Table1[[ActualResult]:[ActualResult]], "SO"),0))</f>
        <v>0-0-0</v>
      </c>
      <c r="J23" s="57" t="str">
        <f>_xlfn.CONCAT(TEXT(SUMIFS(Table1[[AwayWon]:[AwayWon]], Table1[[GameIsOver]:[GameIsOver]],1,Table1[[AwayTeam]:[AwayTeam]],$A23, Table1[[HomeTeam]:[HomeTeam]], J$1) + SUMIFS(Table1[[HomeWon]:[HomeWon]], Table1[[GameIsOver]:[GameIsOver]],1,Table1[[HomeTeam]:[HomeTeam]],$A23, Table1[[AwayTeam]:[AwayTeam]], J$1),0), "-", TEXT(SUMIFS(Table1[[HomeWon]:[HomeWon]], Table1[[GameIsOver]:[GameIsOver]],1,Table1[[AwayTeam]:[AwayTeam]],$A23, Table1[[HomeTeam]:[HomeTeam]], J$1, Table1[[ActualResult]:[ActualResult]], "REG") + SUMIFS(Table1[[AwayWon]:[AwayWon]], Table1[[GameIsOver]:[GameIsOver]],1,Table1[[HomeTeam]:[HomeTeam]],$A23, Table1[[AwayTeam]:[AwayTeam]], J$1, Table1[[ActualResult]:[ActualResult]], "REG"),0), "-", TEXT(SUMIFS(Table1[[HomeWon]:[HomeWon]], Table1[[GameIsOver]:[GameIsOver]],1,Table1[[AwayTeam]:[AwayTeam]],$A23, Table1[[HomeTeam]:[HomeTeam]], J$1, Table1[[ActualResult]:[ActualResult]], "OT") + SUMIFS(Table1[[AwayWon]:[AwayWon]], Table1[[GameIsOver]:[GameIsOver]],1,Table1[[HomeTeam]:[HomeTeam]],$A23, Table1[[AwayTeam]:[AwayTeam]], J$1, Table1[[ActualResult]:[ActualResult]], "OT") + SUMIFS(Table1[[HomeWon]:[HomeWon]], Table1[[GameIsOver]:[GameIsOver]],1,Table1[[AwayTeam]:[AwayTeam]],$A23, Table1[[HomeTeam]:[HomeTeam]], J$1, Table1[[ActualResult]:[ActualResult]], "SO") + SUMIFS(Table1[[AwayWon]:[AwayWon]], Table1[[GameIsOver]:[GameIsOver]],1,Table1[[HomeTeam]:[HomeTeam]],$A23, Table1[[AwayTeam]:[AwayTeam]], J$1, Table1[[ActualResult]:[ActualResult]], "SO"),0))</f>
        <v>0-0-0</v>
      </c>
      <c r="K23" s="57" t="str">
        <f>_xlfn.CONCAT(TEXT(SUMIFS(Table1[[AwayWon]:[AwayWon]], Table1[[GameIsOver]:[GameIsOver]],1,Table1[[AwayTeam]:[AwayTeam]],$A23, Table1[[HomeTeam]:[HomeTeam]], K$1) + SUMIFS(Table1[[HomeWon]:[HomeWon]], Table1[[GameIsOver]:[GameIsOver]],1,Table1[[HomeTeam]:[HomeTeam]],$A23, Table1[[AwayTeam]:[AwayTeam]], K$1),0), "-", TEXT(SUMIFS(Table1[[HomeWon]:[HomeWon]], Table1[[GameIsOver]:[GameIsOver]],1,Table1[[AwayTeam]:[AwayTeam]],$A23, Table1[[HomeTeam]:[HomeTeam]], K$1, Table1[[ActualResult]:[ActualResult]], "REG") + SUMIFS(Table1[[AwayWon]:[AwayWon]], Table1[[GameIsOver]:[GameIsOver]],1,Table1[[HomeTeam]:[HomeTeam]],$A23, Table1[[AwayTeam]:[AwayTeam]], K$1, Table1[[ActualResult]:[ActualResult]], "REG"),0), "-", TEXT(SUMIFS(Table1[[HomeWon]:[HomeWon]], Table1[[GameIsOver]:[GameIsOver]],1,Table1[[AwayTeam]:[AwayTeam]],$A23, Table1[[HomeTeam]:[HomeTeam]], K$1, Table1[[ActualResult]:[ActualResult]], "OT") + SUMIFS(Table1[[AwayWon]:[AwayWon]], Table1[[GameIsOver]:[GameIsOver]],1,Table1[[HomeTeam]:[HomeTeam]],$A23, Table1[[AwayTeam]:[AwayTeam]], K$1, Table1[[ActualResult]:[ActualResult]], "OT") + SUMIFS(Table1[[HomeWon]:[HomeWon]], Table1[[GameIsOver]:[GameIsOver]],1,Table1[[AwayTeam]:[AwayTeam]],$A23, Table1[[HomeTeam]:[HomeTeam]], K$1, Table1[[ActualResult]:[ActualResult]], "SO") + SUMIFS(Table1[[AwayWon]:[AwayWon]], Table1[[GameIsOver]:[GameIsOver]],1,Table1[[HomeTeam]:[HomeTeam]],$A23, Table1[[AwayTeam]:[AwayTeam]], K$1, Table1[[ActualResult]:[ActualResult]], "SO"),0))</f>
        <v>0-0-0</v>
      </c>
      <c r="L23" s="57" t="str">
        <f>_xlfn.CONCAT(TEXT(SUMIFS(Table1[[AwayWon]:[AwayWon]], Table1[[GameIsOver]:[GameIsOver]],1,Table1[[AwayTeam]:[AwayTeam]],$A23, Table1[[HomeTeam]:[HomeTeam]], L$1) + SUMIFS(Table1[[HomeWon]:[HomeWon]], Table1[[GameIsOver]:[GameIsOver]],1,Table1[[HomeTeam]:[HomeTeam]],$A23, Table1[[AwayTeam]:[AwayTeam]], L$1),0), "-", TEXT(SUMIFS(Table1[[HomeWon]:[HomeWon]], Table1[[GameIsOver]:[GameIsOver]],1,Table1[[AwayTeam]:[AwayTeam]],$A23, Table1[[HomeTeam]:[HomeTeam]], L$1, Table1[[ActualResult]:[ActualResult]], "REG") + SUMIFS(Table1[[AwayWon]:[AwayWon]], Table1[[GameIsOver]:[GameIsOver]],1,Table1[[HomeTeam]:[HomeTeam]],$A23, Table1[[AwayTeam]:[AwayTeam]], L$1, Table1[[ActualResult]:[ActualResult]], "REG"),0), "-", TEXT(SUMIFS(Table1[[HomeWon]:[HomeWon]], Table1[[GameIsOver]:[GameIsOver]],1,Table1[[AwayTeam]:[AwayTeam]],$A23, Table1[[HomeTeam]:[HomeTeam]], L$1, Table1[[ActualResult]:[ActualResult]], "OT") + SUMIFS(Table1[[AwayWon]:[AwayWon]], Table1[[GameIsOver]:[GameIsOver]],1,Table1[[HomeTeam]:[HomeTeam]],$A23, Table1[[AwayTeam]:[AwayTeam]], L$1, Table1[[ActualResult]:[ActualResult]], "OT") + SUMIFS(Table1[[HomeWon]:[HomeWon]], Table1[[GameIsOver]:[GameIsOver]],1,Table1[[AwayTeam]:[AwayTeam]],$A23, Table1[[HomeTeam]:[HomeTeam]], L$1, Table1[[ActualResult]:[ActualResult]], "SO") + SUMIFS(Table1[[AwayWon]:[AwayWon]], Table1[[GameIsOver]:[GameIsOver]],1,Table1[[HomeTeam]:[HomeTeam]],$A23, Table1[[AwayTeam]:[AwayTeam]], L$1, Table1[[ActualResult]:[ActualResult]], "SO"),0))</f>
        <v>0-0-0</v>
      </c>
      <c r="M23" s="57" t="str">
        <f>_xlfn.CONCAT(TEXT(SUMIFS(Table1[[AwayWon]:[AwayWon]], Table1[[GameIsOver]:[GameIsOver]],1,Table1[[AwayTeam]:[AwayTeam]],$A23, Table1[[HomeTeam]:[HomeTeam]], M$1) + SUMIFS(Table1[[HomeWon]:[HomeWon]], Table1[[GameIsOver]:[GameIsOver]],1,Table1[[HomeTeam]:[HomeTeam]],$A23, Table1[[AwayTeam]:[AwayTeam]], M$1),0), "-", TEXT(SUMIFS(Table1[[HomeWon]:[HomeWon]], Table1[[GameIsOver]:[GameIsOver]],1,Table1[[AwayTeam]:[AwayTeam]],$A23, Table1[[HomeTeam]:[HomeTeam]], M$1, Table1[[ActualResult]:[ActualResult]], "REG") + SUMIFS(Table1[[AwayWon]:[AwayWon]], Table1[[GameIsOver]:[GameIsOver]],1,Table1[[HomeTeam]:[HomeTeam]],$A23, Table1[[AwayTeam]:[AwayTeam]], M$1, Table1[[ActualResult]:[ActualResult]], "REG"),0), "-", TEXT(SUMIFS(Table1[[HomeWon]:[HomeWon]], Table1[[GameIsOver]:[GameIsOver]],1,Table1[[AwayTeam]:[AwayTeam]],$A23, Table1[[HomeTeam]:[HomeTeam]], M$1, Table1[[ActualResult]:[ActualResult]], "OT") + SUMIFS(Table1[[AwayWon]:[AwayWon]], Table1[[GameIsOver]:[GameIsOver]],1,Table1[[HomeTeam]:[HomeTeam]],$A23, Table1[[AwayTeam]:[AwayTeam]], M$1, Table1[[ActualResult]:[ActualResult]], "OT") + SUMIFS(Table1[[HomeWon]:[HomeWon]], Table1[[GameIsOver]:[GameIsOver]],1,Table1[[AwayTeam]:[AwayTeam]],$A23, Table1[[HomeTeam]:[HomeTeam]], M$1, Table1[[ActualResult]:[ActualResult]], "SO") + SUMIFS(Table1[[AwayWon]:[AwayWon]], Table1[[GameIsOver]:[GameIsOver]],1,Table1[[HomeTeam]:[HomeTeam]],$A23, Table1[[AwayTeam]:[AwayTeam]], M$1, Table1[[ActualResult]:[ActualResult]], "SO"),0))</f>
        <v>0-0-0</v>
      </c>
      <c r="N23" s="57" t="str">
        <f>_xlfn.CONCAT(TEXT(SUMIFS(Table1[[AwayWon]:[AwayWon]], Table1[[GameIsOver]:[GameIsOver]],1,Table1[[AwayTeam]:[AwayTeam]],$A23, Table1[[HomeTeam]:[HomeTeam]], N$1) + SUMIFS(Table1[[HomeWon]:[HomeWon]], Table1[[GameIsOver]:[GameIsOver]],1,Table1[[HomeTeam]:[HomeTeam]],$A23, Table1[[AwayTeam]:[AwayTeam]], N$1),0), "-", TEXT(SUMIFS(Table1[[HomeWon]:[HomeWon]], Table1[[GameIsOver]:[GameIsOver]],1,Table1[[AwayTeam]:[AwayTeam]],$A23, Table1[[HomeTeam]:[HomeTeam]], N$1, Table1[[ActualResult]:[ActualResult]], "REG") + SUMIFS(Table1[[AwayWon]:[AwayWon]], Table1[[GameIsOver]:[GameIsOver]],1,Table1[[HomeTeam]:[HomeTeam]],$A23, Table1[[AwayTeam]:[AwayTeam]], N$1, Table1[[ActualResult]:[ActualResult]], "REG"),0), "-", TEXT(SUMIFS(Table1[[HomeWon]:[HomeWon]], Table1[[GameIsOver]:[GameIsOver]],1,Table1[[AwayTeam]:[AwayTeam]],$A23, Table1[[HomeTeam]:[HomeTeam]], N$1, Table1[[ActualResult]:[ActualResult]], "OT") + SUMIFS(Table1[[AwayWon]:[AwayWon]], Table1[[GameIsOver]:[GameIsOver]],1,Table1[[HomeTeam]:[HomeTeam]],$A23, Table1[[AwayTeam]:[AwayTeam]], N$1, Table1[[ActualResult]:[ActualResult]], "OT") + SUMIFS(Table1[[HomeWon]:[HomeWon]], Table1[[GameIsOver]:[GameIsOver]],1,Table1[[AwayTeam]:[AwayTeam]],$A23, Table1[[HomeTeam]:[HomeTeam]], N$1, Table1[[ActualResult]:[ActualResult]], "SO") + SUMIFS(Table1[[AwayWon]:[AwayWon]], Table1[[GameIsOver]:[GameIsOver]],1,Table1[[HomeTeam]:[HomeTeam]],$A23, Table1[[AwayTeam]:[AwayTeam]], N$1, Table1[[ActualResult]:[ActualResult]], "SO"),0))</f>
        <v>0-0-0</v>
      </c>
      <c r="O23" s="57" t="str">
        <f>_xlfn.CONCAT(TEXT(SUMIFS(Table1[[AwayWon]:[AwayWon]], Table1[[GameIsOver]:[GameIsOver]],1,Table1[[AwayTeam]:[AwayTeam]],$A23, Table1[[HomeTeam]:[HomeTeam]], O$1) + SUMIFS(Table1[[HomeWon]:[HomeWon]], Table1[[GameIsOver]:[GameIsOver]],1,Table1[[HomeTeam]:[HomeTeam]],$A23, Table1[[AwayTeam]:[AwayTeam]], O$1),0), "-", TEXT(SUMIFS(Table1[[HomeWon]:[HomeWon]], Table1[[GameIsOver]:[GameIsOver]],1,Table1[[AwayTeam]:[AwayTeam]],$A23, Table1[[HomeTeam]:[HomeTeam]], O$1, Table1[[ActualResult]:[ActualResult]], "REG") + SUMIFS(Table1[[AwayWon]:[AwayWon]], Table1[[GameIsOver]:[GameIsOver]],1,Table1[[HomeTeam]:[HomeTeam]],$A23, Table1[[AwayTeam]:[AwayTeam]], O$1, Table1[[ActualResult]:[ActualResult]], "REG"),0), "-", TEXT(SUMIFS(Table1[[HomeWon]:[HomeWon]], Table1[[GameIsOver]:[GameIsOver]],1,Table1[[AwayTeam]:[AwayTeam]],$A23, Table1[[HomeTeam]:[HomeTeam]], O$1, Table1[[ActualResult]:[ActualResult]], "OT") + SUMIFS(Table1[[AwayWon]:[AwayWon]], Table1[[GameIsOver]:[GameIsOver]],1,Table1[[HomeTeam]:[HomeTeam]],$A23, Table1[[AwayTeam]:[AwayTeam]], O$1, Table1[[ActualResult]:[ActualResult]], "OT") + SUMIFS(Table1[[HomeWon]:[HomeWon]], Table1[[GameIsOver]:[GameIsOver]],1,Table1[[AwayTeam]:[AwayTeam]],$A23, Table1[[HomeTeam]:[HomeTeam]], O$1, Table1[[ActualResult]:[ActualResult]], "SO") + SUMIFS(Table1[[AwayWon]:[AwayWon]], Table1[[GameIsOver]:[GameIsOver]],1,Table1[[HomeTeam]:[HomeTeam]],$A23, Table1[[AwayTeam]:[AwayTeam]], O$1, Table1[[ActualResult]:[ActualResult]], "SO"),0))</f>
        <v>0-0-0</v>
      </c>
      <c r="P23" s="57" t="str">
        <f>_xlfn.CONCAT(TEXT(SUMIFS(Table1[[AwayWon]:[AwayWon]], Table1[[GameIsOver]:[GameIsOver]],1,Table1[[AwayTeam]:[AwayTeam]],$A23, Table1[[HomeTeam]:[HomeTeam]], P$1) + SUMIFS(Table1[[HomeWon]:[HomeWon]], Table1[[GameIsOver]:[GameIsOver]],1,Table1[[HomeTeam]:[HomeTeam]],$A23, Table1[[AwayTeam]:[AwayTeam]], P$1),0), "-", TEXT(SUMIFS(Table1[[HomeWon]:[HomeWon]], Table1[[GameIsOver]:[GameIsOver]],1,Table1[[AwayTeam]:[AwayTeam]],$A23, Table1[[HomeTeam]:[HomeTeam]], P$1, Table1[[ActualResult]:[ActualResult]], "REG") + SUMIFS(Table1[[AwayWon]:[AwayWon]], Table1[[GameIsOver]:[GameIsOver]],1,Table1[[HomeTeam]:[HomeTeam]],$A23, Table1[[AwayTeam]:[AwayTeam]], P$1, Table1[[ActualResult]:[ActualResult]], "REG"),0), "-", TEXT(SUMIFS(Table1[[HomeWon]:[HomeWon]], Table1[[GameIsOver]:[GameIsOver]],1,Table1[[AwayTeam]:[AwayTeam]],$A23, Table1[[HomeTeam]:[HomeTeam]], P$1, Table1[[ActualResult]:[ActualResult]], "OT") + SUMIFS(Table1[[AwayWon]:[AwayWon]], Table1[[GameIsOver]:[GameIsOver]],1,Table1[[HomeTeam]:[HomeTeam]],$A23, Table1[[AwayTeam]:[AwayTeam]], P$1, Table1[[ActualResult]:[ActualResult]], "OT") + SUMIFS(Table1[[HomeWon]:[HomeWon]], Table1[[GameIsOver]:[GameIsOver]],1,Table1[[AwayTeam]:[AwayTeam]],$A23, Table1[[HomeTeam]:[HomeTeam]], P$1, Table1[[ActualResult]:[ActualResult]], "SO") + SUMIFS(Table1[[AwayWon]:[AwayWon]], Table1[[GameIsOver]:[GameIsOver]],1,Table1[[HomeTeam]:[HomeTeam]],$A23, Table1[[AwayTeam]:[AwayTeam]], P$1, Table1[[ActualResult]:[ActualResult]], "SO"),0))</f>
        <v>0-0-0</v>
      </c>
      <c r="Q23" s="59" t="str">
        <f>_xlfn.CONCAT(TEXT(SUMIFS(Table1[[AwayWon]:[AwayWon]], Table1[[GameIsOver]:[GameIsOver]],1,Table1[[AwayTeam]:[AwayTeam]],$A23, Table1[[HomeTeam]:[HomeTeam]], Q$1) + SUMIFS(Table1[[HomeWon]:[HomeWon]], Table1[[GameIsOver]:[GameIsOver]],1,Table1[[HomeTeam]:[HomeTeam]],$A23, Table1[[AwayTeam]:[AwayTeam]], Q$1),0), "-", TEXT(SUMIFS(Table1[[HomeWon]:[HomeWon]], Table1[[GameIsOver]:[GameIsOver]],1,Table1[[AwayTeam]:[AwayTeam]],$A23, Table1[[HomeTeam]:[HomeTeam]], Q$1, Table1[[ActualResult]:[ActualResult]], "REG") + SUMIFS(Table1[[AwayWon]:[AwayWon]], Table1[[GameIsOver]:[GameIsOver]],1,Table1[[HomeTeam]:[HomeTeam]],$A23, Table1[[AwayTeam]:[AwayTeam]], Q$1, Table1[[ActualResult]:[ActualResult]], "REG"),0), "-", TEXT(SUMIFS(Table1[[HomeWon]:[HomeWon]], Table1[[GameIsOver]:[GameIsOver]],1,Table1[[AwayTeam]:[AwayTeam]],$A23, Table1[[HomeTeam]:[HomeTeam]], Q$1, Table1[[ActualResult]:[ActualResult]], "OT") + SUMIFS(Table1[[AwayWon]:[AwayWon]], Table1[[GameIsOver]:[GameIsOver]],1,Table1[[HomeTeam]:[HomeTeam]],$A23, Table1[[AwayTeam]:[AwayTeam]], Q$1, Table1[[ActualResult]:[ActualResult]], "OT") + SUMIFS(Table1[[HomeWon]:[HomeWon]], Table1[[GameIsOver]:[GameIsOver]],1,Table1[[AwayTeam]:[AwayTeam]],$A23, Table1[[HomeTeam]:[HomeTeam]], Q$1, Table1[[ActualResult]:[ActualResult]], "SO") + SUMIFS(Table1[[AwayWon]:[AwayWon]], Table1[[GameIsOver]:[GameIsOver]],1,Table1[[HomeTeam]:[HomeTeam]],$A23, Table1[[AwayTeam]:[AwayTeam]], Q$1, Table1[[ActualResult]:[ActualResult]], "SO"),0))</f>
        <v>0-0-0</v>
      </c>
      <c r="R23" s="57" t="str">
        <f>_xlfn.CONCAT(TEXT(SUMIFS(Table1[[AwayWon]:[AwayWon]], Table1[[GameIsOver]:[GameIsOver]],1,Table1[[AwayTeam]:[AwayTeam]],$A23, Table1[[HomeTeam]:[HomeTeam]], R$1) + SUMIFS(Table1[[HomeWon]:[HomeWon]], Table1[[GameIsOver]:[GameIsOver]],1,Table1[[HomeTeam]:[HomeTeam]],$A23, Table1[[AwayTeam]:[AwayTeam]], R$1),0), "-", TEXT(SUMIFS(Table1[[HomeWon]:[HomeWon]], Table1[[GameIsOver]:[GameIsOver]],1,Table1[[AwayTeam]:[AwayTeam]],$A23, Table1[[HomeTeam]:[HomeTeam]], R$1, Table1[[ActualResult]:[ActualResult]], "REG") + SUMIFS(Table1[[AwayWon]:[AwayWon]], Table1[[GameIsOver]:[GameIsOver]],1,Table1[[HomeTeam]:[HomeTeam]],$A23, Table1[[AwayTeam]:[AwayTeam]], R$1, Table1[[ActualResult]:[ActualResult]], "REG"),0), "-", TEXT(SUMIFS(Table1[[HomeWon]:[HomeWon]], Table1[[GameIsOver]:[GameIsOver]],1,Table1[[AwayTeam]:[AwayTeam]],$A23, Table1[[HomeTeam]:[HomeTeam]], R$1, Table1[[ActualResult]:[ActualResult]], "OT") + SUMIFS(Table1[[AwayWon]:[AwayWon]], Table1[[GameIsOver]:[GameIsOver]],1,Table1[[HomeTeam]:[HomeTeam]],$A23, Table1[[AwayTeam]:[AwayTeam]], R$1, Table1[[ActualResult]:[ActualResult]], "OT") + SUMIFS(Table1[[HomeWon]:[HomeWon]], Table1[[GameIsOver]:[GameIsOver]],1,Table1[[AwayTeam]:[AwayTeam]],$A23, Table1[[HomeTeam]:[HomeTeam]], R$1, Table1[[ActualResult]:[ActualResult]], "SO") + SUMIFS(Table1[[AwayWon]:[AwayWon]], Table1[[GameIsOver]:[GameIsOver]],1,Table1[[HomeTeam]:[HomeTeam]],$A23, Table1[[AwayTeam]:[AwayTeam]], R$1, Table1[[ActualResult]:[ActualResult]], "SO"),0))</f>
        <v>0-0-0</v>
      </c>
      <c r="S23" s="57" t="str">
        <f>_xlfn.CONCAT(TEXT(SUMIFS(Table1[[AwayWon]:[AwayWon]], Table1[[GameIsOver]:[GameIsOver]],1,Table1[[AwayTeam]:[AwayTeam]],$A23, Table1[[HomeTeam]:[HomeTeam]], S$1) + SUMIFS(Table1[[HomeWon]:[HomeWon]], Table1[[GameIsOver]:[GameIsOver]],1,Table1[[HomeTeam]:[HomeTeam]],$A23, Table1[[AwayTeam]:[AwayTeam]], S$1),0), "-", TEXT(SUMIFS(Table1[[HomeWon]:[HomeWon]], Table1[[GameIsOver]:[GameIsOver]],1,Table1[[AwayTeam]:[AwayTeam]],$A23, Table1[[HomeTeam]:[HomeTeam]], S$1, Table1[[ActualResult]:[ActualResult]], "REG") + SUMIFS(Table1[[AwayWon]:[AwayWon]], Table1[[GameIsOver]:[GameIsOver]],1,Table1[[HomeTeam]:[HomeTeam]],$A23, Table1[[AwayTeam]:[AwayTeam]], S$1, Table1[[ActualResult]:[ActualResult]], "REG"),0), "-", TEXT(SUMIFS(Table1[[HomeWon]:[HomeWon]], Table1[[GameIsOver]:[GameIsOver]],1,Table1[[AwayTeam]:[AwayTeam]],$A23, Table1[[HomeTeam]:[HomeTeam]], S$1, Table1[[ActualResult]:[ActualResult]], "OT") + SUMIFS(Table1[[AwayWon]:[AwayWon]], Table1[[GameIsOver]:[GameIsOver]],1,Table1[[HomeTeam]:[HomeTeam]],$A23, Table1[[AwayTeam]:[AwayTeam]], S$1, Table1[[ActualResult]:[ActualResult]], "OT") + SUMIFS(Table1[[HomeWon]:[HomeWon]], Table1[[GameIsOver]:[GameIsOver]],1,Table1[[AwayTeam]:[AwayTeam]],$A23, Table1[[HomeTeam]:[HomeTeam]], S$1, Table1[[ActualResult]:[ActualResult]], "SO") + SUMIFS(Table1[[AwayWon]:[AwayWon]], Table1[[GameIsOver]:[GameIsOver]],1,Table1[[HomeTeam]:[HomeTeam]],$A23, Table1[[AwayTeam]:[AwayTeam]], S$1, Table1[[ActualResult]:[ActualResult]], "SO"),0))</f>
        <v>0-1-0</v>
      </c>
      <c r="T23" s="57" t="str">
        <f>_xlfn.CONCAT(TEXT(SUMIFS(Table1[[AwayWon]:[AwayWon]], Table1[[GameIsOver]:[GameIsOver]],1,Table1[[AwayTeam]:[AwayTeam]],$A23, Table1[[HomeTeam]:[HomeTeam]], T$1) + SUMIFS(Table1[[HomeWon]:[HomeWon]], Table1[[GameIsOver]:[GameIsOver]],1,Table1[[HomeTeam]:[HomeTeam]],$A23, Table1[[AwayTeam]:[AwayTeam]], T$1),0), "-", TEXT(SUMIFS(Table1[[HomeWon]:[HomeWon]], Table1[[GameIsOver]:[GameIsOver]],1,Table1[[AwayTeam]:[AwayTeam]],$A23, Table1[[HomeTeam]:[HomeTeam]], T$1, Table1[[ActualResult]:[ActualResult]], "REG") + SUMIFS(Table1[[AwayWon]:[AwayWon]], Table1[[GameIsOver]:[GameIsOver]],1,Table1[[HomeTeam]:[HomeTeam]],$A23, Table1[[AwayTeam]:[AwayTeam]], T$1, Table1[[ActualResult]:[ActualResult]], "REG"),0), "-", TEXT(SUMIFS(Table1[[HomeWon]:[HomeWon]], Table1[[GameIsOver]:[GameIsOver]],1,Table1[[AwayTeam]:[AwayTeam]],$A23, Table1[[HomeTeam]:[HomeTeam]], T$1, Table1[[ActualResult]:[ActualResult]], "OT") + SUMIFS(Table1[[AwayWon]:[AwayWon]], Table1[[GameIsOver]:[GameIsOver]],1,Table1[[HomeTeam]:[HomeTeam]],$A23, Table1[[AwayTeam]:[AwayTeam]], T$1, Table1[[ActualResult]:[ActualResult]], "OT") + SUMIFS(Table1[[HomeWon]:[HomeWon]], Table1[[GameIsOver]:[GameIsOver]],1,Table1[[AwayTeam]:[AwayTeam]],$A23, Table1[[HomeTeam]:[HomeTeam]], T$1, Table1[[ActualResult]:[ActualResult]], "SO") + SUMIFS(Table1[[AwayWon]:[AwayWon]], Table1[[GameIsOver]:[GameIsOver]],1,Table1[[HomeTeam]:[HomeTeam]],$A23, Table1[[AwayTeam]:[AwayTeam]], T$1, Table1[[ActualResult]:[ActualResult]], "SO"),0))</f>
        <v>0-0-0</v>
      </c>
      <c r="U23" s="57" t="str">
        <f>_xlfn.CONCAT(TEXT(SUMIFS(Table1[[AwayWon]:[AwayWon]], Table1[[GameIsOver]:[GameIsOver]],1,Table1[[AwayTeam]:[AwayTeam]],$A23, Table1[[HomeTeam]:[HomeTeam]], U$1) + SUMIFS(Table1[[HomeWon]:[HomeWon]], Table1[[GameIsOver]:[GameIsOver]],1,Table1[[HomeTeam]:[HomeTeam]],$A23, Table1[[AwayTeam]:[AwayTeam]], U$1),0), "-", TEXT(SUMIFS(Table1[[HomeWon]:[HomeWon]], Table1[[GameIsOver]:[GameIsOver]],1,Table1[[AwayTeam]:[AwayTeam]],$A23, Table1[[HomeTeam]:[HomeTeam]], U$1, Table1[[ActualResult]:[ActualResult]], "REG") + SUMIFS(Table1[[AwayWon]:[AwayWon]], Table1[[GameIsOver]:[GameIsOver]],1,Table1[[HomeTeam]:[HomeTeam]],$A23, Table1[[AwayTeam]:[AwayTeam]], U$1, Table1[[ActualResult]:[ActualResult]], "REG"),0), "-", TEXT(SUMIFS(Table1[[HomeWon]:[HomeWon]], Table1[[GameIsOver]:[GameIsOver]],1,Table1[[AwayTeam]:[AwayTeam]],$A23, Table1[[HomeTeam]:[HomeTeam]], U$1, Table1[[ActualResult]:[ActualResult]], "OT") + SUMIFS(Table1[[AwayWon]:[AwayWon]], Table1[[GameIsOver]:[GameIsOver]],1,Table1[[HomeTeam]:[HomeTeam]],$A23, Table1[[AwayTeam]:[AwayTeam]], U$1, Table1[[ActualResult]:[ActualResult]], "OT") + SUMIFS(Table1[[HomeWon]:[HomeWon]], Table1[[GameIsOver]:[GameIsOver]],1,Table1[[AwayTeam]:[AwayTeam]],$A23, Table1[[HomeTeam]:[HomeTeam]], U$1, Table1[[ActualResult]:[ActualResult]], "SO") + SUMIFS(Table1[[AwayWon]:[AwayWon]], Table1[[GameIsOver]:[GameIsOver]],1,Table1[[HomeTeam]:[HomeTeam]],$A23, Table1[[AwayTeam]:[AwayTeam]], U$1, Table1[[ActualResult]:[ActualResult]], "SO"),0))</f>
        <v>0-0-0</v>
      </c>
      <c r="V23" s="57" t="str">
        <f>_xlfn.CONCAT(TEXT(SUMIFS(Table1[[AwayWon]:[AwayWon]], Table1[[GameIsOver]:[GameIsOver]],1,Table1[[AwayTeam]:[AwayTeam]],$A23, Table1[[HomeTeam]:[HomeTeam]], V$1) + SUMIFS(Table1[[HomeWon]:[HomeWon]], Table1[[GameIsOver]:[GameIsOver]],1,Table1[[HomeTeam]:[HomeTeam]],$A23, Table1[[AwayTeam]:[AwayTeam]], V$1),0), "-", TEXT(SUMIFS(Table1[[HomeWon]:[HomeWon]], Table1[[GameIsOver]:[GameIsOver]],1,Table1[[AwayTeam]:[AwayTeam]],$A23, Table1[[HomeTeam]:[HomeTeam]], V$1, Table1[[ActualResult]:[ActualResult]], "REG") + SUMIFS(Table1[[AwayWon]:[AwayWon]], Table1[[GameIsOver]:[GameIsOver]],1,Table1[[HomeTeam]:[HomeTeam]],$A23, Table1[[AwayTeam]:[AwayTeam]], V$1, Table1[[ActualResult]:[ActualResult]], "REG"),0), "-", TEXT(SUMIFS(Table1[[HomeWon]:[HomeWon]], Table1[[GameIsOver]:[GameIsOver]],1,Table1[[AwayTeam]:[AwayTeam]],$A23, Table1[[HomeTeam]:[HomeTeam]], V$1, Table1[[ActualResult]:[ActualResult]], "OT") + SUMIFS(Table1[[AwayWon]:[AwayWon]], Table1[[GameIsOver]:[GameIsOver]],1,Table1[[HomeTeam]:[HomeTeam]],$A23, Table1[[AwayTeam]:[AwayTeam]], V$1, Table1[[ActualResult]:[ActualResult]], "OT") + SUMIFS(Table1[[HomeWon]:[HomeWon]], Table1[[GameIsOver]:[GameIsOver]],1,Table1[[AwayTeam]:[AwayTeam]],$A23, Table1[[HomeTeam]:[HomeTeam]], V$1, Table1[[ActualResult]:[ActualResult]], "SO") + SUMIFS(Table1[[AwayWon]:[AwayWon]], Table1[[GameIsOver]:[GameIsOver]],1,Table1[[HomeTeam]:[HomeTeam]],$A23, Table1[[AwayTeam]:[AwayTeam]], V$1, Table1[[ActualResult]:[ActualResult]], "SO"),0))</f>
        <v>0-0-0</v>
      </c>
      <c r="W23" s="57" t="str">
        <f>_xlfn.CONCAT(TEXT(SUMIFS(Table1[[AwayWon]:[AwayWon]], Table1[[GameIsOver]:[GameIsOver]],1,Table1[[AwayTeam]:[AwayTeam]],$A23, Table1[[HomeTeam]:[HomeTeam]], W$1) + SUMIFS(Table1[[HomeWon]:[HomeWon]], Table1[[GameIsOver]:[GameIsOver]],1,Table1[[HomeTeam]:[HomeTeam]],$A23, Table1[[AwayTeam]:[AwayTeam]], W$1),0), "-", TEXT(SUMIFS(Table1[[HomeWon]:[HomeWon]], Table1[[GameIsOver]:[GameIsOver]],1,Table1[[AwayTeam]:[AwayTeam]],$A23, Table1[[HomeTeam]:[HomeTeam]], W$1, Table1[[ActualResult]:[ActualResult]], "REG") + SUMIFS(Table1[[AwayWon]:[AwayWon]], Table1[[GameIsOver]:[GameIsOver]],1,Table1[[HomeTeam]:[HomeTeam]],$A23, Table1[[AwayTeam]:[AwayTeam]], W$1, Table1[[ActualResult]:[ActualResult]], "REG"),0), "-", TEXT(SUMIFS(Table1[[HomeWon]:[HomeWon]], Table1[[GameIsOver]:[GameIsOver]],1,Table1[[AwayTeam]:[AwayTeam]],$A23, Table1[[HomeTeam]:[HomeTeam]], W$1, Table1[[ActualResult]:[ActualResult]], "OT") + SUMIFS(Table1[[AwayWon]:[AwayWon]], Table1[[GameIsOver]:[GameIsOver]],1,Table1[[HomeTeam]:[HomeTeam]],$A23, Table1[[AwayTeam]:[AwayTeam]], W$1, Table1[[ActualResult]:[ActualResult]], "OT") + SUMIFS(Table1[[HomeWon]:[HomeWon]], Table1[[GameIsOver]:[GameIsOver]],1,Table1[[AwayTeam]:[AwayTeam]],$A23, Table1[[HomeTeam]:[HomeTeam]], W$1, Table1[[ActualResult]:[ActualResult]], "SO") + SUMIFS(Table1[[AwayWon]:[AwayWon]], Table1[[GameIsOver]:[GameIsOver]],1,Table1[[HomeTeam]:[HomeTeam]],$A23, Table1[[AwayTeam]:[AwayTeam]], W$1, Table1[[ActualResult]:[ActualResult]], "SO"),0))</f>
        <v>0-0-0</v>
      </c>
      <c r="X23" s="57" t="str">
        <f>_xlfn.CONCAT(TEXT(SUMIFS(Table1[[AwayWon]:[AwayWon]], Table1[[GameIsOver]:[GameIsOver]],1,Table1[[AwayTeam]:[AwayTeam]],$A23, Table1[[HomeTeam]:[HomeTeam]], X$1) + SUMIFS(Table1[[HomeWon]:[HomeWon]], Table1[[GameIsOver]:[GameIsOver]],1,Table1[[HomeTeam]:[HomeTeam]],$A23, Table1[[AwayTeam]:[AwayTeam]], X$1),0), "-", TEXT(SUMIFS(Table1[[HomeWon]:[HomeWon]], Table1[[GameIsOver]:[GameIsOver]],1,Table1[[AwayTeam]:[AwayTeam]],$A23, Table1[[HomeTeam]:[HomeTeam]], X$1, Table1[[ActualResult]:[ActualResult]], "REG") + SUMIFS(Table1[[AwayWon]:[AwayWon]], Table1[[GameIsOver]:[GameIsOver]],1,Table1[[HomeTeam]:[HomeTeam]],$A23, Table1[[AwayTeam]:[AwayTeam]], X$1, Table1[[ActualResult]:[ActualResult]], "REG"),0), "-", TEXT(SUMIFS(Table1[[HomeWon]:[HomeWon]], Table1[[GameIsOver]:[GameIsOver]],1,Table1[[AwayTeam]:[AwayTeam]],$A23, Table1[[HomeTeam]:[HomeTeam]], X$1, Table1[[ActualResult]:[ActualResult]], "OT") + SUMIFS(Table1[[AwayWon]:[AwayWon]], Table1[[GameIsOver]:[GameIsOver]],1,Table1[[HomeTeam]:[HomeTeam]],$A23, Table1[[AwayTeam]:[AwayTeam]], X$1, Table1[[ActualResult]:[ActualResult]], "OT") + SUMIFS(Table1[[HomeWon]:[HomeWon]], Table1[[GameIsOver]:[GameIsOver]],1,Table1[[AwayTeam]:[AwayTeam]],$A23, Table1[[HomeTeam]:[HomeTeam]], X$1, Table1[[ActualResult]:[ActualResult]], "SO") + SUMIFS(Table1[[AwayWon]:[AwayWon]], Table1[[GameIsOver]:[GameIsOver]],1,Table1[[HomeTeam]:[HomeTeam]],$A23, Table1[[AwayTeam]:[AwayTeam]], X$1, Table1[[ActualResult]:[ActualResult]], "SO"),0))</f>
        <v>0-0-0</v>
      </c>
      <c r="Y23" s="59" t="str">
        <f>_xlfn.CONCAT(TEXT(SUMIFS(Table1[[AwayWon]:[AwayWon]], Table1[[GameIsOver]:[GameIsOver]],1,Table1[[AwayTeam]:[AwayTeam]],$A23, Table1[[HomeTeam]:[HomeTeam]], Y$1) + SUMIFS(Table1[[HomeWon]:[HomeWon]], Table1[[GameIsOver]:[GameIsOver]],1,Table1[[HomeTeam]:[HomeTeam]],$A23, Table1[[AwayTeam]:[AwayTeam]], Y$1),0), "-", TEXT(SUMIFS(Table1[[HomeWon]:[HomeWon]], Table1[[GameIsOver]:[GameIsOver]],1,Table1[[AwayTeam]:[AwayTeam]],$A23, Table1[[HomeTeam]:[HomeTeam]], Y$1, Table1[[ActualResult]:[ActualResult]], "REG") + SUMIFS(Table1[[AwayWon]:[AwayWon]], Table1[[GameIsOver]:[GameIsOver]],1,Table1[[HomeTeam]:[HomeTeam]],$A23, Table1[[AwayTeam]:[AwayTeam]], Y$1, Table1[[ActualResult]:[ActualResult]], "REG"),0), "-", TEXT(SUMIFS(Table1[[HomeWon]:[HomeWon]], Table1[[GameIsOver]:[GameIsOver]],1,Table1[[AwayTeam]:[AwayTeam]],$A23, Table1[[HomeTeam]:[HomeTeam]], Y$1, Table1[[ActualResult]:[ActualResult]], "OT") + SUMIFS(Table1[[AwayWon]:[AwayWon]], Table1[[GameIsOver]:[GameIsOver]],1,Table1[[HomeTeam]:[HomeTeam]],$A23, Table1[[AwayTeam]:[AwayTeam]], Y$1, Table1[[ActualResult]:[ActualResult]], "OT") + SUMIFS(Table1[[HomeWon]:[HomeWon]], Table1[[GameIsOver]:[GameIsOver]],1,Table1[[AwayTeam]:[AwayTeam]],$A23, Table1[[HomeTeam]:[HomeTeam]], Y$1, Table1[[ActualResult]:[ActualResult]], "SO") + SUMIFS(Table1[[AwayWon]:[AwayWon]], Table1[[GameIsOver]:[GameIsOver]],1,Table1[[HomeTeam]:[HomeTeam]],$A23, Table1[[AwayTeam]:[AwayTeam]], Y$1, Table1[[ActualResult]:[ActualResult]], "SO"),0))</f>
        <v>0-0-0</v>
      </c>
      <c r="Z23" s="57" t="str">
        <f>_xlfn.CONCAT(TEXT(SUMIFS(Table1[[AwayWon]:[AwayWon]], Table1[[GameIsOver]:[GameIsOver]],1,Table1[[AwayTeam]:[AwayTeam]],$A23, Table1[[HomeTeam]:[HomeTeam]], Z$1) + SUMIFS(Table1[[HomeWon]:[HomeWon]], Table1[[GameIsOver]:[GameIsOver]],1,Table1[[HomeTeam]:[HomeTeam]],$A23, Table1[[AwayTeam]:[AwayTeam]], Z$1),0), "-", TEXT(SUMIFS(Table1[[HomeWon]:[HomeWon]], Table1[[GameIsOver]:[GameIsOver]],1,Table1[[AwayTeam]:[AwayTeam]],$A23, Table1[[HomeTeam]:[HomeTeam]], Z$1, Table1[[ActualResult]:[ActualResult]], "REG") + SUMIFS(Table1[[AwayWon]:[AwayWon]], Table1[[GameIsOver]:[GameIsOver]],1,Table1[[HomeTeam]:[HomeTeam]],$A23, Table1[[AwayTeam]:[AwayTeam]], Z$1, Table1[[ActualResult]:[ActualResult]], "REG"),0), "-", TEXT(SUMIFS(Table1[[HomeWon]:[HomeWon]], Table1[[GameIsOver]:[GameIsOver]],1,Table1[[AwayTeam]:[AwayTeam]],$A23, Table1[[HomeTeam]:[HomeTeam]], Z$1, Table1[[ActualResult]:[ActualResult]], "OT") + SUMIFS(Table1[[AwayWon]:[AwayWon]], Table1[[GameIsOver]:[GameIsOver]],1,Table1[[HomeTeam]:[HomeTeam]],$A23, Table1[[AwayTeam]:[AwayTeam]], Z$1, Table1[[ActualResult]:[ActualResult]], "OT") + SUMIFS(Table1[[HomeWon]:[HomeWon]], Table1[[GameIsOver]:[GameIsOver]],1,Table1[[AwayTeam]:[AwayTeam]],$A23, Table1[[HomeTeam]:[HomeTeam]], Z$1, Table1[[ActualResult]:[ActualResult]], "SO") + SUMIFS(Table1[[AwayWon]:[AwayWon]], Table1[[GameIsOver]:[GameIsOver]],1,Table1[[HomeTeam]:[HomeTeam]],$A23, Table1[[AwayTeam]:[AwayTeam]], Z$1, Table1[[ActualResult]:[ActualResult]], "SO"),0))</f>
        <v>0-0-0</v>
      </c>
      <c r="AA23" s="57" t="str">
        <f>_xlfn.CONCAT(TEXT(SUMIFS(Table1[[AwayWon]:[AwayWon]], Table1[[GameIsOver]:[GameIsOver]],1,Table1[[AwayTeam]:[AwayTeam]],$A23, Table1[[HomeTeam]:[HomeTeam]], AA$1) + SUMIFS(Table1[[HomeWon]:[HomeWon]], Table1[[GameIsOver]:[GameIsOver]],1,Table1[[HomeTeam]:[HomeTeam]],$A23, Table1[[AwayTeam]:[AwayTeam]], AA$1),0), "-", TEXT(SUMIFS(Table1[[HomeWon]:[HomeWon]], Table1[[GameIsOver]:[GameIsOver]],1,Table1[[AwayTeam]:[AwayTeam]],$A23, Table1[[HomeTeam]:[HomeTeam]], AA$1, Table1[[ActualResult]:[ActualResult]], "REG") + SUMIFS(Table1[[AwayWon]:[AwayWon]], Table1[[GameIsOver]:[GameIsOver]],1,Table1[[HomeTeam]:[HomeTeam]],$A23, Table1[[AwayTeam]:[AwayTeam]], AA$1, Table1[[ActualResult]:[ActualResult]], "REG"),0), "-", TEXT(SUMIFS(Table1[[HomeWon]:[HomeWon]], Table1[[GameIsOver]:[GameIsOver]],1,Table1[[AwayTeam]:[AwayTeam]],$A23, Table1[[HomeTeam]:[HomeTeam]], AA$1, Table1[[ActualResult]:[ActualResult]], "OT") + SUMIFS(Table1[[AwayWon]:[AwayWon]], Table1[[GameIsOver]:[GameIsOver]],1,Table1[[HomeTeam]:[HomeTeam]],$A23, Table1[[AwayTeam]:[AwayTeam]], AA$1, Table1[[ActualResult]:[ActualResult]], "OT") + SUMIFS(Table1[[HomeWon]:[HomeWon]], Table1[[GameIsOver]:[GameIsOver]],1,Table1[[AwayTeam]:[AwayTeam]],$A23, Table1[[HomeTeam]:[HomeTeam]], AA$1, Table1[[ActualResult]:[ActualResult]], "SO") + SUMIFS(Table1[[AwayWon]:[AwayWon]], Table1[[GameIsOver]:[GameIsOver]],1,Table1[[HomeTeam]:[HomeTeam]],$A23, Table1[[AwayTeam]:[AwayTeam]], AA$1, Table1[[ActualResult]:[ActualResult]], "SO"),0))</f>
        <v>0-0-0</v>
      </c>
      <c r="AB23" s="57" t="str">
        <f>_xlfn.CONCAT(TEXT(SUMIFS(Table1[[AwayWon]:[AwayWon]], Table1[[GameIsOver]:[GameIsOver]],1,Table1[[AwayTeam]:[AwayTeam]],$A23, Table1[[HomeTeam]:[HomeTeam]], AB$1) + SUMIFS(Table1[[HomeWon]:[HomeWon]], Table1[[GameIsOver]:[GameIsOver]],1,Table1[[HomeTeam]:[HomeTeam]],$A23, Table1[[AwayTeam]:[AwayTeam]], AB$1),0), "-", TEXT(SUMIFS(Table1[[HomeWon]:[HomeWon]], Table1[[GameIsOver]:[GameIsOver]],1,Table1[[AwayTeam]:[AwayTeam]],$A23, Table1[[HomeTeam]:[HomeTeam]], AB$1, Table1[[ActualResult]:[ActualResult]], "REG") + SUMIFS(Table1[[AwayWon]:[AwayWon]], Table1[[GameIsOver]:[GameIsOver]],1,Table1[[HomeTeam]:[HomeTeam]],$A23, Table1[[AwayTeam]:[AwayTeam]], AB$1, Table1[[ActualResult]:[ActualResult]], "REG"),0), "-", TEXT(SUMIFS(Table1[[HomeWon]:[HomeWon]], Table1[[GameIsOver]:[GameIsOver]],1,Table1[[AwayTeam]:[AwayTeam]],$A23, Table1[[HomeTeam]:[HomeTeam]], AB$1, Table1[[ActualResult]:[ActualResult]], "OT") + SUMIFS(Table1[[AwayWon]:[AwayWon]], Table1[[GameIsOver]:[GameIsOver]],1,Table1[[HomeTeam]:[HomeTeam]],$A23, Table1[[AwayTeam]:[AwayTeam]], AB$1, Table1[[ActualResult]:[ActualResult]], "OT") + SUMIFS(Table1[[HomeWon]:[HomeWon]], Table1[[GameIsOver]:[GameIsOver]],1,Table1[[AwayTeam]:[AwayTeam]],$A23, Table1[[HomeTeam]:[HomeTeam]], AB$1, Table1[[ActualResult]:[ActualResult]], "SO") + SUMIFS(Table1[[AwayWon]:[AwayWon]], Table1[[GameIsOver]:[GameIsOver]],1,Table1[[HomeTeam]:[HomeTeam]],$A23, Table1[[AwayTeam]:[AwayTeam]], AB$1, Table1[[ActualResult]:[ActualResult]], "SO"),0))</f>
        <v>0-0-0</v>
      </c>
      <c r="AC23" s="57" t="str">
        <f>_xlfn.CONCAT(TEXT(SUMIFS(Table1[[AwayWon]:[AwayWon]], Table1[[GameIsOver]:[GameIsOver]],1,Table1[[AwayTeam]:[AwayTeam]],$A23, Table1[[HomeTeam]:[HomeTeam]], AC$1) + SUMIFS(Table1[[HomeWon]:[HomeWon]], Table1[[GameIsOver]:[GameIsOver]],1,Table1[[HomeTeam]:[HomeTeam]],$A23, Table1[[AwayTeam]:[AwayTeam]], AC$1),0), "-", TEXT(SUMIFS(Table1[[HomeWon]:[HomeWon]], Table1[[GameIsOver]:[GameIsOver]],1,Table1[[AwayTeam]:[AwayTeam]],$A23, Table1[[HomeTeam]:[HomeTeam]], AC$1, Table1[[ActualResult]:[ActualResult]], "REG") + SUMIFS(Table1[[AwayWon]:[AwayWon]], Table1[[GameIsOver]:[GameIsOver]],1,Table1[[HomeTeam]:[HomeTeam]],$A23, Table1[[AwayTeam]:[AwayTeam]], AC$1, Table1[[ActualResult]:[ActualResult]], "REG"),0), "-", TEXT(SUMIFS(Table1[[HomeWon]:[HomeWon]], Table1[[GameIsOver]:[GameIsOver]],1,Table1[[AwayTeam]:[AwayTeam]],$A23, Table1[[HomeTeam]:[HomeTeam]], AC$1, Table1[[ActualResult]:[ActualResult]], "OT") + SUMIFS(Table1[[AwayWon]:[AwayWon]], Table1[[GameIsOver]:[GameIsOver]],1,Table1[[HomeTeam]:[HomeTeam]],$A23, Table1[[AwayTeam]:[AwayTeam]], AC$1, Table1[[ActualResult]:[ActualResult]], "OT") + SUMIFS(Table1[[HomeWon]:[HomeWon]], Table1[[GameIsOver]:[GameIsOver]],1,Table1[[AwayTeam]:[AwayTeam]],$A23, Table1[[HomeTeam]:[HomeTeam]], AC$1, Table1[[ActualResult]:[ActualResult]], "SO") + SUMIFS(Table1[[AwayWon]:[AwayWon]], Table1[[GameIsOver]:[GameIsOver]],1,Table1[[HomeTeam]:[HomeTeam]],$A23, Table1[[AwayTeam]:[AwayTeam]], AC$1, Table1[[ActualResult]:[ActualResult]], "SO"),0))</f>
        <v>0-0-0</v>
      </c>
      <c r="AD23" s="57" t="str">
        <f>_xlfn.CONCAT(TEXT(SUMIFS(Table1[[AwayWon]:[AwayWon]], Table1[[GameIsOver]:[GameIsOver]],1,Table1[[AwayTeam]:[AwayTeam]],$A23, Table1[[HomeTeam]:[HomeTeam]], AD$1) + SUMIFS(Table1[[HomeWon]:[HomeWon]], Table1[[GameIsOver]:[GameIsOver]],1,Table1[[HomeTeam]:[HomeTeam]],$A23, Table1[[AwayTeam]:[AwayTeam]], AD$1),0), "-", TEXT(SUMIFS(Table1[[HomeWon]:[HomeWon]], Table1[[GameIsOver]:[GameIsOver]],1,Table1[[AwayTeam]:[AwayTeam]],$A23, Table1[[HomeTeam]:[HomeTeam]], AD$1, Table1[[ActualResult]:[ActualResult]], "REG") + SUMIFS(Table1[[AwayWon]:[AwayWon]], Table1[[GameIsOver]:[GameIsOver]],1,Table1[[HomeTeam]:[HomeTeam]],$A23, Table1[[AwayTeam]:[AwayTeam]], AD$1, Table1[[ActualResult]:[ActualResult]], "REG"),0), "-", TEXT(SUMIFS(Table1[[HomeWon]:[HomeWon]], Table1[[GameIsOver]:[GameIsOver]],1,Table1[[AwayTeam]:[AwayTeam]],$A23, Table1[[HomeTeam]:[HomeTeam]], AD$1, Table1[[ActualResult]:[ActualResult]], "OT") + SUMIFS(Table1[[AwayWon]:[AwayWon]], Table1[[GameIsOver]:[GameIsOver]],1,Table1[[HomeTeam]:[HomeTeam]],$A23, Table1[[AwayTeam]:[AwayTeam]], AD$1, Table1[[ActualResult]:[ActualResult]], "OT") + SUMIFS(Table1[[HomeWon]:[HomeWon]], Table1[[GameIsOver]:[GameIsOver]],1,Table1[[AwayTeam]:[AwayTeam]],$A23, Table1[[HomeTeam]:[HomeTeam]], AD$1, Table1[[ActualResult]:[ActualResult]], "SO") + SUMIFS(Table1[[AwayWon]:[AwayWon]], Table1[[GameIsOver]:[GameIsOver]],1,Table1[[HomeTeam]:[HomeTeam]],$A23, Table1[[AwayTeam]:[AwayTeam]], AD$1, Table1[[ActualResult]:[ActualResult]], "SO"),0))</f>
        <v>0-0-0</v>
      </c>
      <c r="AE23" s="57" t="str">
        <f>_xlfn.CONCAT(TEXT(SUMIFS(Table1[[AwayWon]:[AwayWon]], Table1[[GameIsOver]:[GameIsOver]],1,Table1[[AwayTeam]:[AwayTeam]],$A23, Table1[[HomeTeam]:[HomeTeam]], AE$1) + SUMIFS(Table1[[HomeWon]:[HomeWon]], Table1[[GameIsOver]:[GameIsOver]],1,Table1[[HomeTeam]:[HomeTeam]],$A23, Table1[[AwayTeam]:[AwayTeam]], AE$1),0), "-", TEXT(SUMIFS(Table1[[HomeWon]:[HomeWon]], Table1[[GameIsOver]:[GameIsOver]],1,Table1[[AwayTeam]:[AwayTeam]],$A23, Table1[[HomeTeam]:[HomeTeam]], AE$1, Table1[[ActualResult]:[ActualResult]], "REG") + SUMIFS(Table1[[AwayWon]:[AwayWon]], Table1[[GameIsOver]:[GameIsOver]],1,Table1[[HomeTeam]:[HomeTeam]],$A23, Table1[[AwayTeam]:[AwayTeam]], AE$1, Table1[[ActualResult]:[ActualResult]], "REG"),0), "-", TEXT(SUMIFS(Table1[[HomeWon]:[HomeWon]], Table1[[GameIsOver]:[GameIsOver]],1,Table1[[AwayTeam]:[AwayTeam]],$A23, Table1[[HomeTeam]:[HomeTeam]], AE$1, Table1[[ActualResult]:[ActualResult]], "OT") + SUMIFS(Table1[[AwayWon]:[AwayWon]], Table1[[GameIsOver]:[GameIsOver]],1,Table1[[HomeTeam]:[HomeTeam]],$A23, Table1[[AwayTeam]:[AwayTeam]], AE$1, Table1[[ActualResult]:[ActualResult]], "OT") + SUMIFS(Table1[[HomeWon]:[HomeWon]], Table1[[GameIsOver]:[GameIsOver]],1,Table1[[AwayTeam]:[AwayTeam]],$A23, Table1[[HomeTeam]:[HomeTeam]], AE$1, Table1[[ActualResult]:[ActualResult]], "SO") + SUMIFS(Table1[[AwayWon]:[AwayWon]], Table1[[GameIsOver]:[GameIsOver]],1,Table1[[HomeTeam]:[HomeTeam]],$A23, Table1[[AwayTeam]:[AwayTeam]], AE$1, Table1[[ActualResult]:[ActualResult]], "SO"),0))</f>
        <v>0-0-0</v>
      </c>
      <c r="AF23" s="57" t="str">
        <f>_xlfn.CONCAT(TEXT(SUMIFS(Table1[[AwayWon]:[AwayWon]], Table1[[GameIsOver]:[GameIsOver]],1,Table1[[AwayTeam]:[AwayTeam]],$A23, Table1[[HomeTeam]:[HomeTeam]], AF$1) + SUMIFS(Table1[[HomeWon]:[HomeWon]], Table1[[GameIsOver]:[GameIsOver]],1,Table1[[HomeTeam]:[HomeTeam]],$A23, Table1[[AwayTeam]:[AwayTeam]], AF$1),0), "-", TEXT(SUMIFS(Table1[[HomeWon]:[HomeWon]], Table1[[GameIsOver]:[GameIsOver]],1,Table1[[AwayTeam]:[AwayTeam]],$A23, Table1[[HomeTeam]:[HomeTeam]], AF$1, Table1[[ActualResult]:[ActualResult]], "REG") + SUMIFS(Table1[[AwayWon]:[AwayWon]], Table1[[GameIsOver]:[GameIsOver]],1,Table1[[HomeTeam]:[HomeTeam]],$A23, Table1[[AwayTeam]:[AwayTeam]], AF$1, Table1[[ActualResult]:[ActualResult]], "REG"),0), "-", TEXT(SUMIFS(Table1[[HomeWon]:[HomeWon]], Table1[[GameIsOver]:[GameIsOver]],1,Table1[[AwayTeam]:[AwayTeam]],$A23, Table1[[HomeTeam]:[HomeTeam]], AF$1, Table1[[ActualResult]:[ActualResult]], "OT") + SUMIFS(Table1[[AwayWon]:[AwayWon]], Table1[[GameIsOver]:[GameIsOver]],1,Table1[[HomeTeam]:[HomeTeam]],$A23, Table1[[AwayTeam]:[AwayTeam]], AF$1, Table1[[ActualResult]:[ActualResult]], "OT") + SUMIFS(Table1[[HomeWon]:[HomeWon]], Table1[[GameIsOver]:[GameIsOver]],1,Table1[[AwayTeam]:[AwayTeam]],$A23, Table1[[HomeTeam]:[HomeTeam]], AF$1, Table1[[ActualResult]:[ActualResult]], "SO") + SUMIFS(Table1[[AwayWon]:[AwayWon]], Table1[[GameIsOver]:[GameIsOver]],1,Table1[[HomeTeam]:[HomeTeam]],$A23, Table1[[AwayTeam]:[AwayTeam]], AF$1, Table1[[ActualResult]:[ActualResult]], "SO"),0))</f>
        <v>0-0-0</v>
      </c>
      <c r="AG23" s="57" t="str">
        <f>_xlfn.CONCAT(TEXT(SUMIFS(Table1[[AwayWon]:[AwayWon]], Table1[[GameIsOver]:[GameIsOver]],1,Table1[[AwayTeam]:[AwayTeam]],$A23, Table1[[HomeTeam]:[HomeTeam]], AG$1) + SUMIFS(Table1[[HomeWon]:[HomeWon]], Table1[[GameIsOver]:[GameIsOver]],1,Table1[[HomeTeam]:[HomeTeam]],$A23, Table1[[AwayTeam]:[AwayTeam]], AG$1),0), "-", TEXT(SUMIFS(Table1[[HomeWon]:[HomeWon]], Table1[[GameIsOver]:[GameIsOver]],1,Table1[[AwayTeam]:[AwayTeam]],$A23, Table1[[HomeTeam]:[HomeTeam]], AG$1, Table1[[ActualResult]:[ActualResult]], "REG") + SUMIFS(Table1[[AwayWon]:[AwayWon]], Table1[[GameIsOver]:[GameIsOver]],1,Table1[[HomeTeam]:[HomeTeam]],$A23, Table1[[AwayTeam]:[AwayTeam]], AG$1, Table1[[ActualResult]:[ActualResult]], "REG"),0), "-", TEXT(SUMIFS(Table1[[HomeWon]:[HomeWon]], Table1[[GameIsOver]:[GameIsOver]],1,Table1[[AwayTeam]:[AwayTeam]],$A23, Table1[[HomeTeam]:[HomeTeam]], AG$1, Table1[[ActualResult]:[ActualResult]], "OT") + SUMIFS(Table1[[AwayWon]:[AwayWon]], Table1[[GameIsOver]:[GameIsOver]],1,Table1[[HomeTeam]:[HomeTeam]],$A23, Table1[[AwayTeam]:[AwayTeam]], AG$1, Table1[[ActualResult]:[ActualResult]], "OT") + SUMIFS(Table1[[HomeWon]:[HomeWon]], Table1[[GameIsOver]:[GameIsOver]],1,Table1[[AwayTeam]:[AwayTeam]],$A23, Table1[[HomeTeam]:[HomeTeam]], AG$1, Table1[[ActualResult]:[ActualResult]], "SO") + SUMIFS(Table1[[AwayWon]:[AwayWon]], Table1[[GameIsOver]:[GameIsOver]],1,Table1[[HomeTeam]:[HomeTeam]],$A23, Table1[[AwayTeam]:[AwayTeam]], AG$1, Table1[[ActualResult]:[ActualResult]], "SO"),0))</f>
        <v>0-0-0</v>
      </c>
    </row>
    <row r="24" spans="1:33" x14ac:dyDescent="0.25">
      <c r="A24" s="28" t="s">
        <v>54</v>
      </c>
      <c r="B24" s="57" t="str">
        <f>_xlfn.CONCAT(TEXT(SUMIFS(Table1[[AwayWon]:[AwayWon]], Table1[[GameIsOver]:[GameIsOver]],1,Table1[[AwayTeam]:[AwayTeam]],$A24, Table1[[HomeTeam]:[HomeTeam]], B$1) + SUMIFS(Table1[[HomeWon]:[HomeWon]], Table1[[GameIsOver]:[GameIsOver]],1,Table1[[HomeTeam]:[HomeTeam]],$A24, Table1[[AwayTeam]:[AwayTeam]], B$1),0), "-", TEXT(SUMIFS(Table1[[HomeWon]:[HomeWon]], Table1[[GameIsOver]:[GameIsOver]],1,Table1[[AwayTeam]:[AwayTeam]],$A24, Table1[[HomeTeam]:[HomeTeam]], B$1, Table1[[ActualResult]:[ActualResult]], "REG") + SUMIFS(Table1[[AwayWon]:[AwayWon]], Table1[[GameIsOver]:[GameIsOver]],1,Table1[[HomeTeam]:[HomeTeam]],$A24, Table1[[AwayTeam]:[AwayTeam]], B$1, Table1[[ActualResult]:[ActualResult]], "REG"),0), "-", TEXT(SUMIFS(Table1[[HomeWon]:[HomeWon]], Table1[[GameIsOver]:[GameIsOver]],1,Table1[[AwayTeam]:[AwayTeam]],$A24, Table1[[HomeTeam]:[HomeTeam]], B$1, Table1[[ActualResult]:[ActualResult]], "OT") + SUMIFS(Table1[[AwayWon]:[AwayWon]], Table1[[GameIsOver]:[GameIsOver]],1,Table1[[HomeTeam]:[HomeTeam]],$A24, Table1[[AwayTeam]:[AwayTeam]], B$1, Table1[[ActualResult]:[ActualResult]], "OT") + SUMIFS(Table1[[HomeWon]:[HomeWon]], Table1[[GameIsOver]:[GameIsOver]],1,Table1[[AwayTeam]:[AwayTeam]],$A24, Table1[[HomeTeam]:[HomeTeam]], B$1, Table1[[ActualResult]:[ActualResult]], "SO") + SUMIFS(Table1[[AwayWon]:[AwayWon]], Table1[[GameIsOver]:[GameIsOver]],1,Table1[[HomeTeam]:[HomeTeam]],$A24, Table1[[AwayTeam]:[AwayTeam]], B$1, Table1[[ActualResult]:[ActualResult]], "SO"),0))</f>
        <v>0-0-0</v>
      </c>
      <c r="C24" s="57" t="str">
        <f>_xlfn.CONCAT(TEXT(SUMIFS(Table1[[AwayWon]:[AwayWon]], Table1[[GameIsOver]:[GameIsOver]],1,Table1[[AwayTeam]:[AwayTeam]],$A24, Table1[[HomeTeam]:[HomeTeam]], C$1) + SUMIFS(Table1[[HomeWon]:[HomeWon]], Table1[[GameIsOver]:[GameIsOver]],1,Table1[[HomeTeam]:[HomeTeam]],$A24, Table1[[AwayTeam]:[AwayTeam]], C$1),0), "-", TEXT(SUMIFS(Table1[[HomeWon]:[HomeWon]], Table1[[GameIsOver]:[GameIsOver]],1,Table1[[AwayTeam]:[AwayTeam]],$A24, Table1[[HomeTeam]:[HomeTeam]], C$1, Table1[[ActualResult]:[ActualResult]], "REG") + SUMIFS(Table1[[AwayWon]:[AwayWon]], Table1[[GameIsOver]:[GameIsOver]],1,Table1[[HomeTeam]:[HomeTeam]],$A24, Table1[[AwayTeam]:[AwayTeam]], C$1, Table1[[ActualResult]:[ActualResult]], "REG"),0), "-", TEXT(SUMIFS(Table1[[HomeWon]:[HomeWon]], Table1[[GameIsOver]:[GameIsOver]],1,Table1[[AwayTeam]:[AwayTeam]],$A24, Table1[[HomeTeam]:[HomeTeam]], C$1, Table1[[ActualResult]:[ActualResult]], "OT") + SUMIFS(Table1[[AwayWon]:[AwayWon]], Table1[[GameIsOver]:[GameIsOver]],1,Table1[[HomeTeam]:[HomeTeam]],$A24, Table1[[AwayTeam]:[AwayTeam]], C$1, Table1[[ActualResult]:[ActualResult]], "OT") + SUMIFS(Table1[[HomeWon]:[HomeWon]], Table1[[GameIsOver]:[GameIsOver]],1,Table1[[AwayTeam]:[AwayTeam]],$A24, Table1[[HomeTeam]:[HomeTeam]], C$1, Table1[[ActualResult]:[ActualResult]], "SO") + SUMIFS(Table1[[AwayWon]:[AwayWon]], Table1[[GameIsOver]:[GameIsOver]],1,Table1[[HomeTeam]:[HomeTeam]],$A24, Table1[[AwayTeam]:[AwayTeam]], C$1, Table1[[ActualResult]:[ActualResult]], "SO"),0))</f>
        <v>0-0-0</v>
      </c>
      <c r="D24" s="57" t="str">
        <f>_xlfn.CONCAT(TEXT(SUMIFS(Table1[[AwayWon]:[AwayWon]], Table1[[GameIsOver]:[GameIsOver]],1,Table1[[AwayTeam]:[AwayTeam]],$A24, Table1[[HomeTeam]:[HomeTeam]], D$1) + SUMIFS(Table1[[HomeWon]:[HomeWon]], Table1[[GameIsOver]:[GameIsOver]],1,Table1[[HomeTeam]:[HomeTeam]],$A24, Table1[[AwayTeam]:[AwayTeam]], D$1),0), "-", TEXT(SUMIFS(Table1[[HomeWon]:[HomeWon]], Table1[[GameIsOver]:[GameIsOver]],1,Table1[[AwayTeam]:[AwayTeam]],$A24, Table1[[HomeTeam]:[HomeTeam]], D$1, Table1[[ActualResult]:[ActualResult]], "REG") + SUMIFS(Table1[[AwayWon]:[AwayWon]], Table1[[GameIsOver]:[GameIsOver]],1,Table1[[HomeTeam]:[HomeTeam]],$A24, Table1[[AwayTeam]:[AwayTeam]], D$1, Table1[[ActualResult]:[ActualResult]], "REG"),0), "-", TEXT(SUMIFS(Table1[[HomeWon]:[HomeWon]], Table1[[GameIsOver]:[GameIsOver]],1,Table1[[AwayTeam]:[AwayTeam]],$A24, Table1[[HomeTeam]:[HomeTeam]], D$1, Table1[[ActualResult]:[ActualResult]], "OT") + SUMIFS(Table1[[AwayWon]:[AwayWon]], Table1[[GameIsOver]:[GameIsOver]],1,Table1[[HomeTeam]:[HomeTeam]],$A24, Table1[[AwayTeam]:[AwayTeam]], D$1, Table1[[ActualResult]:[ActualResult]], "OT") + SUMIFS(Table1[[HomeWon]:[HomeWon]], Table1[[GameIsOver]:[GameIsOver]],1,Table1[[AwayTeam]:[AwayTeam]],$A24, Table1[[HomeTeam]:[HomeTeam]], D$1, Table1[[ActualResult]:[ActualResult]], "SO") + SUMIFS(Table1[[AwayWon]:[AwayWon]], Table1[[GameIsOver]:[GameIsOver]],1,Table1[[HomeTeam]:[HomeTeam]],$A24, Table1[[AwayTeam]:[AwayTeam]], D$1, Table1[[ActualResult]:[ActualResult]], "SO"),0))</f>
        <v>0-0-0</v>
      </c>
      <c r="E24" s="57" t="str">
        <f>_xlfn.CONCAT(TEXT(SUMIFS(Table1[[AwayWon]:[AwayWon]], Table1[[GameIsOver]:[GameIsOver]],1,Table1[[AwayTeam]:[AwayTeam]],$A24, Table1[[HomeTeam]:[HomeTeam]], E$1) + SUMIFS(Table1[[HomeWon]:[HomeWon]], Table1[[GameIsOver]:[GameIsOver]],1,Table1[[HomeTeam]:[HomeTeam]],$A24, Table1[[AwayTeam]:[AwayTeam]], E$1),0), "-", TEXT(SUMIFS(Table1[[HomeWon]:[HomeWon]], Table1[[GameIsOver]:[GameIsOver]],1,Table1[[AwayTeam]:[AwayTeam]],$A24, Table1[[HomeTeam]:[HomeTeam]], E$1, Table1[[ActualResult]:[ActualResult]], "REG") + SUMIFS(Table1[[AwayWon]:[AwayWon]], Table1[[GameIsOver]:[GameIsOver]],1,Table1[[HomeTeam]:[HomeTeam]],$A24, Table1[[AwayTeam]:[AwayTeam]], E$1, Table1[[ActualResult]:[ActualResult]], "REG"),0), "-", TEXT(SUMIFS(Table1[[HomeWon]:[HomeWon]], Table1[[GameIsOver]:[GameIsOver]],1,Table1[[AwayTeam]:[AwayTeam]],$A24, Table1[[HomeTeam]:[HomeTeam]], E$1, Table1[[ActualResult]:[ActualResult]], "OT") + SUMIFS(Table1[[AwayWon]:[AwayWon]], Table1[[GameIsOver]:[GameIsOver]],1,Table1[[HomeTeam]:[HomeTeam]],$A24, Table1[[AwayTeam]:[AwayTeam]], E$1, Table1[[ActualResult]:[ActualResult]], "OT") + SUMIFS(Table1[[HomeWon]:[HomeWon]], Table1[[GameIsOver]:[GameIsOver]],1,Table1[[AwayTeam]:[AwayTeam]],$A24, Table1[[HomeTeam]:[HomeTeam]], E$1, Table1[[ActualResult]:[ActualResult]], "SO") + SUMIFS(Table1[[AwayWon]:[AwayWon]], Table1[[GameIsOver]:[GameIsOver]],1,Table1[[HomeTeam]:[HomeTeam]],$A24, Table1[[AwayTeam]:[AwayTeam]], E$1, Table1[[ActualResult]:[ActualResult]], "SO"),0))</f>
        <v>0-0-0</v>
      </c>
      <c r="F24" s="57" t="str">
        <f>_xlfn.CONCAT(TEXT(SUMIFS(Table1[[AwayWon]:[AwayWon]], Table1[[GameIsOver]:[GameIsOver]],1,Table1[[AwayTeam]:[AwayTeam]],$A24, Table1[[HomeTeam]:[HomeTeam]], F$1) + SUMIFS(Table1[[HomeWon]:[HomeWon]], Table1[[GameIsOver]:[GameIsOver]],1,Table1[[HomeTeam]:[HomeTeam]],$A24, Table1[[AwayTeam]:[AwayTeam]], F$1),0), "-", TEXT(SUMIFS(Table1[[HomeWon]:[HomeWon]], Table1[[GameIsOver]:[GameIsOver]],1,Table1[[AwayTeam]:[AwayTeam]],$A24, Table1[[HomeTeam]:[HomeTeam]], F$1, Table1[[ActualResult]:[ActualResult]], "REG") + SUMIFS(Table1[[AwayWon]:[AwayWon]], Table1[[GameIsOver]:[GameIsOver]],1,Table1[[HomeTeam]:[HomeTeam]],$A24, Table1[[AwayTeam]:[AwayTeam]], F$1, Table1[[ActualResult]:[ActualResult]], "REG"),0), "-", TEXT(SUMIFS(Table1[[HomeWon]:[HomeWon]], Table1[[GameIsOver]:[GameIsOver]],1,Table1[[AwayTeam]:[AwayTeam]],$A24, Table1[[HomeTeam]:[HomeTeam]], F$1, Table1[[ActualResult]:[ActualResult]], "OT") + SUMIFS(Table1[[AwayWon]:[AwayWon]], Table1[[GameIsOver]:[GameIsOver]],1,Table1[[HomeTeam]:[HomeTeam]],$A24, Table1[[AwayTeam]:[AwayTeam]], F$1, Table1[[ActualResult]:[ActualResult]], "OT") + SUMIFS(Table1[[HomeWon]:[HomeWon]], Table1[[GameIsOver]:[GameIsOver]],1,Table1[[AwayTeam]:[AwayTeam]],$A24, Table1[[HomeTeam]:[HomeTeam]], F$1, Table1[[ActualResult]:[ActualResult]], "SO") + SUMIFS(Table1[[AwayWon]:[AwayWon]], Table1[[GameIsOver]:[GameIsOver]],1,Table1[[HomeTeam]:[HomeTeam]],$A24, Table1[[AwayTeam]:[AwayTeam]], F$1, Table1[[ActualResult]:[ActualResult]], "SO"),0))</f>
        <v>0-0-0</v>
      </c>
      <c r="G24" s="57" t="str">
        <f>_xlfn.CONCAT(TEXT(SUMIFS(Table1[[AwayWon]:[AwayWon]], Table1[[GameIsOver]:[GameIsOver]],1,Table1[[AwayTeam]:[AwayTeam]],$A24, Table1[[HomeTeam]:[HomeTeam]], G$1) + SUMIFS(Table1[[HomeWon]:[HomeWon]], Table1[[GameIsOver]:[GameIsOver]],1,Table1[[HomeTeam]:[HomeTeam]],$A24, Table1[[AwayTeam]:[AwayTeam]], G$1),0), "-", TEXT(SUMIFS(Table1[[HomeWon]:[HomeWon]], Table1[[GameIsOver]:[GameIsOver]],1,Table1[[AwayTeam]:[AwayTeam]],$A24, Table1[[HomeTeam]:[HomeTeam]], G$1, Table1[[ActualResult]:[ActualResult]], "REG") + SUMIFS(Table1[[AwayWon]:[AwayWon]], Table1[[GameIsOver]:[GameIsOver]],1,Table1[[HomeTeam]:[HomeTeam]],$A24, Table1[[AwayTeam]:[AwayTeam]], G$1, Table1[[ActualResult]:[ActualResult]], "REG"),0), "-", TEXT(SUMIFS(Table1[[HomeWon]:[HomeWon]], Table1[[GameIsOver]:[GameIsOver]],1,Table1[[AwayTeam]:[AwayTeam]],$A24, Table1[[HomeTeam]:[HomeTeam]], G$1, Table1[[ActualResult]:[ActualResult]], "OT") + SUMIFS(Table1[[AwayWon]:[AwayWon]], Table1[[GameIsOver]:[GameIsOver]],1,Table1[[HomeTeam]:[HomeTeam]],$A24, Table1[[AwayTeam]:[AwayTeam]], G$1, Table1[[ActualResult]:[ActualResult]], "OT") + SUMIFS(Table1[[HomeWon]:[HomeWon]], Table1[[GameIsOver]:[GameIsOver]],1,Table1[[AwayTeam]:[AwayTeam]],$A24, Table1[[HomeTeam]:[HomeTeam]], G$1, Table1[[ActualResult]:[ActualResult]], "SO") + SUMIFS(Table1[[AwayWon]:[AwayWon]], Table1[[GameIsOver]:[GameIsOver]],1,Table1[[HomeTeam]:[HomeTeam]],$A24, Table1[[AwayTeam]:[AwayTeam]], G$1, Table1[[ActualResult]:[ActualResult]], "SO"),0))</f>
        <v>0-0-0</v>
      </c>
      <c r="H24" s="57" t="str">
        <f>_xlfn.CONCAT(TEXT(SUMIFS(Table1[[AwayWon]:[AwayWon]], Table1[[GameIsOver]:[GameIsOver]],1,Table1[[AwayTeam]:[AwayTeam]],$A24, Table1[[HomeTeam]:[HomeTeam]], H$1) + SUMIFS(Table1[[HomeWon]:[HomeWon]], Table1[[GameIsOver]:[GameIsOver]],1,Table1[[HomeTeam]:[HomeTeam]],$A24, Table1[[AwayTeam]:[AwayTeam]], H$1),0), "-", TEXT(SUMIFS(Table1[[HomeWon]:[HomeWon]], Table1[[GameIsOver]:[GameIsOver]],1,Table1[[AwayTeam]:[AwayTeam]],$A24, Table1[[HomeTeam]:[HomeTeam]], H$1, Table1[[ActualResult]:[ActualResult]], "REG") + SUMIFS(Table1[[AwayWon]:[AwayWon]], Table1[[GameIsOver]:[GameIsOver]],1,Table1[[HomeTeam]:[HomeTeam]],$A24, Table1[[AwayTeam]:[AwayTeam]], H$1, Table1[[ActualResult]:[ActualResult]], "REG"),0), "-", TEXT(SUMIFS(Table1[[HomeWon]:[HomeWon]], Table1[[GameIsOver]:[GameIsOver]],1,Table1[[AwayTeam]:[AwayTeam]],$A24, Table1[[HomeTeam]:[HomeTeam]], H$1, Table1[[ActualResult]:[ActualResult]], "OT") + SUMIFS(Table1[[AwayWon]:[AwayWon]], Table1[[GameIsOver]:[GameIsOver]],1,Table1[[HomeTeam]:[HomeTeam]],$A24, Table1[[AwayTeam]:[AwayTeam]], H$1, Table1[[ActualResult]:[ActualResult]], "OT") + SUMIFS(Table1[[HomeWon]:[HomeWon]], Table1[[GameIsOver]:[GameIsOver]],1,Table1[[AwayTeam]:[AwayTeam]],$A24, Table1[[HomeTeam]:[HomeTeam]], H$1, Table1[[ActualResult]:[ActualResult]], "SO") + SUMIFS(Table1[[AwayWon]:[AwayWon]], Table1[[GameIsOver]:[GameIsOver]],1,Table1[[HomeTeam]:[HomeTeam]],$A24, Table1[[AwayTeam]:[AwayTeam]], H$1, Table1[[ActualResult]:[ActualResult]], "SO"),0))</f>
        <v>0-0-0</v>
      </c>
      <c r="I24" s="59" t="str">
        <f>_xlfn.CONCAT(TEXT(SUMIFS(Table1[[AwayWon]:[AwayWon]], Table1[[GameIsOver]:[GameIsOver]],1,Table1[[AwayTeam]:[AwayTeam]],$A24, Table1[[HomeTeam]:[HomeTeam]], I$1) + SUMIFS(Table1[[HomeWon]:[HomeWon]], Table1[[GameIsOver]:[GameIsOver]],1,Table1[[HomeTeam]:[HomeTeam]],$A24, Table1[[AwayTeam]:[AwayTeam]], I$1),0), "-", TEXT(SUMIFS(Table1[[HomeWon]:[HomeWon]], Table1[[GameIsOver]:[GameIsOver]],1,Table1[[AwayTeam]:[AwayTeam]],$A24, Table1[[HomeTeam]:[HomeTeam]], I$1, Table1[[ActualResult]:[ActualResult]], "REG") + SUMIFS(Table1[[AwayWon]:[AwayWon]], Table1[[GameIsOver]:[GameIsOver]],1,Table1[[HomeTeam]:[HomeTeam]],$A24, Table1[[AwayTeam]:[AwayTeam]], I$1, Table1[[ActualResult]:[ActualResult]], "REG"),0), "-", TEXT(SUMIFS(Table1[[HomeWon]:[HomeWon]], Table1[[GameIsOver]:[GameIsOver]],1,Table1[[AwayTeam]:[AwayTeam]],$A24, Table1[[HomeTeam]:[HomeTeam]], I$1, Table1[[ActualResult]:[ActualResult]], "OT") + SUMIFS(Table1[[AwayWon]:[AwayWon]], Table1[[GameIsOver]:[GameIsOver]],1,Table1[[HomeTeam]:[HomeTeam]],$A24, Table1[[AwayTeam]:[AwayTeam]], I$1, Table1[[ActualResult]:[ActualResult]], "OT") + SUMIFS(Table1[[HomeWon]:[HomeWon]], Table1[[GameIsOver]:[GameIsOver]],1,Table1[[AwayTeam]:[AwayTeam]],$A24, Table1[[HomeTeam]:[HomeTeam]], I$1, Table1[[ActualResult]:[ActualResult]], "SO") + SUMIFS(Table1[[AwayWon]:[AwayWon]], Table1[[GameIsOver]:[GameIsOver]],1,Table1[[HomeTeam]:[HomeTeam]],$A24, Table1[[AwayTeam]:[AwayTeam]], I$1, Table1[[ActualResult]:[ActualResult]], "SO"),0))</f>
        <v>0-0-0</v>
      </c>
      <c r="J24" s="57" t="str">
        <f>_xlfn.CONCAT(TEXT(SUMIFS(Table1[[AwayWon]:[AwayWon]], Table1[[GameIsOver]:[GameIsOver]],1,Table1[[AwayTeam]:[AwayTeam]],$A24, Table1[[HomeTeam]:[HomeTeam]], J$1) + SUMIFS(Table1[[HomeWon]:[HomeWon]], Table1[[GameIsOver]:[GameIsOver]],1,Table1[[HomeTeam]:[HomeTeam]],$A24, Table1[[AwayTeam]:[AwayTeam]], J$1),0), "-", TEXT(SUMIFS(Table1[[HomeWon]:[HomeWon]], Table1[[GameIsOver]:[GameIsOver]],1,Table1[[AwayTeam]:[AwayTeam]],$A24, Table1[[HomeTeam]:[HomeTeam]], J$1, Table1[[ActualResult]:[ActualResult]], "REG") + SUMIFS(Table1[[AwayWon]:[AwayWon]], Table1[[GameIsOver]:[GameIsOver]],1,Table1[[HomeTeam]:[HomeTeam]],$A24, Table1[[AwayTeam]:[AwayTeam]], J$1, Table1[[ActualResult]:[ActualResult]], "REG"),0), "-", TEXT(SUMIFS(Table1[[HomeWon]:[HomeWon]], Table1[[GameIsOver]:[GameIsOver]],1,Table1[[AwayTeam]:[AwayTeam]],$A24, Table1[[HomeTeam]:[HomeTeam]], J$1, Table1[[ActualResult]:[ActualResult]], "OT") + SUMIFS(Table1[[AwayWon]:[AwayWon]], Table1[[GameIsOver]:[GameIsOver]],1,Table1[[HomeTeam]:[HomeTeam]],$A24, Table1[[AwayTeam]:[AwayTeam]], J$1, Table1[[ActualResult]:[ActualResult]], "OT") + SUMIFS(Table1[[HomeWon]:[HomeWon]], Table1[[GameIsOver]:[GameIsOver]],1,Table1[[AwayTeam]:[AwayTeam]],$A24, Table1[[HomeTeam]:[HomeTeam]], J$1, Table1[[ActualResult]:[ActualResult]], "SO") + SUMIFS(Table1[[AwayWon]:[AwayWon]], Table1[[GameIsOver]:[GameIsOver]],1,Table1[[HomeTeam]:[HomeTeam]],$A24, Table1[[AwayTeam]:[AwayTeam]], J$1, Table1[[ActualResult]:[ActualResult]], "SO"),0))</f>
        <v>0-0-0</v>
      </c>
      <c r="K24" s="57" t="str">
        <f>_xlfn.CONCAT(TEXT(SUMIFS(Table1[[AwayWon]:[AwayWon]], Table1[[GameIsOver]:[GameIsOver]],1,Table1[[AwayTeam]:[AwayTeam]],$A24, Table1[[HomeTeam]:[HomeTeam]], K$1) + SUMIFS(Table1[[HomeWon]:[HomeWon]], Table1[[GameIsOver]:[GameIsOver]],1,Table1[[HomeTeam]:[HomeTeam]],$A24, Table1[[AwayTeam]:[AwayTeam]], K$1),0), "-", TEXT(SUMIFS(Table1[[HomeWon]:[HomeWon]], Table1[[GameIsOver]:[GameIsOver]],1,Table1[[AwayTeam]:[AwayTeam]],$A24, Table1[[HomeTeam]:[HomeTeam]], K$1, Table1[[ActualResult]:[ActualResult]], "REG") + SUMIFS(Table1[[AwayWon]:[AwayWon]], Table1[[GameIsOver]:[GameIsOver]],1,Table1[[HomeTeam]:[HomeTeam]],$A24, Table1[[AwayTeam]:[AwayTeam]], K$1, Table1[[ActualResult]:[ActualResult]], "REG"),0), "-", TEXT(SUMIFS(Table1[[HomeWon]:[HomeWon]], Table1[[GameIsOver]:[GameIsOver]],1,Table1[[AwayTeam]:[AwayTeam]],$A24, Table1[[HomeTeam]:[HomeTeam]], K$1, Table1[[ActualResult]:[ActualResult]], "OT") + SUMIFS(Table1[[AwayWon]:[AwayWon]], Table1[[GameIsOver]:[GameIsOver]],1,Table1[[HomeTeam]:[HomeTeam]],$A24, Table1[[AwayTeam]:[AwayTeam]], K$1, Table1[[ActualResult]:[ActualResult]], "OT") + SUMIFS(Table1[[HomeWon]:[HomeWon]], Table1[[GameIsOver]:[GameIsOver]],1,Table1[[AwayTeam]:[AwayTeam]],$A24, Table1[[HomeTeam]:[HomeTeam]], K$1, Table1[[ActualResult]:[ActualResult]], "SO") + SUMIFS(Table1[[AwayWon]:[AwayWon]], Table1[[GameIsOver]:[GameIsOver]],1,Table1[[HomeTeam]:[HomeTeam]],$A24, Table1[[AwayTeam]:[AwayTeam]], K$1, Table1[[ActualResult]:[ActualResult]], "SO"),0))</f>
        <v>0-0-0</v>
      </c>
      <c r="L24" s="57" t="str">
        <f>_xlfn.CONCAT(TEXT(SUMIFS(Table1[[AwayWon]:[AwayWon]], Table1[[GameIsOver]:[GameIsOver]],1,Table1[[AwayTeam]:[AwayTeam]],$A24, Table1[[HomeTeam]:[HomeTeam]], L$1) + SUMIFS(Table1[[HomeWon]:[HomeWon]], Table1[[GameIsOver]:[GameIsOver]],1,Table1[[HomeTeam]:[HomeTeam]],$A24, Table1[[AwayTeam]:[AwayTeam]], L$1),0), "-", TEXT(SUMIFS(Table1[[HomeWon]:[HomeWon]], Table1[[GameIsOver]:[GameIsOver]],1,Table1[[AwayTeam]:[AwayTeam]],$A24, Table1[[HomeTeam]:[HomeTeam]], L$1, Table1[[ActualResult]:[ActualResult]], "REG") + SUMIFS(Table1[[AwayWon]:[AwayWon]], Table1[[GameIsOver]:[GameIsOver]],1,Table1[[HomeTeam]:[HomeTeam]],$A24, Table1[[AwayTeam]:[AwayTeam]], L$1, Table1[[ActualResult]:[ActualResult]], "REG"),0), "-", TEXT(SUMIFS(Table1[[HomeWon]:[HomeWon]], Table1[[GameIsOver]:[GameIsOver]],1,Table1[[AwayTeam]:[AwayTeam]],$A24, Table1[[HomeTeam]:[HomeTeam]], L$1, Table1[[ActualResult]:[ActualResult]], "OT") + SUMIFS(Table1[[AwayWon]:[AwayWon]], Table1[[GameIsOver]:[GameIsOver]],1,Table1[[HomeTeam]:[HomeTeam]],$A24, Table1[[AwayTeam]:[AwayTeam]], L$1, Table1[[ActualResult]:[ActualResult]], "OT") + SUMIFS(Table1[[HomeWon]:[HomeWon]], Table1[[GameIsOver]:[GameIsOver]],1,Table1[[AwayTeam]:[AwayTeam]],$A24, Table1[[HomeTeam]:[HomeTeam]], L$1, Table1[[ActualResult]:[ActualResult]], "SO") + SUMIFS(Table1[[AwayWon]:[AwayWon]], Table1[[GameIsOver]:[GameIsOver]],1,Table1[[HomeTeam]:[HomeTeam]],$A24, Table1[[AwayTeam]:[AwayTeam]], L$1, Table1[[ActualResult]:[ActualResult]], "SO"),0))</f>
        <v>0-0-0</v>
      </c>
      <c r="M24" s="57" t="str">
        <f>_xlfn.CONCAT(TEXT(SUMIFS(Table1[[AwayWon]:[AwayWon]], Table1[[GameIsOver]:[GameIsOver]],1,Table1[[AwayTeam]:[AwayTeam]],$A24, Table1[[HomeTeam]:[HomeTeam]], M$1) + SUMIFS(Table1[[HomeWon]:[HomeWon]], Table1[[GameIsOver]:[GameIsOver]],1,Table1[[HomeTeam]:[HomeTeam]],$A24, Table1[[AwayTeam]:[AwayTeam]], M$1),0), "-", TEXT(SUMIFS(Table1[[HomeWon]:[HomeWon]], Table1[[GameIsOver]:[GameIsOver]],1,Table1[[AwayTeam]:[AwayTeam]],$A24, Table1[[HomeTeam]:[HomeTeam]], M$1, Table1[[ActualResult]:[ActualResult]], "REG") + SUMIFS(Table1[[AwayWon]:[AwayWon]], Table1[[GameIsOver]:[GameIsOver]],1,Table1[[HomeTeam]:[HomeTeam]],$A24, Table1[[AwayTeam]:[AwayTeam]], M$1, Table1[[ActualResult]:[ActualResult]], "REG"),0), "-", TEXT(SUMIFS(Table1[[HomeWon]:[HomeWon]], Table1[[GameIsOver]:[GameIsOver]],1,Table1[[AwayTeam]:[AwayTeam]],$A24, Table1[[HomeTeam]:[HomeTeam]], M$1, Table1[[ActualResult]:[ActualResult]], "OT") + SUMIFS(Table1[[AwayWon]:[AwayWon]], Table1[[GameIsOver]:[GameIsOver]],1,Table1[[HomeTeam]:[HomeTeam]],$A24, Table1[[AwayTeam]:[AwayTeam]], M$1, Table1[[ActualResult]:[ActualResult]], "OT") + SUMIFS(Table1[[HomeWon]:[HomeWon]], Table1[[GameIsOver]:[GameIsOver]],1,Table1[[AwayTeam]:[AwayTeam]],$A24, Table1[[HomeTeam]:[HomeTeam]], M$1, Table1[[ActualResult]:[ActualResult]], "SO") + SUMIFS(Table1[[AwayWon]:[AwayWon]], Table1[[GameIsOver]:[GameIsOver]],1,Table1[[HomeTeam]:[HomeTeam]],$A24, Table1[[AwayTeam]:[AwayTeam]], M$1, Table1[[ActualResult]:[ActualResult]], "SO"),0))</f>
        <v>0-0-0</v>
      </c>
      <c r="N24" s="57" t="str">
        <f>_xlfn.CONCAT(TEXT(SUMIFS(Table1[[AwayWon]:[AwayWon]], Table1[[GameIsOver]:[GameIsOver]],1,Table1[[AwayTeam]:[AwayTeam]],$A24, Table1[[HomeTeam]:[HomeTeam]], N$1) + SUMIFS(Table1[[HomeWon]:[HomeWon]], Table1[[GameIsOver]:[GameIsOver]],1,Table1[[HomeTeam]:[HomeTeam]],$A24, Table1[[AwayTeam]:[AwayTeam]], N$1),0), "-", TEXT(SUMIFS(Table1[[HomeWon]:[HomeWon]], Table1[[GameIsOver]:[GameIsOver]],1,Table1[[AwayTeam]:[AwayTeam]],$A24, Table1[[HomeTeam]:[HomeTeam]], N$1, Table1[[ActualResult]:[ActualResult]], "REG") + SUMIFS(Table1[[AwayWon]:[AwayWon]], Table1[[GameIsOver]:[GameIsOver]],1,Table1[[HomeTeam]:[HomeTeam]],$A24, Table1[[AwayTeam]:[AwayTeam]], N$1, Table1[[ActualResult]:[ActualResult]], "REG"),0), "-", TEXT(SUMIFS(Table1[[HomeWon]:[HomeWon]], Table1[[GameIsOver]:[GameIsOver]],1,Table1[[AwayTeam]:[AwayTeam]],$A24, Table1[[HomeTeam]:[HomeTeam]], N$1, Table1[[ActualResult]:[ActualResult]], "OT") + SUMIFS(Table1[[AwayWon]:[AwayWon]], Table1[[GameIsOver]:[GameIsOver]],1,Table1[[HomeTeam]:[HomeTeam]],$A24, Table1[[AwayTeam]:[AwayTeam]], N$1, Table1[[ActualResult]:[ActualResult]], "OT") + SUMIFS(Table1[[HomeWon]:[HomeWon]], Table1[[GameIsOver]:[GameIsOver]],1,Table1[[AwayTeam]:[AwayTeam]],$A24, Table1[[HomeTeam]:[HomeTeam]], N$1, Table1[[ActualResult]:[ActualResult]], "SO") + SUMIFS(Table1[[AwayWon]:[AwayWon]], Table1[[GameIsOver]:[GameIsOver]],1,Table1[[HomeTeam]:[HomeTeam]],$A24, Table1[[AwayTeam]:[AwayTeam]], N$1, Table1[[ActualResult]:[ActualResult]], "SO"),0))</f>
        <v>0-0-0</v>
      </c>
      <c r="O24" s="57" t="str">
        <f>_xlfn.CONCAT(TEXT(SUMIFS(Table1[[AwayWon]:[AwayWon]], Table1[[GameIsOver]:[GameIsOver]],1,Table1[[AwayTeam]:[AwayTeam]],$A24, Table1[[HomeTeam]:[HomeTeam]], O$1) + SUMIFS(Table1[[HomeWon]:[HomeWon]], Table1[[GameIsOver]:[GameIsOver]],1,Table1[[HomeTeam]:[HomeTeam]],$A24, Table1[[AwayTeam]:[AwayTeam]], O$1),0), "-", TEXT(SUMIFS(Table1[[HomeWon]:[HomeWon]], Table1[[GameIsOver]:[GameIsOver]],1,Table1[[AwayTeam]:[AwayTeam]],$A24, Table1[[HomeTeam]:[HomeTeam]], O$1, Table1[[ActualResult]:[ActualResult]], "REG") + SUMIFS(Table1[[AwayWon]:[AwayWon]], Table1[[GameIsOver]:[GameIsOver]],1,Table1[[HomeTeam]:[HomeTeam]],$A24, Table1[[AwayTeam]:[AwayTeam]], O$1, Table1[[ActualResult]:[ActualResult]], "REG"),0), "-", TEXT(SUMIFS(Table1[[HomeWon]:[HomeWon]], Table1[[GameIsOver]:[GameIsOver]],1,Table1[[AwayTeam]:[AwayTeam]],$A24, Table1[[HomeTeam]:[HomeTeam]], O$1, Table1[[ActualResult]:[ActualResult]], "OT") + SUMIFS(Table1[[AwayWon]:[AwayWon]], Table1[[GameIsOver]:[GameIsOver]],1,Table1[[HomeTeam]:[HomeTeam]],$A24, Table1[[AwayTeam]:[AwayTeam]], O$1, Table1[[ActualResult]:[ActualResult]], "OT") + SUMIFS(Table1[[HomeWon]:[HomeWon]], Table1[[GameIsOver]:[GameIsOver]],1,Table1[[AwayTeam]:[AwayTeam]],$A24, Table1[[HomeTeam]:[HomeTeam]], O$1, Table1[[ActualResult]:[ActualResult]], "SO") + SUMIFS(Table1[[AwayWon]:[AwayWon]], Table1[[GameIsOver]:[GameIsOver]],1,Table1[[HomeTeam]:[HomeTeam]],$A24, Table1[[AwayTeam]:[AwayTeam]], O$1, Table1[[ActualResult]:[ActualResult]], "SO"),0))</f>
        <v>0-0-0</v>
      </c>
      <c r="P24" s="57" t="str">
        <f>_xlfn.CONCAT(TEXT(SUMIFS(Table1[[AwayWon]:[AwayWon]], Table1[[GameIsOver]:[GameIsOver]],1,Table1[[AwayTeam]:[AwayTeam]],$A24, Table1[[HomeTeam]:[HomeTeam]], P$1) + SUMIFS(Table1[[HomeWon]:[HomeWon]], Table1[[GameIsOver]:[GameIsOver]],1,Table1[[HomeTeam]:[HomeTeam]],$A24, Table1[[AwayTeam]:[AwayTeam]], P$1),0), "-", TEXT(SUMIFS(Table1[[HomeWon]:[HomeWon]], Table1[[GameIsOver]:[GameIsOver]],1,Table1[[AwayTeam]:[AwayTeam]],$A24, Table1[[HomeTeam]:[HomeTeam]], P$1, Table1[[ActualResult]:[ActualResult]], "REG") + SUMIFS(Table1[[AwayWon]:[AwayWon]], Table1[[GameIsOver]:[GameIsOver]],1,Table1[[HomeTeam]:[HomeTeam]],$A24, Table1[[AwayTeam]:[AwayTeam]], P$1, Table1[[ActualResult]:[ActualResult]], "REG"),0), "-", TEXT(SUMIFS(Table1[[HomeWon]:[HomeWon]], Table1[[GameIsOver]:[GameIsOver]],1,Table1[[AwayTeam]:[AwayTeam]],$A24, Table1[[HomeTeam]:[HomeTeam]], P$1, Table1[[ActualResult]:[ActualResult]], "OT") + SUMIFS(Table1[[AwayWon]:[AwayWon]], Table1[[GameIsOver]:[GameIsOver]],1,Table1[[HomeTeam]:[HomeTeam]],$A24, Table1[[AwayTeam]:[AwayTeam]], P$1, Table1[[ActualResult]:[ActualResult]], "OT") + SUMIFS(Table1[[HomeWon]:[HomeWon]], Table1[[GameIsOver]:[GameIsOver]],1,Table1[[AwayTeam]:[AwayTeam]],$A24, Table1[[HomeTeam]:[HomeTeam]], P$1, Table1[[ActualResult]:[ActualResult]], "SO") + SUMIFS(Table1[[AwayWon]:[AwayWon]], Table1[[GameIsOver]:[GameIsOver]],1,Table1[[HomeTeam]:[HomeTeam]],$A24, Table1[[AwayTeam]:[AwayTeam]], P$1, Table1[[ActualResult]:[ActualResult]], "SO"),0))</f>
        <v>0-0-0</v>
      </c>
      <c r="Q24" s="59" t="str">
        <f>_xlfn.CONCAT(TEXT(SUMIFS(Table1[[AwayWon]:[AwayWon]], Table1[[GameIsOver]:[GameIsOver]],1,Table1[[AwayTeam]:[AwayTeam]],$A24, Table1[[HomeTeam]:[HomeTeam]], Q$1) + SUMIFS(Table1[[HomeWon]:[HomeWon]], Table1[[GameIsOver]:[GameIsOver]],1,Table1[[HomeTeam]:[HomeTeam]],$A24, Table1[[AwayTeam]:[AwayTeam]], Q$1),0), "-", TEXT(SUMIFS(Table1[[HomeWon]:[HomeWon]], Table1[[GameIsOver]:[GameIsOver]],1,Table1[[AwayTeam]:[AwayTeam]],$A24, Table1[[HomeTeam]:[HomeTeam]], Q$1, Table1[[ActualResult]:[ActualResult]], "REG") + SUMIFS(Table1[[AwayWon]:[AwayWon]], Table1[[GameIsOver]:[GameIsOver]],1,Table1[[HomeTeam]:[HomeTeam]],$A24, Table1[[AwayTeam]:[AwayTeam]], Q$1, Table1[[ActualResult]:[ActualResult]], "REG"),0), "-", TEXT(SUMIFS(Table1[[HomeWon]:[HomeWon]], Table1[[GameIsOver]:[GameIsOver]],1,Table1[[AwayTeam]:[AwayTeam]],$A24, Table1[[HomeTeam]:[HomeTeam]], Q$1, Table1[[ActualResult]:[ActualResult]], "OT") + SUMIFS(Table1[[AwayWon]:[AwayWon]], Table1[[GameIsOver]:[GameIsOver]],1,Table1[[HomeTeam]:[HomeTeam]],$A24, Table1[[AwayTeam]:[AwayTeam]], Q$1, Table1[[ActualResult]:[ActualResult]], "OT") + SUMIFS(Table1[[HomeWon]:[HomeWon]], Table1[[GameIsOver]:[GameIsOver]],1,Table1[[AwayTeam]:[AwayTeam]],$A24, Table1[[HomeTeam]:[HomeTeam]], Q$1, Table1[[ActualResult]:[ActualResult]], "SO") + SUMIFS(Table1[[AwayWon]:[AwayWon]], Table1[[GameIsOver]:[GameIsOver]],1,Table1[[HomeTeam]:[HomeTeam]],$A24, Table1[[AwayTeam]:[AwayTeam]], Q$1, Table1[[ActualResult]:[ActualResult]], "SO"),0))</f>
        <v>0-0-0</v>
      </c>
      <c r="R24" s="57" t="str">
        <f>_xlfn.CONCAT(TEXT(SUMIFS(Table1[[AwayWon]:[AwayWon]], Table1[[GameIsOver]:[GameIsOver]],1,Table1[[AwayTeam]:[AwayTeam]],$A24, Table1[[HomeTeam]:[HomeTeam]], R$1) + SUMIFS(Table1[[HomeWon]:[HomeWon]], Table1[[GameIsOver]:[GameIsOver]],1,Table1[[HomeTeam]:[HomeTeam]],$A24, Table1[[AwayTeam]:[AwayTeam]], R$1),0), "-", TEXT(SUMIFS(Table1[[HomeWon]:[HomeWon]], Table1[[GameIsOver]:[GameIsOver]],1,Table1[[AwayTeam]:[AwayTeam]],$A24, Table1[[HomeTeam]:[HomeTeam]], R$1, Table1[[ActualResult]:[ActualResult]], "REG") + SUMIFS(Table1[[AwayWon]:[AwayWon]], Table1[[GameIsOver]:[GameIsOver]],1,Table1[[HomeTeam]:[HomeTeam]],$A24, Table1[[AwayTeam]:[AwayTeam]], R$1, Table1[[ActualResult]:[ActualResult]], "REG"),0), "-", TEXT(SUMIFS(Table1[[HomeWon]:[HomeWon]], Table1[[GameIsOver]:[GameIsOver]],1,Table1[[AwayTeam]:[AwayTeam]],$A24, Table1[[HomeTeam]:[HomeTeam]], R$1, Table1[[ActualResult]:[ActualResult]], "OT") + SUMIFS(Table1[[AwayWon]:[AwayWon]], Table1[[GameIsOver]:[GameIsOver]],1,Table1[[HomeTeam]:[HomeTeam]],$A24, Table1[[AwayTeam]:[AwayTeam]], R$1, Table1[[ActualResult]:[ActualResult]], "OT") + SUMIFS(Table1[[HomeWon]:[HomeWon]], Table1[[GameIsOver]:[GameIsOver]],1,Table1[[AwayTeam]:[AwayTeam]],$A24, Table1[[HomeTeam]:[HomeTeam]], R$1, Table1[[ActualResult]:[ActualResult]], "SO") + SUMIFS(Table1[[AwayWon]:[AwayWon]], Table1[[GameIsOver]:[GameIsOver]],1,Table1[[HomeTeam]:[HomeTeam]],$A24, Table1[[AwayTeam]:[AwayTeam]], R$1, Table1[[ActualResult]:[ActualResult]], "SO"),0))</f>
        <v>0-0-0</v>
      </c>
      <c r="S24" s="57" t="str">
        <f>_xlfn.CONCAT(TEXT(SUMIFS(Table1[[AwayWon]:[AwayWon]], Table1[[GameIsOver]:[GameIsOver]],1,Table1[[AwayTeam]:[AwayTeam]],$A24, Table1[[HomeTeam]:[HomeTeam]], S$1) + SUMIFS(Table1[[HomeWon]:[HomeWon]], Table1[[GameIsOver]:[GameIsOver]],1,Table1[[HomeTeam]:[HomeTeam]],$A24, Table1[[AwayTeam]:[AwayTeam]], S$1),0), "-", TEXT(SUMIFS(Table1[[HomeWon]:[HomeWon]], Table1[[GameIsOver]:[GameIsOver]],1,Table1[[AwayTeam]:[AwayTeam]],$A24, Table1[[HomeTeam]:[HomeTeam]], S$1, Table1[[ActualResult]:[ActualResult]], "REG") + SUMIFS(Table1[[AwayWon]:[AwayWon]], Table1[[GameIsOver]:[GameIsOver]],1,Table1[[HomeTeam]:[HomeTeam]],$A24, Table1[[AwayTeam]:[AwayTeam]], S$1, Table1[[ActualResult]:[ActualResult]], "REG"),0), "-", TEXT(SUMIFS(Table1[[HomeWon]:[HomeWon]], Table1[[GameIsOver]:[GameIsOver]],1,Table1[[AwayTeam]:[AwayTeam]],$A24, Table1[[HomeTeam]:[HomeTeam]], S$1, Table1[[ActualResult]:[ActualResult]], "OT") + SUMIFS(Table1[[AwayWon]:[AwayWon]], Table1[[GameIsOver]:[GameIsOver]],1,Table1[[HomeTeam]:[HomeTeam]],$A24, Table1[[AwayTeam]:[AwayTeam]], S$1, Table1[[ActualResult]:[ActualResult]], "OT") + SUMIFS(Table1[[HomeWon]:[HomeWon]], Table1[[GameIsOver]:[GameIsOver]],1,Table1[[AwayTeam]:[AwayTeam]],$A24, Table1[[HomeTeam]:[HomeTeam]], S$1, Table1[[ActualResult]:[ActualResult]], "SO") + SUMIFS(Table1[[AwayWon]:[AwayWon]], Table1[[GameIsOver]:[GameIsOver]],1,Table1[[HomeTeam]:[HomeTeam]],$A24, Table1[[AwayTeam]:[AwayTeam]], S$1, Table1[[ActualResult]:[ActualResult]], "SO"),0))</f>
        <v>0-0-0</v>
      </c>
      <c r="T24" s="57" t="str">
        <f>_xlfn.CONCAT(TEXT(SUMIFS(Table1[[AwayWon]:[AwayWon]], Table1[[GameIsOver]:[GameIsOver]],1,Table1[[AwayTeam]:[AwayTeam]],$A24, Table1[[HomeTeam]:[HomeTeam]], T$1) + SUMIFS(Table1[[HomeWon]:[HomeWon]], Table1[[GameIsOver]:[GameIsOver]],1,Table1[[HomeTeam]:[HomeTeam]],$A24, Table1[[AwayTeam]:[AwayTeam]], T$1),0), "-", TEXT(SUMIFS(Table1[[HomeWon]:[HomeWon]], Table1[[GameIsOver]:[GameIsOver]],1,Table1[[AwayTeam]:[AwayTeam]],$A24, Table1[[HomeTeam]:[HomeTeam]], T$1, Table1[[ActualResult]:[ActualResult]], "REG") + SUMIFS(Table1[[AwayWon]:[AwayWon]], Table1[[GameIsOver]:[GameIsOver]],1,Table1[[HomeTeam]:[HomeTeam]],$A24, Table1[[AwayTeam]:[AwayTeam]], T$1, Table1[[ActualResult]:[ActualResult]], "REG"),0), "-", TEXT(SUMIFS(Table1[[HomeWon]:[HomeWon]], Table1[[GameIsOver]:[GameIsOver]],1,Table1[[AwayTeam]:[AwayTeam]],$A24, Table1[[HomeTeam]:[HomeTeam]], T$1, Table1[[ActualResult]:[ActualResult]], "OT") + SUMIFS(Table1[[AwayWon]:[AwayWon]], Table1[[GameIsOver]:[GameIsOver]],1,Table1[[HomeTeam]:[HomeTeam]],$A24, Table1[[AwayTeam]:[AwayTeam]], T$1, Table1[[ActualResult]:[ActualResult]], "OT") + SUMIFS(Table1[[HomeWon]:[HomeWon]], Table1[[GameIsOver]:[GameIsOver]],1,Table1[[AwayTeam]:[AwayTeam]],$A24, Table1[[HomeTeam]:[HomeTeam]], T$1, Table1[[ActualResult]:[ActualResult]], "SO") + SUMIFS(Table1[[AwayWon]:[AwayWon]], Table1[[GameIsOver]:[GameIsOver]],1,Table1[[HomeTeam]:[HomeTeam]],$A24, Table1[[AwayTeam]:[AwayTeam]], T$1, Table1[[ActualResult]:[ActualResult]], "SO"),0))</f>
        <v>0-0-0</v>
      </c>
      <c r="U24" s="57" t="str">
        <f>_xlfn.CONCAT(TEXT(SUMIFS(Table1[[AwayWon]:[AwayWon]], Table1[[GameIsOver]:[GameIsOver]],1,Table1[[AwayTeam]:[AwayTeam]],$A24, Table1[[HomeTeam]:[HomeTeam]], U$1) + SUMIFS(Table1[[HomeWon]:[HomeWon]], Table1[[GameIsOver]:[GameIsOver]],1,Table1[[HomeTeam]:[HomeTeam]],$A24, Table1[[AwayTeam]:[AwayTeam]], U$1),0), "-", TEXT(SUMIFS(Table1[[HomeWon]:[HomeWon]], Table1[[GameIsOver]:[GameIsOver]],1,Table1[[AwayTeam]:[AwayTeam]],$A24, Table1[[HomeTeam]:[HomeTeam]], U$1, Table1[[ActualResult]:[ActualResult]], "REG") + SUMIFS(Table1[[AwayWon]:[AwayWon]], Table1[[GameIsOver]:[GameIsOver]],1,Table1[[HomeTeam]:[HomeTeam]],$A24, Table1[[AwayTeam]:[AwayTeam]], U$1, Table1[[ActualResult]:[ActualResult]], "REG"),0), "-", TEXT(SUMIFS(Table1[[HomeWon]:[HomeWon]], Table1[[GameIsOver]:[GameIsOver]],1,Table1[[AwayTeam]:[AwayTeam]],$A24, Table1[[HomeTeam]:[HomeTeam]], U$1, Table1[[ActualResult]:[ActualResult]], "OT") + SUMIFS(Table1[[AwayWon]:[AwayWon]], Table1[[GameIsOver]:[GameIsOver]],1,Table1[[HomeTeam]:[HomeTeam]],$A24, Table1[[AwayTeam]:[AwayTeam]], U$1, Table1[[ActualResult]:[ActualResult]], "OT") + SUMIFS(Table1[[HomeWon]:[HomeWon]], Table1[[GameIsOver]:[GameIsOver]],1,Table1[[AwayTeam]:[AwayTeam]],$A24, Table1[[HomeTeam]:[HomeTeam]], U$1, Table1[[ActualResult]:[ActualResult]], "SO") + SUMIFS(Table1[[AwayWon]:[AwayWon]], Table1[[GameIsOver]:[GameIsOver]],1,Table1[[HomeTeam]:[HomeTeam]],$A24, Table1[[AwayTeam]:[AwayTeam]], U$1, Table1[[ActualResult]:[ActualResult]], "SO"),0))</f>
        <v>0-0-0</v>
      </c>
      <c r="V24" s="57" t="str">
        <f>_xlfn.CONCAT(TEXT(SUMIFS(Table1[[AwayWon]:[AwayWon]], Table1[[GameIsOver]:[GameIsOver]],1,Table1[[AwayTeam]:[AwayTeam]],$A24, Table1[[HomeTeam]:[HomeTeam]], V$1) + SUMIFS(Table1[[HomeWon]:[HomeWon]], Table1[[GameIsOver]:[GameIsOver]],1,Table1[[HomeTeam]:[HomeTeam]],$A24, Table1[[AwayTeam]:[AwayTeam]], V$1),0), "-", TEXT(SUMIFS(Table1[[HomeWon]:[HomeWon]], Table1[[GameIsOver]:[GameIsOver]],1,Table1[[AwayTeam]:[AwayTeam]],$A24, Table1[[HomeTeam]:[HomeTeam]], V$1, Table1[[ActualResult]:[ActualResult]], "REG") + SUMIFS(Table1[[AwayWon]:[AwayWon]], Table1[[GameIsOver]:[GameIsOver]],1,Table1[[HomeTeam]:[HomeTeam]],$A24, Table1[[AwayTeam]:[AwayTeam]], V$1, Table1[[ActualResult]:[ActualResult]], "REG"),0), "-", TEXT(SUMIFS(Table1[[HomeWon]:[HomeWon]], Table1[[GameIsOver]:[GameIsOver]],1,Table1[[AwayTeam]:[AwayTeam]],$A24, Table1[[HomeTeam]:[HomeTeam]], V$1, Table1[[ActualResult]:[ActualResult]], "OT") + SUMIFS(Table1[[AwayWon]:[AwayWon]], Table1[[GameIsOver]:[GameIsOver]],1,Table1[[HomeTeam]:[HomeTeam]],$A24, Table1[[AwayTeam]:[AwayTeam]], V$1, Table1[[ActualResult]:[ActualResult]], "OT") + SUMIFS(Table1[[HomeWon]:[HomeWon]], Table1[[GameIsOver]:[GameIsOver]],1,Table1[[AwayTeam]:[AwayTeam]],$A24, Table1[[HomeTeam]:[HomeTeam]], V$1, Table1[[ActualResult]:[ActualResult]], "SO") + SUMIFS(Table1[[AwayWon]:[AwayWon]], Table1[[GameIsOver]:[GameIsOver]],1,Table1[[HomeTeam]:[HomeTeam]],$A24, Table1[[AwayTeam]:[AwayTeam]], V$1, Table1[[ActualResult]:[ActualResult]], "SO"),0))</f>
        <v>0-0-0</v>
      </c>
      <c r="W24" s="57" t="str">
        <f>_xlfn.CONCAT(TEXT(SUMIFS(Table1[[AwayWon]:[AwayWon]], Table1[[GameIsOver]:[GameIsOver]],1,Table1[[AwayTeam]:[AwayTeam]],$A24, Table1[[HomeTeam]:[HomeTeam]], W$1) + SUMIFS(Table1[[HomeWon]:[HomeWon]], Table1[[GameIsOver]:[GameIsOver]],1,Table1[[HomeTeam]:[HomeTeam]],$A24, Table1[[AwayTeam]:[AwayTeam]], W$1),0), "-", TEXT(SUMIFS(Table1[[HomeWon]:[HomeWon]], Table1[[GameIsOver]:[GameIsOver]],1,Table1[[AwayTeam]:[AwayTeam]],$A24, Table1[[HomeTeam]:[HomeTeam]], W$1, Table1[[ActualResult]:[ActualResult]], "REG") + SUMIFS(Table1[[AwayWon]:[AwayWon]], Table1[[GameIsOver]:[GameIsOver]],1,Table1[[HomeTeam]:[HomeTeam]],$A24, Table1[[AwayTeam]:[AwayTeam]], W$1, Table1[[ActualResult]:[ActualResult]], "REG"),0), "-", TEXT(SUMIFS(Table1[[HomeWon]:[HomeWon]], Table1[[GameIsOver]:[GameIsOver]],1,Table1[[AwayTeam]:[AwayTeam]],$A24, Table1[[HomeTeam]:[HomeTeam]], W$1, Table1[[ActualResult]:[ActualResult]], "OT") + SUMIFS(Table1[[AwayWon]:[AwayWon]], Table1[[GameIsOver]:[GameIsOver]],1,Table1[[HomeTeam]:[HomeTeam]],$A24, Table1[[AwayTeam]:[AwayTeam]], W$1, Table1[[ActualResult]:[ActualResult]], "OT") + SUMIFS(Table1[[HomeWon]:[HomeWon]], Table1[[GameIsOver]:[GameIsOver]],1,Table1[[AwayTeam]:[AwayTeam]],$A24, Table1[[HomeTeam]:[HomeTeam]], W$1, Table1[[ActualResult]:[ActualResult]], "SO") + SUMIFS(Table1[[AwayWon]:[AwayWon]], Table1[[GameIsOver]:[GameIsOver]],1,Table1[[HomeTeam]:[HomeTeam]],$A24, Table1[[AwayTeam]:[AwayTeam]], W$1, Table1[[ActualResult]:[ActualResult]], "SO"),0))</f>
        <v>0-0-0</v>
      </c>
      <c r="X24" s="57" t="str">
        <f>_xlfn.CONCAT(TEXT(SUMIFS(Table1[[AwayWon]:[AwayWon]], Table1[[GameIsOver]:[GameIsOver]],1,Table1[[AwayTeam]:[AwayTeam]],$A24, Table1[[HomeTeam]:[HomeTeam]], X$1) + SUMIFS(Table1[[HomeWon]:[HomeWon]], Table1[[GameIsOver]:[GameIsOver]],1,Table1[[HomeTeam]:[HomeTeam]],$A24, Table1[[AwayTeam]:[AwayTeam]], X$1),0), "-", TEXT(SUMIFS(Table1[[HomeWon]:[HomeWon]], Table1[[GameIsOver]:[GameIsOver]],1,Table1[[AwayTeam]:[AwayTeam]],$A24, Table1[[HomeTeam]:[HomeTeam]], X$1, Table1[[ActualResult]:[ActualResult]], "REG") + SUMIFS(Table1[[AwayWon]:[AwayWon]], Table1[[GameIsOver]:[GameIsOver]],1,Table1[[HomeTeam]:[HomeTeam]],$A24, Table1[[AwayTeam]:[AwayTeam]], X$1, Table1[[ActualResult]:[ActualResult]], "REG"),0), "-", TEXT(SUMIFS(Table1[[HomeWon]:[HomeWon]], Table1[[GameIsOver]:[GameIsOver]],1,Table1[[AwayTeam]:[AwayTeam]],$A24, Table1[[HomeTeam]:[HomeTeam]], X$1, Table1[[ActualResult]:[ActualResult]], "OT") + SUMIFS(Table1[[AwayWon]:[AwayWon]], Table1[[GameIsOver]:[GameIsOver]],1,Table1[[HomeTeam]:[HomeTeam]],$A24, Table1[[AwayTeam]:[AwayTeam]], X$1, Table1[[ActualResult]:[ActualResult]], "OT") + SUMIFS(Table1[[HomeWon]:[HomeWon]], Table1[[GameIsOver]:[GameIsOver]],1,Table1[[AwayTeam]:[AwayTeam]],$A24, Table1[[HomeTeam]:[HomeTeam]], X$1, Table1[[ActualResult]:[ActualResult]], "SO") + SUMIFS(Table1[[AwayWon]:[AwayWon]], Table1[[GameIsOver]:[GameIsOver]],1,Table1[[HomeTeam]:[HomeTeam]],$A24, Table1[[AwayTeam]:[AwayTeam]], X$1, Table1[[ActualResult]:[ActualResult]], "SO"),0))</f>
        <v>0-0-0</v>
      </c>
      <c r="Y24" s="59" t="str">
        <f>_xlfn.CONCAT(TEXT(SUMIFS(Table1[[AwayWon]:[AwayWon]], Table1[[GameIsOver]:[GameIsOver]],1,Table1[[AwayTeam]:[AwayTeam]],$A24, Table1[[HomeTeam]:[HomeTeam]], Y$1) + SUMIFS(Table1[[HomeWon]:[HomeWon]], Table1[[GameIsOver]:[GameIsOver]],1,Table1[[HomeTeam]:[HomeTeam]],$A24, Table1[[AwayTeam]:[AwayTeam]], Y$1),0), "-", TEXT(SUMIFS(Table1[[HomeWon]:[HomeWon]], Table1[[GameIsOver]:[GameIsOver]],1,Table1[[AwayTeam]:[AwayTeam]],$A24, Table1[[HomeTeam]:[HomeTeam]], Y$1, Table1[[ActualResult]:[ActualResult]], "REG") + SUMIFS(Table1[[AwayWon]:[AwayWon]], Table1[[GameIsOver]:[GameIsOver]],1,Table1[[HomeTeam]:[HomeTeam]],$A24, Table1[[AwayTeam]:[AwayTeam]], Y$1, Table1[[ActualResult]:[ActualResult]], "REG"),0), "-", TEXT(SUMIFS(Table1[[HomeWon]:[HomeWon]], Table1[[GameIsOver]:[GameIsOver]],1,Table1[[AwayTeam]:[AwayTeam]],$A24, Table1[[HomeTeam]:[HomeTeam]], Y$1, Table1[[ActualResult]:[ActualResult]], "OT") + SUMIFS(Table1[[AwayWon]:[AwayWon]], Table1[[GameIsOver]:[GameIsOver]],1,Table1[[HomeTeam]:[HomeTeam]],$A24, Table1[[AwayTeam]:[AwayTeam]], Y$1, Table1[[ActualResult]:[ActualResult]], "OT") + SUMIFS(Table1[[HomeWon]:[HomeWon]], Table1[[GameIsOver]:[GameIsOver]],1,Table1[[AwayTeam]:[AwayTeam]],$A24, Table1[[HomeTeam]:[HomeTeam]], Y$1, Table1[[ActualResult]:[ActualResult]], "SO") + SUMIFS(Table1[[AwayWon]:[AwayWon]], Table1[[GameIsOver]:[GameIsOver]],1,Table1[[HomeTeam]:[HomeTeam]],$A24, Table1[[AwayTeam]:[AwayTeam]], Y$1, Table1[[ActualResult]:[ActualResult]], "SO"),0))</f>
        <v>0-0-0</v>
      </c>
      <c r="Z24" s="57" t="str">
        <f>_xlfn.CONCAT(TEXT(SUMIFS(Table1[[AwayWon]:[AwayWon]], Table1[[GameIsOver]:[GameIsOver]],1,Table1[[AwayTeam]:[AwayTeam]],$A24, Table1[[HomeTeam]:[HomeTeam]], Z$1) + SUMIFS(Table1[[HomeWon]:[HomeWon]], Table1[[GameIsOver]:[GameIsOver]],1,Table1[[HomeTeam]:[HomeTeam]],$A24, Table1[[AwayTeam]:[AwayTeam]], Z$1),0), "-", TEXT(SUMIFS(Table1[[HomeWon]:[HomeWon]], Table1[[GameIsOver]:[GameIsOver]],1,Table1[[AwayTeam]:[AwayTeam]],$A24, Table1[[HomeTeam]:[HomeTeam]], Z$1, Table1[[ActualResult]:[ActualResult]], "REG") + SUMIFS(Table1[[AwayWon]:[AwayWon]], Table1[[GameIsOver]:[GameIsOver]],1,Table1[[HomeTeam]:[HomeTeam]],$A24, Table1[[AwayTeam]:[AwayTeam]], Z$1, Table1[[ActualResult]:[ActualResult]], "REG"),0), "-", TEXT(SUMIFS(Table1[[HomeWon]:[HomeWon]], Table1[[GameIsOver]:[GameIsOver]],1,Table1[[AwayTeam]:[AwayTeam]],$A24, Table1[[HomeTeam]:[HomeTeam]], Z$1, Table1[[ActualResult]:[ActualResult]], "OT") + SUMIFS(Table1[[AwayWon]:[AwayWon]], Table1[[GameIsOver]:[GameIsOver]],1,Table1[[HomeTeam]:[HomeTeam]],$A24, Table1[[AwayTeam]:[AwayTeam]], Z$1, Table1[[ActualResult]:[ActualResult]], "OT") + SUMIFS(Table1[[HomeWon]:[HomeWon]], Table1[[GameIsOver]:[GameIsOver]],1,Table1[[AwayTeam]:[AwayTeam]],$A24, Table1[[HomeTeam]:[HomeTeam]], Z$1, Table1[[ActualResult]:[ActualResult]], "SO") + SUMIFS(Table1[[AwayWon]:[AwayWon]], Table1[[GameIsOver]:[GameIsOver]],1,Table1[[HomeTeam]:[HomeTeam]],$A24, Table1[[AwayTeam]:[AwayTeam]], Z$1, Table1[[ActualResult]:[ActualResult]], "SO"),0))</f>
        <v>0-0-0</v>
      </c>
      <c r="AA24" s="57" t="str">
        <f>_xlfn.CONCAT(TEXT(SUMIFS(Table1[[AwayWon]:[AwayWon]], Table1[[GameIsOver]:[GameIsOver]],1,Table1[[AwayTeam]:[AwayTeam]],$A24, Table1[[HomeTeam]:[HomeTeam]], AA$1) + SUMIFS(Table1[[HomeWon]:[HomeWon]], Table1[[GameIsOver]:[GameIsOver]],1,Table1[[HomeTeam]:[HomeTeam]],$A24, Table1[[AwayTeam]:[AwayTeam]], AA$1),0), "-", TEXT(SUMIFS(Table1[[HomeWon]:[HomeWon]], Table1[[GameIsOver]:[GameIsOver]],1,Table1[[AwayTeam]:[AwayTeam]],$A24, Table1[[HomeTeam]:[HomeTeam]], AA$1, Table1[[ActualResult]:[ActualResult]], "REG") + SUMIFS(Table1[[AwayWon]:[AwayWon]], Table1[[GameIsOver]:[GameIsOver]],1,Table1[[HomeTeam]:[HomeTeam]],$A24, Table1[[AwayTeam]:[AwayTeam]], AA$1, Table1[[ActualResult]:[ActualResult]], "REG"),0), "-", TEXT(SUMIFS(Table1[[HomeWon]:[HomeWon]], Table1[[GameIsOver]:[GameIsOver]],1,Table1[[AwayTeam]:[AwayTeam]],$A24, Table1[[HomeTeam]:[HomeTeam]], AA$1, Table1[[ActualResult]:[ActualResult]], "OT") + SUMIFS(Table1[[AwayWon]:[AwayWon]], Table1[[GameIsOver]:[GameIsOver]],1,Table1[[HomeTeam]:[HomeTeam]],$A24, Table1[[AwayTeam]:[AwayTeam]], AA$1, Table1[[ActualResult]:[ActualResult]], "OT") + SUMIFS(Table1[[HomeWon]:[HomeWon]], Table1[[GameIsOver]:[GameIsOver]],1,Table1[[AwayTeam]:[AwayTeam]],$A24, Table1[[HomeTeam]:[HomeTeam]], AA$1, Table1[[ActualResult]:[ActualResult]], "SO") + SUMIFS(Table1[[AwayWon]:[AwayWon]], Table1[[GameIsOver]:[GameIsOver]],1,Table1[[HomeTeam]:[HomeTeam]],$A24, Table1[[AwayTeam]:[AwayTeam]], AA$1, Table1[[ActualResult]:[ActualResult]], "SO"),0))</f>
        <v>0-0-1</v>
      </c>
      <c r="AB24" s="57" t="str">
        <f>_xlfn.CONCAT(TEXT(SUMIFS(Table1[[AwayWon]:[AwayWon]], Table1[[GameIsOver]:[GameIsOver]],1,Table1[[AwayTeam]:[AwayTeam]],$A24, Table1[[HomeTeam]:[HomeTeam]], AB$1) + SUMIFS(Table1[[HomeWon]:[HomeWon]], Table1[[GameIsOver]:[GameIsOver]],1,Table1[[HomeTeam]:[HomeTeam]],$A24, Table1[[AwayTeam]:[AwayTeam]], AB$1),0), "-", TEXT(SUMIFS(Table1[[HomeWon]:[HomeWon]], Table1[[GameIsOver]:[GameIsOver]],1,Table1[[AwayTeam]:[AwayTeam]],$A24, Table1[[HomeTeam]:[HomeTeam]], AB$1, Table1[[ActualResult]:[ActualResult]], "REG") + SUMIFS(Table1[[AwayWon]:[AwayWon]], Table1[[GameIsOver]:[GameIsOver]],1,Table1[[HomeTeam]:[HomeTeam]],$A24, Table1[[AwayTeam]:[AwayTeam]], AB$1, Table1[[ActualResult]:[ActualResult]], "REG"),0), "-", TEXT(SUMIFS(Table1[[HomeWon]:[HomeWon]], Table1[[GameIsOver]:[GameIsOver]],1,Table1[[AwayTeam]:[AwayTeam]],$A24, Table1[[HomeTeam]:[HomeTeam]], AB$1, Table1[[ActualResult]:[ActualResult]], "OT") + SUMIFS(Table1[[AwayWon]:[AwayWon]], Table1[[GameIsOver]:[GameIsOver]],1,Table1[[HomeTeam]:[HomeTeam]],$A24, Table1[[AwayTeam]:[AwayTeam]], AB$1, Table1[[ActualResult]:[ActualResult]], "OT") + SUMIFS(Table1[[HomeWon]:[HomeWon]], Table1[[GameIsOver]:[GameIsOver]],1,Table1[[AwayTeam]:[AwayTeam]],$A24, Table1[[HomeTeam]:[HomeTeam]], AB$1, Table1[[ActualResult]:[ActualResult]], "SO") + SUMIFS(Table1[[AwayWon]:[AwayWon]], Table1[[GameIsOver]:[GameIsOver]],1,Table1[[HomeTeam]:[HomeTeam]],$A24, Table1[[AwayTeam]:[AwayTeam]], AB$1, Table1[[ActualResult]:[ActualResult]], "SO"),0))</f>
        <v>0-0-0</v>
      </c>
      <c r="AC24" s="57" t="str">
        <f>_xlfn.CONCAT(TEXT(SUMIFS(Table1[[AwayWon]:[AwayWon]], Table1[[GameIsOver]:[GameIsOver]],1,Table1[[AwayTeam]:[AwayTeam]],$A24, Table1[[HomeTeam]:[HomeTeam]], AC$1) + SUMIFS(Table1[[HomeWon]:[HomeWon]], Table1[[GameIsOver]:[GameIsOver]],1,Table1[[HomeTeam]:[HomeTeam]],$A24, Table1[[AwayTeam]:[AwayTeam]], AC$1),0), "-", TEXT(SUMIFS(Table1[[HomeWon]:[HomeWon]], Table1[[GameIsOver]:[GameIsOver]],1,Table1[[AwayTeam]:[AwayTeam]],$A24, Table1[[HomeTeam]:[HomeTeam]], AC$1, Table1[[ActualResult]:[ActualResult]], "REG") + SUMIFS(Table1[[AwayWon]:[AwayWon]], Table1[[GameIsOver]:[GameIsOver]],1,Table1[[HomeTeam]:[HomeTeam]],$A24, Table1[[AwayTeam]:[AwayTeam]], AC$1, Table1[[ActualResult]:[ActualResult]], "REG"),0), "-", TEXT(SUMIFS(Table1[[HomeWon]:[HomeWon]], Table1[[GameIsOver]:[GameIsOver]],1,Table1[[AwayTeam]:[AwayTeam]],$A24, Table1[[HomeTeam]:[HomeTeam]], AC$1, Table1[[ActualResult]:[ActualResult]], "OT") + SUMIFS(Table1[[AwayWon]:[AwayWon]], Table1[[GameIsOver]:[GameIsOver]],1,Table1[[HomeTeam]:[HomeTeam]],$A24, Table1[[AwayTeam]:[AwayTeam]], AC$1, Table1[[ActualResult]:[ActualResult]], "OT") + SUMIFS(Table1[[HomeWon]:[HomeWon]], Table1[[GameIsOver]:[GameIsOver]],1,Table1[[AwayTeam]:[AwayTeam]],$A24, Table1[[HomeTeam]:[HomeTeam]], AC$1, Table1[[ActualResult]:[ActualResult]], "SO") + SUMIFS(Table1[[AwayWon]:[AwayWon]], Table1[[GameIsOver]:[GameIsOver]],1,Table1[[HomeTeam]:[HomeTeam]],$A24, Table1[[AwayTeam]:[AwayTeam]], AC$1, Table1[[ActualResult]:[ActualResult]], "SO"),0))</f>
        <v>0-0-0</v>
      </c>
      <c r="AD24" s="57" t="str">
        <f>_xlfn.CONCAT(TEXT(SUMIFS(Table1[[AwayWon]:[AwayWon]], Table1[[GameIsOver]:[GameIsOver]],1,Table1[[AwayTeam]:[AwayTeam]],$A24, Table1[[HomeTeam]:[HomeTeam]], AD$1) + SUMIFS(Table1[[HomeWon]:[HomeWon]], Table1[[GameIsOver]:[GameIsOver]],1,Table1[[HomeTeam]:[HomeTeam]],$A24, Table1[[AwayTeam]:[AwayTeam]], AD$1),0), "-", TEXT(SUMIFS(Table1[[HomeWon]:[HomeWon]], Table1[[GameIsOver]:[GameIsOver]],1,Table1[[AwayTeam]:[AwayTeam]],$A24, Table1[[HomeTeam]:[HomeTeam]], AD$1, Table1[[ActualResult]:[ActualResult]], "REG") + SUMIFS(Table1[[AwayWon]:[AwayWon]], Table1[[GameIsOver]:[GameIsOver]],1,Table1[[HomeTeam]:[HomeTeam]],$A24, Table1[[AwayTeam]:[AwayTeam]], AD$1, Table1[[ActualResult]:[ActualResult]], "REG"),0), "-", TEXT(SUMIFS(Table1[[HomeWon]:[HomeWon]], Table1[[GameIsOver]:[GameIsOver]],1,Table1[[AwayTeam]:[AwayTeam]],$A24, Table1[[HomeTeam]:[HomeTeam]], AD$1, Table1[[ActualResult]:[ActualResult]], "OT") + SUMIFS(Table1[[AwayWon]:[AwayWon]], Table1[[GameIsOver]:[GameIsOver]],1,Table1[[HomeTeam]:[HomeTeam]],$A24, Table1[[AwayTeam]:[AwayTeam]], AD$1, Table1[[ActualResult]:[ActualResult]], "OT") + SUMIFS(Table1[[HomeWon]:[HomeWon]], Table1[[GameIsOver]:[GameIsOver]],1,Table1[[AwayTeam]:[AwayTeam]],$A24, Table1[[HomeTeam]:[HomeTeam]], AD$1, Table1[[ActualResult]:[ActualResult]], "SO") + SUMIFS(Table1[[AwayWon]:[AwayWon]], Table1[[GameIsOver]:[GameIsOver]],1,Table1[[HomeTeam]:[HomeTeam]],$A24, Table1[[AwayTeam]:[AwayTeam]], AD$1, Table1[[ActualResult]:[ActualResult]], "SO"),0))</f>
        <v>0-0-0</v>
      </c>
      <c r="AE24" s="57" t="str">
        <f>_xlfn.CONCAT(TEXT(SUMIFS(Table1[[AwayWon]:[AwayWon]], Table1[[GameIsOver]:[GameIsOver]],1,Table1[[AwayTeam]:[AwayTeam]],$A24, Table1[[HomeTeam]:[HomeTeam]], AE$1) + SUMIFS(Table1[[HomeWon]:[HomeWon]], Table1[[GameIsOver]:[GameIsOver]],1,Table1[[HomeTeam]:[HomeTeam]],$A24, Table1[[AwayTeam]:[AwayTeam]], AE$1),0), "-", TEXT(SUMIFS(Table1[[HomeWon]:[HomeWon]], Table1[[GameIsOver]:[GameIsOver]],1,Table1[[AwayTeam]:[AwayTeam]],$A24, Table1[[HomeTeam]:[HomeTeam]], AE$1, Table1[[ActualResult]:[ActualResult]], "REG") + SUMIFS(Table1[[AwayWon]:[AwayWon]], Table1[[GameIsOver]:[GameIsOver]],1,Table1[[HomeTeam]:[HomeTeam]],$A24, Table1[[AwayTeam]:[AwayTeam]], AE$1, Table1[[ActualResult]:[ActualResult]], "REG"),0), "-", TEXT(SUMIFS(Table1[[HomeWon]:[HomeWon]], Table1[[GameIsOver]:[GameIsOver]],1,Table1[[AwayTeam]:[AwayTeam]],$A24, Table1[[HomeTeam]:[HomeTeam]], AE$1, Table1[[ActualResult]:[ActualResult]], "OT") + SUMIFS(Table1[[AwayWon]:[AwayWon]], Table1[[GameIsOver]:[GameIsOver]],1,Table1[[HomeTeam]:[HomeTeam]],$A24, Table1[[AwayTeam]:[AwayTeam]], AE$1, Table1[[ActualResult]:[ActualResult]], "OT") + SUMIFS(Table1[[HomeWon]:[HomeWon]], Table1[[GameIsOver]:[GameIsOver]],1,Table1[[AwayTeam]:[AwayTeam]],$A24, Table1[[HomeTeam]:[HomeTeam]], AE$1, Table1[[ActualResult]:[ActualResult]], "SO") + SUMIFS(Table1[[AwayWon]:[AwayWon]], Table1[[GameIsOver]:[GameIsOver]],1,Table1[[HomeTeam]:[HomeTeam]],$A24, Table1[[AwayTeam]:[AwayTeam]], AE$1, Table1[[ActualResult]:[ActualResult]], "SO"),0))</f>
        <v>0-0-0</v>
      </c>
      <c r="AF24" s="57" t="str">
        <f>_xlfn.CONCAT(TEXT(SUMIFS(Table1[[AwayWon]:[AwayWon]], Table1[[GameIsOver]:[GameIsOver]],1,Table1[[AwayTeam]:[AwayTeam]],$A24, Table1[[HomeTeam]:[HomeTeam]], AF$1) + SUMIFS(Table1[[HomeWon]:[HomeWon]], Table1[[GameIsOver]:[GameIsOver]],1,Table1[[HomeTeam]:[HomeTeam]],$A24, Table1[[AwayTeam]:[AwayTeam]], AF$1),0), "-", TEXT(SUMIFS(Table1[[HomeWon]:[HomeWon]], Table1[[GameIsOver]:[GameIsOver]],1,Table1[[AwayTeam]:[AwayTeam]],$A24, Table1[[HomeTeam]:[HomeTeam]], AF$1, Table1[[ActualResult]:[ActualResult]], "REG") + SUMIFS(Table1[[AwayWon]:[AwayWon]], Table1[[GameIsOver]:[GameIsOver]],1,Table1[[HomeTeam]:[HomeTeam]],$A24, Table1[[AwayTeam]:[AwayTeam]], AF$1, Table1[[ActualResult]:[ActualResult]], "REG"),0), "-", TEXT(SUMIFS(Table1[[HomeWon]:[HomeWon]], Table1[[GameIsOver]:[GameIsOver]],1,Table1[[AwayTeam]:[AwayTeam]],$A24, Table1[[HomeTeam]:[HomeTeam]], AF$1, Table1[[ActualResult]:[ActualResult]], "OT") + SUMIFS(Table1[[AwayWon]:[AwayWon]], Table1[[GameIsOver]:[GameIsOver]],1,Table1[[HomeTeam]:[HomeTeam]],$A24, Table1[[AwayTeam]:[AwayTeam]], AF$1, Table1[[ActualResult]:[ActualResult]], "OT") + SUMIFS(Table1[[HomeWon]:[HomeWon]], Table1[[GameIsOver]:[GameIsOver]],1,Table1[[AwayTeam]:[AwayTeam]],$A24, Table1[[HomeTeam]:[HomeTeam]], AF$1, Table1[[ActualResult]:[ActualResult]], "SO") + SUMIFS(Table1[[AwayWon]:[AwayWon]], Table1[[GameIsOver]:[GameIsOver]],1,Table1[[HomeTeam]:[HomeTeam]],$A24, Table1[[AwayTeam]:[AwayTeam]], AF$1, Table1[[ActualResult]:[ActualResult]], "SO"),0))</f>
        <v>0-0-0</v>
      </c>
      <c r="AG24" s="57" t="str">
        <f>_xlfn.CONCAT(TEXT(SUMIFS(Table1[[AwayWon]:[AwayWon]], Table1[[GameIsOver]:[GameIsOver]],1,Table1[[AwayTeam]:[AwayTeam]],$A24, Table1[[HomeTeam]:[HomeTeam]], AG$1) + SUMIFS(Table1[[HomeWon]:[HomeWon]], Table1[[GameIsOver]:[GameIsOver]],1,Table1[[HomeTeam]:[HomeTeam]],$A24, Table1[[AwayTeam]:[AwayTeam]], AG$1),0), "-", TEXT(SUMIFS(Table1[[HomeWon]:[HomeWon]], Table1[[GameIsOver]:[GameIsOver]],1,Table1[[AwayTeam]:[AwayTeam]],$A24, Table1[[HomeTeam]:[HomeTeam]], AG$1, Table1[[ActualResult]:[ActualResult]], "REG") + SUMIFS(Table1[[AwayWon]:[AwayWon]], Table1[[GameIsOver]:[GameIsOver]],1,Table1[[HomeTeam]:[HomeTeam]],$A24, Table1[[AwayTeam]:[AwayTeam]], AG$1, Table1[[ActualResult]:[ActualResult]], "REG"),0), "-", TEXT(SUMIFS(Table1[[HomeWon]:[HomeWon]], Table1[[GameIsOver]:[GameIsOver]],1,Table1[[AwayTeam]:[AwayTeam]],$A24, Table1[[HomeTeam]:[HomeTeam]], AG$1, Table1[[ActualResult]:[ActualResult]], "OT") + SUMIFS(Table1[[AwayWon]:[AwayWon]], Table1[[GameIsOver]:[GameIsOver]],1,Table1[[HomeTeam]:[HomeTeam]],$A24, Table1[[AwayTeam]:[AwayTeam]], AG$1, Table1[[ActualResult]:[ActualResult]], "OT") + SUMIFS(Table1[[HomeWon]:[HomeWon]], Table1[[GameIsOver]:[GameIsOver]],1,Table1[[AwayTeam]:[AwayTeam]],$A24, Table1[[HomeTeam]:[HomeTeam]], AG$1, Table1[[ActualResult]:[ActualResult]], "SO") + SUMIFS(Table1[[AwayWon]:[AwayWon]], Table1[[GameIsOver]:[GameIsOver]],1,Table1[[HomeTeam]:[HomeTeam]],$A24, Table1[[AwayTeam]:[AwayTeam]], AG$1, Table1[[ActualResult]:[ActualResult]], "SO"),0))</f>
        <v>0-0-0</v>
      </c>
    </row>
    <row r="25" spans="1:33" ht="15.75" thickBot="1" x14ac:dyDescent="0.3">
      <c r="A25" s="29" t="s">
        <v>59</v>
      </c>
      <c r="B25" s="60" t="str">
        <f>_xlfn.CONCAT(TEXT(SUMIFS(Table1[[AwayWon]:[AwayWon]], Table1[[GameIsOver]:[GameIsOver]],1,Table1[[AwayTeam]:[AwayTeam]],$A25, Table1[[HomeTeam]:[HomeTeam]], B$1) + SUMIFS(Table1[[HomeWon]:[HomeWon]], Table1[[GameIsOver]:[GameIsOver]],1,Table1[[HomeTeam]:[HomeTeam]],$A25, Table1[[AwayTeam]:[AwayTeam]], B$1),0), "-", TEXT(SUMIFS(Table1[[HomeWon]:[HomeWon]], Table1[[GameIsOver]:[GameIsOver]],1,Table1[[AwayTeam]:[AwayTeam]],$A25, Table1[[HomeTeam]:[HomeTeam]], B$1, Table1[[ActualResult]:[ActualResult]], "REG") + SUMIFS(Table1[[AwayWon]:[AwayWon]], Table1[[GameIsOver]:[GameIsOver]],1,Table1[[HomeTeam]:[HomeTeam]],$A25, Table1[[AwayTeam]:[AwayTeam]], B$1, Table1[[ActualResult]:[ActualResult]], "REG"),0), "-", TEXT(SUMIFS(Table1[[HomeWon]:[HomeWon]], Table1[[GameIsOver]:[GameIsOver]],1,Table1[[AwayTeam]:[AwayTeam]],$A25, Table1[[HomeTeam]:[HomeTeam]], B$1, Table1[[ActualResult]:[ActualResult]], "OT") + SUMIFS(Table1[[AwayWon]:[AwayWon]], Table1[[GameIsOver]:[GameIsOver]],1,Table1[[HomeTeam]:[HomeTeam]],$A25, Table1[[AwayTeam]:[AwayTeam]], B$1, Table1[[ActualResult]:[ActualResult]], "OT") + SUMIFS(Table1[[HomeWon]:[HomeWon]], Table1[[GameIsOver]:[GameIsOver]],1,Table1[[AwayTeam]:[AwayTeam]],$A25, Table1[[HomeTeam]:[HomeTeam]], B$1, Table1[[ActualResult]:[ActualResult]], "SO") + SUMIFS(Table1[[AwayWon]:[AwayWon]], Table1[[GameIsOver]:[GameIsOver]],1,Table1[[HomeTeam]:[HomeTeam]],$A25, Table1[[AwayTeam]:[AwayTeam]], B$1, Table1[[ActualResult]:[ActualResult]], "SO"),0))</f>
        <v>0-0-0</v>
      </c>
      <c r="C25" s="61" t="str">
        <f>_xlfn.CONCAT(TEXT(SUMIFS(Table1[[AwayWon]:[AwayWon]], Table1[[GameIsOver]:[GameIsOver]],1,Table1[[AwayTeam]:[AwayTeam]],$A25, Table1[[HomeTeam]:[HomeTeam]], C$1) + SUMIFS(Table1[[HomeWon]:[HomeWon]], Table1[[GameIsOver]:[GameIsOver]],1,Table1[[HomeTeam]:[HomeTeam]],$A25, Table1[[AwayTeam]:[AwayTeam]], C$1),0), "-", TEXT(SUMIFS(Table1[[HomeWon]:[HomeWon]], Table1[[GameIsOver]:[GameIsOver]],1,Table1[[AwayTeam]:[AwayTeam]],$A25, Table1[[HomeTeam]:[HomeTeam]], C$1, Table1[[ActualResult]:[ActualResult]], "REG") + SUMIFS(Table1[[AwayWon]:[AwayWon]], Table1[[GameIsOver]:[GameIsOver]],1,Table1[[HomeTeam]:[HomeTeam]],$A25, Table1[[AwayTeam]:[AwayTeam]], C$1, Table1[[ActualResult]:[ActualResult]], "REG"),0), "-", TEXT(SUMIFS(Table1[[HomeWon]:[HomeWon]], Table1[[GameIsOver]:[GameIsOver]],1,Table1[[AwayTeam]:[AwayTeam]],$A25, Table1[[HomeTeam]:[HomeTeam]], C$1, Table1[[ActualResult]:[ActualResult]], "OT") + SUMIFS(Table1[[AwayWon]:[AwayWon]], Table1[[GameIsOver]:[GameIsOver]],1,Table1[[HomeTeam]:[HomeTeam]],$A25, Table1[[AwayTeam]:[AwayTeam]], C$1, Table1[[ActualResult]:[ActualResult]], "OT") + SUMIFS(Table1[[HomeWon]:[HomeWon]], Table1[[GameIsOver]:[GameIsOver]],1,Table1[[AwayTeam]:[AwayTeam]],$A25, Table1[[HomeTeam]:[HomeTeam]], C$1, Table1[[ActualResult]:[ActualResult]], "SO") + SUMIFS(Table1[[AwayWon]:[AwayWon]], Table1[[GameIsOver]:[GameIsOver]],1,Table1[[HomeTeam]:[HomeTeam]],$A25, Table1[[AwayTeam]:[AwayTeam]], C$1, Table1[[ActualResult]:[ActualResult]], "SO"),0))</f>
        <v>0-0-0</v>
      </c>
      <c r="D25" s="61" t="str">
        <f>_xlfn.CONCAT(TEXT(SUMIFS(Table1[[AwayWon]:[AwayWon]], Table1[[GameIsOver]:[GameIsOver]],1,Table1[[AwayTeam]:[AwayTeam]],$A25, Table1[[HomeTeam]:[HomeTeam]], D$1) + SUMIFS(Table1[[HomeWon]:[HomeWon]], Table1[[GameIsOver]:[GameIsOver]],1,Table1[[HomeTeam]:[HomeTeam]],$A25, Table1[[AwayTeam]:[AwayTeam]], D$1),0), "-", TEXT(SUMIFS(Table1[[HomeWon]:[HomeWon]], Table1[[GameIsOver]:[GameIsOver]],1,Table1[[AwayTeam]:[AwayTeam]],$A25, Table1[[HomeTeam]:[HomeTeam]], D$1, Table1[[ActualResult]:[ActualResult]], "REG") + SUMIFS(Table1[[AwayWon]:[AwayWon]], Table1[[GameIsOver]:[GameIsOver]],1,Table1[[HomeTeam]:[HomeTeam]],$A25, Table1[[AwayTeam]:[AwayTeam]], D$1, Table1[[ActualResult]:[ActualResult]], "REG"),0), "-", TEXT(SUMIFS(Table1[[HomeWon]:[HomeWon]], Table1[[GameIsOver]:[GameIsOver]],1,Table1[[AwayTeam]:[AwayTeam]],$A25, Table1[[HomeTeam]:[HomeTeam]], D$1, Table1[[ActualResult]:[ActualResult]], "OT") + SUMIFS(Table1[[AwayWon]:[AwayWon]], Table1[[GameIsOver]:[GameIsOver]],1,Table1[[HomeTeam]:[HomeTeam]],$A25, Table1[[AwayTeam]:[AwayTeam]], D$1, Table1[[ActualResult]:[ActualResult]], "OT") + SUMIFS(Table1[[HomeWon]:[HomeWon]], Table1[[GameIsOver]:[GameIsOver]],1,Table1[[AwayTeam]:[AwayTeam]],$A25, Table1[[HomeTeam]:[HomeTeam]], D$1, Table1[[ActualResult]:[ActualResult]], "SO") + SUMIFS(Table1[[AwayWon]:[AwayWon]], Table1[[GameIsOver]:[GameIsOver]],1,Table1[[HomeTeam]:[HomeTeam]],$A25, Table1[[AwayTeam]:[AwayTeam]], D$1, Table1[[ActualResult]:[ActualResult]], "SO"),0))</f>
        <v>0-0-0</v>
      </c>
      <c r="E25" s="61" t="str">
        <f>_xlfn.CONCAT(TEXT(SUMIFS(Table1[[AwayWon]:[AwayWon]], Table1[[GameIsOver]:[GameIsOver]],1,Table1[[AwayTeam]:[AwayTeam]],$A25, Table1[[HomeTeam]:[HomeTeam]], E$1) + SUMIFS(Table1[[HomeWon]:[HomeWon]], Table1[[GameIsOver]:[GameIsOver]],1,Table1[[HomeTeam]:[HomeTeam]],$A25, Table1[[AwayTeam]:[AwayTeam]], E$1),0), "-", TEXT(SUMIFS(Table1[[HomeWon]:[HomeWon]], Table1[[GameIsOver]:[GameIsOver]],1,Table1[[AwayTeam]:[AwayTeam]],$A25, Table1[[HomeTeam]:[HomeTeam]], E$1, Table1[[ActualResult]:[ActualResult]], "REG") + SUMIFS(Table1[[AwayWon]:[AwayWon]], Table1[[GameIsOver]:[GameIsOver]],1,Table1[[HomeTeam]:[HomeTeam]],$A25, Table1[[AwayTeam]:[AwayTeam]], E$1, Table1[[ActualResult]:[ActualResult]], "REG"),0), "-", TEXT(SUMIFS(Table1[[HomeWon]:[HomeWon]], Table1[[GameIsOver]:[GameIsOver]],1,Table1[[AwayTeam]:[AwayTeam]],$A25, Table1[[HomeTeam]:[HomeTeam]], E$1, Table1[[ActualResult]:[ActualResult]], "OT") + SUMIFS(Table1[[AwayWon]:[AwayWon]], Table1[[GameIsOver]:[GameIsOver]],1,Table1[[HomeTeam]:[HomeTeam]],$A25, Table1[[AwayTeam]:[AwayTeam]], E$1, Table1[[ActualResult]:[ActualResult]], "OT") + SUMIFS(Table1[[HomeWon]:[HomeWon]], Table1[[GameIsOver]:[GameIsOver]],1,Table1[[AwayTeam]:[AwayTeam]],$A25, Table1[[HomeTeam]:[HomeTeam]], E$1, Table1[[ActualResult]:[ActualResult]], "SO") + SUMIFS(Table1[[AwayWon]:[AwayWon]], Table1[[GameIsOver]:[GameIsOver]],1,Table1[[HomeTeam]:[HomeTeam]],$A25, Table1[[AwayTeam]:[AwayTeam]], E$1, Table1[[ActualResult]:[ActualResult]], "SO"),0))</f>
        <v>0-0-0</v>
      </c>
      <c r="F25" s="61" t="str">
        <f>_xlfn.CONCAT(TEXT(SUMIFS(Table1[[AwayWon]:[AwayWon]], Table1[[GameIsOver]:[GameIsOver]],1,Table1[[AwayTeam]:[AwayTeam]],$A25, Table1[[HomeTeam]:[HomeTeam]], F$1) + SUMIFS(Table1[[HomeWon]:[HomeWon]], Table1[[GameIsOver]:[GameIsOver]],1,Table1[[HomeTeam]:[HomeTeam]],$A25, Table1[[AwayTeam]:[AwayTeam]], F$1),0), "-", TEXT(SUMIFS(Table1[[HomeWon]:[HomeWon]], Table1[[GameIsOver]:[GameIsOver]],1,Table1[[AwayTeam]:[AwayTeam]],$A25, Table1[[HomeTeam]:[HomeTeam]], F$1, Table1[[ActualResult]:[ActualResult]], "REG") + SUMIFS(Table1[[AwayWon]:[AwayWon]], Table1[[GameIsOver]:[GameIsOver]],1,Table1[[HomeTeam]:[HomeTeam]],$A25, Table1[[AwayTeam]:[AwayTeam]], F$1, Table1[[ActualResult]:[ActualResult]], "REG"),0), "-", TEXT(SUMIFS(Table1[[HomeWon]:[HomeWon]], Table1[[GameIsOver]:[GameIsOver]],1,Table1[[AwayTeam]:[AwayTeam]],$A25, Table1[[HomeTeam]:[HomeTeam]], F$1, Table1[[ActualResult]:[ActualResult]], "OT") + SUMIFS(Table1[[AwayWon]:[AwayWon]], Table1[[GameIsOver]:[GameIsOver]],1,Table1[[HomeTeam]:[HomeTeam]],$A25, Table1[[AwayTeam]:[AwayTeam]], F$1, Table1[[ActualResult]:[ActualResult]], "OT") + SUMIFS(Table1[[HomeWon]:[HomeWon]], Table1[[GameIsOver]:[GameIsOver]],1,Table1[[AwayTeam]:[AwayTeam]],$A25, Table1[[HomeTeam]:[HomeTeam]], F$1, Table1[[ActualResult]:[ActualResult]], "SO") + SUMIFS(Table1[[AwayWon]:[AwayWon]], Table1[[GameIsOver]:[GameIsOver]],1,Table1[[HomeTeam]:[HomeTeam]],$A25, Table1[[AwayTeam]:[AwayTeam]], F$1, Table1[[ActualResult]:[ActualResult]], "SO"),0))</f>
        <v>0-0-0</v>
      </c>
      <c r="G25" s="61" t="str">
        <f>_xlfn.CONCAT(TEXT(SUMIFS(Table1[[AwayWon]:[AwayWon]], Table1[[GameIsOver]:[GameIsOver]],1,Table1[[AwayTeam]:[AwayTeam]],$A25, Table1[[HomeTeam]:[HomeTeam]], G$1) + SUMIFS(Table1[[HomeWon]:[HomeWon]], Table1[[GameIsOver]:[GameIsOver]],1,Table1[[HomeTeam]:[HomeTeam]],$A25, Table1[[AwayTeam]:[AwayTeam]], G$1),0), "-", TEXT(SUMIFS(Table1[[HomeWon]:[HomeWon]], Table1[[GameIsOver]:[GameIsOver]],1,Table1[[AwayTeam]:[AwayTeam]],$A25, Table1[[HomeTeam]:[HomeTeam]], G$1, Table1[[ActualResult]:[ActualResult]], "REG") + SUMIFS(Table1[[AwayWon]:[AwayWon]], Table1[[GameIsOver]:[GameIsOver]],1,Table1[[HomeTeam]:[HomeTeam]],$A25, Table1[[AwayTeam]:[AwayTeam]], G$1, Table1[[ActualResult]:[ActualResult]], "REG"),0), "-", TEXT(SUMIFS(Table1[[HomeWon]:[HomeWon]], Table1[[GameIsOver]:[GameIsOver]],1,Table1[[AwayTeam]:[AwayTeam]],$A25, Table1[[HomeTeam]:[HomeTeam]], G$1, Table1[[ActualResult]:[ActualResult]], "OT") + SUMIFS(Table1[[AwayWon]:[AwayWon]], Table1[[GameIsOver]:[GameIsOver]],1,Table1[[HomeTeam]:[HomeTeam]],$A25, Table1[[AwayTeam]:[AwayTeam]], G$1, Table1[[ActualResult]:[ActualResult]], "OT") + SUMIFS(Table1[[HomeWon]:[HomeWon]], Table1[[GameIsOver]:[GameIsOver]],1,Table1[[AwayTeam]:[AwayTeam]],$A25, Table1[[HomeTeam]:[HomeTeam]], G$1, Table1[[ActualResult]:[ActualResult]], "SO") + SUMIFS(Table1[[AwayWon]:[AwayWon]], Table1[[GameIsOver]:[GameIsOver]],1,Table1[[HomeTeam]:[HomeTeam]],$A25, Table1[[AwayTeam]:[AwayTeam]], G$1, Table1[[ActualResult]:[ActualResult]], "SO"),0))</f>
        <v>0-0-0</v>
      </c>
      <c r="H25" s="61" t="str">
        <f>_xlfn.CONCAT(TEXT(SUMIFS(Table1[[AwayWon]:[AwayWon]], Table1[[GameIsOver]:[GameIsOver]],1,Table1[[AwayTeam]:[AwayTeam]],$A25, Table1[[HomeTeam]:[HomeTeam]], H$1) + SUMIFS(Table1[[HomeWon]:[HomeWon]], Table1[[GameIsOver]:[GameIsOver]],1,Table1[[HomeTeam]:[HomeTeam]],$A25, Table1[[AwayTeam]:[AwayTeam]], H$1),0), "-", TEXT(SUMIFS(Table1[[HomeWon]:[HomeWon]], Table1[[GameIsOver]:[GameIsOver]],1,Table1[[AwayTeam]:[AwayTeam]],$A25, Table1[[HomeTeam]:[HomeTeam]], H$1, Table1[[ActualResult]:[ActualResult]], "REG") + SUMIFS(Table1[[AwayWon]:[AwayWon]], Table1[[GameIsOver]:[GameIsOver]],1,Table1[[HomeTeam]:[HomeTeam]],$A25, Table1[[AwayTeam]:[AwayTeam]], H$1, Table1[[ActualResult]:[ActualResult]], "REG"),0), "-", TEXT(SUMIFS(Table1[[HomeWon]:[HomeWon]], Table1[[GameIsOver]:[GameIsOver]],1,Table1[[AwayTeam]:[AwayTeam]],$A25, Table1[[HomeTeam]:[HomeTeam]], H$1, Table1[[ActualResult]:[ActualResult]], "OT") + SUMIFS(Table1[[AwayWon]:[AwayWon]], Table1[[GameIsOver]:[GameIsOver]],1,Table1[[HomeTeam]:[HomeTeam]],$A25, Table1[[AwayTeam]:[AwayTeam]], H$1, Table1[[ActualResult]:[ActualResult]], "OT") + SUMIFS(Table1[[HomeWon]:[HomeWon]], Table1[[GameIsOver]:[GameIsOver]],1,Table1[[AwayTeam]:[AwayTeam]],$A25, Table1[[HomeTeam]:[HomeTeam]], H$1, Table1[[ActualResult]:[ActualResult]], "SO") + SUMIFS(Table1[[AwayWon]:[AwayWon]], Table1[[GameIsOver]:[GameIsOver]],1,Table1[[HomeTeam]:[HomeTeam]],$A25, Table1[[AwayTeam]:[AwayTeam]], H$1, Table1[[ActualResult]:[ActualResult]], "SO"),0))</f>
        <v>0-0-0</v>
      </c>
      <c r="I25" s="62" t="str">
        <f>_xlfn.CONCAT(TEXT(SUMIFS(Table1[[AwayWon]:[AwayWon]], Table1[[GameIsOver]:[GameIsOver]],1,Table1[[AwayTeam]:[AwayTeam]],$A25, Table1[[HomeTeam]:[HomeTeam]], I$1) + SUMIFS(Table1[[HomeWon]:[HomeWon]], Table1[[GameIsOver]:[GameIsOver]],1,Table1[[HomeTeam]:[HomeTeam]],$A25, Table1[[AwayTeam]:[AwayTeam]], I$1),0), "-", TEXT(SUMIFS(Table1[[HomeWon]:[HomeWon]], Table1[[GameIsOver]:[GameIsOver]],1,Table1[[AwayTeam]:[AwayTeam]],$A25, Table1[[HomeTeam]:[HomeTeam]], I$1, Table1[[ActualResult]:[ActualResult]], "REG") + SUMIFS(Table1[[AwayWon]:[AwayWon]], Table1[[GameIsOver]:[GameIsOver]],1,Table1[[HomeTeam]:[HomeTeam]],$A25, Table1[[AwayTeam]:[AwayTeam]], I$1, Table1[[ActualResult]:[ActualResult]], "REG"),0), "-", TEXT(SUMIFS(Table1[[HomeWon]:[HomeWon]], Table1[[GameIsOver]:[GameIsOver]],1,Table1[[AwayTeam]:[AwayTeam]],$A25, Table1[[HomeTeam]:[HomeTeam]], I$1, Table1[[ActualResult]:[ActualResult]], "OT") + SUMIFS(Table1[[AwayWon]:[AwayWon]], Table1[[GameIsOver]:[GameIsOver]],1,Table1[[HomeTeam]:[HomeTeam]],$A25, Table1[[AwayTeam]:[AwayTeam]], I$1, Table1[[ActualResult]:[ActualResult]], "OT") + SUMIFS(Table1[[HomeWon]:[HomeWon]], Table1[[GameIsOver]:[GameIsOver]],1,Table1[[AwayTeam]:[AwayTeam]],$A25, Table1[[HomeTeam]:[HomeTeam]], I$1, Table1[[ActualResult]:[ActualResult]], "SO") + SUMIFS(Table1[[AwayWon]:[AwayWon]], Table1[[GameIsOver]:[GameIsOver]],1,Table1[[HomeTeam]:[HomeTeam]],$A25, Table1[[AwayTeam]:[AwayTeam]], I$1, Table1[[ActualResult]:[ActualResult]], "SO"),0))</f>
        <v>0-0-0</v>
      </c>
      <c r="J25" s="61" t="str">
        <f>_xlfn.CONCAT(TEXT(SUMIFS(Table1[[AwayWon]:[AwayWon]], Table1[[GameIsOver]:[GameIsOver]],1,Table1[[AwayTeam]:[AwayTeam]],$A25, Table1[[HomeTeam]:[HomeTeam]], J$1) + SUMIFS(Table1[[HomeWon]:[HomeWon]], Table1[[GameIsOver]:[GameIsOver]],1,Table1[[HomeTeam]:[HomeTeam]],$A25, Table1[[AwayTeam]:[AwayTeam]], J$1),0), "-", TEXT(SUMIFS(Table1[[HomeWon]:[HomeWon]], Table1[[GameIsOver]:[GameIsOver]],1,Table1[[AwayTeam]:[AwayTeam]],$A25, Table1[[HomeTeam]:[HomeTeam]], J$1, Table1[[ActualResult]:[ActualResult]], "REG") + SUMIFS(Table1[[AwayWon]:[AwayWon]], Table1[[GameIsOver]:[GameIsOver]],1,Table1[[HomeTeam]:[HomeTeam]],$A25, Table1[[AwayTeam]:[AwayTeam]], J$1, Table1[[ActualResult]:[ActualResult]], "REG"),0), "-", TEXT(SUMIFS(Table1[[HomeWon]:[HomeWon]], Table1[[GameIsOver]:[GameIsOver]],1,Table1[[AwayTeam]:[AwayTeam]],$A25, Table1[[HomeTeam]:[HomeTeam]], J$1, Table1[[ActualResult]:[ActualResult]], "OT") + SUMIFS(Table1[[AwayWon]:[AwayWon]], Table1[[GameIsOver]:[GameIsOver]],1,Table1[[HomeTeam]:[HomeTeam]],$A25, Table1[[AwayTeam]:[AwayTeam]], J$1, Table1[[ActualResult]:[ActualResult]], "OT") + SUMIFS(Table1[[HomeWon]:[HomeWon]], Table1[[GameIsOver]:[GameIsOver]],1,Table1[[AwayTeam]:[AwayTeam]],$A25, Table1[[HomeTeam]:[HomeTeam]], J$1, Table1[[ActualResult]:[ActualResult]], "SO") + SUMIFS(Table1[[AwayWon]:[AwayWon]], Table1[[GameIsOver]:[GameIsOver]],1,Table1[[HomeTeam]:[HomeTeam]],$A25, Table1[[AwayTeam]:[AwayTeam]], J$1, Table1[[ActualResult]:[ActualResult]], "SO"),0))</f>
        <v>0-0-0</v>
      </c>
      <c r="K25" s="61" t="str">
        <f>_xlfn.CONCAT(TEXT(SUMIFS(Table1[[AwayWon]:[AwayWon]], Table1[[GameIsOver]:[GameIsOver]],1,Table1[[AwayTeam]:[AwayTeam]],$A25, Table1[[HomeTeam]:[HomeTeam]], K$1) + SUMIFS(Table1[[HomeWon]:[HomeWon]], Table1[[GameIsOver]:[GameIsOver]],1,Table1[[HomeTeam]:[HomeTeam]],$A25, Table1[[AwayTeam]:[AwayTeam]], K$1),0), "-", TEXT(SUMIFS(Table1[[HomeWon]:[HomeWon]], Table1[[GameIsOver]:[GameIsOver]],1,Table1[[AwayTeam]:[AwayTeam]],$A25, Table1[[HomeTeam]:[HomeTeam]], K$1, Table1[[ActualResult]:[ActualResult]], "REG") + SUMIFS(Table1[[AwayWon]:[AwayWon]], Table1[[GameIsOver]:[GameIsOver]],1,Table1[[HomeTeam]:[HomeTeam]],$A25, Table1[[AwayTeam]:[AwayTeam]], K$1, Table1[[ActualResult]:[ActualResult]], "REG"),0), "-", TEXT(SUMIFS(Table1[[HomeWon]:[HomeWon]], Table1[[GameIsOver]:[GameIsOver]],1,Table1[[AwayTeam]:[AwayTeam]],$A25, Table1[[HomeTeam]:[HomeTeam]], K$1, Table1[[ActualResult]:[ActualResult]], "OT") + SUMIFS(Table1[[AwayWon]:[AwayWon]], Table1[[GameIsOver]:[GameIsOver]],1,Table1[[HomeTeam]:[HomeTeam]],$A25, Table1[[AwayTeam]:[AwayTeam]], K$1, Table1[[ActualResult]:[ActualResult]], "OT") + SUMIFS(Table1[[HomeWon]:[HomeWon]], Table1[[GameIsOver]:[GameIsOver]],1,Table1[[AwayTeam]:[AwayTeam]],$A25, Table1[[HomeTeam]:[HomeTeam]], K$1, Table1[[ActualResult]:[ActualResult]], "SO") + SUMIFS(Table1[[AwayWon]:[AwayWon]], Table1[[GameIsOver]:[GameIsOver]],1,Table1[[HomeTeam]:[HomeTeam]],$A25, Table1[[AwayTeam]:[AwayTeam]], K$1, Table1[[ActualResult]:[ActualResult]], "SO"),0))</f>
        <v>1-0-0</v>
      </c>
      <c r="L25" s="61" t="str">
        <f>_xlfn.CONCAT(TEXT(SUMIFS(Table1[[AwayWon]:[AwayWon]], Table1[[GameIsOver]:[GameIsOver]],1,Table1[[AwayTeam]:[AwayTeam]],$A25, Table1[[HomeTeam]:[HomeTeam]], L$1) + SUMIFS(Table1[[HomeWon]:[HomeWon]], Table1[[GameIsOver]:[GameIsOver]],1,Table1[[HomeTeam]:[HomeTeam]],$A25, Table1[[AwayTeam]:[AwayTeam]], L$1),0), "-", TEXT(SUMIFS(Table1[[HomeWon]:[HomeWon]], Table1[[GameIsOver]:[GameIsOver]],1,Table1[[AwayTeam]:[AwayTeam]],$A25, Table1[[HomeTeam]:[HomeTeam]], L$1, Table1[[ActualResult]:[ActualResult]], "REG") + SUMIFS(Table1[[AwayWon]:[AwayWon]], Table1[[GameIsOver]:[GameIsOver]],1,Table1[[HomeTeam]:[HomeTeam]],$A25, Table1[[AwayTeam]:[AwayTeam]], L$1, Table1[[ActualResult]:[ActualResult]], "REG"),0), "-", TEXT(SUMIFS(Table1[[HomeWon]:[HomeWon]], Table1[[GameIsOver]:[GameIsOver]],1,Table1[[AwayTeam]:[AwayTeam]],$A25, Table1[[HomeTeam]:[HomeTeam]], L$1, Table1[[ActualResult]:[ActualResult]], "OT") + SUMIFS(Table1[[AwayWon]:[AwayWon]], Table1[[GameIsOver]:[GameIsOver]],1,Table1[[HomeTeam]:[HomeTeam]],$A25, Table1[[AwayTeam]:[AwayTeam]], L$1, Table1[[ActualResult]:[ActualResult]], "OT") + SUMIFS(Table1[[HomeWon]:[HomeWon]], Table1[[GameIsOver]:[GameIsOver]],1,Table1[[AwayTeam]:[AwayTeam]],$A25, Table1[[HomeTeam]:[HomeTeam]], L$1, Table1[[ActualResult]:[ActualResult]], "SO") + SUMIFS(Table1[[AwayWon]:[AwayWon]], Table1[[GameIsOver]:[GameIsOver]],1,Table1[[HomeTeam]:[HomeTeam]],$A25, Table1[[AwayTeam]:[AwayTeam]], L$1, Table1[[ActualResult]:[ActualResult]], "SO"),0))</f>
        <v>0-0-0</v>
      </c>
      <c r="M25" s="61" t="str">
        <f>_xlfn.CONCAT(TEXT(SUMIFS(Table1[[AwayWon]:[AwayWon]], Table1[[GameIsOver]:[GameIsOver]],1,Table1[[AwayTeam]:[AwayTeam]],$A25, Table1[[HomeTeam]:[HomeTeam]], M$1) + SUMIFS(Table1[[HomeWon]:[HomeWon]], Table1[[GameIsOver]:[GameIsOver]],1,Table1[[HomeTeam]:[HomeTeam]],$A25, Table1[[AwayTeam]:[AwayTeam]], M$1),0), "-", TEXT(SUMIFS(Table1[[HomeWon]:[HomeWon]], Table1[[GameIsOver]:[GameIsOver]],1,Table1[[AwayTeam]:[AwayTeam]],$A25, Table1[[HomeTeam]:[HomeTeam]], M$1, Table1[[ActualResult]:[ActualResult]], "REG") + SUMIFS(Table1[[AwayWon]:[AwayWon]], Table1[[GameIsOver]:[GameIsOver]],1,Table1[[HomeTeam]:[HomeTeam]],$A25, Table1[[AwayTeam]:[AwayTeam]], M$1, Table1[[ActualResult]:[ActualResult]], "REG"),0), "-", TEXT(SUMIFS(Table1[[HomeWon]:[HomeWon]], Table1[[GameIsOver]:[GameIsOver]],1,Table1[[AwayTeam]:[AwayTeam]],$A25, Table1[[HomeTeam]:[HomeTeam]], M$1, Table1[[ActualResult]:[ActualResult]], "OT") + SUMIFS(Table1[[AwayWon]:[AwayWon]], Table1[[GameIsOver]:[GameIsOver]],1,Table1[[HomeTeam]:[HomeTeam]],$A25, Table1[[AwayTeam]:[AwayTeam]], M$1, Table1[[ActualResult]:[ActualResult]], "OT") + SUMIFS(Table1[[HomeWon]:[HomeWon]], Table1[[GameIsOver]:[GameIsOver]],1,Table1[[AwayTeam]:[AwayTeam]],$A25, Table1[[HomeTeam]:[HomeTeam]], M$1, Table1[[ActualResult]:[ActualResult]], "SO") + SUMIFS(Table1[[AwayWon]:[AwayWon]], Table1[[GameIsOver]:[GameIsOver]],1,Table1[[HomeTeam]:[HomeTeam]],$A25, Table1[[AwayTeam]:[AwayTeam]], M$1, Table1[[ActualResult]:[ActualResult]], "SO"),0))</f>
        <v>0-0-0</v>
      </c>
      <c r="N25" s="61" t="str">
        <f>_xlfn.CONCAT(TEXT(SUMIFS(Table1[[AwayWon]:[AwayWon]], Table1[[GameIsOver]:[GameIsOver]],1,Table1[[AwayTeam]:[AwayTeam]],$A25, Table1[[HomeTeam]:[HomeTeam]], N$1) + SUMIFS(Table1[[HomeWon]:[HomeWon]], Table1[[GameIsOver]:[GameIsOver]],1,Table1[[HomeTeam]:[HomeTeam]],$A25, Table1[[AwayTeam]:[AwayTeam]], N$1),0), "-", TEXT(SUMIFS(Table1[[HomeWon]:[HomeWon]], Table1[[GameIsOver]:[GameIsOver]],1,Table1[[AwayTeam]:[AwayTeam]],$A25, Table1[[HomeTeam]:[HomeTeam]], N$1, Table1[[ActualResult]:[ActualResult]], "REG") + SUMIFS(Table1[[AwayWon]:[AwayWon]], Table1[[GameIsOver]:[GameIsOver]],1,Table1[[HomeTeam]:[HomeTeam]],$A25, Table1[[AwayTeam]:[AwayTeam]], N$1, Table1[[ActualResult]:[ActualResult]], "REG"),0), "-", TEXT(SUMIFS(Table1[[HomeWon]:[HomeWon]], Table1[[GameIsOver]:[GameIsOver]],1,Table1[[AwayTeam]:[AwayTeam]],$A25, Table1[[HomeTeam]:[HomeTeam]], N$1, Table1[[ActualResult]:[ActualResult]], "OT") + SUMIFS(Table1[[AwayWon]:[AwayWon]], Table1[[GameIsOver]:[GameIsOver]],1,Table1[[HomeTeam]:[HomeTeam]],$A25, Table1[[AwayTeam]:[AwayTeam]], N$1, Table1[[ActualResult]:[ActualResult]], "OT") + SUMIFS(Table1[[HomeWon]:[HomeWon]], Table1[[GameIsOver]:[GameIsOver]],1,Table1[[AwayTeam]:[AwayTeam]],$A25, Table1[[HomeTeam]:[HomeTeam]], N$1, Table1[[ActualResult]:[ActualResult]], "SO") + SUMIFS(Table1[[AwayWon]:[AwayWon]], Table1[[GameIsOver]:[GameIsOver]],1,Table1[[HomeTeam]:[HomeTeam]],$A25, Table1[[AwayTeam]:[AwayTeam]], N$1, Table1[[ActualResult]:[ActualResult]], "SO"),0))</f>
        <v>0-0-0</v>
      </c>
      <c r="O25" s="61" t="str">
        <f>_xlfn.CONCAT(TEXT(SUMIFS(Table1[[AwayWon]:[AwayWon]], Table1[[GameIsOver]:[GameIsOver]],1,Table1[[AwayTeam]:[AwayTeam]],$A25, Table1[[HomeTeam]:[HomeTeam]], O$1) + SUMIFS(Table1[[HomeWon]:[HomeWon]], Table1[[GameIsOver]:[GameIsOver]],1,Table1[[HomeTeam]:[HomeTeam]],$A25, Table1[[AwayTeam]:[AwayTeam]], O$1),0), "-", TEXT(SUMIFS(Table1[[HomeWon]:[HomeWon]], Table1[[GameIsOver]:[GameIsOver]],1,Table1[[AwayTeam]:[AwayTeam]],$A25, Table1[[HomeTeam]:[HomeTeam]], O$1, Table1[[ActualResult]:[ActualResult]], "REG") + SUMIFS(Table1[[AwayWon]:[AwayWon]], Table1[[GameIsOver]:[GameIsOver]],1,Table1[[HomeTeam]:[HomeTeam]],$A25, Table1[[AwayTeam]:[AwayTeam]], O$1, Table1[[ActualResult]:[ActualResult]], "REG"),0), "-", TEXT(SUMIFS(Table1[[HomeWon]:[HomeWon]], Table1[[GameIsOver]:[GameIsOver]],1,Table1[[AwayTeam]:[AwayTeam]],$A25, Table1[[HomeTeam]:[HomeTeam]], O$1, Table1[[ActualResult]:[ActualResult]], "OT") + SUMIFS(Table1[[AwayWon]:[AwayWon]], Table1[[GameIsOver]:[GameIsOver]],1,Table1[[HomeTeam]:[HomeTeam]],$A25, Table1[[AwayTeam]:[AwayTeam]], O$1, Table1[[ActualResult]:[ActualResult]], "OT") + SUMIFS(Table1[[HomeWon]:[HomeWon]], Table1[[GameIsOver]:[GameIsOver]],1,Table1[[AwayTeam]:[AwayTeam]],$A25, Table1[[HomeTeam]:[HomeTeam]], O$1, Table1[[ActualResult]:[ActualResult]], "SO") + SUMIFS(Table1[[AwayWon]:[AwayWon]], Table1[[GameIsOver]:[GameIsOver]],1,Table1[[HomeTeam]:[HomeTeam]],$A25, Table1[[AwayTeam]:[AwayTeam]], O$1, Table1[[ActualResult]:[ActualResult]], "SO"),0))</f>
        <v>0-0-0</v>
      </c>
      <c r="P25" s="61" t="str">
        <f>_xlfn.CONCAT(TEXT(SUMIFS(Table1[[AwayWon]:[AwayWon]], Table1[[GameIsOver]:[GameIsOver]],1,Table1[[AwayTeam]:[AwayTeam]],$A25, Table1[[HomeTeam]:[HomeTeam]], P$1) + SUMIFS(Table1[[HomeWon]:[HomeWon]], Table1[[GameIsOver]:[GameIsOver]],1,Table1[[HomeTeam]:[HomeTeam]],$A25, Table1[[AwayTeam]:[AwayTeam]], P$1),0), "-", TEXT(SUMIFS(Table1[[HomeWon]:[HomeWon]], Table1[[GameIsOver]:[GameIsOver]],1,Table1[[AwayTeam]:[AwayTeam]],$A25, Table1[[HomeTeam]:[HomeTeam]], P$1, Table1[[ActualResult]:[ActualResult]], "REG") + SUMIFS(Table1[[AwayWon]:[AwayWon]], Table1[[GameIsOver]:[GameIsOver]],1,Table1[[HomeTeam]:[HomeTeam]],$A25, Table1[[AwayTeam]:[AwayTeam]], P$1, Table1[[ActualResult]:[ActualResult]], "REG"),0), "-", TEXT(SUMIFS(Table1[[HomeWon]:[HomeWon]], Table1[[GameIsOver]:[GameIsOver]],1,Table1[[AwayTeam]:[AwayTeam]],$A25, Table1[[HomeTeam]:[HomeTeam]], P$1, Table1[[ActualResult]:[ActualResult]], "OT") + SUMIFS(Table1[[AwayWon]:[AwayWon]], Table1[[GameIsOver]:[GameIsOver]],1,Table1[[HomeTeam]:[HomeTeam]],$A25, Table1[[AwayTeam]:[AwayTeam]], P$1, Table1[[ActualResult]:[ActualResult]], "OT") + SUMIFS(Table1[[HomeWon]:[HomeWon]], Table1[[GameIsOver]:[GameIsOver]],1,Table1[[AwayTeam]:[AwayTeam]],$A25, Table1[[HomeTeam]:[HomeTeam]], P$1, Table1[[ActualResult]:[ActualResult]], "SO") + SUMIFS(Table1[[AwayWon]:[AwayWon]], Table1[[GameIsOver]:[GameIsOver]],1,Table1[[HomeTeam]:[HomeTeam]],$A25, Table1[[AwayTeam]:[AwayTeam]], P$1, Table1[[ActualResult]:[ActualResult]], "SO"),0))</f>
        <v>0-0-0</v>
      </c>
      <c r="Q25" s="62" t="str">
        <f>_xlfn.CONCAT(TEXT(SUMIFS(Table1[[AwayWon]:[AwayWon]], Table1[[GameIsOver]:[GameIsOver]],1,Table1[[AwayTeam]:[AwayTeam]],$A25, Table1[[HomeTeam]:[HomeTeam]], Q$1) + SUMIFS(Table1[[HomeWon]:[HomeWon]], Table1[[GameIsOver]:[GameIsOver]],1,Table1[[HomeTeam]:[HomeTeam]],$A25, Table1[[AwayTeam]:[AwayTeam]], Q$1),0), "-", TEXT(SUMIFS(Table1[[HomeWon]:[HomeWon]], Table1[[GameIsOver]:[GameIsOver]],1,Table1[[AwayTeam]:[AwayTeam]],$A25, Table1[[HomeTeam]:[HomeTeam]], Q$1, Table1[[ActualResult]:[ActualResult]], "REG") + SUMIFS(Table1[[AwayWon]:[AwayWon]], Table1[[GameIsOver]:[GameIsOver]],1,Table1[[HomeTeam]:[HomeTeam]],$A25, Table1[[AwayTeam]:[AwayTeam]], Q$1, Table1[[ActualResult]:[ActualResult]], "REG"),0), "-", TEXT(SUMIFS(Table1[[HomeWon]:[HomeWon]], Table1[[GameIsOver]:[GameIsOver]],1,Table1[[AwayTeam]:[AwayTeam]],$A25, Table1[[HomeTeam]:[HomeTeam]], Q$1, Table1[[ActualResult]:[ActualResult]], "OT") + SUMIFS(Table1[[AwayWon]:[AwayWon]], Table1[[GameIsOver]:[GameIsOver]],1,Table1[[HomeTeam]:[HomeTeam]],$A25, Table1[[AwayTeam]:[AwayTeam]], Q$1, Table1[[ActualResult]:[ActualResult]], "OT") + SUMIFS(Table1[[HomeWon]:[HomeWon]], Table1[[GameIsOver]:[GameIsOver]],1,Table1[[AwayTeam]:[AwayTeam]],$A25, Table1[[HomeTeam]:[HomeTeam]], Q$1, Table1[[ActualResult]:[ActualResult]], "SO") + SUMIFS(Table1[[AwayWon]:[AwayWon]], Table1[[GameIsOver]:[GameIsOver]],1,Table1[[HomeTeam]:[HomeTeam]],$A25, Table1[[AwayTeam]:[AwayTeam]], Q$1, Table1[[ActualResult]:[ActualResult]], "SO"),0))</f>
        <v>0-0-0</v>
      </c>
      <c r="R25" s="61" t="str">
        <f>_xlfn.CONCAT(TEXT(SUMIFS(Table1[[AwayWon]:[AwayWon]], Table1[[GameIsOver]:[GameIsOver]],1,Table1[[AwayTeam]:[AwayTeam]],$A25, Table1[[HomeTeam]:[HomeTeam]], R$1) + SUMIFS(Table1[[HomeWon]:[HomeWon]], Table1[[GameIsOver]:[GameIsOver]],1,Table1[[HomeTeam]:[HomeTeam]],$A25, Table1[[AwayTeam]:[AwayTeam]], R$1),0), "-", TEXT(SUMIFS(Table1[[HomeWon]:[HomeWon]], Table1[[GameIsOver]:[GameIsOver]],1,Table1[[AwayTeam]:[AwayTeam]],$A25, Table1[[HomeTeam]:[HomeTeam]], R$1, Table1[[ActualResult]:[ActualResult]], "REG") + SUMIFS(Table1[[AwayWon]:[AwayWon]], Table1[[GameIsOver]:[GameIsOver]],1,Table1[[HomeTeam]:[HomeTeam]],$A25, Table1[[AwayTeam]:[AwayTeam]], R$1, Table1[[ActualResult]:[ActualResult]], "REG"),0), "-", TEXT(SUMIFS(Table1[[HomeWon]:[HomeWon]], Table1[[GameIsOver]:[GameIsOver]],1,Table1[[AwayTeam]:[AwayTeam]],$A25, Table1[[HomeTeam]:[HomeTeam]], R$1, Table1[[ActualResult]:[ActualResult]], "OT") + SUMIFS(Table1[[AwayWon]:[AwayWon]], Table1[[GameIsOver]:[GameIsOver]],1,Table1[[HomeTeam]:[HomeTeam]],$A25, Table1[[AwayTeam]:[AwayTeam]], R$1, Table1[[ActualResult]:[ActualResult]], "OT") + SUMIFS(Table1[[HomeWon]:[HomeWon]], Table1[[GameIsOver]:[GameIsOver]],1,Table1[[AwayTeam]:[AwayTeam]],$A25, Table1[[HomeTeam]:[HomeTeam]], R$1, Table1[[ActualResult]:[ActualResult]], "SO") + SUMIFS(Table1[[AwayWon]:[AwayWon]], Table1[[GameIsOver]:[GameIsOver]],1,Table1[[HomeTeam]:[HomeTeam]],$A25, Table1[[AwayTeam]:[AwayTeam]], R$1, Table1[[ActualResult]:[ActualResult]], "SO"),0))</f>
        <v>0-0-0</v>
      </c>
      <c r="S25" s="61" t="str">
        <f>_xlfn.CONCAT(TEXT(SUMIFS(Table1[[AwayWon]:[AwayWon]], Table1[[GameIsOver]:[GameIsOver]],1,Table1[[AwayTeam]:[AwayTeam]],$A25, Table1[[HomeTeam]:[HomeTeam]], S$1) + SUMIFS(Table1[[HomeWon]:[HomeWon]], Table1[[GameIsOver]:[GameIsOver]],1,Table1[[HomeTeam]:[HomeTeam]],$A25, Table1[[AwayTeam]:[AwayTeam]], S$1),0), "-", TEXT(SUMIFS(Table1[[HomeWon]:[HomeWon]], Table1[[GameIsOver]:[GameIsOver]],1,Table1[[AwayTeam]:[AwayTeam]],$A25, Table1[[HomeTeam]:[HomeTeam]], S$1, Table1[[ActualResult]:[ActualResult]], "REG") + SUMIFS(Table1[[AwayWon]:[AwayWon]], Table1[[GameIsOver]:[GameIsOver]],1,Table1[[HomeTeam]:[HomeTeam]],$A25, Table1[[AwayTeam]:[AwayTeam]], S$1, Table1[[ActualResult]:[ActualResult]], "REG"),0), "-", TEXT(SUMIFS(Table1[[HomeWon]:[HomeWon]], Table1[[GameIsOver]:[GameIsOver]],1,Table1[[AwayTeam]:[AwayTeam]],$A25, Table1[[HomeTeam]:[HomeTeam]], S$1, Table1[[ActualResult]:[ActualResult]], "OT") + SUMIFS(Table1[[AwayWon]:[AwayWon]], Table1[[GameIsOver]:[GameIsOver]],1,Table1[[HomeTeam]:[HomeTeam]],$A25, Table1[[AwayTeam]:[AwayTeam]], S$1, Table1[[ActualResult]:[ActualResult]], "OT") + SUMIFS(Table1[[HomeWon]:[HomeWon]], Table1[[GameIsOver]:[GameIsOver]],1,Table1[[AwayTeam]:[AwayTeam]],$A25, Table1[[HomeTeam]:[HomeTeam]], S$1, Table1[[ActualResult]:[ActualResult]], "SO") + SUMIFS(Table1[[AwayWon]:[AwayWon]], Table1[[GameIsOver]:[GameIsOver]],1,Table1[[HomeTeam]:[HomeTeam]],$A25, Table1[[AwayTeam]:[AwayTeam]], S$1, Table1[[ActualResult]:[ActualResult]], "SO"),0))</f>
        <v>0-0-0</v>
      </c>
      <c r="T25" s="61" t="str">
        <f>_xlfn.CONCAT(TEXT(SUMIFS(Table1[[AwayWon]:[AwayWon]], Table1[[GameIsOver]:[GameIsOver]],1,Table1[[AwayTeam]:[AwayTeam]],$A25, Table1[[HomeTeam]:[HomeTeam]], T$1) + SUMIFS(Table1[[HomeWon]:[HomeWon]], Table1[[GameIsOver]:[GameIsOver]],1,Table1[[HomeTeam]:[HomeTeam]],$A25, Table1[[AwayTeam]:[AwayTeam]], T$1),0), "-", TEXT(SUMIFS(Table1[[HomeWon]:[HomeWon]], Table1[[GameIsOver]:[GameIsOver]],1,Table1[[AwayTeam]:[AwayTeam]],$A25, Table1[[HomeTeam]:[HomeTeam]], T$1, Table1[[ActualResult]:[ActualResult]], "REG") + SUMIFS(Table1[[AwayWon]:[AwayWon]], Table1[[GameIsOver]:[GameIsOver]],1,Table1[[HomeTeam]:[HomeTeam]],$A25, Table1[[AwayTeam]:[AwayTeam]], T$1, Table1[[ActualResult]:[ActualResult]], "REG"),0), "-", TEXT(SUMIFS(Table1[[HomeWon]:[HomeWon]], Table1[[GameIsOver]:[GameIsOver]],1,Table1[[AwayTeam]:[AwayTeam]],$A25, Table1[[HomeTeam]:[HomeTeam]], T$1, Table1[[ActualResult]:[ActualResult]], "OT") + SUMIFS(Table1[[AwayWon]:[AwayWon]], Table1[[GameIsOver]:[GameIsOver]],1,Table1[[HomeTeam]:[HomeTeam]],$A25, Table1[[AwayTeam]:[AwayTeam]], T$1, Table1[[ActualResult]:[ActualResult]], "OT") + SUMIFS(Table1[[HomeWon]:[HomeWon]], Table1[[GameIsOver]:[GameIsOver]],1,Table1[[AwayTeam]:[AwayTeam]],$A25, Table1[[HomeTeam]:[HomeTeam]], T$1, Table1[[ActualResult]:[ActualResult]], "SO") + SUMIFS(Table1[[AwayWon]:[AwayWon]], Table1[[GameIsOver]:[GameIsOver]],1,Table1[[HomeTeam]:[HomeTeam]],$A25, Table1[[AwayTeam]:[AwayTeam]], T$1, Table1[[ActualResult]:[ActualResult]], "SO"),0))</f>
        <v>0-0-0</v>
      </c>
      <c r="U25" s="61" t="str">
        <f>_xlfn.CONCAT(TEXT(SUMIFS(Table1[[AwayWon]:[AwayWon]], Table1[[GameIsOver]:[GameIsOver]],1,Table1[[AwayTeam]:[AwayTeam]],$A25, Table1[[HomeTeam]:[HomeTeam]], U$1) + SUMIFS(Table1[[HomeWon]:[HomeWon]], Table1[[GameIsOver]:[GameIsOver]],1,Table1[[HomeTeam]:[HomeTeam]],$A25, Table1[[AwayTeam]:[AwayTeam]], U$1),0), "-", TEXT(SUMIFS(Table1[[HomeWon]:[HomeWon]], Table1[[GameIsOver]:[GameIsOver]],1,Table1[[AwayTeam]:[AwayTeam]],$A25, Table1[[HomeTeam]:[HomeTeam]], U$1, Table1[[ActualResult]:[ActualResult]], "REG") + SUMIFS(Table1[[AwayWon]:[AwayWon]], Table1[[GameIsOver]:[GameIsOver]],1,Table1[[HomeTeam]:[HomeTeam]],$A25, Table1[[AwayTeam]:[AwayTeam]], U$1, Table1[[ActualResult]:[ActualResult]], "REG"),0), "-", TEXT(SUMIFS(Table1[[HomeWon]:[HomeWon]], Table1[[GameIsOver]:[GameIsOver]],1,Table1[[AwayTeam]:[AwayTeam]],$A25, Table1[[HomeTeam]:[HomeTeam]], U$1, Table1[[ActualResult]:[ActualResult]], "OT") + SUMIFS(Table1[[AwayWon]:[AwayWon]], Table1[[GameIsOver]:[GameIsOver]],1,Table1[[HomeTeam]:[HomeTeam]],$A25, Table1[[AwayTeam]:[AwayTeam]], U$1, Table1[[ActualResult]:[ActualResult]], "OT") + SUMIFS(Table1[[HomeWon]:[HomeWon]], Table1[[GameIsOver]:[GameIsOver]],1,Table1[[AwayTeam]:[AwayTeam]],$A25, Table1[[HomeTeam]:[HomeTeam]], U$1, Table1[[ActualResult]:[ActualResult]], "SO") + SUMIFS(Table1[[AwayWon]:[AwayWon]], Table1[[GameIsOver]:[GameIsOver]],1,Table1[[HomeTeam]:[HomeTeam]],$A25, Table1[[AwayTeam]:[AwayTeam]], U$1, Table1[[ActualResult]:[ActualResult]], "SO"),0))</f>
        <v>0-0-0</v>
      </c>
      <c r="V25" s="61" t="str">
        <f>_xlfn.CONCAT(TEXT(SUMIFS(Table1[[AwayWon]:[AwayWon]], Table1[[GameIsOver]:[GameIsOver]],1,Table1[[AwayTeam]:[AwayTeam]],$A25, Table1[[HomeTeam]:[HomeTeam]], V$1) + SUMIFS(Table1[[HomeWon]:[HomeWon]], Table1[[GameIsOver]:[GameIsOver]],1,Table1[[HomeTeam]:[HomeTeam]],$A25, Table1[[AwayTeam]:[AwayTeam]], V$1),0), "-", TEXT(SUMIFS(Table1[[HomeWon]:[HomeWon]], Table1[[GameIsOver]:[GameIsOver]],1,Table1[[AwayTeam]:[AwayTeam]],$A25, Table1[[HomeTeam]:[HomeTeam]], V$1, Table1[[ActualResult]:[ActualResult]], "REG") + SUMIFS(Table1[[AwayWon]:[AwayWon]], Table1[[GameIsOver]:[GameIsOver]],1,Table1[[HomeTeam]:[HomeTeam]],$A25, Table1[[AwayTeam]:[AwayTeam]], V$1, Table1[[ActualResult]:[ActualResult]], "REG"),0), "-", TEXT(SUMIFS(Table1[[HomeWon]:[HomeWon]], Table1[[GameIsOver]:[GameIsOver]],1,Table1[[AwayTeam]:[AwayTeam]],$A25, Table1[[HomeTeam]:[HomeTeam]], V$1, Table1[[ActualResult]:[ActualResult]], "OT") + SUMIFS(Table1[[AwayWon]:[AwayWon]], Table1[[GameIsOver]:[GameIsOver]],1,Table1[[HomeTeam]:[HomeTeam]],$A25, Table1[[AwayTeam]:[AwayTeam]], V$1, Table1[[ActualResult]:[ActualResult]], "OT") + SUMIFS(Table1[[HomeWon]:[HomeWon]], Table1[[GameIsOver]:[GameIsOver]],1,Table1[[AwayTeam]:[AwayTeam]],$A25, Table1[[HomeTeam]:[HomeTeam]], V$1, Table1[[ActualResult]:[ActualResult]], "SO") + SUMIFS(Table1[[AwayWon]:[AwayWon]], Table1[[GameIsOver]:[GameIsOver]],1,Table1[[HomeTeam]:[HomeTeam]],$A25, Table1[[AwayTeam]:[AwayTeam]], V$1, Table1[[ActualResult]:[ActualResult]], "SO"),0))</f>
        <v>0-0-0</v>
      </c>
      <c r="W25" s="61" t="str">
        <f>_xlfn.CONCAT(TEXT(SUMIFS(Table1[[AwayWon]:[AwayWon]], Table1[[GameIsOver]:[GameIsOver]],1,Table1[[AwayTeam]:[AwayTeam]],$A25, Table1[[HomeTeam]:[HomeTeam]], W$1) + SUMIFS(Table1[[HomeWon]:[HomeWon]], Table1[[GameIsOver]:[GameIsOver]],1,Table1[[HomeTeam]:[HomeTeam]],$A25, Table1[[AwayTeam]:[AwayTeam]], W$1),0), "-", TEXT(SUMIFS(Table1[[HomeWon]:[HomeWon]], Table1[[GameIsOver]:[GameIsOver]],1,Table1[[AwayTeam]:[AwayTeam]],$A25, Table1[[HomeTeam]:[HomeTeam]], W$1, Table1[[ActualResult]:[ActualResult]], "REG") + SUMIFS(Table1[[AwayWon]:[AwayWon]], Table1[[GameIsOver]:[GameIsOver]],1,Table1[[HomeTeam]:[HomeTeam]],$A25, Table1[[AwayTeam]:[AwayTeam]], W$1, Table1[[ActualResult]:[ActualResult]], "REG"),0), "-", TEXT(SUMIFS(Table1[[HomeWon]:[HomeWon]], Table1[[GameIsOver]:[GameIsOver]],1,Table1[[AwayTeam]:[AwayTeam]],$A25, Table1[[HomeTeam]:[HomeTeam]], W$1, Table1[[ActualResult]:[ActualResult]], "OT") + SUMIFS(Table1[[AwayWon]:[AwayWon]], Table1[[GameIsOver]:[GameIsOver]],1,Table1[[HomeTeam]:[HomeTeam]],$A25, Table1[[AwayTeam]:[AwayTeam]], W$1, Table1[[ActualResult]:[ActualResult]], "OT") + SUMIFS(Table1[[HomeWon]:[HomeWon]], Table1[[GameIsOver]:[GameIsOver]],1,Table1[[AwayTeam]:[AwayTeam]],$A25, Table1[[HomeTeam]:[HomeTeam]], W$1, Table1[[ActualResult]:[ActualResult]], "SO") + SUMIFS(Table1[[AwayWon]:[AwayWon]], Table1[[GameIsOver]:[GameIsOver]],1,Table1[[HomeTeam]:[HomeTeam]],$A25, Table1[[AwayTeam]:[AwayTeam]], W$1, Table1[[ActualResult]:[ActualResult]], "SO"),0))</f>
        <v>0-0-0</v>
      </c>
      <c r="X25" s="61" t="str">
        <f>_xlfn.CONCAT(TEXT(SUMIFS(Table1[[AwayWon]:[AwayWon]], Table1[[GameIsOver]:[GameIsOver]],1,Table1[[AwayTeam]:[AwayTeam]],$A25, Table1[[HomeTeam]:[HomeTeam]], X$1) + SUMIFS(Table1[[HomeWon]:[HomeWon]], Table1[[GameIsOver]:[GameIsOver]],1,Table1[[HomeTeam]:[HomeTeam]],$A25, Table1[[AwayTeam]:[AwayTeam]], X$1),0), "-", TEXT(SUMIFS(Table1[[HomeWon]:[HomeWon]], Table1[[GameIsOver]:[GameIsOver]],1,Table1[[AwayTeam]:[AwayTeam]],$A25, Table1[[HomeTeam]:[HomeTeam]], X$1, Table1[[ActualResult]:[ActualResult]], "REG") + SUMIFS(Table1[[AwayWon]:[AwayWon]], Table1[[GameIsOver]:[GameIsOver]],1,Table1[[HomeTeam]:[HomeTeam]],$A25, Table1[[AwayTeam]:[AwayTeam]], X$1, Table1[[ActualResult]:[ActualResult]], "REG"),0), "-", TEXT(SUMIFS(Table1[[HomeWon]:[HomeWon]], Table1[[GameIsOver]:[GameIsOver]],1,Table1[[AwayTeam]:[AwayTeam]],$A25, Table1[[HomeTeam]:[HomeTeam]], X$1, Table1[[ActualResult]:[ActualResult]], "OT") + SUMIFS(Table1[[AwayWon]:[AwayWon]], Table1[[GameIsOver]:[GameIsOver]],1,Table1[[HomeTeam]:[HomeTeam]],$A25, Table1[[AwayTeam]:[AwayTeam]], X$1, Table1[[ActualResult]:[ActualResult]], "OT") + SUMIFS(Table1[[HomeWon]:[HomeWon]], Table1[[GameIsOver]:[GameIsOver]],1,Table1[[AwayTeam]:[AwayTeam]],$A25, Table1[[HomeTeam]:[HomeTeam]], X$1, Table1[[ActualResult]:[ActualResult]], "SO") + SUMIFS(Table1[[AwayWon]:[AwayWon]], Table1[[GameIsOver]:[GameIsOver]],1,Table1[[HomeTeam]:[HomeTeam]],$A25, Table1[[AwayTeam]:[AwayTeam]], X$1, Table1[[ActualResult]:[ActualResult]], "SO"),0))</f>
        <v>0-0-0</v>
      </c>
      <c r="Y25" s="62" t="str">
        <f>_xlfn.CONCAT(TEXT(SUMIFS(Table1[[AwayWon]:[AwayWon]], Table1[[GameIsOver]:[GameIsOver]],1,Table1[[AwayTeam]:[AwayTeam]],$A25, Table1[[HomeTeam]:[HomeTeam]], Y$1) + SUMIFS(Table1[[HomeWon]:[HomeWon]], Table1[[GameIsOver]:[GameIsOver]],1,Table1[[HomeTeam]:[HomeTeam]],$A25, Table1[[AwayTeam]:[AwayTeam]], Y$1),0), "-", TEXT(SUMIFS(Table1[[HomeWon]:[HomeWon]], Table1[[GameIsOver]:[GameIsOver]],1,Table1[[AwayTeam]:[AwayTeam]],$A25, Table1[[HomeTeam]:[HomeTeam]], Y$1, Table1[[ActualResult]:[ActualResult]], "REG") + SUMIFS(Table1[[AwayWon]:[AwayWon]], Table1[[GameIsOver]:[GameIsOver]],1,Table1[[HomeTeam]:[HomeTeam]],$A25, Table1[[AwayTeam]:[AwayTeam]], Y$1, Table1[[ActualResult]:[ActualResult]], "REG"),0), "-", TEXT(SUMIFS(Table1[[HomeWon]:[HomeWon]], Table1[[GameIsOver]:[GameIsOver]],1,Table1[[AwayTeam]:[AwayTeam]],$A25, Table1[[HomeTeam]:[HomeTeam]], Y$1, Table1[[ActualResult]:[ActualResult]], "OT") + SUMIFS(Table1[[AwayWon]:[AwayWon]], Table1[[GameIsOver]:[GameIsOver]],1,Table1[[HomeTeam]:[HomeTeam]],$A25, Table1[[AwayTeam]:[AwayTeam]], Y$1, Table1[[ActualResult]:[ActualResult]], "OT") + SUMIFS(Table1[[HomeWon]:[HomeWon]], Table1[[GameIsOver]:[GameIsOver]],1,Table1[[AwayTeam]:[AwayTeam]],$A25, Table1[[HomeTeam]:[HomeTeam]], Y$1, Table1[[ActualResult]:[ActualResult]], "SO") + SUMIFS(Table1[[AwayWon]:[AwayWon]], Table1[[GameIsOver]:[GameIsOver]],1,Table1[[HomeTeam]:[HomeTeam]],$A25, Table1[[AwayTeam]:[AwayTeam]], Y$1, Table1[[ActualResult]:[ActualResult]], "SO"),0))</f>
        <v>0-0-0</v>
      </c>
      <c r="Z25" s="61" t="str">
        <f>_xlfn.CONCAT(TEXT(SUMIFS(Table1[[AwayWon]:[AwayWon]], Table1[[GameIsOver]:[GameIsOver]],1,Table1[[AwayTeam]:[AwayTeam]],$A25, Table1[[HomeTeam]:[HomeTeam]], Z$1) + SUMIFS(Table1[[HomeWon]:[HomeWon]], Table1[[GameIsOver]:[GameIsOver]],1,Table1[[HomeTeam]:[HomeTeam]],$A25, Table1[[AwayTeam]:[AwayTeam]], Z$1),0), "-", TEXT(SUMIFS(Table1[[HomeWon]:[HomeWon]], Table1[[GameIsOver]:[GameIsOver]],1,Table1[[AwayTeam]:[AwayTeam]],$A25, Table1[[HomeTeam]:[HomeTeam]], Z$1, Table1[[ActualResult]:[ActualResult]], "REG") + SUMIFS(Table1[[AwayWon]:[AwayWon]], Table1[[GameIsOver]:[GameIsOver]],1,Table1[[HomeTeam]:[HomeTeam]],$A25, Table1[[AwayTeam]:[AwayTeam]], Z$1, Table1[[ActualResult]:[ActualResult]], "REG"),0), "-", TEXT(SUMIFS(Table1[[HomeWon]:[HomeWon]], Table1[[GameIsOver]:[GameIsOver]],1,Table1[[AwayTeam]:[AwayTeam]],$A25, Table1[[HomeTeam]:[HomeTeam]], Z$1, Table1[[ActualResult]:[ActualResult]], "OT") + SUMIFS(Table1[[AwayWon]:[AwayWon]], Table1[[GameIsOver]:[GameIsOver]],1,Table1[[HomeTeam]:[HomeTeam]],$A25, Table1[[AwayTeam]:[AwayTeam]], Z$1, Table1[[ActualResult]:[ActualResult]], "OT") + SUMIFS(Table1[[HomeWon]:[HomeWon]], Table1[[GameIsOver]:[GameIsOver]],1,Table1[[AwayTeam]:[AwayTeam]],$A25, Table1[[HomeTeam]:[HomeTeam]], Z$1, Table1[[ActualResult]:[ActualResult]], "SO") + SUMIFS(Table1[[AwayWon]:[AwayWon]], Table1[[GameIsOver]:[GameIsOver]],1,Table1[[HomeTeam]:[HomeTeam]],$A25, Table1[[AwayTeam]:[AwayTeam]], Z$1, Table1[[ActualResult]:[ActualResult]], "SO"),0))</f>
        <v>0-0-0</v>
      </c>
      <c r="AA25" s="61" t="str">
        <f>_xlfn.CONCAT(TEXT(SUMIFS(Table1[[AwayWon]:[AwayWon]], Table1[[GameIsOver]:[GameIsOver]],1,Table1[[AwayTeam]:[AwayTeam]],$A25, Table1[[HomeTeam]:[HomeTeam]], AA$1) + SUMIFS(Table1[[HomeWon]:[HomeWon]], Table1[[GameIsOver]:[GameIsOver]],1,Table1[[HomeTeam]:[HomeTeam]],$A25, Table1[[AwayTeam]:[AwayTeam]], AA$1),0), "-", TEXT(SUMIFS(Table1[[HomeWon]:[HomeWon]], Table1[[GameIsOver]:[GameIsOver]],1,Table1[[AwayTeam]:[AwayTeam]],$A25, Table1[[HomeTeam]:[HomeTeam]], AA$1, Table1[[ActualResult]:[ActualResult]], "REG") + SUMIFS(Table1[[AwayWon]:[AwayWon]], Table1[[GameIsOver]:[GameIsOver]],1,Table1[[HomeTeam]:[HomeTeam]],$A25, Table1[[AwayTeam]:[AwayTeam]], AA$1, Table1[[ActualResult]:[ActualResult]], "REG"),0), "-", TEXT(SUMIFS(Table1[[HomeWon]:[HomeWon]], Table1[[GameIsOver]:[GameIsOver]],1,Table1[[AwayTeam]:[AwayTeam]],$A25, Table1[[HomeTeam]:[HomeTeam]], AA$1, Table1[[ActualResult]:[ActualResult]], "OT") + SUMIFS(Table1[[AwayWon]:[AwayWon]], Table1[[GameIsOver]:[GameIsOver]],1,Table1[[HomeTeam]:[HomeTeam]],$A25, Table1[[AwayTeam]:[AwayTeam]], AA$1, Table1[[ActualResult]:[ActualResult]], "OT") + SUMIFS(Table1[[HomeWon]:[HomeWon]], Table1[[GameIsOver]:[GameIsOver]],1,Table1[[AwayTeam]:[AwayTeam]],$A25, Table1[[HomeTeam]:[HomeTeam]], AA$1, Table1[[ActualResult]:[ActualResult]], "SO") + SUMIFS(Table1[[AwayWon]:[AwayWon]], Table1[[GameIsOver]:[GameIsOver]],1,Table1[[HomeTeam]:[HomeTeam]],$A25, Table1[[AwayTeam]:[AwayTeam]], AA$1, Table1[[ActualResult]:[ActualResult]], "SO"),0))</f>
        <v>0-0-0</v>
      </c>
      <c r="AB25" s="61" t="str">
        <f>_xlfn.CONCAT(TEXT(SUMIFS(Table1[[AwayWon]:[AwayWon]], Table1[[GameIsOver]:[GameIsOver]],1,Table1[[AwayTeam]:[AwayTeam]],$A25, Table1[[HomeTeam]:[HomeTeam]], AB$1) + SUMIFS(Table1[[HomeWon]:[HomeWon]], Table1[[GameIsOver]:[GameIsOver]],1,Table1[[HomeTeam]:[HomeTeam]],$A25, Table1[[AwayTeam]:[AwayTeam]], AB$1),0), "-", TEXT(SUMIFS(Table1[[HomeWon]:[HomeWon]], Table1[[GameIsOver]:[GameIsOver]],1,Table1[[AwayTeam]:[AwayTeam]],$A25, Table1[[HomeTeam]:[HomeTeam]], AB$1, Table1[[ActualResult]:[ActualResult]], "REG") + SUMIFS(Table1[[AwayWon]:[AwayWon]], Table1[[GameIsOver]:[GameIsOver]],1,Table1[[HomeTeam]:[HomeTeam]],$A25, Table1[[AwayTeam]:[AwayTeam]], AB$1, Table1[[ActualResult]:[ActualResult]], "REG"),0), "-", TEXT(SUMIFS(Table1[[HomeWon]:[HomeWon]], Table1[[GameIsOver]:[GameIsOver]],1,Table1[[AwayTeam]:[AwayTeam]],$A25, Table1[[HomeTeam]:[HomeTeam]], AB$1, Table1[[ActualResult]:[ActualResult]], "OT") + SUMIFS(Table1[[AwayWon]:[AwayWon]], Table1[[GameIsOver]:[GameIsOver]],1,Table1[[HomeTeam]:[HomeTeam]],$A25, Table1[[AwayTeam]:[AwayTeam]], AB$1, Table1[[ActualResult]:[ActualResult]], "OT") + SUMIFS(Table1[[HomeWon]:[HomeWon]], Table1[[GameIsOver]:[GameIsOver]],1,Table1[[AwayTeam]:[AwayTeam]],$A25, Table1[[HomeTeam]:[HomeTeam]], AB$1, Table1[[ActualResult]:[ActualResult]], "SO") + SUMIFS(Table1[[AwayWon]:[AwayWon]], Table1[[GameIsOver]:[GameIsOver]],1,Table1[[HomeTeam]:[HomeTeam]],$A25, Table1[[AwayTeam]:[AwayTeam]], AB$1, Table1[[ActualResult]:[ActualResult]], "SO"),0))</f>
        <v>0-0-0</v>
      </c>
      <c r="AC25" s="61" t="str">
        <f>_xlfn.CONCAT(TEXT(SUMIFS(Table1[[AwayWon]:[AwayWon]], Table1[[GameIsOver]:[GameIsOver]],1,Table1[[AwayTeam]:[AwayTeam]],$A25, Table1[[HomeTeam]:[HomeTeam]], AC$1) + SUMIFS(Table1[[HomeWon]:[HomeWon]], Table1[[GameIsOver]:[GameIsOver]],1,Table1[[HomeTeam]:[HomeTeam]],$A25, Table1[[AwayTeam]:[AwayTeam]], AC$1),0), "-", TEXT(SUMIFS(Table1[[HomeWon]:[HomeWon]], Table1[[GameIsOver]:[GameIsOver]],1,Table1[[AwayTeam]:[AwayTeam]],$A25, Table1[[HomeTeam]:[HomeTeam]], AC$1, Table1[[ActualResult]:[ActualResult]], "REG") + SUMIFS(Table1[[AwayWon]:[AwayWon]], Table1[[GameIsOver]:[GameIsOver]],1,Table1[[HomeTeam]:[HomeTeam]],$A25, Table1[[AwayTeam]:[AwayTeam]], AC$1, Table1[[ActualResult]:[ActualResult]], "REG"),0), "-", TEXT(SUMIFS(Table1[[HomeWon]:[HomeWon]], Table1[[GameIsOver]:[GameIsOver]],1,Table1[[AwayTeam]:[AwayTeam]],$A25, Table1[[HomeTeam]:[HomeTeam]], AC$1, Table1[[ActualResult]:[ActualResult]], "OT") + SUMIFS(Table1[[AwayWon]:[AwayWon]], Table1[[GameIsOver]:[GameIsOver]],1,Table1[[HomeTeam]:[HomeTeam]],$A25, Table1[[AwayTeam]:[AwayTeam]], AC$1, Table1[[ActualResult]:[ActualResult]], "OT") + SUMIFS(Table1[[HomeWon]:[HomeWon]], Table1[[GameIsOver]:[GameIsOver]],1,Table1[[AwayTeam]:[AwayTeam]],$A25, Table1[[HomeTeam]:[HomeTeam]], AC$1, Table1[[ActualResult]:[ActualResult]], "SO") + SUMIFS(Table1[[AwayWon]:[AwayWon]], Table1[[GameIsOver]:[GameIsOver]],1,Table1[[HomeTeam]:[HomeTeam]],$A25, Table1[[AwayTeam]:[AwayTeam]], AC$1, Table1[[ActualResult]:[ActualResult]], "SO"),0))</f>
        <v>0-0-0</v>
      </c>
      <c r="AD25" s="61" t="str">
        <f>_xlfn.CONCAT(TEXT(SUMIFS(Table1[[AwayWon]:[AwayWon]], Table1[[GameIsOver]:[GameIsOver]],1,Table1[[AwayTeam]:[AwayTeam]],$A25, Table1[[HomeTeam]:[HomeTeam]], AD$1) + SUMIFS(Table1[[HomeWon]:[HomeWon]], Table1[[GameIsOver]:[GameIsOver]],1,Table1[[HomeTeam]:[HomeTeam]],$A25, Table1[[AwayTeam]:[AwayTeam]], AD$1),0), "-", TEXT(SUMIFS(Table1[[HomeWon]:[HomeWon]], Table1[[GameIsOver]:[GameIsOver]],1,Table1[[AwayTeam]:[AwayTeam]],$A25, Table1[[HomeTeam]:[HomeTeam]], AD$1, Table1[[ActualResult]:[ActualResult]], "REG") + SUMIFS(Table1[[AwayWon]:[AwayWon]], Table1[[GameIsOver]:[GameIsOver]],1,Table1[[HomeTeam]:[HomeTeam]],$A25, Table1[[AwayTeam]:[AwayTeam]], AD$1, Table1[[ActualResult]:[ActualResult]], "REG"),0), "-", TEXT(SUMIFS(Table1[[HomeWon]:[HomeWon]], Table1[[GameIsOver]:[GameIsOver]],1,Table1[[AwayTeam]:[AwayTeam]],$A25, Table1[[HomeTeam]:[HomeTeam]], AD$1, Table1[[ActualResult]:[ActualResult]], "OT") + SUMIFS(Table1[[AwayWon]:[AwayWon]], Table1[[GameIsOver]:[GameIsOver]],1,Table1[[HomeTeam]:[HomeTeam]],$A25, Table1[[AwayTeam]:[AwayTeam]], AD$1, Table1[[ActualResult]:[ActualResult]], "OT") + SUMIFS(Table1[[HomeWon]:[HomeWon]], Table1[[GameIsOver]:[GameIsOver]],1,Table1[[AwayTeam]:[AwayTeam]],$A25, Table1[[HomeTeam]:[HomeTeam]], AD$1, Table1[[ActualResult]:[ActualResult]], "SO") + SUMIFS(Table1[[AwayWon]:[AwayWon]], Table1[[GameIsOver]:[GameIsOver]],1,Table1[[HomeTeam]:[HomeTeam]],$A25, Table1[[AwayTeam]:[AwayTeam]], AD$1, Table1[[ActualResult]:[ActualResult]], "SO"),0))</f>
        <v>0-0-0</v>
      </c>
      <c r="AE25" s="61" t="str">
        <f>_xlfn.CONCAT(TEXT(SUMIFS(Table1[[AwayWon]:[AwayWon]], Table1[[GameIsOver]:[GameIsOver]],1,Table1[[AwayTeam]:[AwayTeam]],$A25, Table1[[HomeTeam]:[HomeTeam]], AE$1) + SUMIFS(Table1[[HomeWon]:[HomeWon]], Table1[[GameIsOver]:[GameIsOver]],1,Table1[[HomeTeam]:[HomeTeam]],$A25, Table1[[AwayTeam]:[AwayTeam]], AE$1),0), "-", TEXT(SUMIFS(Table1[[HomeWon]:[HomeWon]], Table1[[GameIsOver]:[GameIsOver]],1,Table1[[AwayTeam]:[AwayTeam]],$A25, Table1[[HomeTeam]:[HomeTeam]], AE$1, Table1[[ActualResult]:[ActualResult]], "REG") + SUMIFS(Table1[[AwayWon]:[AwayWon]], Table1[[GameIsOver]:[GameIsOver]],1,Table1[[HomeTeam]:[HomeTeam]],$A25, Table1[[AwayTeam]:[AwayTeam]], AE$1, Table1[[ActualResult]:[ActualResult]], "REG"),0), "-", TEXT(SUMIFS(Table1[[HomeWon]:[HomeWon]], Table1[[GameIsOver]:[GameIsOver]],1,Table1[[AwayTeam]:[AwayTeam]],$A25, Table1[[HomeTeam]:[HomeTeam]], AE$1, Table1[[ActualResult]:[ActualResult]], "OT") + SUMIFS(Table1[[AwayWon]:[AwayWon]], Table1[[GameIsOver]:[GameIsOver]],1,Table1[[HomeTeam]:[HomeTeam]],$A25, Table1[[AwayTeam]:[AwayTeam]], AE$1, Table1[[ActualResult]:[ActualResult]], "OT") + SUMIFS(Table1[[HomeWon]:[HomeWon]], Table1[[GameIsOver]:[GameIsOver]],1,Table1[[AwayTeam]:[AwayTeam]],$A25, Table1[[HomeTeam]:[HomeTeam]], AE$1, Table1[[ActualResult]:[ActualResult]], "SO") + SUMIFS(Table1[[AwayWon]:[AwayWon]], Table1[[GameIsOver]:[GameIsOver]],1,Table1[[HomeTeam]:[HomeTeam]],$A25, Table1[[AwayTeam]:[AwayTeam]], AE$1, Table1[[ActualResult]:[ActualResult]], "SO"),0))</f>
        <v>0-0-0</v>
      </c>
      <c r="AF25" s="61" t="str">
        <f>_xlfn.CONCAT(TEXT(SUMIFS(Table1[[AwayWon]:[AwayWon]], Table1[[GameIsOver]:[GameIsOver]],1,Table1[[AwayTeam]:[AwayTeam]],$A25, Table1[[HomeTeam]:[HomeTeam]], AF$1) + SUMIFS(Table1[[HomeWon]:[HomeWon]], Table1[[GameIsOver]:[GameIsOver]],1,Table1[[HomeTeam]:[HomeTeam]],$A25, Table1[[AwayTeam]:[AwayTeam]], AF$1),0), "-", TEXT(SUMIFS(Table1[[HomeWon]:[HomeWon]], Table1[[GameIsOver]:[GameIsOver]],1,Table1[[AwayTeam]:[AwayTeam]],$A25, Table1[[HomeTeam]:[HomeTeam]], AF$1, Table1[[ActualResult]:[ActualResult]], "REG") + SUMIFS(Table1[[AwayWon]:[AwayWon]], Table1[[GameIsOver]:[GameIsOver]],1,Table1[[HomeTeam]:[HomeTeam]],$A25, Table1[[AwayTeam]:[AwayTeam]], AF$1, Table1[[ActualResult]:[ActualResult]], "REG"),0), "-", TEXT(SUMIFS(Table1[[HomeWon]:[HomeWon]], Table1[[GameIsOver]:[GameIsOver]],1,Table1[[AwayTeam]:[AwayTeam]],$A25, Table1[[HomeTeam]:[HomeTeam]], AF$1, Table1[[ActualResult]:[ActualResult]], "OT") + SUMIFS(Table1[[AwayWon]:[AwayWon]], Table1[[GameIsOver]:[GameIsOver]],1,Table1[[HomeTeam]:[HomeTeam]],$A25, Table1[[AwayTeam]:[AwayTeam]], AF$1, Table1[[ActualResult]:[ActualResult]], "OT") + SUMIFS(Table1[[HomeWon]:[HomeWon]], Table1[[GameIsOver]:[GameIsOver]],1,Table1[[AwayTeam]:[AwayTeam]],$A25, Table1[[HomeTeam]:[HomeTeam]], AF$1, Table1[[ActualResult]:[ActualResult]], "SO") + SUMIFS(Table1[[AwayWon]:[AwayWon]], Table1[[GameIsOver]:[GameIsOver]],1,Table1[[HomeTeam]:[HomeTeam]],$A25, Table1[[AwayTeam]:[AwayTeam]], AF$1, Table1[[ActualResult]:[ActualResult]], "SO"),0))</f>
        <v>0-0-0</v>
      </c>
      <c r="AG25" s="61" t="str">
        <f>_xlfn.CONCAT(TEXT(SUMIFS(Table1[[AwayWon]:[AwayWon]], Table1[[GameIsOver]:[GameIsOver]],1,Table1[[AwayTeam]:[AwayTeam]],$A25, Table1[[HomeTeam]:[HomeTeam]], AG$1) + SUMIFS(Table1[[HomeWon]:[HomeWon]], Table1[[GameIsOver]:[GameIsOver]],1,Table1[[HomeTeam]:[HomeTeam]],$A25, Table1[[AwayTeam]:[AwayTeam]], AG$1),0), "-", TEXT(SUMIFS(Table1[[HomeWon]:[HomeWon]], Table1[[GameIsOver]:[GameIsOver]],1,Table1[[AwayTeam]:[AwayTeam]],$A25, Table1[[HomeTeam]:[HomeTeam]], AG$1, Table1[[ActualResult]:[ActualResult]], "REG") + SUMIFS(Table1[[AwayWon]:[AwayWon]], Table1[[GameIsOver]:[GameIsOver]],1,Table1[[HomeTeam]:[HomeTeam]],$A25, Table1[[AwayTeam]:[AwayTeam]], AG$1, Table1[[ActualResult]:[ActualResult]], "REG"),0), "-", TEXT(SUMIFS(Table1[[HomeWon]:[HomeWon]], Table1[[GameIsOver]:[GameIsOver]],1,Table1[[AwayTeam]:[AwayTeam]],$A25, Table1[[HomeTeam]:[HomeTeam]], AG$1, Table1[[ActualResult]:[ActualResult]], "OT") + SUMIFS(Table1[[AwayWon]:[AwayWon]], Table1[[GameIsOver]:[GameIsOver]],1,Table1[[HomeTeam]:[HomeTeam]],$A25, Table1[[AwayTeam]:[AwayTeam]], AG$1, Table1[[ActualResult]:[ActualResult]], "OT") + SUMIFS(Table1[[HomeWon]:[HomeWon]], Table1[[GameIsOver]:[GameIsOver]],1,Table1[[AwayTeam]:[AwayTeam]],$A25, Table1[[HomeTeam]:[HomeTeam]], AG$1, Table1[[ActualResult]:[ActualResult]], "SO") + SUMIFS(Table1[[AwayWon]:[AwayWon]], Table1[[GameIsOver]:[GameIsOver]],1,Table1[[HomeTeam]:[HomeTeam]],$A25, Table1[[AwayTeam]:[AwayTeam]], AG$1, Table1[[ActualResult]:[ActualResult]], "SO"),0))</f>
        <v>0-0-0</v>
      </c>
    </row>
    <row r="26" spans="1:33" ht="15.75" thickTop="1" x14ac:dyDescent="0.25">
      <c r="A26" s="28" t="s">
        <v>37</v>
      </c>
      <c r="B26" s="57" t="str">
        <f>_xlfn.CONCAT(TEXT(SUMIFS(Table1[[AwayWon]:[AwayWon]], Table1[[GameIsOver]:[GameIsOver]],1,Table1[[AwayTeam]:[AwayTeam]],$A26, Table1[[HomeTeam]:[HomeTeam]], B$1) + SUMIFS(Table1[[HomeWon]:[HomeWon]], Table1[[GameIsOver]:[GameIsOver]],1,Table1[[HomeTeam]:[HomeTeam]],$A26, Table1[[AwayTeam]:[AwayTeam]], B$1),0), "-", TEXT(SUMIFS(Table1[[HomeWon]:[HomeWon]], Table1[[GameIsOver]:[GameIsOver]],1,Table1[[AwayTeam]:[AwayTeam]],$A26, Table1[[HomeTeam]:[HomeTeam]], B$1, Table1[[ActualResult]:[ActualResult]], "REG") + SUMIFS(Table1[[AwayWon]:[AwayWon]], Table1[[GameIsOver]:[GameIsOver]],1,Table1[[HomeTeam]:[HomeTeam]],$A26, Table1[[AwayTeam]:[AwayTeam]], B$1, Table1[[ActualResult]:[ActualResult]], "REG"),0), "-", TEXT(SUMIFS(Table1[[HomeWon]:[HomeWon]], Table1[[GameIsOver]:[GameIsOver]],1,Table1[[AwayTeam]:[AwayTeam]],$A26, Table1[[HomeTeam]:[HomeTeam]], B$1, Table1[[ActualResult]:[ActualResult]], "OT") + SUMIFS(Table1[[AwayWon]:[AwayWon]], Table1[[GameIsOver]:[GameIsOver]],1,Table1[[HomeTeam]:[HomeTeam]],$A26, Table1[[AwayTeam]:[AwayTeam]], B$1, Table1[[ActualResult]:[ActualResult]], "OT") + SUMIFS(Table1[[HomeWon]:[HomeWon]], Table1[[GameIsOver]:[GameIsOver]],1,Table1[[AwayTeam]:[AwayTeam]],$A26, Table1[[HomeTeam]:[HomeTeam]], B$1, Table1[[ActualResult]:[ActualResult]], "SO") + SUMIFS(Table1[[AwayWon]:[AwayWon]], Table1[[GameIsOver]:[GameIsOver]],1,Table1[[HomeTeam]:[HomeTeam]],$A26, Table1[[AwayTeam]:[AwayTeam]], B$1, Table1[[ActualResult]:[ActualResult]], "SO"),0))</f>
        <v>0-0-0</v>
      </c>
      <c r="C26" s="57" t="str">
        <f>_xlfn.CONCAT(TEXT(SUMIFS(Table1[[AwayWon]:[AwayWon]], Table1[[GameIsOver]:[GameIsOver]],1,Table1[[AwayTeam]:[AwayTeam]],$A26, Table1[[HomeTeam]:[HomeTeam]], C$1) + SUMIFS(Table1[[HomeWon]:[HomeWon]], Table1[[GameIsOver]:[GameIsOver]],1,Table1[[HomeTeam]:[HomeTeam]],$A26, Table1[[AwayTeam]:[AwayTeam]], C$1),0), "-", TEXT(SUMIFS(Table1[[HomeWon]:[HomeWon]], Table1[[GameIsOver]:[GameIsOver]],1,Table1[[AwayTeam]:[AwayTeam]],$A26, Table1[[HomeTeam]:[HomeTeam]], C$1, Table1[[ActualResult]:[ActualResult]], "REG") + SUMIFS(Table1[[AwayWon]:[AwayWon]], Table1[[GameIsOver]:[GameIsOver]],1,Table1[[HomeTeam]:[HomeTeam]],$A26, Table1[[AwayTeam]:[AwayTeam]], C$1, Table1[[ActualResult]:[ActualResult]], "REG"),0), "-", TEXT(SUMIFS(Table1[[HomeWon]:[HomeWon]], Table1[[GameIsOver]:[GameIsOver]],1,Table1[[AwayTeam]:[AwayTeam]],$A26, Table1[[HomeTeam]:[HomeTeam]], C$1, Table1[[ActualResult]:[ActualResult]], "OT") + SUMIFS(Table1[[AwayWon]:[AwayWon]], Table1[[GameIsOver]:[GameIsOver]],1,Table1[[HomeTeam]:[HomeTeam]],$A26, Table1[[AwayTeam]:[AwayTeam]], C$1, Table1[[ActualResult]:[ActualResult]], "OT") + SUMIFS(Table1[[HomeWon]:[HomeWon]], Table1[[GameIsOver]:[GameIsOver]],1,Table1[[AwayTeam]:[AwayTeam]],$A26, Table1[[HomeTeam]:[HomeTeam]], C$1, Table1[[ActualResult]:[ActualResult]], "SO") + SUMIFS(Table1[[AwayWon]:[AwayWon]], Table1[[GameIsOver]:[GameIsOver]],1,Table1[[HomeTeam]:[HomeTeam]],$A26, Table1[[AwayTeam]:[AwayTeam]], C$1, Table1[[ActualResult]:[ActualResult]], "SO"),0))</f>
        <v>0-0-0</v>
      </c>
      <c r="D26" s="57" t="str">
        <f>_xlfn.CONCAT(TEXT(SUMIFS(Table1[[AwayWon]:[AwayWon]], Table1[[GameIsOver]:[GameIsOver]],1,Table1[[AwayTeam]:[AwayTeam]],$A26, Table1[[HomeTeam]:[HomeTeam]], D$1) + SUMIFS(Table1[[HomeWon]:[HomeWon]], Table1[[GameIsOver]:[GameIsOver]],1,Table1[[HomeTeam]:[HomeTeam]],$A26, Table1[[AwayTeam]:[AwayTeam]], D$1),0), "-", TEXT(SUMIFS(Table1[[HomeWon]:[HomeWon]], Table1[[GameIsOver]:[GameIsOver]],1,Table1[[AwayTeam]:[AwayTeam]],$A26, Table1[[HomeTeam]:[HomeTeam]], D$1, Table1[[ActualResult]:[ActualResult]], "REG") + SUMIFS(Table1[[AwayWon]:[AwayWon]], Table1[[GameIsOver]:[GameIsOver]],1,Table1[[HomeTeam]:[HomeTeam]],$A26, Table1[[AwayTeam]:[AwayTeam]], D$1, Table1[[ActualResult]:[ActualResult]], "REG"),0), "-", TEXT(SUMIFS(Table1[[HomeWon]:[HomeWon]], Table1[[GameIsOver]:[GameIsOver]],1,Table1[[AwayTeam]:[AwayTeam]],$A26, Table1[[HomeTeam]:[HomeTeam]], D$1, Table1[[ActualResult]:[ActualResult]], "OT") + SUMIFS(Table1[[AwayWon]:[AwayWon]], Table1[[GameIsOver]:[GameIsOver]],1,Table1[[HomeTeam]:[HomeTeam]],$A26, Table1[[AwayTeam]:[AwayTeam]], D$1, Table1[[ActualResult]:[ActualResult]], "OT") + SUMIFS(Table1[[HomeWon]:[HomeWon]], Table1[[GameIsOver]:[GameIsOver]],1,Table1[[AwayTeam]:[AwayTeam]],$A26, Table1[[HomeTeam]:[HomeTeam]], D$1, Table1[[ActualResult]:[ActualResult]], "SO") + SUMIFS(Table1[[AwayWon]:[AwayWon]], Table1[[GameIsOver]:[GameIsOver]],1,Table1[[HomeTeam]:[HomeTeam]],$A26, Table1[[AwayTeam]:[AwayTeam]], D$1, Table1[[ActualResult]:[ActualResult]], "SO"),0))</f>
        <v>0-0-0</v>
      </c>
      <c r="E26" s="57" t="str">
        <f>_xlfn.CONCAT(TEXT(SUMIFS(Table1[[AwayWon]:[AwayWon]], Table1[[GameIsOver]:[GameIsOver]],1,Table1[[AwayTeam]:[AwayTeam]],$A26, Table1[[HomeTeam]:[HomeTeam]], E$1) + SUMIFS(Table1[[HomeWon]:[HomeWon]], Table1[[GameIsOver]:[GameIsOver]],1,Table1[[HomeTeam]:[HomeTeam]],$A26, Table1[[AwayTeam]:[AwayTeam]], E$1),0), "-", TEXT(SUMIFS(Table1[[HomeWon]:[HomeWon]], Table1[[GameIsOver]:[GameIsOver]],1,Table1[[AwayTeam]:[AwayTeam]],$A26, Table1[[HomeTeam]:[HomeTeam]], E$1, Table1[[ActualResult]:[ActualResult]], "REG") + SUMIFS(Table1[[AwayWon]:[AwayWon]], Table1[[GameIsOver]:[GameIsOver]],1,Table1[[HomeTeam]:[HomeTeam]],$A26, Table1[[AwayTeam]:[AwayTeam]], E$1, Table1[[ActualResult]:[ActualResult]], "REG"),0), "-", TEXT(SUMIFS(Table1[[HomeWon]:[HomeWon]], Table1[[GameIsOver]:[GameIsOver]],1,Table1[[AwayTeam]:[AwayTeam]],$A26, Table1[[HomeTeam]:[HomeTeam]], E$1, Table1[[ActualResult]:[ActualResult]], "OT") + SUMIFS(Table1[[AwayWon]:[AwayWon]], Table1[[GameIsOver]:[GameIsOver]],1,Table1[[HomeTeam]:[HomeTeam]],$A26, Table1[[AwayTeam]:[AwayTeam]], E$1, Table1[[ActualResult]:[ActualResult]], "OT") + SUMIFS(Table1[[HomeWon]:[HomeWon]], Table1[[GameIsOver]:[GameIsOver]],1,Table1[[AwayTeam]:[AwayTeam]],$A26, Table1[[HomeTeam]:[HomeTeam]], E$1, Table1[[ActualResult]:[ActualResult]], "SO") + SUMIFS(Table1[[AwayWon]:[AwayWon]], Table1[[GameIsOver]:[GameIsOver]],1,Table1[[HomeTeam]:[HomeTeam]],$A26, Table1[[AwayTeam]:[AwayTeam]], E$1, Table1[[ActualResult]:[ActualResult]], "SO"),0))</f>
        <v>0-0-0</v>
      </c>
      <c r="F26" s="57" t="str">
        <f>_xlfn.CONCAT(TEXT(SUMIFS(Table1[[AwayWon]:[AwayWon]], Table1[[GameIsOver]:[GameIsOver]],1,Table1[[AwayTeam]:[AwayTeam]],$A26, Table1[[HomeTeam]:[HomeTeam]], F$1) + SUMIFS(Table1[[HomeWon]:[HomeWon]], Table1[[GameIsOver]:[GameIsOver]],1,Table1[[HomeTeam]:[HomeTeam]],$A26, Table1[[AwayTeam]:[AwayTeam]], F$1),0), "-", TEXT(SUMIFS(Table1[[HomeWon]:[HomeWon]], Table1[[GameIsOver]:[GameIsOver]],1,Table1[[AwayTeam]:[AwayTeam]],$A26, Table1[[HomeTeam]:[HomeTeam]], F$1, Table1[[ActualResult]:[ActualResult]], "REG") + SUMIFS(Table1[[AwayWon]:[AwayWon]], Table1[[GameIsOver]:[GameIsOver]],1,Table1[[HomeTeam]:[HomeTeam]],$A26, Table1[[AwayTeam]:[AwayTeam]], F$1, Table1[[ActualResult]:[ActualResult]], "REG"),0), "-", TEXT(SUMIFS(Table1[[HomeWon]:[HomeWon]], Table1[[GameIsOver]:[GameIsOver]],1,Table1[[AwayTeam]:[AwayTeam]],$A26, Table1[[HomeTeam]:[HomeTeam]], F$1, Table1[[ActualResult]:[ActualResult]], "OT") + SUMIFS(Table1[[AwayWon]:[AwayWon]], Table1[[GameIsOver]:[GameIsOver]],1,Table1[[HomeTeam]:[HomeTeam]],$A26, Table1[[AwayTeam]:[AwayTeam]], F$1, Table1[[ActualResult]:[ActualResult]], "OT") + SUMIFS(Table1[[HomeWon]:[HomeWon]], Table1[[GameIsOver]:[GameIsOver]],1,Table1[[AwayTeam]:[AwayTeam]],$A26, Table1[[HomeTeam]:[HomeTeam]], F$1, Table1[[ActualResult]:[ActualResult]], "SO") + SUMIFS(Table1[[AwayWon]:[AwayWon]], Table1[[GameIsOver]:[GameIsOver]],1,Table1[[HomeTeam]:[HomeTeam]],$A26, Table1[[AwayTeam]:[AwayTeam]], F$1, Table1[[ActualResult]:[ActualResult]], "SO"),0))</f>
        <v>0-0-0</v>
      </c>
      <c r="G26" s="57" t="str">
        <f>_xlfn.CONCAT(TEXT(SUMIFS(Table1[[AwayWon]:[AwayWon]], Table1[[GameIsOver]:[GameIsOver]],1,Table1[[AwayTeam]:[AwayTeam]],$A26, Table1[[HomeTeam]:[HomeTeam]], G$1) + SUMIFS(Table1[[HomeWon]:[HomeWon]], Table1[[GameIsOver]:[GameIsOver]],1,Table1[[HomeTeam]:[HomeTeam]],$A26, Table1[[AwayTeam]:[AwayTeam]], G$1),0), "-", TEXT(SUMIFS(Table1[[HomeWon]:[HomeWon]], Table1[[GameIsOver]:[GameIsOver]],1,Table1[[AwayTeam]:[AwayTeam]],$A26, Table1[[HomeTeam]:[HomeTeam]], G$1, Table1[[ActualResult]:[ActualResult]], "REG") + SUMIFS(Table1[[AwayWon]:[AwayWon]], Table1[[GameIsOver]:[GameIsOver]],1,Table1[[HomeTeam]:[HomeTeam]],$A26, Table1[[AwayTeam]:[AwayTeam]], G$1, Table1[[ActualResult]:[ActualResult]], "REG"),0), "-", TEXT(SUMIFS(Table1[[HomeWon]:[HomeWon]], Table1[[GameIsOver]:[GameIsOver]],1,Table1[[AwayTeam]:[AwayTeam]],$A26, Table1[[HomeTeam]:[HomeTeam]], G$1, Table1[[ActualResult]:[ActualResult]], "OT") + SUMIFS(Table1[[AwayWon]:[AwayWon]], Table1[[GameIsOver]:[GameIsOver]],1,Table1[[HomeTeam]:[HomeTeam]],$A26, Table1[[AwayTeam]:[AwayTeam]], G$1, Table1[[ActualResult]:[ActualResult]], "OT") + SUMIFS(Table1[[HomeWon]:[HomeWon]], Table1[[GameIsOver]:[GameIsOver]],1,Table1[[AwayTeam]:[AwayTeam]],$A26, Table1[[HomeTeam]:[HomeTeam]], G$1, Table1[[ActualResult]:[ActualResult]], "SO") + SUMIFS(Table1[[AwayWon]:[AwayWon]], Table1[[GameIsOver]:[GameIsOver]],1,Table1[[HomeTeam]:[HomeTeam]],$A26, Table1[[AwayTeam]:[AwayTeam]], G$1, Table1[[ActualResult]:[ActualResult]], "SO"),0))</f>
        <v>0-0-0</v>
      </c>
      <c r="H26" s="57" t="str">
        <f>_xlfn.CONCAT(TEXT(SUMIFS(Table1[[AwayWon]:[AwayWon]], Table1[[GameIsOver]:[GameIsOver]],1,Table1[[AwayTeam]:[AwayTeam]],$A26, Table1[[HomeTeam]:[HomeTeam]], H$1) + SUMIFS(Table1[[HomeWon]:[HomeWon]], Table1[[GameIsOver]:[GameIsOver]],1,Table1[[HomeTeam]:[HomeTeam]],$A26, Table1[[AwayTeam]:[AwayTeam]], H$1),0), "-", TEXT(SUMIFS(Table1[[HomeWon]:[HomeWon]], Table1[[GameIsOver]:[GameIsOver]],1,Table1[[AwayTeam]:[AwayTeam]],$A26, Table1[[HomeTeam]:[HomeTeam]], H$1, Table1[[ActualResult]:[ActualResult]], "REG") + SUMIFS(Table1[[AwayWon]:[AwayWon]], Table1[[GameIsOver]:[GameIsOver]],1,Table1[[HomeTeam]:[HomeTeam]],$A26, Table1[[AwayTeam]:[AwayTeam]], H$1, Table1[[ActualResult]:[ActualResult]], "REG"),0), "-", TEXT(SUMIFS(Table1[[HomeWon]:[HomeWon]], Table1[[GameIsOver]:[GameIsOver]],1,Table1[[AwayTeam]:[AwayTeam]],$A26, Table1[[HomeTeam]:[HomeTeam]], H$1, Table1[[ActualResult]:[ActualResult]], "OT") + SUMIFS(Table1[[AwayWon]:[AwayWon]], Table1[[GameIsOver]:[GameIsOver]],1,Table1[[HomeTeam]:[HomeTeam]],$A26, Table1[[AwayTeam]:[AwayTeam]], H$1, Table1[[ActualResult]:[ActualResult]], "OT") + SUMIFS(Table1[[HomeWon]:[HomeWon]], Table1[[GameIsOver]:[GameIsOver]],1,Table1[[AwayTeam]:[AwayTeam]],$A26, Table1[[HomeTeam]:[HomeTeam]], H$1, Table1[[ActualResult]:[ActualResult]], "SO") + SUMIFS(Table1[[AwayWon]:[AwayWon]], Table1[[GameIsOver]:[GameIsOver]],1,Table1[[HomeTeam]:[HomeTeam]],$A26, Table1[[AwayTeam]:[AwayTeam]], H$1, Table1[[ActualResult]:[ActualResult]], "SO"),0))</f>
        <v>0-0-0</v>
      </c>
      <c r="I26" s="59" t="str">
        <f>_xlfn.CONCAT(TEXT(SUMIFS(Table1[[AwayWon]:[AwayWon]], Table1[[GameIsOver]:[GameIsOver]],1,Table1[[AwayTeam]:[AwayTeam]],$A26, Table1[[HomeTeam]:[HomeTeam]], I$1) + SUMIFS(Table1[[HomeWon]:[HomeWon]], Table1[[GameIsOver]:[GameIsOver]],1,Table1[[HomeTeam]:[HomeTeam]],$A26, Table1[[AwayTeam]:[AwayTeam]], I$1),0), "-", TEXT(SUMIFS(Table1[[HomeWon]:[HomeWon]], Table1[[GameIsOver]:[GameIsOver]],1,Table1[[AwayTeam]:[AwayTeam]],$A26, Table1[[HomeTeam]:[HomeTeam]], I$1, Table1[[ActualResult]:[ActualResult]], "REG") + SUMIFS(Table1[[AwayWon]:[AwayWon]], Table1[[GameIsOver]:[GameIsOver]],1,Table1[[HomeTeam]:[HomeTeam]],$A26, Table1[[AwayTeam]:[AwayTeam]], I$1, Table1[[ActualResult]:[ActualResult]], "REG"),0), "-", TEXT(SUMIFS(Table1[[HomeWon]:[HomeWon]], Table1[[GameIsOver]:[GameIsOver]],1,Table1[[AwayTeam]:[AwayTeam]],$A26, Table1[[HomeTeam]:[HomeTeam]], I$1, Table1[[ActualResult]:[ActualResult]], "OT") + SUMIFS(Table1[[AwayWon]:[AwayWon]], Table1[[GameIsOver]:[GameIsOver]],1,Table1[[HomeTeam]:[HomeTeam]],$A26, Table1[[AwayTeam]:[AwayTeam]], I$1, Table1[[ActualResult]:[ActualResult]], "OT") + SUMIFS(Table1[[HomeWon]:[HomeWon]], Table1[[GameIsOver]:[GameIsOver]],1,Table1[[AwayTeam]:[AwayTeam]],$A26, Table1[[HomeTeam]:[HomeTeam]], I$1, Table1[[ActualResult]:[ActualResult]], "SO") + SUMIFS(Table1[[AwayWon]:[AwayWon]], Table1[[GameIsOver]:[GameIsOver]],1,Table1[[HomeTeam]:[HomeTeam]],$A26, Table1[[AwayTeam]:[AwayTeam]], I$1, Table1[[ActualResult]:[ActualResult]], "SO"),0))</f>
        <v>0-0-0</v>
      </c>
      <c r="J26" s="57" t="str">
        <f>_xlfn.CONCAT(TEXT(SUMIFS(Table1[[AwayWon]:[AwayWon]], Table1[[GameIsOver]:[GameIsOver]],1,Table1[[AwayTeam]:[AwayTeam]],$A26, Table1[[HomeTeam]:[HomeTeam]], J$1) + SUMIFS(Table1[[HomeWon]:[HomeWon]], Table1[[GameIsOver]:[GameIsOver]],1,Table1[[HomeTeam]:[HomeTeam]],$A26, Table1[[AwayTeam]:[AwayTeam]], J$1),0), "-", TEXT(SUMIFS(Table1[[HomeWon]:[HomeWon]], Table1[[GameIsOver]:[GameIsOver]],1,Table1[[AwayTeam]:[AwayTeam]],$A26, Table1[[HomeTeam]:[HomeTeam]], J$1, Table1[[ActualResult]:[ActualResult]], "REG") + SUMIFS(Table1[[AwayWon]:[AwayWon]], Table1[[GameIsOver]:[GameIsOver]],1,Table1[[HomeTeam]:[HomeTeam]],$A26, Table1[[AwayTeam]:[AwayTeam]], J$1, Table1[[ActualResult]:[ActualResult]], "REG"),0), "-", TEXT(SUMIFS(Table1[[HomeWon]:[HomeWon]], Table1[[GameIsOver]:[GameIsOver]],1,Table1[[AwayTeam]:[AwayTeam]],$A26, Table1[[HomeTeam]:[HomeTeam]], J$1, Table1[[ActualResult]:[ActualResult]], "OT") + SUMIFS(Table1[[AwayWon]:[AwayWon]], Table1[[GameIsOver]:[GameIsOver]],1,Table1[[HomeTeam]:[HomeTeam]],$A26, Table1[[AwayTeam]:[AwayTeam]], J$1, Table1[[ActualResult]:[ActualResult]], "OT") + SUMIFS(Table1[[HomeWon]:[HomeWon]], Table1[[GameIsOver]:[GameIsOver]],1,Table1[[AwayTeam]:[AwayTeam]],$A26, Table1[[HomeTeam]:[HomeTeam]], J$1, Table1[[ActualResult]:[ActualResult]], "SO") + SUMIFS(Table1[[AwayWon]:[AwayWon]], Table1[[GameIsOver]:[GameIsOver]],1,Table1[[HomeTeam]:[HomeTeam]],$A26, Table1[[AwayTeam]:[AwayTeam]], J$1, Table1[[ActualResult]:[ActualResult]], "SO"),0))</f>
        <v>0-0-0</v>
      </c>
      <c r="K26" s="57" t="str">
        <f>_xlfn.CONCAT(TEXT(SUMIFS(Table1[[AwayWon]:[AwayWon]], Table1[[GameIsOver]:[GameIsOver]],1,Table1[[AwayTeam]:[AwayTeam]],$A26, Table1[[HomeTeam]:[HomeTeam]], K$1) + SUMIFS(Table1[[HomeWon]:[HomeWon]], Table1[[GameIsOver]:[GameIsOver]],1,Table1[[HomeTeam]:[HomeTeam]],$A26, Table1[[AwayTeam]:[AwayTeam]], K$1),0), "-", TEXT(SUMIFS(Table1[[HomeWon]:[HomeWon]], Table1[[GameIsOver]:[GameIsOver]],1,Table1[[AwayTeam]:[AwayTeam]],$A26, Table1[[HomeTeam]:[HomeTeam]], K$1, Table1[[ActualResult]:[ActualResult]], "REG") + SUMIFS(Table1[[AwayWon]:[AwayWon]], Table1[[GameIsOver]:[GameIsOver]],1,Table1[[HomeTeam]:[HomeTeam]],$A26, Table1[[AwayTeam]:[AwayTeam]], K$1, Table1[[ActualResult]:[ActualResult]], "REG"),0), "-", TEXT(SUMIFS(Table1[[HomeWon]:[HomeWon]], Table1[[GameIsOver]:[GameIsOver]],1,Table1[[AwayTeam]:[AwayTeam]],$A26, Table1[[HomeTeam]:[HomeTeam]], K$1, Table1[[ActualResult]:[ActualResult]], "OT") + SUMIFS(Table1[[AwayWon]:[AwayWon]], Table1[[GameIsOver]:[GameIsOver]],1,Table1[[HomeTeam]:[HomeTeam]],$A26, Table1[[AwayTeam]:[AwayTeam]], K$1, Table1[[ActualResult]:[ActualResult]], "OT") + SUMIFS(Table1[[HomeWon]:[HomeWon]], Table1[[GameIsOver]:[GameIsOver]],1,Table1[[AwayTeam]:[AwayTeam]],$A26, Table1[[HomeTeam]:[HomeTeam]], K$1, Table1[[ActualResult]:[ActualResult]], "SO") + SUMIFS(Table1[[AwayWon]:[AwayWon]], Table1[[GameIsOver]:[GameIsOver]],1,Table1[[HomeTeam]:[HomeTeam]],$A26, Table1[[AwayTeam]:[AwayTeam]], K$1, Table1[[ActualResult]:[ActualResult]], "SO"),0))</f>
        <v>0-0-0</v>
      </c>
      <c r="L26" s="57" t="str">
        <f>_xlfn.CONCAT(TEXT(SUMIFS(Table1[[AwayWon]:[AwayWon]], Table1[[GameIsOver]:[GameIsOver]],1,Table1[[AwayTeam]:[AwayTeam]],$A26, Table1[[HomeTeam]:[HomeTeam]], L$1) + SUMIFS(Table1[[HomeWon]:[HomeWon]], Table1[[GameIsOver]:[GameIsOver]],1,Table1[[HomeTeam]:[HomeTeam]],$A26, Table1[[AwayTeam]:[AwayTeam]], L$1),0), "-", TEXT(SUMIFS(Table1[[HomeWon]:[HomeWon]], Table1[[GameIsOver]:[GameIsOver]],1,Table1[[AwayTeam]:[AwayTeam]],$A26, Table1[[HomeTeam]:[HomeTeam]], L$1, Table1[[ActualResult]:[ActualResult]], "REG") + SUMIFS(Table1[[AwayWon]:[AwayWon]], Table1[[GameIsOver]:[GameIsOver]],1,Table1[[HomeTeam]:[HomeTeam]],$A26, Table1[[AwayTeam]:[AwayTeam]], L$1, Table1[[ActualResult]:[ActualResult]], "REG"),0), "-", TEXT(SUMIFS(Table1[[HomeWon]:[HomeWon]], Table1[[GameIsOver]:[GameIsOver]],1,Table1[[AwayTeam]:[AwayTeam]],$A26, Table1[[HomeTeam]:[HomeTeam]], L$1, Table1[[ActualResult]:[ActualResult]], "OT") + SUMIFS(Table1[[AwayWon]:[AwayWon]], Table1[[GameIsOver]:[GameIsOver]],1,Table1[[HomeTeam]:[HomeTeam]],$A26, Table1[[AwayTeam]:[AwayTeam]], L$1, Table1[[ActualResult]:[ActualResult]], "OT") + SUMIFS(Table1[[HomeWon]:[HomeWon]], Table1[[GameIsOver]:[GameIsOver]],1,Table1[[AwayTeam]:[AwayTeam]],$A26, Table1[[HomeTeam]:[HomeTeam]], L$1, Table1[[ActualResult]:[ActualResult]], "SO") + SUMIFS(Table1[[AwayWon]:[AwayWon]], Table1[[GameIsOver]:[GameIsOver]],1,Table1[[HomeTeam]:[HomeTeam]],$A26, Table1[[AwayTeam]:[AwayTeam]], L$1, Table1[[ActualResult]:[ActualResult]], "SO"),0))</f>
        <v>0-0-0</v>
      </c>
      <c r="M26" s="57" t="str">
        <f>_xlfn.CONCAT(TEXT(SUMIFS(Table1[[AwayWon]:[AwayWon]], Table1[[GameIsOver]:[GameIsOver]],1,Table1[[AwayTeam]:[AwayTeam]],$A26, Table1[[HomeTeam]:[HomeTeam]], M$1) + SUMIFS(Table1[[HomeWon]:[HomeWon]], Table1[[GameIsOver]:[GameIsOver]],1,Table1[[HomeTeam]:[HomeTeam]],$A26, Table1[[AwayTeam]:[AwayTeam]], M$1),0), "-", TEXT(SUMIFS(Table1[[HomeWon]:[HomeWon]], Table1[[GameIsOver]:[GameIsOver]],1,Table1[[AwayTeam]:[AwayTeam]],$A26, Table1[[HomeTeam]:[HomeTeam]], M$1, Table1[[ActualResult]:[ActualResult]], "REG") + SUMIFS(Table1[[AwayWon]:[AwayWon]], Table1[[GameIsOver]:[GameIsOver]],1,Table1[[HomeTeam]:[HomeTeam]],$A26, Table1[[AwayTeam]:[AwayTeam]], M$1, Table1[[ActualResult]:[ActualResult]], "REG"),0), "-", TEXT(SUMIFS(Table1[[HomeWon]:[HomeWon]], Table1[[GameIsOver]:[GameIsOver]],1,Table1[[AwayTeam]:[AwayTeam]],$A26, Table1[[HomeTeam]:[HomeTeam]], M$1, Table1[[ActualResult]:[ActualResult]], "OT") + SUMIFS(Table1[[AwayWon]:[AwayWon]], Table1[[GameIsOver]:[GameIsOver]],1,Table1[[HomeTeam]:[HomeTeam]],$A26, Table1[[AwayTeam]:[AwayTeam]], M$1, Table1[[ActualResult]:[ActualResult]], "OT") + SUMIFS(Table1[[HomeWon]:[HomeWon]], Table1[[GameIsOver]:[GameIsOver]],1,Table1[[AwayTeam]:[AwayTeam]],$A26, Table1[[HomeTeam]:[HomeTeam]], M$1, Table1[[ActualResult]:[ActualResult]], "SO") + SUMIFS(Table1[[AwayWon]:[AwayWon]], Table1[[GameIsOver]:[GameIsOver]],1,Table1[[HomeTeam]:[HomeTeam]],$A26, Table1[[AwayTeam]:[AwayTeam]], M$1, Table1[[ActualResult]:[ActualResult]], "SO"),0))</f>
        <v>0-0-0</v>
      </c>
      <c r="N26" s="57" t="str">
        <f>_xlfn.CONCAT(TEXT(SUMIFS(Table1[[AwayWon]:[AwayWon]], Table1[[GameIsOver]:[GameIsOver]],1,Table1[[AwayTeam]:[AwayTeam]],$A26, Table1[[HomeTeam]:[HomeTeam]], N$1) + SUMIFS(Table1[[HomeWon]:[HomeWon]], Table1[[GameIsOver]:[GameIsOver]],1,Table1[[HomeTeam]:[HomeTeam]],$A26, Table1[[AwayTeam]:[AwayTeam]], N$1),0), "-", TEXT(SUMIFS(Table1[[HomeWon]:[HomeWon]], Table1[[GameIsOver]:[GameIsOver]],1,Table1[[AwayTeam]:[AwayTeam]],$A26, Table1[[HomeTeam]:[HomeTeam]], N$1, Table1[[ActualResult]:[ActualResult]], "REG") + SUMIFS(Table1[[AwayWon]:[AwayWon]], Table1[[GameIsOver]:[GameIsOver]],1,Table1[[HomeTeam]:[HomeTeam]],$A26, Table1[[AwayTeam]:[AwayTeam]], N$1, Table1[[ActualResult]:[ActualResult]], "REG"),0), "-", TEXT(SUMIFS(Table1[[HomeWon]:[HomeWon]], Table1[[GameIsOver]:[GameIsOver]],1,Table1[[AwayTeam]:[AwayTeam]],$A26, Table1[[HomeTeam]:[HomeTeam]], N$1, Table1[[ActualResult]:[ActualResult]], "OT") + SUMIFS(Table1[[AwayWon]:[AwayWon]], Table1[[GameIsOver]:[GameIsOver]],1,Table1[[HomeTeam]:[HomeTeam]],$A26, Table1[[AwayTeam]:[AwayTeam]], N$1, Table1[[ActualResult]:[ActualResult]], "OT") + SUMIFS(Table1[[HomeWon]:[HomeWon]], Table1[[GameIsOver]:[GameIsOver]],1,Table1[[AwayTeam]:[AwayTeam]],$A26, Table1[[HomeTeam]:[HomeTeam]], N$1, Table1[[ActualResult]:[ActualResult]], "SO") + SUMIFS(Table1[[AwayWon]:[AwayWon]], Table1[[GameIsOver]:[GameIsOver]],1,Table1[[HomeTeam]:[HomeTeam]],$A26, Table1[[AwayTeam]:[AwayTeam]], N$1, Table1[[ActualResult]:[ActualResult]], "SO"),0))</f>
        <v>0-0-0</v>
      </c>
      <c r="O26" s="57" t="str">
        <f>_xlfn.CONCAT(TEXT(SUMIFS(Table1[[AwayWon]:[AwayWon]], Table1[[GameIsOver]:[GameIsOver]],1,Table1[[AwayTeam]:[AwayTeam]],$A26, Table1[[HomeTeam]:[HomeTeam]], O$1) + SUMIFS(Table1[[HomeWon]:[HomeWon]], Table1[[GameIsOver]:[GameIsOver]],1,Table1[[HomeTeam]:[HomeTeam]],$A26, Table1[[AwayTeam]:[AwayTeam]], O$1),0), "-", TEXT(SUMIFS(Table1[[HomeWon]:[HomeWon]], Table1[[GameIsOver]:[GameIsOver]],1,Table1[[AwayTeam]:[AwayTeam]],$A26, Table1[[HomeTeam]:[HomeTeam]], O$1, Table1[[ActualResult]:[ActualResult]], "REG") + SUMIFS(Table1[[AwayWon]:[AwayWon]], Table1[[GameIsOver]:[GameIsOver]],1,Table1[[HomeTeam]:[HomeTeam]],$A26, Table1[[AwayTeam]:[AwayTeam]], O$1, Table1[[ActualResult]:[ActualResult]], "REG"),0), "-", TEXT(SUMIFS(Table1[[HomeWon]:[HomeWon]], Table1[[GameIsOver]:[GameIsOver]],1,Table1[[AwayTeam]:[AwayTeam]],$A26, Table1[[HomeTeam]:[HomeTeam]], O$1, Table1[[ActualResult]:[ActualResult]], "OT") + SUMIFS(Table1[[AwayWon]:[AwayWon]], Table1[[GameIsOver]:[GameIsOver]],1,Table1[[HomeTeam]:[HomeTeam]],$A26, Table1[[AwayTeam]:[AwayTeam]], O$1, Table1[[ActualResult]:[ActualResult]], "OT") + SUMIFS(Table1[[HomeWon]:[HomeWon]], Table1[[GameIsOver]:[GameIsOver]],1,Table1[[AwayTeam]:[AwayTeam]],$A26, Table1[[HomeTeam]:[HomeTeam]], O$1, Table1[[ActualResult]:[ActualResult]], "SO") + SUMIFS(Table1[[AwayWon]:[AwayWon]], Table1[[GameIsOver]:[GameIsOver]],1,Table1[[HomeTeam]:[HomeTeam]],$A26, Table1[[AwayTeam]:[AwayTeam]], O$1, Table1[[ActualResult]:[ActualResult]], "SO"),0))</f>
        <v>0-0-0</v>
      </c>
      <c r="P26" s="57" t="str">
        <f>_xlfn.CONCAT(TEXT(SUMIFS(Table1[[AwayWon]:[AwayWon]], Table1[[GameIsOver]:[GameIsOver]],1,Table1[[AwayTeam]:[AwayTeam]],$A26, Table1[[HomeTeam]:[HomeTeam]], P$1) + SUMIFS(Table1[[HomeWon]:[HomeWon]], Table1[[GameIsOver]:[GameIsOver]],1,Table1[[HomeTeam]:[HomeTeam]],$A26, Table1[[AwayTeam]:[AwayTeam]], P$1),0), "-", TEXT(SUMIFS(Table1[[HomeWon]:[HomeWon]], Table1[[GameIsOver]:[GameIsOver]],1,Table1[[AwayTeam]:[AwayTeam]],$A26, Table1[[HomeTeam]:[HomeTeam]], P$1, Table1[[ActualResult]:[ActualResult]], "REG") + SUMIFS(Table1[[AwayWon]:[AwayWon]], Table1[[GameIsOver]:[GameIsOver]],1,Table1[[HomeTeam]:[HomeTeam]],$A26, Table1[[AwayTeam]:[AwayTeam]], P$1, Table1[[ActualResult]:[ActualResult]], "REG"),0), "-", TEXT(SUMIFS(Table1[[HomeWon]:[HomeWon]], Table1[[GameIsOver]:[GameIsOver]],1,Table1[[AwayTeam]:[AwayTeam]],$A26, Table1[[HomeTeam]:[HomeTeam]], P$1, Table1[[ActualResult]:[ActualResult]], "OT") + SUMIFS(Table1[[AwayWon]:[AwayWon]], Table1[[GameIsOver]:[GameIsOver]],1,Table1[[HomeTeam]:[HomeTeam]],$A26, Table1[[AwayTeam]:[AwayTeam]], P$1, Table1[[ActualResult]:[ActualResult]], "OT") + SUMIFS(Table1[[HomeWon]:[HomeWon]], Table1[[GameIsOver]:[GameIsOver]],1,Table1[[AwayTeam]:[AwayTeam]],$A26, Table1[[HomeTeam]:[HomeTeam]], P$1, Table1[[ActualResult]:[ActualResult]], "SO") + SUMIFS(Table1[[AwayWon]:[AwayWon]], Table1[[GameIsOver]:[GameIsOver]],1,Table1[[HomeTeam]:[HomeTeam]],$A26, Table1[[AwayTeam]:[AwayTeam]], P$1, Table1[[ActualResult]:[ActualResult]], "SO"),0))</f>
        <v>0-0-0</v>
      </c>
      <c r="Q26" s="59" t="str">
        <f>_xlfn.CONCAT(TEXT(SUMIFS(Table1[[AwayWon]:[AwayWon]], Table1[[GameIsOver]:[GameIsOver]],1,Table1[[AwayTeam]:[AwayTeam]],$A26, Table1[[HomeTeam]:[HomeTeam]], Q$1) + SUMIFS(Table1[[HomeWon]:[HomeWon]], Table1[[GameIsOver]:[GameIsOver]],1,Table1[[HomeTeam]:[HomeTeam]],$A26, Table1[[AwayTeam]:[AwayTeam]], Q$1),0), "-", TEXT(SUMIFS(Table1[[HomeWon]:[HomeWon]], Table1[[GameIsOver]:[GameIsOver]],1,Table1[[AwayTeam]:[AwayTeam]],$A26, Table1[[HomeTeam]:[HomeTeam]], Q$1, Table1[[ActualResult]:[ActualResult]], "REG") + SUMIFS(Table1[[AwayWon]:[AwayWon]], Table1[[GameIsOver]:[GameIsOver]],1,Table1[[HomeTeam]:[HomeTeam]],$A26, Table1[[AwayTeam]:[AwayTeam]], Q$1, Table1[[ActualResult]:[ActualResult]], "REG"),0), "-", TEXT(SUMIFS(Table1[[HomeWon]:[HomeWon]], Table1[[GameIsOver]:[GameIsOver]],1,Table1[[AwayTeam]:[AwayTeam]],$A26, Table1[[HomeTeam]:[HomeTeam]], Q$1, Table1[[ActualResult]:[ActualResult]], "OT") + SUMIFS(Table1[[AwayWon]:[AwayWon]], Table1[[GameIsOver]:[GameIsOver]],1,Table1[[HomeTeam]:[HomeTeam]],$A26, Table1[[AwayTeam]:[AwayTeam]], Q$1, Table1[[ActualResult]:[ActualResult]], "OT") + SUMIFS(Table1[[HomeWon]:[HomeWon]], Table1[[GameIsOver]:[GameIsOver]],1,Table1[[AwayTeam]:[AwayTeam]],$A26, Table1[[HomeTeam]:[HomeTeam]], Q$1, Table1[[ActualResult]:[ActualResult]], "SO") + SUMIFS(Table1[[AwayWon]:[AwayWon]], Table1[[GameIsOver]:[GameIsOver]],1,Table1[[HomeTeam]:[HomeTeam]],$A26, Table1[[AwayTeam]:[AwayTeam]], Q$1, Table1[[ActualResult]:[ActualResult]], "SO"),0))</f>
        <v>1-0-0</v>
      </c>
      <c r="R26" s="57" t="str">
        <f>_xlfn.CONCAT(TEXT(SUMIFS(Table1[[AwayWon]:[AwayWon]], Table1[[GameIsOver]:[GameIsOver]],1,Table1[[AwayTeam]:[AwayTeam]],$A26, Table1[[HomeTeam]:[HomeTeam]], R$1) + SUMIFS(Table1[[HomeWon]:[HomeWon]], Table1[[GameIsOver]:[GameIsOver]],1,Table1[[HomeTeam]:[HomeTeam]],$A26, Table1[[AwayTeam]:[AwayTeam]], R$1),0), "-", TEXT(SUMIFS(Table1[[HomeWon]:[HomeWon]], Table1[[GameIsOver]:[GameIsOver]],1,Table1[[AwayTeam]:[AwayTeam]],$A26, Table1[[HomeTeam]:[HomeTeam]], R$1, Table1[[ActualResult]:[ActualResult]], "REG") + SUMIFS(Table1[[AwayWon]:[AwayWon]], Table1[[GameIsOver]:[GameIsOver]],1,Table1[[HomeTeam]:[HomeTeam]],$A26, Table1[[AwayTeam]:[AwayTeam]], R$1, Table1[[ActualResult]:[ActualResult]], "REG"),0), "-", TEXT(SUMIFS(Table1[[HomeWon]:[HomeWon]], Table1[[GameIsOver]:[GameIsOver]],1,Table1[[AwayTeam]:[AwayTeam]],$A26, Table1[[HomeTeam]:[HomeTeam]], R$1, Table1[[ActualResult]:[ActualResult]], "OT") + SUMIFS(Table1[[AwayWon]:[AwayWon]], Table1[[GameIsOver]:[GameIsOver]],1,Table1[[HomeTeam]:[HomeTeam]],$A26, Table1[[AwayTeam]:[AwayTeam]], R$1, Table1[[ActualResult]:[ActualResult]], "OT") + SUMIFS(Table1[[HomeWon]:[HomeWon]], Table1[[GameIsOver]:[GameIsOver]],1,Table1[[AwayTeam]:[AwayTeam]],$A26, Table1[[HomeTeam]:[HomeTeam]], R$1, Table1[[ActualResult]:[ActualResult]], "SO") + SUMIFS(Table1[[AwayWon]:[AwayWon]], Table1[[GameIsOver]:[GameIsOver]],1,Table1[[HomeTeam]:[HomeTeam]],$A26, Table1[[AwayTeam]:[AwayTeam]], R$1, Table1[[ActualResult]:[ActualResult]], "SO"),0))</f>
        <v>0-0-0</v>
      </c>
      <c r="S26" s="57" t="str">
        <f>_xlfn.CONCAT(TEXT(SUMIFS(Table1[[AwayWon]:[AwayWon]], Table1[[GameIsOver]:[GameIsOver]],1,Table1[[AwayTeam]:[AwayTeam]],$A26, Table1[[HomeTeam]:[HomeTeam]], S$1) + SUMIFS(Table1[[HomeWon]:[HomeWon]], Table1[[GameIsOver]:[GameIsOver]],1,Table1[[HomeTeam]:[HomeTeam]],$A26, Table1[[AwayTeam]:[AwayTeam]], S$1),0), "-", TEXT(SUMIFS(Table1[[HomeWon]:[HomeWon]], Table1[[GameIsOver]:[GameIsOver]],1,Table1[[AwayTeam]:[AwayTeam]],$A26, Table1[[HomeTeam]:[HomeTeam]], S$1, Table1[[ActualResult]:[ActualResult]], "REG") + SUMIFS(Table1[[AwayWon]:[AwayWon]], Table1[[GameIsOver]:[GameIsOver]],1,Table1[[HomeTeam]:[HomeTeam]],$A26, Table1[[AwayTeam]:[AwayTeam]], S$1, Table1[[ActualResult]:[ActualResult]], "REG"),0), "-", TEXT(SUMIFS(Table1[[HomeWon]:[HomeWon]], Table1[[GameIsOver]:[GameIsOver]],1,Table1[[AwayTeam]:[AwayTeam]],$A26, Table1[[HomeTeam]:[HomeTeam]], S$1, Table1[[ActualResult]:[ActualResult]], "OT") + SUMIFS(Table1[[AwayWon]:[AwayWon]], Table1[[GameIsOver]:[GameIsOver]],1,Table1[[HomeTeam]:[HomeTeam]],$A26, Table1[[AwayTeam]:[AwayTeam]], S$1, Table1[[ActualResult]:[ActualResult]], "OT") + SUMIFS(Table1[[HomeWon]:[HomeWon]], Table1[[GameIsOver]:[GameIsOver]],1,Table1[[AwayTeam]:[AwayTeam]],$A26, Table1[[HomeTeam]:[HomeTeam]], S$1, Table1[[ActualResult]:[ActualResult]], "SO") + SUMIFS(Table1[[AwayWon]:[AwayWon]], Table1[[GameIsOver]:[GameIsOver]],1,Table1[[HomeTeam]:[HomeTeam]],$A26, Table1[[AwayTeam]:[AwayTeam]], S$1, Table1[[ActualResult]:[ActualResult]], "SO"),0))</f>
        <v>0-0-0</v>
      </c>
      <c r="T26" s="57" t="str">
        <f>_xlfn.CONCAT(TEXT(SUMIFS(Table1[[AwayWon]:[AwayWon]], Table1[[GameIsOver]:[GameIsOver]],1,Table1[[AwayTeam]:[AwayTeam]],$A26, Table1[[HomeTeam]:[HomeTeam]], T$1) + SUMIFS(Table1[[HomeWon]:[HomeWon]], Table1[[GameIsOver]:[GameIsOver]],1,Table1[[HomeTeam]:[HomeTeam]],$A26, Table1[[AwayTeam]:[AwayTeam]], T$1),0), "-", TEXT(SUMIFS(Table1[[HomeWon]:[HomeWon]], Table1[[GameIsOver]:[GameIsOver]],1,Table1[[AwayTeam]:[AwayTeam]],$A26, Table1[[HomeTeam]:[HomeTeam]], T$1, Table1[[ActualResult]:[ActualResult]], "REG") + SUMIFS(Table1[[AwayWon]:[AwayWon]], Table1[[GameIsOver]:[GameIsOver]],1,Table1[[HomeTeam]:[HomeTeam]],$A26, Table1[[AwayTeam]:[AwayTeam]], T$1, Table1[[ActualResult]:[ActualResult]], "REG"),0), "-", TEXT(SUMIFS(Table1[[HomeWon]:[HomeWon]], Table1[[GameIsOver]:[GameIsOver]],1,Table1[[AwayTeam]:[AwayTeam]],$A26, Table1[[HomeTeam]:[HomeTeam]], T$1, Table1[[ActualResult]:[ActualResult]], "OT") + SUMIFS(Table1[[AwayWon]:[AwayWon]], Table1[[GameIsOver]:[GameIsOver]],1,Table1[[HomeTeam]:[HomeTeam]],$A26, Table1[[AwayTeam]:[AwayTeam]], T$1, Table1[[ActualResult]:[ActualResult]], "OT") + SUMIFS(Table1[[HomeWon]:[HomeWon]], Table1[[GameIsOver]:[GameIsOver]],1,Table1[[AwayTeam]:[AwayTeam]],$A26, Table1[[HomeTeam]:[HomeTeam]], T$1, Table1[[ActualResult]:[ActualResult]], "SO") + SUMIFS(Table1[[AwayWon]:[AwayWon]], Table1[[GameIsOver]:[GameIsOver]],1,Table1[[HomeTeam]:[HomeTeam]],$A26, Table1[[AwayTeam]:[AwayTeam]], T$1, Table1[[ActualResult]:[ActualResult]], "SO"),0))</f>
        <v>0-0-0</v>
      </c>
      <c r="U26" s="57" t="str">
        <f>_xlfn.CONCAT(TEXT(SUMIFS(Table1[[AwayWon]:[AwayWon]], Table1[[GameIsOver]:[GameIsOver]],1,Table1[[AwayTeam]:[AwayTeam]],$A26, Table1[[HomeTeam]:[HomeTeam]], U$1) + SUMIFS(Table1[[HomeWon]:[HomeWon]], Table1[[GameIsOver]:[GameIsOver]],1,Table1[[HomeTeam]:[HomeTeam]],$A26, Table1[[AwayTeam]:[AwayTeam]], U$1),0), "-", TEXT(SUMIFS(Table1[[HomeWon]:[HomeWon]], Table1[[GameIsOver]:[GameIsOver]],1,Table1[[AwayTeam]:[AwayTeam]],$A26, Table1[[HomeTeam]:[HomeTeam]], U$1, Table1[[ActualResult]:[ActualResult]], "REG") + SUMIFS(Table1[[AwayWon]:[AwayWon]], Table1[[GameIsOver]:[GameIsOver]],1,Table1[[HomeTeam]:[HomeTeam]],$A26, Table1[[AwayTeam]:[AwayTeam]], U$1, Table1[[ActualResult]:[ActualResult]], "REG"),0), "-", TEXT(SUMIFS(Table1[[HomeWon]:[HomeWon]], Table1[[GameIsOver]:[GameIsOver]],1,Table1[[AwayTeam]:[AwayTeam]],$A26, Table1[[HomeTeam]:[HomeTeam]], U$1, Table1[[ActualResult]:[ActualResult]], "OT") + SUMIFS(Table1[[AwayWon]:[AwayWon]], Table1[[GameIsOver]:[GameIsOver]],1,Table1[[HomeTeam]:[HomeTeam]],$A26, Table1[[AwayTeam]:[AwayTeam]], U$1, Table1[[ActualResult]:[ActualResult]], "OT") + SUMIFS(Table1[[HomeWon]:[HomeWon]], Table1[[GameIsOver]:[GameIsOver]],1,Table1[[AwayTeam]:[AwayTeam]],$A26, Table1[[HomeTeam]:[HomeTeam]], U$1, Table1[[ActualResult]:[ActualResult]], "SO") + SUMIFS(Table1[[AwayWon]:[AwayWon]], Table1[[GameIsOver]:[GameIsOver]],1,Table1[[HomeTeam]:[HomeTeam]],$A26, Table1[[AwayTeam]:[AwayTeam]], U$1, Table1[[ActualResult]:[ActualResult]], "SO"),0))</f>
        <v>0-0-0</v>
      </c>
      <c r="V26" s="57" t="str">
        <f>_xlfn.CONCAT(TEXT(SUMIFS(Table1[[AwayWon]:[AwayWon]], Table1[[GameIsOver]:[GameIsOver]],1,Table1[[AwayTeam]:[AwayTeam]],$A26, Table1[[HomeTeam]:[HomeTeam]], V$1) + SUMIFS(Table1[[HomeWon]:[HomeWon]], Table1[[GameIsOver]:[GameIsOver]],1,Table1[[HomeTeam]:[HomeTeam]],$A26, Table1[[AwayTeam]:[AwayTeam]], V$1),0), "-", TEXT(SUMIFS(Table1[[HomeWon]:[HomeWon]], Table1[[GameIsOver]:[GameIsOver]],1,Table1[[AwayTeam]:[AwayTeam]],$A26, Table1[[HomeTeam]:[HomeTeam]], V$1, Table1[[ActualResult]:[ActualResult]], "REG") + SUMIFS(Table1[[AwayWon]:[AwayWon]], Table1[[GameIsOver]:[GameIsOver]],1,Table1[[HomeTeam]:[HomeTeam]],$A26, Table1[[AwayTeam]:[AwayTeam]], V$1, Table1[[ActualResult]:[ActualResult]], "REG"),0), "-", TEXT(SUMIFS(Table1[[HomeWon]:[HomeWon]], Table1[[GameIsOver]:[GameIsOver]],1,Table1[[AwayTeam]:[AwayTeam]],$A26, Table1[[HomeTeam]:[HomeTeam]], V$1, Table1[[ActualResult]:[ActualResult]], "OT") + SUMIFS(Table1[[AwayWon]:[AwayWon]], Table1[[GameIsOver]:[GameIsOver]],1,Table1[[HomeTeam]:[HomeTeam]],$A26, Table1[[AwayTeam]:[AwayTeam]], V$1, Table1[[ActualResult]:[ActualResult]], "OT") + SUMIFS(Table1[[HomeWon]:[HomeWon]], Table1[[GameIsOver]:[GameIsOver]],1,Table1[[AwayTeam]:[AwayTeam]],$A26, Table1[[HomeTeam]:[HomeTeam]], V$1, Table1[[ActualResult]:[ActualResult]], "SO") + SUMIFS(Table1[[AwayWon]:[AwayWon]], Table1[[GameIsOver]:[GameIsOver]],1,Table1[[HomeTeam]:[HomeTeam]],$A26, Table1[[AwayTeam]:[AwayTeam]], V$1, Table1[[ActualResult]:[ActualResult]], "SO"),0))</f>
        <v>0-0-0</v>
      </c>
      <c r="W26" s="57" t="str">
        <f>_xlfn.CONCAT(TEXT(SUMIFS(Table1[[AwayWon]:[AwayWon]], Table1[[GameIsOver]:[GameIsOver]],1,Table1[[AwayTeam]:[AwayTeam]],$A26, Table1[[HomeTeam]:[HomeTeam]], W$1) + SUMIFS(Table1[[HomeWon]:[HomeWon]], Table1[[GameIsOver]:[GameIsOver]],1,Table1[[HomeTeam]:[HomeTeam]],$A26, Table1[[AwayTeam]:[AwayTeam]], W$1),0), "-", TEXT(SUMIFS(Table1[[HomeWon]:[HomeWon]], Table1[[GameIsOver]:[GameIsOver]],1,Table1[[AwayTeam]:[AwayTeam]],$A26, Table1[[HomeTeam]:[HomeTeam]], W$1, Table1[[ActualResult]:[ActualResult]], "REG") + SUMIFS(Table1[[AwayWon]:[AwayWon]], Table1[[GameIsOver]:[GameIsOver]],1,Table1[[HomeTeam]:[HomeTeam]],$A26, Table1[[AwayTeam]:[AwayTeam]], W$1, Table1[[ActualResult]:[ActualResult]], "REG"),0), "-", TEXT(SUMIFS(Table1[[HomeWon]:[HomeWon]], Table1[[GameIsOver]:[GameIsOver]],1,Table1[[AwayTeam]:[AwayTeam]],$A26, Table1[[HomeTeam]:[HomeTeam]], W$1, Table1[[ActualResult]:[ActualResult]], "OT") + SUMIFS(Table1[[AwayWon]:[AwayWon]], Table1[[GameIsOver]:[GameIsOver]],1,Table1[[HomeTeam]:[HomeTeam]],$A26, Table1[[AwayTeam]:[AwayTeam]], W$1, Table1[[ActualResult]:[ActualResult]], "OT") + SUMIFS(Table1[[HomeWon]:[HomeWon]], Table1[[GameIsOver]:[GameIsOver]],1,Table1[[AwayTeam]:[AwayTeam]],$A26, Table1[[HomeTeam]:[HomeTeam]], W$1, Table1[[ActualResult]:[ActualResult]], "SO") + SUMIFS(Table1[[AwayWon]:[AwayWon]], Table1[[GameIsOver]:[GameIsOver]],1,Table1[[HomeTeam]:[HomeTeam]],$A26, Table1[[AwayTeam]:[AwayTeam]], W$1, Table1[[ActualResult]:[ActualResult]], "SO"),0))</f>
        <v>0-0-0</v>
      </c>
      <c r="X26" s="57" t="str">
        <f>_xlfn.CONCAT(TEXT(SUMIFS(Table1[[AwayWon]:[AwayWon]], Table1[[GameIsOver]:[GameIsOver]],1,Table1[[AwayTeam]:[AwayTeam]],$A26, Table1[[HomeTeam]:[HomeTeam]], X$1) + SUMIFS(Table1[[HomeWon]:[HomeWon]], Table1[[GameIsOver]:[GameIsOver]],1,Table1[[HomeTeam]:[HomeTeam]],$A26, Table1[[AwayTeam]:[AwayTeam]], X$1),0), "-", TEXT(SUMIFS(Table1[[HomeWon]:[HomeWon]], Table1[[GameIsOver]:[GameIsOver]],1,Table1[[AwayTeam]:[AwayTeam]],$A26, Table1[[HomeTeam]:[HomeTeam]], X$1, Table1[[ActualResult]:[ActualResult]], "REG") + SUMIFS(Table1[[AwayWon]:[AwayWon]], Table1[[GameIsOver]:[GameIsOver]],1,Table1[[HomeTeam]:[HomeTeam]],$A26, Table1[[AwayTeam]:[AwayTeam]], X$1, Table1[[ActualResult]:[ActualResult]], "REG"),0), "-", TEXT(SUMIFS(Table1[[HomeWon]:[HomeWon]], Table1[[GameIsOver]:[GameIsOver]],1,Table1[[AwayTeam]:[AwayTeam]],$A26, Table1[[HomeTeam]:[HomeTeam]], X$1, Table1[[ActualResult]:[ActualResult]], "OT") + SUMIFS(Table1[[AwayWon]:[AwayWon]], Table1[[GameIsOver]:[GameIsOver]],1,Table1[[HomeTeam]:[HomeTeam]],$A26, Table1[[AwayTeam]:[AwayTeam]], X$1, Table1[[ActualResult]:[ActualResult]], "OT") + SUMIFS(Table1[[HomeWon]:[HomeWon]], Table1[[GameIsOver]:[GameIsOver]],1,Table1[[AwayTeam]:[AwayTeam]],$A26, Table1[[HomeTeam]:[HomeTeam]], X$1, Table1[[ActualResult]:[ActualResult]], "SO") + SUMIFS(Table1[[AwayWon]:[AwayWon]], Table1[[GameIsOver]:[GameIsOver]],1,Table1[[HomeTeam]:[HomeTeam]],$A26, Table1[[AwayTeam]:[AwayTeam]], X$1, Table1[[ActualResult]:[ActualResult]], "SO"),0))</f>
        <v>0-0-0</v>
      </c>
      <c r="Y26" s="59" t="str">
        <f>_xlfn.CONCAT(TEXT(SUMIFS(Table1[[AwayWon]:[AwayWon]], Table1[[GameIsOver]:[GameIsOver]],1,Table1[[AwayTeam]:[AwayTeam]],$A26, Table1[[HomeTeam]:[HomeTeam]], Y$1) + SUMIFS(Table1[[HomeWon]:[HomeWon]], Table1[[GameIsOver]:[GameIsOver]],1,Table1[[HomeTeam]:[HomeTeam]],$A26, Table1[[AwayTeam]:[AwayTeam]], Y$1),0), "-", TEXT(SUMIFS(Table1[[HomeWon]:[HomeWon]], Table1[[GameIsOver]:[GameIsOver]],1,Table1[[AwayTeam]:[AwayTeam]],$A26, Table1[[HomeTeam]:[HomeTeam]], Y$1, Table1[[ActualResult]:[ActualResult]], "REG") + SUMIFS(Table1[[AwayWon]:[AwayWon]], Table1[[GameIsOver]:[GameIsOver]],1,Table1[[HomeTeam]:[HomeTeam]],$A26, Table1[[AwayTeam]:[AwayTeam]], Y$1, Table1[[ActualResult]:[ActualResult]], "REG"),0), "-", TEXT(SUMIFS(Table1[[HomeWon]:[HomeWon]], Table1[[GameIsOver]:[GameIsOver]],1,Table1[[AwayTeam]:[AwayTeam]],$A26, Table1[[HomeTeam]:[HomeTeam]], Y$1, Table1[[ActualResult]:[ActualResult]], "OT") + SUMIFS(Table1[[AwayWon]:[AwayWon]], Table1[[GameIsOver]:[GameIsOver]],1,Table1[[HomeTeam]:[HomeTeam]],$A26, Table1[[AwayTeam]:[AwayTeam]], Y$1, Table1[[ActualResult]:[ActualResult]], "OT") + SUMIFS(Table1[[HomeWon]:[HomeWon]], Table1[[GameIsOver]:[GameIsOver]],1,Table1[[AwayTeam]:[AwayTeam]],$A26, Table1[[HomeTeam]:[HomeTeam]], Y$1, Table1[[ActualResult]:[ActualResult]], "SO") + SUMIFS(Table1[[AwayWon]:[AwayWon]], Table1[[GameIsOver]:[GameIsOver]],1,Table1[[HomeTeam]:[HomeTeam]],$A26, Table1[[AwayTeam]:[AwayTeam]], Y$1, Table1[[ActualResult]:[ActualResult]], "SO"),0))</f>
        <v>0-0-0</v>
      </c>
      <c r="Z26" s="57" t="str">
        <f>_xlfn.CONCAT(TEXT(SUMIFS(Table1[[AwayWon]:[AwayWon]], Table1[[GameIsOver]:[GameIsOver]],1,Table1[[AwayTeam]:[AwayTeam]],$A26, Table1[[HomeTeam]:[HomeTeam]], Z$1) + SUMIFS(Table1[[HomeWon]:[HomeWon]], Table1[[GameIsOver]:[GameIsOver]],1,Table1[[HomeTeam]:[HomeTeam]],$A26, Table1[[AwayTeam]:[AwayTeam]], Z$1),0), "-", TEXT(SUMIFS(Table1[[HomeWon]:[HomeWon]], Table1[[GameIsOver]:[GameIsOver]],1,Table1[[AwayTeam]:[AwayTeam]],$A26, Table1[[HomeTeam]:[HomeTeam]], Z$1, Table1[[ActualResult]:[ActualResult]], "REG") + SUMIFS(Table1[[AwayWon]:[AwayWon]], Table1[[GameIsOver]:[GameIsOver]],1,Table1[[HomeTeam]:[HomeTeam]],$A26, Table1[[AwayTeam]:[AwayTeam]], Z$1, Table1[[ActualResult]:[ActualResult]], "REG"),0), "-", TEXT(SUMIFS(Table1[[HomeWon]:[HomeWon]], Table1[[GameIsOver]:[GameIsOver]],1,Table1[[AwayTeam]:[AwayTeam]],$A26, Table1[[HomeTeam]:[HomeTeam]], Z$1, Table1[[ActualResult]:[ActualResult]], "OT") + SUMIFS(Table1[[AwayWon]:[AwayWon]], Table1[[GameIsOver]:[GameIsOver]],1,Table1[[HomeTeam]:[HomeTeam]],$A26, Table1[[AwayTeam]:[AwayTeam]], Z$1, Table1[[ActualResult]:[ActualResult]], "OT") + SUMIFS(Table1[[HomeWon]:[HomeWon]], Table1[[GameIsOver]:[GameIsOver]],1,Table1[[AwayTeam]:[AwayTeam]],$A26, Table1[[HomeTeam]:[HomeTeam]], Z$1, Table1[[ActualResult]:[ActualResult]], "SO") + SUMIFS(Table1[[AwayWon]:[AwayWon]], Table1[[GameIsOver]:[GameIsOver]],1,Table1[[HomeTeam]:[HomeTeam]],$A26, Table1[[AwayTeam]:[AwayTeam]], Z$1, Table1[[ActualResult]:[ActualResult]], "SO"),0))</f>
        <v>0-0-0</v>
      </c>
      <c r="AA26" s="57" t="str">
        <f>_xlfn.CONCAT(TEXT(SUMIFS(Table1[[AwayWon]:[AwayWon]], Table1[[GameIsOver]:[GameIsOver]],1,Table1[[AwayTeam]:[AwayTeam]],$A26, Table1[[HomeTeam]:[HomeTeam]], AA$1) + SUMIFS(Table1[[HomeWon]:[HomeWon]], Table1[[GameIsOver]:[GameIsOver]],1,Table1[[HomeTeam]:[HomeTeam]],$A26, Table1[[AwayTeam]:[AwayTeam]], AA$1),0), "-", TEXT(SUMIFS(Table1[[HomeWon]:[HomeWon]], Table1[[GameIsOver]:[GameIsOver]],1,Table1[[AwayTeam]:[AwayTeam]],$A26, Table1[[HomeTeam]:[HomeTeam]], AA$1, Table1[[ActualResult]:[ActualResult]], "REG") + SUMIFS(Table1[[AwayWon]:[AwayWon]], Table1[[GameIsOver]:[GameIsOver]],1,Table1[[HomeTeam]:[HomeTeam]],$A26, Table1[[AwayTeam]:[AwayTeam]], AA$1, Table1[[ActualResult]:[ActualResult]], "REG"),0), "-", TEXT(SUMIFS(Table1[[HomeWon]:[HomeWon]], Table1[[GameIsOver]:[GameIsOver]],1,Table1[[AwayTeam]:[AwayTeam]],$A26, Table1[[HomeTeam]:[HomeTeam]], AA$1, Table1[[ActualResult]:[ActualResult]], "OT") + SUMIFS(Table1[[AwayWon]:[AwayWon]], Table1[[GameIsOver]:[GameIsOver]],1,Table1[[HomeTeam]:[HomeTeam]],$A26, Table1[[AwayTeam]:[AwayTeam]], AA$1, Table1[[ActualResult]:[ActualResult]], "OT") + SUMIFS(Table1[[HomeWon]:[HomeWon]], Table1[[GameIsOver]:[GameIsOver]],1,Table1[[AwayTeam]:[AwayTeam]],$A26, Table1[[HomeTeam]:[HomeTeam]], AA$1, Table1[[ActualResult]:[ActualResult]], "SO") + SUMIFS(Table1[[AwayWon]:[AwayWon]], Table1[[GameIsOver]:[GameIsOver]],1,Table1[[HomeTeam]:[HomeTeam]],$A26, Table1[[AwayTeam]:[AwayTeam]], AA$1, Table1[[ActualResult]:[ActualResult]], "SO"),0))</f>
        <v>0-0-0</v>
      </c>
      <c r="AB26" s="57" t="str">
        <f>_xlfn.CONCAT(TEXT(SUMIFS(Table1[[AwayWon]:[AwayWon]], Table1[[GameIsOver]:[GameIsOver]],1,Table1[[AwayTeam]:[AwayTeam]],$A26, Table1[[HomeTeam]:[HomeTeam]], AB$1) + SUMIFS(Table1[[HomeWon]:[HomeWon]], Table1[[GameIsOver]:[GameIsOver]],1,Table1[[HomeTeam]:[HomeTeam]],$A26, Table1[[AwayTeam]:[AwayTeam]], AB$1),0), "-", TEXT(SUMIFS(Table1[[HomeWon]:[HomeWon]], Table1[[GameIsOver]:[GameIsOver]],1,Table1[[AwayTeam]:[AwayTeam]],$A26, Table1[[HomeTeam]:[HomeTeam]], AB$1, Table1[[ActualResult]:[ActualResult]], "REG") + SUMIFS(Table1[[AwayWon]:[AwayWon]], Table1[[GameIsOver]:[GameIsOver]],1,Table1[[HomeTeam]:[HomeTeam]],$A26, Table1[[AwayTeam]:[AwayTeam]], AB$1, Table1[[ActualResult]:[ActualResult]], "REG"),0), "-", TEXT(SUMIFS(Table1[[HomeWon]:[HomeWon]], Table1[[GameIsOver]:[GameIsOver]],1,Table1[[AwayTeam]:[AwayTeam]],$A26, Table1[[HomeTeam]:[HomeTeam]], AB$1, Table1[[ActualResult]:[ActualResult]], "OT") + SUMIFS(Table1[[AwayWon]:[AwayWon]], Table1[[GameIsOver]:[GameIsOver]],1,Table1[[HomeTeam]:[HomeTeam]],$A26, Table1[[AwayTeam]:[AwayTeam]], AB$1, Table1[[ActualResult]:[ActualResult]], "OT") + SUMIFS(Table1[[HomeWon]:[HomeWon]], Table1[[GameIsOver]:[GameIsOver]],1,Table1[[AwayTeam]:[AwayTeam]],$A26, Table1[[HomeTeam]:[HomeTeam]], AB$1, Table1[[ActualResult]:[ActualResult]], "SO") + SUMIFS(Table1[[AwayWon]:[AwayWon]], Table1[[GameIsOver]:[GameIsOver]],1,Table1[[HomeTeam]:[HomeTeam]],$A26, Table1[[AwayTeam]:[AwayTeam]], AB$1, Table1[[ActualResult]:[ActualResult]], "SO"),0))</f>
        <v>0-0-0</v>
      </c>
      <c r="AC26" s="57" t="str">
        <f>_xlfn.CONCAT(TEXT(SUMIFS(Table1[[AwayWon]:[AwayWon]], Table1[[GameIsOver]:[GameIsOver]],1,Table1[[AwayTeam]:[AwayTeam]],$A26, Table1[[HomeTeam]:[HomeTeam]], AC$1) + SUMIFS(Table1[[HomeWon]:[HomeWon]], Table1[[GameIsOver]:[GameIsOver]],1,Table1[[HomeTeam]:[HomeTeam]],$A26, Table1[[AwayTeam]:[AwayTeam]], AC$1),0), "-", TEXT(SUMIFS(Table1[[HomeWon]:[HomeWon]], Table1[[GameIsOver]:[GameIsOver]],1,Table1[[AwayTeam]:[AwayTeam]],$A26, Table1[[HomeTeam]:[HomeTeam]], AC$1, Table1[[ActualResult]:[ActualResult]], "REG") + SUMIFS(Table1[[AwayWon]:[AwayWon]], Table1[[GameIsOver]:[GameIsOver]],1,Table1[[HomeTeam]:[HomeTeam]],$A26, Table1[[AwayTeam]:[AwayTeam]], AC$1, Table1[[ActualResult]:[ActualResult]], "REG"),0), "-", TEXT(SUMIFS(Table1[[HomeWon]:[HomeWon]], Table1[[GameIsOver]:[GameIsOver]],1,Table1[[AwayTeam]:[AwayTeam]],$A26, Table1[[HomeTeam]:[HomeTeam]], AC$1, Table1[[ActualResult]:[ActualResult]], "OT") + SUMIFS(Table1[[AwayWon]:[AwayWon]], Table1[[GameIsOver]:[GameIsOver]],1,Table1[[HomeTeam]:[HomeTeam]],$A26, Table1[[AwayTeam]:[AwayTeam]], AC$1, Table1[[ActualResult]:[ActualResult]], "OT") + SUMIFS(Table1[[HomeWon]:[HomeWon]], Table1[[GameIsOver]:[GameIsOver]],1,Table1[[AwayTeam]:[AwayTeam]],$A26, Table1[[HomeTeam]:[HomeTeam]], AC$1, Table1[[ActualResult]:[ActualResult]], "SO") + SUMIFS(Table1[[AwayWon]:[AwayWon]], Table1[[GameIsOver]:[GameIsOver]],1,Table1[[HomeTeam]:[HomeTeam]],$A26, Table1[[AwayTeam]:[AwayTeam]], AC$1, Table1[[ActualResult]:[ActualResult]], "SO"),0))</f>
        <v>0-0-0</v>
      </c>
      <c r="AD26" s="57" t="str">
        <f>_xlfn.CONCAT(TEXT(SUMIFS(Table1[[AwayWon]:[AwayWon]], Table1[[GameIsOver]:[GameIsOver]],1,Table1[[AwayTeam]:[AwayTeam]],$A26, Table1[[HomeTeam]:[HomeTeam]], AD$1) + SUMIFS(Table1[[HomeWon]:[HomeWon]], Table1[[GameIsOver]:[GameIsOver]],1,Table1[[HomeTeam]:[HomeTeam]],$A26, Table1[[AwayTeam]:[AwayTeam]], AD$1),0), "-", TEXT(SUMIFS(Table1[[HomeWon]:[HomeWon]], Table1[[GameIsOver]:[GameIsOver]],1,Table1[[AwayTeam]:[AwayTeam]],$A26, Table1[[HomeTeam]:[HomeTeam]], AD$1, Table1[[ActualResult]:[ActualResult]], "REG") + SUMIFS(Table1[[AwayWon]:[AwayWon]], Table1[[GameIsOver]:[GameIsOver]],1,Table1[[HomeTeam]:[HomeTeam]],$A26, Table1[[AwayTeam]:[AwayTeam]], AD$1, Table1[[ActualResult]:[ActualResult]], "REG"),0), "-", TEXT(SUMIFS(Table1[[HomeWon]:[HomeWon]], Table1[[GameIsOver]:[GameIsOver]],1,Table1[[AwayTeam]:[AwayTeam]],$A26, Table1[[HomeTeam]:[HomeTeam]], AD$1, Table1[[ActualResult]:[ActualResult]], "OT") + SUMIFS(Table1[[AwayWon]:[AwayWon]], Table1[[GameIsOver]:[GameIsOver]],1,Table1[[HomeTeam]:[HomeTeam]],$A26, Table1[[AwayTeam]:[AwayTeam]], AD$1, Table1[[ActualResult]:[ActualResult]], "OT") + SUMIFS(Table1[[HomeWon]:[HomeWon]], Table1[[GameIsOver]:[GameIsOver]],1,Table1[[AwayTeam]:[AwayTeam]],$A26, Table1[[HomeTeam]:[HomeTeam]], AD$1, Table1[[ActualResult]:[ActualResult]], "SO") + SUMIFS(Table1[[AwayWon]:[AwayWon]], Table1[[GameIsOver]:[GameIsOver]],1,Table1[[HomeTeam]:[HomeTeam]],$A26, Table1[[AwayTeam]:[AwayTeam]], AD$1, Table1[[ActualResult]:[ActualResult]], "SO"),0))</f>
        <v>0-0-0</v>
      </c>
      <c r="AE26" s="57" t="str">
        <f>_xlfn.CONCAT(TEXT(SUMIFS(Table1[[AwayWon]:[AwayWon]], Table1[[GameIsOver]:[GameIsOver]],1,Table1[[AwayTeam]:[AwayTeam]],$A26, Table1[[HomeTeam]:[HomeTeam]], AE$1) + SUMIFS(Table1[[HomeWon]:[HomeWon]], Table1[[GameIsOver]:[GameIsOver]],1,Table1[[HomeTeam]:[HomeTeam]],$A26, Table1[[AwayTeam]:[AwayTeam]], AE$1),0), "-", TEXT(SUMIFS(Table1[[HomeWon]:[HomeWon]], Table1[[GameIsOver]:[GameIsOver]],1,Table1[[AwayTeam]:[AwayTeam]],$A26, Table1[[HomeTeam]:[HomeTeam]], AE$1, Table1[[ActualResult]:[ActualResult]], "REG") + SUMIFS(Table1[[AwayWon]:[AwayWon]], Table1[[GameIsOver]:[GameIsOver]],1,Table1[[HomeTeam]:[HomeTeam]],$A26, Table1[[AwayTeam]:[AwayTeam]], AE$1, Table1[[ActualResult]:[ActualResult]], "REG"),0), "-", TEXT(SUMIFS(Table1[[HomeWon]:[HomeWon]], Table1[[GameIsOver]:[GameIsOver]],1,Table1[[AwayTeam]:[AwayTeam]],$A26, Table1[[HomeTeam]:[HomeTeam]], AE$1, Table1[[ActualResult]:[ActualResult]], "OT") + SUMIFS(Table1[[AwayWon]:[AwayWon]], Table1[[GameIsOver]:[GameIsOver]],1,Table1[[HomeTeam]:[HomeTeam]],$A26, Table1[[AwayTeam]:[AwayTeam]], AE$1, Table1[[ActualResult]:[ActualResult]], "OT") + SUMIFS(Table1[[HomeWon]:[HomeWon]], Table1[[GameIsOver]:[GameIsOver]],1,Table1[[AwayTeam]:[AwayTeam]],$A26, Table1[[HomeTeam]:[HomeTeam]], AE$1, Table1[[ActualResult]:[ActualResult]], "SO") + SUMIFS(Table1[[AwayWon]:[AwayWon]], Table1[[GameIsOver]:[GameIsOver]],1,Table1[[HomeTeam]:[HomeTeam]],$A26, Table1[[AwayTeam]:[AwayTeam]], AE$1, Table1[[ActualResult]:[ActualResult]], "SO"),0))</f>
        <v>0-0-0</v>
      </c>
      <c r="AF26" s="57" t="str">
        <f>_xlfn.CONCAT(TEXT(SUMIFS(Table1[[AwayWon]:[AwayWon]], Table1[[GameIsOver]:[GameIsOver]],1,Table1[[AwayTeam]:[AwayTeam]],$A26, Table1[[HomeTeam]:[HomeTeam]], AF$1) + SUMIFS(Table1[[HomeWon]:[HomeWon]], Table1[[GameIsOver]:[GameIsOver]],1,Table1[[HomeTeam]:[HomeTeam]],$A26, Table1[[AwayTeam]:[AwayTeam]], AF$1),0), "-", TEXT(SUMIFS(Table1[[HomeWon]:[HomeWon]], Table1[[GameIsOver]:[GameIsOver]],1,Table1[[AwayTeam]:[AwayTeam]],$A26, Table1[[HomeTeam]:[HomeTeam]], AF$1, Table1[[ActualResult]:[ActualResult]], "REG") + SUMIFS(Table1[[AwayWon]:[AwayWon]], Table1[[GameIsOver]:[GameIsOver]],1,Table1[[HomeTeam]:[HomeTeam]],$A26, Table1[[AwayTeam]:[AwayTeam]], AF$1, Table1[[ActualResult]:[ActualResult]], "REG"),0), "-", TEXT(SUMIFS(Table1[[HomeWon]:[HomeWon]], Table1[[GameIsOver]:[GameIsOver]],1,Table1[[AwayTeam]:[AwayTeam]],$A26, Table1[[HomeTeam]:[HomeTeam]], AF$1, Table1[[ActualResult]:[ActualResult]], "OT") + SUMIFS(Table1[[AwayWon]:[AwayWon]], Table1[[GameIsOver]:[GameIsOver]],1,Table1[[HomeTeam]:[HomeTeam]],$A26, Table1[[AwayTeam]:[AwayTeam]], AF$1, Table1[[ActualResult]:[ActualResult]], "OT") + SUMIFS(Table1[[HomeWon]:[HomeWon]], Table1[[GameIsOver]:[GameIsOver]],1,Table1[[AwayTeam]:[AwayTeam]],$A26, Table1[[HomeTeam]:[HomeTeam]], AF$1, Table1[[ActualResult]:[ActualResult]], "SO") + SUMIFS(Table1[[AwayWon]:[AwayWon]], Table1[[GameIsOver]:[GameIsOver]],1,Table1[[HomeTeam]:[HomeTeam]],$A26, Table1[[AwayTeam]:[AwayTeam]], AF$1, Table1[[ActualResult]:[ActualResult]], "SO"),0))</f>
        <v>0-0-0</v>
      </c>
      <c r="AG26" s="57" t="str">
        <f>_xlfn.CONCAT(TEXT(SUMIFS(Table1[[AwayWon]:[AwayWon]], Table1[[GameIsOver]:[GameIsOver]],1,Table1[[AwayTeam]:[AwayTeam]],$A26, Table1[[HomeTeam]:[HomeTeam]], AG$1) + SUMIFS(Table1[[HomeWon]:[HomeWon]], Table1[[GameIsOver]:[GameIsOver]],1,Table1[[HomeTeam]:[HomeTeam]],$A26, Table1[[AwayTeam]:[AwayTeam]], AG$1),0), "-", TEXT(SUMIFS(Table1[[HomeWon]:[HomeWon]], Table1[[GameIsOver]:[GameIsOver]],1,Table1[[AwayTeam]:[AwayTeam]],$A26, Table1[[HomeTeam]:[HomeTeam]], AG$1, Table1[[ActualResult]:[ActualResult]], "REG") + SUMIFS(Table1[[AwayWon]:[AwayWon]], Table1[[GameIsOver]:[GameIsOver]],1,Table1[[HomeTeam]:[HomeTeam]],$A26, Table1[[AwayTeam]:[AwayTeam]], AG$1, Table1[[ActualResult]:[ActualResult]], "REG"),0), "-", TEXT(SUMIFS(Table1[[HomeWon]:[HomeWon]], Table1[[GameIsOver]:[GameIsOver]],1,Table1[[AwayTeam]:[AwayTeam]],$A26, Table1[[HomeTeam]:[HomeTeam]], AG$1, Table1[[ActualResult]:[ActualResult]], "OT") + SUMIFS(Table1[[AwayWon]:[AwayWon]], Table1[[GameIsOver]:[GameIsOver]],1,Table1[[HomeTeam]:[HomeTeam]],$A26, Table1[[AwayTeam]:[AwayTeam]], AG$1, Table1[[ActualResult]:[ActualResult]], "OT") + SUMIFS(Table1[[HomeWon]:[HomeWon]], Table1[[GameIsOver]:[GameIsOver]],1,Table1[[AwayTeam]:[AwayTeam]],$A26, Table1[[HomeTeam]:[HomeTeam]], AG$1, Table1[[ActualResult]:[ActualResult]], "SO") + SUMIFS(Table1[[AwayWon]:[AwayWon]], Table1[[GameIsOver]:[GameIsOver]],1,Table1[[HomeTeam]:[HomeTeam]],$A26, Table1[[AwayTeam]:[AwayTeam]], AG$1, Table1[[ActualResult]:[ActualResult]], "SO"),0))</f>
        <v>0-0-0</v>
      </c>
    </row>
    <row r="27" spans="1:33" x14ac:dyDescent="0.25">
      <c r="A27" s="28" t="s">
        <v>38</v>
      </c>
      <c r="B27" s="57" t="str">
        <f>_xlfn.CONCAT(TEXT(SUMIFS(Table1[[AwayWon]:[AwayWon]], Table1[[GameIsOver]:[GameIsOver]],1,Table1[[AwayTeam]:[AwayTeam]],$A27, Table1[[HomeTeam]:[HomeTeam]], B$1) + SUMIFS(Table1[[HomeWon]:[HomeWon]], Table1[[GameIsOver]:[GameIsOver]],1,Table1[[HomeTeam]:[HomeTeam]],$A27, Table1[[AwayTeam]:[AwayTeam]], B$1),0), "-", TEXT(SUMIFS(Table1[[HomeWon]:[HomeWon]], Table1[[GameIsOver]:[GameIsOver]],1,Table1[[AwayTeam]:[AwayTeam]],$A27, Table1[[HomeTeam]:[HomeTeam]], B$1, Table1[[ActualResult]:[ActualResult]], "REG") + SUMIFS(Table1[[AwayWon]:[AwayWon]], Table1[[GameIsOver]:[GameIsOver]],1,Table1[[HomeTeam]:[HomeTeam]],$A27, Table1[[AwayTeam]:[AwayTeam]], B$1, Table1[[ActualResult]:[ActualResult]], "REG"),0), "-", TEXT(SUMIFS(Table1[[HomeWon]:[HomeWon]], Table1[[GameIsOver]:[GameIsOver]],1,Table1[[AwayTeam]:[AwayTeam]],$A27, Table1[[HomeTeam]:[HomeTeam]], B$1, Table1[[ActualResult]:[ActualResult]], "OT") + SUMIFS(Table1[[AwayWon]:[AwayWon]], Table1[[GameIsOver]:[GameIsOver]],1,Table1[[HomeTeam]:[HomeTeam]],$A27, Table1[[AwayTeam]:[AwayTeam]], B$1, Table1[[ActualResult]:[ActualResult]], "OT") + SUMIFS(Table1[[HomeWon]:[HomeWon]], Table1[[GameIsOver]:[GameIsOver]],1,Table1[[AwayTeam]:[AwayTeam]],$A27, Table1[[HomeTeam]:[HomeTeam]], B$1, Table1[[ActualResult]:[ActualResult]], "SO") + SUMIFS(Table1[[AwayWon]:[AwayWon]], Table1[[GameIsOver]:[GameIsOver]],1,Table1[[HomeTeam]:[HomeTeam]],$A27, Table1[[AwayTeam]:[AwayTeam]], B$1, Table1[[ActualResult]:[ActualResult]], "SO"),0))</f>
        <v>0-0-0</v>
      </c>
      <c r="C27" s="57" t="str">
        <f>_xlfn.CONCAT(TEXT(SUMIFS(Table1[[AwayWon]:[AwayWon]], Table1[[GameIsOver]:[GameIsOver]],1,Table1[[AwayTeam]:[AwayTeam]],$A27, Table1[[HomeTeam]:[HomeTeam]], C$1) + SUMIFS(Table1[[HomeWon]:[HomeWon]], Table1[[GameIsOver]:[GameIsOver]],1,Table1[[HomeTeam]:[HomeTeam]],$A27, Table1[[AwayTeam]:[AwayTeam]], C$1),0), "-", TEXT(SUMIFS(Table1[[HomeWon]:[HomeWon]], Table1[[GameIsOver]:[GameIsOver]],1,Table1[[AwayTeam]:[AwayTeam]],$A27, Table1[[HomeTeam]:[HomeTeam]], C$1, Table1[[ActualResult]:[ActualResult]], "REG") + SUMIFS(Table1[[AwayWon]:[AwayWon]], Table1[[GameIsOver]:[GameIsOver]],1,Table1[[HomeTeam]:[HomeTeam]],$A27, Table1[[AwayTeam]:[AwayTeam]], C$1, Table1[[ActualResult]:[ActualResult]], "REG"),0), "-", TEXT(SUMIFS(Table1[[HomeWon]:[HomeWon]], Table1[[GameIsOver]:[GameIsOver]],1,Table1[[AwayTeam]:[AwayTeam]],$A27, Table1[[HomeTeam]:[HomeTeam]], C$1, Table1[[ActualResult]:[ActualResult]], "OT") + SUMIFS(Table1[[AwayWon]:[AwayWon]], Table1[[GameIsOver]:[GameIsOver]],1,Table1[[HomeTeam]:[HomeTeam]],$A27, Table1[[AwayTeam]:[AwayTeam]], C$1, Table1[[ActualResult]:[ActualResult]], "OT") + SUMIFS(Table1[[HomeWon]:[HomeWon]], Table1[[GameIsOver]:[GameIsOver]],1,Table1[[AwayTeam]:[AwayTeam]],$A27, Table1[[HomeTeam]:[HomeTeam]], C$1, Table1[[ActualResult]:[ActualResult]], "SO") + SUMIFS(Table1[[AwayWon]:[AwayWon]], Table1[[GameIsOver]:[GameIsOver]],1,Table1[[HomeTeam]:[HomeTeam]],$A27, Table1[[AwayTeam]:[AwayTeam]], C$1, Table1[[ActualResult]:[ActualResult]], "SO"),0))</f>
        <v>1-0-0</v>
      </c>
      <c r="D27" s="57" t="str">
        <f>_xlfn.CONCAT(TEXT(SUMIFS(Table1[[AwayWon]:[AwayWon]], Table1[[GameIsOver]:[GameIsOver]],1,Table1[[AwayTeam]:[AwayTeam]],$A27, Table1[[HomeTeam]:[HomeTeam]], D$1) + SUMIFS(Table1[[HomeWon]:[HomeWon]], Table1[[GameIsOver]:[GameIsOver]],1,Table1[[HomeTeam]:[HomeTeam]],$A27, Table1[[AwayTeam]:[AwayTeam]], D$1),0), "-", TEXT(SUMIFS(Table1[[HomeWon]:[HomeWon]], Table1[[GameIsOver]:[GameIsOver]],1,Table1[[AwayTeam]:[AwayTeam]],$A27, Table1[[HomeTeam]:[HomeTeam]], D$1, Table1[[ActualResult]:[ActualResult]], "REG") + SUMIFS(Table1[[AwayWon]:[AwayWon]], Table1[[GameIsOver]:[GameIsOver]],1,Table1[[HomeTeam]:[HomeTeam]],$A27, Table1[[AwayTeam]:[AwayTeam]], D$1, Table1[[ActualResult]:[ActualResult]], "REG"),0), "-", TEXT(SUMIFS(Table1[[HomeWon]:[HomeWon]], Table1[[GameIsOver]:[GameIsOver]],1,Table1[[AwayTeam]:[AwayTeam]],$A27, Table1[[HomeTeam]:[HomeTeam]], D$1, Table1[[ActualResult]:[ActualResult]], "OT") + SUMIFS(Table1[[AwayWon]:[AwayWon]], Table1[[GameIsOver]:[GameIsOver]],1,Table1[[HomeTeam]:[HomeTeam]],$A27, Table1[[AwayTeam]:[AwayTeam]], D$1, Table1[[ActualResult]:[ActualResult]], "OT") + SUMIFS(Table1[[HomeWon]:[HomeWon]], Table1[[GameIsOver]:[GameIsOver]],1,Table1[[AwayTeam]:[AwayTeam]],$A27, Table1[[HomeTeam]:[HomeTeam]], D$1, Table1[[ActualResult]:[ActualResult]], "SO") + SUMIFS(Table1[[AwayWon]:[AwayWon]], Table1[[GameIsOver]:[GameIsOver]],1,Table1[[HomeTeam]:[HomeTeam]],$A27, Table1[[AwayTeam]:[AwayTeam]], D$1, Table1[[ActualResult]:[ActualResult]], "SO"),0))</f>
        <v>0-0-0</v>
      </c>
      <c r="E27" s="57" t="str">
        <f>_xlfn.CONCAT(TEXT(SUMIFS(Table1[[AwayWon]:[AwayWon]], Table1[[GameIsOver]:[GameIsOver]],1,Table1[[AwayTeam]:[AwayTeam]],$A27, Table1[[HomeTeam]:[HomeTeam]], E$1) + SUMIFS(Table1[[HomeWon]:[HomeWon]], Table1[[GameIsOver]:[GameIsOver]],1,Table1[[HomeTeam]:[HomeTeam]],$A27, Table1[[AwayTeam]:[AwayTeam]], E$1),0), "-", TEXT(SUMIFS(Table1[[HomeWon]:[HomeWon]], Table1[[GameIsOver]:[GameIsOver]],1,Table1[[AwayTeam]:[AwayTeam]],$A27, Table1[[HomeTeam]:[HomeTeam]], E$1, Table1[[ActualResult]:[ActualResult]], "REG") + SUMIFS(Table1[[AwayWon]:[AwayWon]], Table1[[GameIsOver]:[GameIsOver]],1,Table1[[HomeTeam]:[HomeTeam]],$A27, Table1[[AwayTeam]:[AwayTeam]], E$1, Table1[[ActualResult]:[ActualResult]], "REG"),0), "-", TEXT(SUMIFS(Table1[[HomeWon]:[HomeWon]], Table1[[GameIsOver]:[GameIsOver]],1,Table1[[AwayTeam]:[AwayTeam]],$A27, Table1[[HomeTeam]:[HomeTeam]], E$1, Table1[[ActualResult]:[ActualResult]], "OT") + SUMIFS(Table1[[AwayWon]:[AwayWon]], Table1[[GameIsOver]:[GameIsOver]],1,Table1[[HomeTeam]:[HomeTeam]],$A27, Table1[[AwayTeam]:[AwayTeam]], E$1, Table1[[ActualResult]:[ActualResult]], "OT") + SUMIFS(Table1[[HomeWon]:[HomeWon]], Table1[[GameIsOver]:[GameIsOver]],1,Table1[[AwayTeam]:[AwayTeam]],$A27, Table1[[HomeTeam]:[HomeTeam]], E$1, Table1[[ActualResult]:[ActualResult]], "SO") + SUMIFS(Table1[[AwayWon]:[AwayWon]], Table1[[GameIsOver]:[GameIsOver]],1,Table1[[HomeTeam]:[HomeTeam]],$A27, Table1[[AwayTeam]:[AwayTeam]], E$1, Table1[[ActualResult]:[ActualResult]], "SO"),0))</f>
        <v>0-0-0</v>
      </c>
      <c r="F27" s="57" t="str">
        <f>_xlfn.CONCAT(TEXT(SUMIFS(Table1[[AwayWon]:[AwayWon]], Table1[[GameIsOver]:[GameIsOver]],1,Table1[[AwayTeam]:[AwayTeam]],$A27, Table1[[HomeTeam]:[HomeTeam]], F$1) + SUMIFS(Table1[[HomeWon]:[HomeWon]], Table1[[GameIsOver]:[GameIsOver]],1,Table1[[HomeTeam]:[HomeTeam]],$A27, Table1[[AwayTeam]:[AwayTeam]], F$1),0), "-", TEXT(SUMIFS(Table1[[HomeWon]:[HomeWon]], Table1[[GameIsOver]:[GameIsOver]],1,Table1[[AwayTeam]:[AwayTeam]],$A27, Table1[[HomeTeam]:[HomeTeam]], F$1, Table1[[ActualResult]:[ActualResult]], "REG") + SUMIFS(Table1[[AwayWon]:[AwayWon]], Table1[[GameIsOver]:[GameIsOver]],1,Table1[[HomeTeam]:[HomeTeam]],$A27, Table1[[AwayTeam]:[AwayTeam]], F$1, Table1[[ActualResult]:[ActualResult]], "REG"),0), "-", TEXT(SUMIFS(Table1[[HomeWon]:[HomeWon]], Table1[[GameIsOver]:[GameIsOver]],1,Table1[[AwayTeam]:[AwayTeam]],$A27, Table1[[HomeTeam]:[HomeTeam]], F$1, Table1[[ActualResult]:[ActualResult]], "OT") + SUMIFS(Table1[[AwayWon]:[AwayWon]], Table1[[GameIsOver]:[GameIsOver]],1,Table1[[HomeTeam]:[HomeTeam]],$A27, Table1[[AwayTeam]:[AwayTeam]], F$1, Table1[[ActualResult]:[ActualResult]], "OT") + SUMIFS(Table1[[HomeWon]:[HomeWon]], Table1[[GameIsOver]:[GameIsOver]],1,Table1[[AwayTeam]:[AwayTeam]],$A27, Table1[[HomeTeam]:[HomeTeam]], F$1, Table1[[ActualResult]:[ActualResult]], "SO") + SUMIFS(Table1[[AwayWon]:[AwayWon]], Table1[[GameIsOver]:[GameIsOver]],1,Table1[[HomeTeam]:[HomeTeam]],$A27, Table1[[AwayTeam]:[AwayTeam]], F$1, Table1[[ActualResult]:[ActualResult]], "SO"),0))</f>
        <v>0-0-0</v>
      </c>
      <c r="G27" s="57" t="str">
        <f>_xlfn.CONCAT(TEXT(SUMIFS(Table1[[AwayWon]:[AwayWon]], Table1[[GameIsOver]:[GameIsOver]],1,Table1[[AwayTeam]:[AwayTeam]],$A27, Table1[[HomeTeam]:[HomeTeam]], G$1) + SUMIFS(Table1[[HomeWon]:[HomeWon]], Table1[[GameIsOver]:[GameIsOver]],1,Table1[[HomeTeam]:[HomeTeam]],$A27, Table1[[AwayTeam]:[AwayTeam]], G$1),0), "-", TEXT(SUMIFS(Table1[[HomeWon]:[HomeWon]], Table1[[GameIsOver]:[GameIsOver]],1,Table1[[AwayTeam]:[AwayTeam]],$A27, Table1[[HomeTeam]:[HomeTeam]], G$1, Table1[[ActualResult]:[ActualResult]], "REG") + SUMIFS(Table1[[AwayWon]:[AwayWon]], Table1[[GameIsOver]:[GameIsOver]],1,Table1[[HomeTeam]:[HomeTeam]],$A27, Table1[[AwayTeam]:[AwayTeam]], G$1, Table1[[ActualResult]:[ActualResult]], "REG"),0), "-", TEXT(SUMIFS(Table1[[HomeWon]:[HomeWon]], Table1[[GameIsOver]:[GameIsOver]],1,Table1[[AwayTeam]:[AwayTeam]],$A27, Table1[[HomeTeam]:[HomeTeam]], G$1, Table1[[ActualResult]:[ActualResult]], "OT") + SUMIFS(Table1[[AwayWon]:[AwayWon]], Table1[[GameIsOver]:[GameIsOver]],1,Table1[[HomeTeam]:[HomeTeam]],$A27, Table1[[AwayTeam]:[AwayTeam]], G$1, Table1[[ActualResult]:[ActualResult]], "OT") + SUMIFS(Table1[[HomeWon]:[HomeWon]], Table1[[GameIsOver]:[GameIsOver]],1,Table1[[AwayTeam]:[AwayTeam]],$A27, Table1[[HomeTeam]:[HomeTeam]], G$1, Table1[[ActualResult]:[ActualResult]], "SO") + SUMIFS(Table1[[AwayWon]:[AwayWon]], Table1[[GameIsOver]:[GameIsOver]],1,Table1[[HomeTeam]:[HomeTeam]],$A27, Table1[[AwayTeam]:[AwayTeam]], G$1, Table1[[ActualResult]:[ActualResult]], "SO"),0))</f>
        <v>0-0-0</v>
      </c>
      <c r="H27" s="57" t="str">
        <f>_xlfn.CONCAT(TEXT(SUMIFS(Table1[[AwayWon]:[AwayWon]], Table1[[GameIsOver]:[GameIsOver]],1,Table1[[AwayTeam]:[AwayTeam]],$A27, Table1[[HomeTeam]:[HomeTeam]], H$1) + SUMIFS(Table1[[HomeWon]:[HomeWon]], Table1[[GameIsOver]:[GameIsOver]],1,Table1[[HomeTeam]:[HomeTeam]],$A27, Table1[[AwayTeam]:[AwayTeam]], H$1),0), "-", TEXT(SUMIFS(Table1[[HomeWon]:[HomeWon]], Table1[[GameIsOver]:[GameIsOver]],1,Table1[[AwayTeam]:[AwayTeam]],$A27, Table1[[HomeTeam]:[HomeTeam]], H$1, Table1[[ActualResult]:[ActualResult]], "REG") + SUMIFS(Table1[[AwayWon]:[AwayWon]], Table1[[GameIsOver]:[GameIsOver]],1,Table1[[HomeTeam]:[HomeTeam]],$A27, Table1[[AwayTeam]:[AwayTeam]], H$1, Table1[[ActualResult]:[ActualResult]], "REG"),0), "-", TEXT(SUMIFS(Table1[[HomeWon]:[HomeWon]], Table1[[GameIsOver]:[GameIsOver]],1,Table1[[AwayTeam]:[AwayTeam]],$A27, Table1[[HomeTeam]:[HomeTeam]], H$1, Table1[[ActualResult]:[ActualResult]], "OT") + SUMIFS(Table1[[AwayWon]:[AwayWon]], Table1[[GameIsOver]:[GameIsOver]],1,Table1[[HomeTeam]:[HomeTeam]],$A27, Table1[[AwayTeam]:[AwayTeam]], H$1, Table1[[ActualResult]:[ActualResult]], "OT") + SUMIFS(Table1[[HomeWon]:[HomeWon]], Table1[[GameIsOver]:[GameIsOver]],1,Table1[[AwayTeam]:[AwayTeam]],$A27, Table1[[HomeTeam]:[HomeTeam]], H$1, Table1[[ActualResult]:[ActualResult]], "SO") + SUMIFS(Table1[[AwayWon]:[AwayWon]], Table1[[GameIsOver]:[GameIsOver]],1,Table1[[HomeTeam]:[HomeTeam]],$A27, Table1[[AwayTeam]:[AwayTeam]], H$1, Table1[[ActualResult]:[ActualResult]], "SO"),0))</f>
        <v>0-0-0</v>
      </c>
      <c r="I27" s="59" t="str">
        <f>_xlfn.CONCAT(TEXT(SUMIFS(Table1[[AwayWon]:[AwayWon]], Table1[[GameIsOver]:[GameIsOver]],1,Table1[[AwayTeam]:[AwayTeam]],$A27, Table1[[HomeTeam]:[HomeTeam]], I$1) + SUMIFS(Table1[[HomeWon]:[HomeWon]], Table1[[GameIsOver]:[GameIsOver]],1,Table1[[HomeTeam]:[HomeTeam]],$A27, Table1[[AwayTeam]:[AwayTeam]], I$1),0), "-", TEXT(SUMIFS(Table1[[HomeWon]:[HomeWon]], Table1[[GameIsOver]:[GameIsOver]],1,Table1[[AwayTeam]:[AwayTeam]],$A27, Table1[[HomeTeam]:[HomeTeam]], I$1, Table1[[ActualResult]:[ActualResult]], "REG") + SUMIFS(Table1[[AwayWon]:[AwayWon]], Table1[[GameIsOver]:[GameIsOver]],1,Table1[[HomeTeam]:[HomeTeam]],$A27, Table1[[AwayTeam]:[AwayTeam]], I$1, Table1[[ActualResult]:[ActualResult]], "REG"),0), "-", TEXT(SUMIFS(Table1[[HomeWon]:[HomeWon]], Table1[[GameIsOver]:[GameIsOver]],1,Table1[[AwayTeam]:[AwayTeam]],$A27, Table1[[HomeTeam]:[HomeTeam]], I$1, Table1[[ActualResult]:[ActualResult]], "OT") + SUMIFS(Table1[[AwayWon]:[AwayWon]], Table1[[GameIsOver]:[GameIsOver]],1,Table1[[HomeTeam]:[HomeTeam]],$A27, Table1[[AwayTeam]:[AwayTeam]], I$1, Table1[[ActualResult]:[ActualResult]], "OT") + SUMIFS(Table1[[HomeWon]:[HomeWon]], Table1[[GameIsOver]:[GameIsOver]],1,Table1[[AwayTeam]:[AwayTeam]],$A27, Table1[[HomeTeam]:[HomeTeam]], I$1, Table1[[ActualResult]:[ActualResult]], "SO") + SUMIFS(Table1[[AwayWon]:[AwayWon]], Table1[[GameIsOver]:[GameIsOver]],1,Table1[[HomeTeam]:[HomeTeam]],$A27, Table1[[AwayTeam]:[AwayTeam]], I$1, Table1[[ActualResult]:[ActualResult]], "SO"),0))</f>
        <v>0-0-0</v>
      </c>
      <c r="J27" s="57" t="str">
        <f>_xlfn.CONCAT(TEXT(SUMIFS(Table1[[AwayWon]:[AwayWon]], Table1[[GameIsOver]:[GameIsOver]],1,Table1[[AwayTeam]:[AwayTeam]],$A27, Table1[[HomeTeam]:[HomeTeam]], J$1) + SUMIFS(Table1[[HomeWon]:[HomeWon]], Table1[[GameIsOver]:[GameIsOver]],1,Table1[[HomeTeam]:[HomeTeam]],$A27, Table1[[AwayTeam]:[AwayTeam]], J$1),0), "-", TEXT(SUMIFS(Table1[[HomeWon]:[HomeWon]], Table1[[GameIsOver]:[GameIsOver]],1,Table1[[AwayTeam]:[AwayTeam]],$A27, Table1[[HomeTeam]:[HomeTeam]], J$1, Table1[[ActualResult]:[ActualResult]], "REG") + SUMIFS(Table1[[AwayWon]:[AwayWon]], Table1[[GameIsOver]:[GameIsOver]],1,Table1[[HomeTeam]:[HomeTeam]],$A27, Table1[[AwayTeam]:[AwayTeam]], J$1, Table1[[ActualResult]:[ActualResult]], "REG"),0), "-", TEXT(SUMIFS(Table1[[HomeWon]:[HomeWon]], Table1[[GameIsOver]:[GameIsOver]],1,Table1[[AwayTeam]:[AwayTeam]],$A27, Table1[[HomeTeam]:[HomeTeam]], J$1, Table1[[ActualResult]:[ActualResult]], "OT") + SUMIFS(Table1[[AwayWon]:[AwayWon]], Table1[[GameIsOver]:[GameIsOver]],1,Table1[[HomeTeam]:[HomeTeam]],$A27, Table1[[AwayTeam]:[AwayTeam]], J$1, Table1[[ActualResult]:[ActualResult]], "OT") + SUMIFS(Table1[[HomeWon]:[HomeWon]], Table1[[GameIsOver]:[GameIsOver]],1,Table1[[AwayTeam]:[AwayTeam]],$A27, Table1[[HomeTeam]:[HomeTeam]], J$1, Table1[[ActualResult]:[ActualResult]], "SO") + SUMIFS(Table1[[AwayWon]:[AwayWon]], Table1[[GameIsOver]:[GameIsOver]],1,Table1[[HomeTeam]:[HomeTeam]],$A27, Table1[[AwayTeam]:[AwayTeam]], J$1, Table1[[ActualResult]:[ActualResult]], "SO"),0))</f>
        <v>0-0-0</v>
      </c>
      <c r="K27" s="57" t="str">
        <f>_xlfn.CONCAT(TEXT(SUMIFS(Table1[[AwayWon]:[AwayWon]], Table1[[GameIsOver]:[GameIsOver]],1,Table1[[AwayTeam]:[AwayTeam]],$A27, Table1[[HomeTeam]:[HomeTeam]], K$1) + SUMIFS(Table1[[HomeWon]:[HomeWon]], Table1[[GameIsOver]:[GameIsOver]],1,Table1[[HomeTeam]:[HomeTeam]],$A27, Table1[[AwayTeam]:[AwayTeam]], K$1),0), "-", TEXT(SUMIFS(Table1[[HomeWon]:[HomeWon]], Table1[[GameIsOver]:[GameIsOver]],1,Table1[[AwayTeam]:[AwayTeam]],$A27, Table1[[HomeTeam]:[HomeTeam]], K$1, Table1[[ActualResult]:[ActualResult]], "REG") + SUMIFS(Table1[[AwayWon]:[AwayWon]], Table1[[GameIsOver]:[GameIsOver]],1,Table1[[HomeTeam]:[HomeTeam]],$A27, Table1[[AwayTeam]:[AwayTeam]], K$1, Table1[[ActualResult]:[ActualResult]], "REG"),0), "-", TEXT(SUMIFS(Table1[[HomeWon]:[HomeWon]], Table1[[GameIsOver]:[GameIsOver]],1,Table1[[AwayTeam]:[AwayTeam]],$A27, Table1[[HomeTeam]:[HomeTeam]], K$1, Table1[[ActualResult]:[ActualResult]], "OT") + SUMIFS(Table1[[AwayWon]:[AwayWon]], Table1[[GameIsOver]:[GameIsOver]],1,Table1[[HomeTeam]:[HomeTeam]],$A27, Table1[[AwayTeam]:[AwayTeam]], K$1, Table1[[ActualResult]:[ActualResult]], "OT") + SUMIFS(Table1[[HomeWon]:[HomeWon]], Table1[[GameIsOver]:[GameIsOver]],1,Table1[[AwayTeam]:[AwayTeam]],$A27, Table1[[HomeTeam]:[HomeTeam]], K$1, Table1[[ActualResult]:[ActualResult]], "SO") + SUMIFS(Table1[[AwayWon]:[AwayWon]], Table1[[GameIsOver]:[GameIsOver]],1,Table1[[HomeTeam]:[HomeTeam]],$A27, Table1[[AwayTeam]:[AwayTeam]], K$1, Table1[[ActualResult]:[ActualResult]], "SO"),0))</f>
        <v>0-0-0</v>
      </c>
      <c r="L27" s="57" t="str">
        <f>_xlfn.CONCAT(TEXT(SUMIFS(Table1[[AwayWon]:[AwayWon]], Table1[[GameIsOver]:[GameIsOver]],1,Table1[[AwayTeam]:[AwayTeam]],$A27, Table1[[HomeTeam]:[HomeTeam]], L$1) + SUMIFS(Table1[[HomeWon]:[HomeWon]], Table1[[GameIsOver]:[GameIsOver]],1,Table1[[HomeTeam]:[HomeTeam]],$A27, Table1[[AwayTeam]:[AwayTeam]], L$1),0), "-", TEXT(SUMIFS(Table1[[HomeWon]:[HomeWon]], Table1[[GameIsOver]:[GameIsOver]],1,Table1[[AwayTeam]:[AwayTeam]],$A27, Table1[[HomeTeam]:[HomeTeam]], L$1, Table1[[ActualResult]:[ActualResult]], "REG") + SUMIFS(Table1[[AwayWon]:[AwayWon]], Table1[[GameIsOver]:[GameIsOver]],1,Table1[[HomeTeam]:[HomeTeam]],$A27, Table1[[AwayTeam]:[AwayTeam]], L$1, Table1[[ActualResult]:[ActualResult]], "REG"),0), "-", TEXT(SUMIFS(Table1[[HomeWon]:[HomeWon]], Table1[[GameIsOver]:[GameIsOver]],1,Table1[[AwayTeam]:[AwayTeam]],$A27, Table1[[HomeTeam]:[HomeTeam]], L$1, Table1[[ActualResult]:[ActualResult]], "OT") + SUMIFS(Table1[[AwayWon]:[AwayWon]], Table1[[GameIsOver]:[GameIsOver]],1,Table1[[HomeTeam]:[HomeTeam]],$A27, Table1[[AwayTeam]:[AwayTeam]], L$1, Table1[[ActualResult]:[ActualResult]], "OT") + SUMIFS(Table1[[HomeWon]:[HomeWon]], Table1[[GameIsOver]:[GameIsOver]],1,Table1[[AwayTeam]:[AwayTeam]],$A27, Table1[[HomeTeam]:[HomeTeam]], L$1, Table1[[ActualResult]:[ActualResult]], "SO") + SUMIFS(Table1[[AwayWon]:[AwayWon]], Table1[[GameIsOver]:[GameIsOver]],1,Table1[[HomeTeam]:[HomeTeam]],$A27, Table1[[AwayTeam]:[AwayTeam]], L$1, Table1[[ActualResult]:[ActualResult]], "SO"),0))</f>
        <v>0-0-0</v>
      </c>
      <c r="M27" s="57" t="str">
        <f>_xlfn.CONCAT(TEXT(SUMIFS(Table1[[AwayWon]:[AwayWon]], Table1[[GameIsOver]:[GameIsOver]],1,Table1[[AwayTeam]:[AwayTeam]],$A27, Table1[[HomeTeam]:[HomeTeam]], M$1) + SUMIFS(Table1[[HomeWon]:[HomeWon]], Table1[[GameIsOver]:[GameIsOver]],1,Table1[[HomeTeam]:[HomeTeam]],$A27, Table1[[AwayTeam]:[AwayTeam]], M$1),0), "-", TEXT(SUMIFS(Table1[[HomeWon]:[HomeWon]], Table1[[GameIsOver]:[GameIsOver]],1,Table1[[AwayTeam]:[AwayTeam]],$A27, Table1[[HomeTeam]:[HomeTeam]], M$1, Table1[[ActualResult]:[ActualResult]], "REG") + SUMIFS(Table1[[AwayWon]:[AwayWon]], Table1[[GameIsOver]:[GameIsOver]],1,Table1[[HomeTeam]:[HomeTeam]],$A27, Table1[[AwayTeam]:[AwayTeam]], M$1, Table1[[ActualResult]:[ActualResult]], "REG"),0), "-", TEXT(SUMIFS(Table1[[HomeWon]:[HomeWon]], Table1[[GameIsOver]:[GameIsOver]],1,Table1[[AwayTeam]:[AwayTeam]],$A27, Table1[[HomeTeam]:[HomeTeam]], M$1, Table1[[ActualResult]:[ActualResult]], "OT") + SUMIFS(Table1[[AwayWon]:[AwayWon]], Table1[[GameIsOver]:[GameIsOver]],1,Table1[[HomeTeam]:[HomeTeam]],$A27, Table1[[AwayTeam]:[AwayTeam]], M$1, Table1[[ActualResult]:[ActualResult]], "OT") + SUMIFS(Table1[[HomeWon]:[HomeWon]], Table1[[GameIsOver]:[GameIsOver]],1,Table1[[AwayTeam]:[AwayTeam]],$A27, Table1[[HomeTeam]:[HomeTeam]], M$1, Table1[[ActualResult]:[ActualResult]], "SO") + SUMIFS(Table1[[AwayWon]:[AwayWon]], Table1[[GameIsOver]:[GameIsOver]],1,Table1[[HomeTeam]:[HomeTeam]],$A27, Table1[[AwayTeam]:[AwayTeam]], M$1, Table1[[ActualResult]:[ActualResult]], "SO"),0))</f>
        <v>0-0-0</v>
      </c>
      <c r="N27" s="57" t="str">
        <f>_xlfn.CONCAT(TEXT(SUMIFS(Table1[[AwayWon]:[AwayWon]], Table1[[GameIsOver]:[GameIsOver]],1,Table1[[AwayTeam]:[AwayTeam]],$A27, Table1[[HomeTeam]:[HomeTeam]], N$1) + SUMIFS(Table1[[HomeWon]:[HomeWon]], Table1[[GameIsOver]:[GameIsOver]],1,Table1[[HomeTeam]:[HomeTeam]],$A27, Table1[[AwayTeam]:[AwayTeam]], N$1),0), "-", TEXT(SUMIFS(Table1[[HomeWon]:[HomeWon]], Table1[[GameIsOver]:[GameIsOver]],1,Table1[[AwayTeam]:[AwayTeam]],$A27, Table1[[HomeTeam]:[HomeTeam]], N$1, Table1[[ActualResult]:[ActualResult]], "REG") + SUMIFS(Table1[[AwayWon]:[AwayWon]], Table1[[GameIsOver]:[GameIsOver]],1,Table1[[HomeTeam]:[HomeTeam]],$A27, Table1[[AwayTeam]:[AwayTeam]], N$1, Table1[[ActualResult]:[ActualResult]], "REG"),0), "-", TEXT(SUMIFS(Table1[[HomeWon]:[HomeWon]], Table1[[GameIsOver]:[GameIsOver]],1,Table1[[AwayTeam]:[AwayTeam]],$A27, Table1[[HomeTeam]:[HomeTeam]], N$1, Table1[[ActualResult]:[ActualResult]], "OT") + SUMIFS(Table1[[AwayWon]:[AwayWon]], Table1[[GameIsOver]:[GameIsOver]],1,Table1[[HomeTeam]:[HomeTeam]],$A27, Table1[[AwayTeam]:[AwayTeam]], N$1, Table1[[ActualResult]:[ActualResult]], "OT") + SUMIFS(Table1[[HomeWon]:[HomeWon]], Table1[[GameIsOver]:[GameIsOver]],1,Table1[[AwayTeam]:[AwayTeam]],$A27, Table1[[HomeTeam]:[HomeTeam]], N$1, Table1[[ActualResult]:[ActualResult]], "SO") + SUMIFS(Table1[[AwayWon]:[AwayWon]], Table1[[GameIsOver]:[GameIsOver]],1,Table1[[HomeTeam]:[HomeTeam]],$A27, Table1[[AwayTeam]:[AwayTeam]], N$1, Table1[[ActualResult]:[ActualResult]], "SO"),0))</f>
        <v>0-0-0</v>
      </c>
      <c r="O27" s="57" t="str">
        <f>_xlfn.CONCAT(TEXT(SUMIFS(Table1[[AwayWon]:[AwayWon]], Table1[[GameIsOver]:[GameIsOver]],1,Table1[[AwayTeam]:[AwayTeam]],$A27, Table1[[HomeTeam]:[HomeTeam]], O$1) + SUMIFS(Table1[[HomeWon]:[HomeWon]], Table1[[GameIsOver]:[GameIsOver]],1,Table1[[HomeTeam]:[HomeTeam]],$A27, Table1[[AwayTeam]:[AwayTeam]], O$1),0), "-", TEXT(SUMIFS(Table1[[HomeWon]:[HomeWon]], Table1[[GameIsOver]:[GameIsOver]],1,Table1[[AwayTeam]:[AwayTeam]],$A27, Table1[[HomeTeam]:[HomeTeam]], O$1, Table1[[ActualResult]:[ActualResult]], "REG") + SUMIFS(Table1[[AwayWon]:[AwayWon]], Table1[[GameIsOver]:[GameIsOver]],1,Table1[[HomeTeam]:[HomeTeam]],$A27, Table1[[AwayTeam]:[AwayTeam]], O$1, Table1[[ActualResult]:[ActualResult]], "REG"),0), "-", TEXT(SUMIFS(Table1[[HomeWon]:[HomeWon]], Table1[[GameIsOver]:[GameIsOver]],1,Table1[[AwayTeam]:[AwayTeam]],$A27, Table1[[HomeTeam]:[HomeTeam]], O$1, Table1[[ActualResult]:[ActualResult]], "OT") + SUMIFS(Table1[[AwayWon]:[AwayWon]], Table1[[GameIsOver]:[GameIsOver]],1,Table1[[HomeTeam]:[HomeTeam]],$A27, Table1[[AwayTeam]:[AwayTeam]], O$1, Table1[[ActualResult]:[ActualResult]], "OT") + SUMIFS(Table1[[HomeWon]:[HomeWon]], Table1[[GameIsOver]:[GameIsOver]],1,Table1[[AwayTeam]:[AwayTeam]],$A27, Table1[[HomeTeam]:[HomeTeam]], O$1, Table1[[ActualResult]:[ActualResult]], "SO") + SUMIFS(Table1[[AwayWon]:[AwayWon]], Table1[[GameIsOver]:[GameIsOver]],1,Table1[[HomeTeam]:[HomeTeam]],$A27, Table1[[AwayTeam]:[AwayTeam]], O$1, Table1[[ActualResult]:[ActualResult]], "SO"),0))</f>
        <v>0-0-0</v>
      </c>
      <c r="P27" s="57" t="str">
        <f>_xlfn.CONCAT(TEXT(SUMIFS(Table1[[AwayWon]:[AwayWon]], Table1[[GameIsOver]:[GameIsOver]],1,Table1[[AwayTeam]:[AwayTeam]],$A27, Table1[[HomeTeam]:[HomeTeam]], P$1) + SUMIFS(Table1[[HomeWon]:[HomeWon]], Table1[[GameIsOver]:[GameIsOver]],1,Table1[[HomeTeam]:[HomeTeam]],$A27, Table1[[AwayTeam]:[AwayTeam]], P$1),0), "-", TEXT(SUMIFS(Table1[[HomeWon]:[HomeWon]], Table1[[GameIsOver]:[GameIsOver]],1,Table1[[AwayTeam]:[AwayTeam]],$A27, Table1[[HomeTeam]:[HomeTeam]], P$1, Table1[[ActualResult]:[ActualResult]], "REG") + SUMIFS(Table1[[AwayWon]:[AwayWon]], Table1[[GameIsOver]:[GameIsOver]],1,Table1[[HomeTeam]:[HomeTeam]],$A27, Table1[[AwayTeam]:[AwayTeam]], P$1, Table1[[ActualResult]:[ActualResult]], "REG"),0), "-", TEXT(SUMIFS(Table1[[HomeWon]:[HomeWon]], Table1[[GameIsOver]:[GameIsOver]],1,Table1[[AwayTeam]:[AwayTeam]],$A27, Table1[[HomeTeam]:[HomeTeam]], P$1, Table1[[ActualResult]:[ActualResult]], "OT") + SUMIFS(Table1[[AwayWon]:[AwayWon]], Table1[[GameIsOver]:[GameIsOver]],1,Table1[[HomeTeam]:[HomeTeam]],$A27, Table1[[AwayTeam]:[AwayTeam]], P$1, Table1[[ActualResult]:[ActualResult]], "OT") + SUMIFS(Table1[[HomeWon]:[HomeWon]], Table1[[GameIsOver]:[GameIsOver]],1,Table1[[AwayTeam]:[AwayTeam]],$A27, Table1[[HomeTeam]:[HomeTeam]], P$1, Table1[[ActualResult]:[ActualResult]], "SO") + SUMIFS(Table1[[AwayWon]:[AwayWon]], Table1[[GameIsOver]:[GameIsOver]],1,Table1[[HomeTeam]:[HomeTeam]],$A27, Table1[[AwayTeam]:[AwayTeam]], P$1, Table1[[ActualResult]:[ActualResult]], "SO"),0))</f>
        <v>0-0-0</v>
      </c>
      <c r="Q27" s="59" t="str">
        <f>_xlfn.CONCAT(TEXT(SUMIFS(Table1[[AwayWon]:[AwayWon]], Table1[[GameIsOver]:[GameIsOver]],1,Table1[[AwayTeam]:[AwayTeam]],$A27, Table1[[HomeTeam]:[HomeTeam]], Q$1) + SUMIFS(Table1[[HomeWon]:[HomeWon]], Table1[[GameIsOver]:[GameIsOver]],1,Table1[[HomeTeam]:[HomeTeam]],$A27, Table1[[AwayTeam]:[AwayTeam]], Q$1),0), "-", TEXT(SUMIFS(Table1[[HomeWon]:[HomeWon]], Table1[[GameIsOver]:[GameIsOver]],1,Table1[[AwayTeam]:[AwayTeam]],$A27, Table1[[HomeTeam]:[HomeTeam]], Q$1, Table1[[ActualResult]:[ActualResult]], "REG") + SUMIFS(Table1[[AwayWon]:[AwayWon]], Table1[[GameIsOver]:[GameIsOver]],1,Table1[[HomeTeam]:[HomeTeam]],$A27, Table1[[AwayTeam]:[AwayTeam]], Q$1, Table1[[ActualResult]:[ActualResult]], "REG"),0), "-", TEXT(SUMIFS(Table1[[HomeWon]:[HomeWon]], Table1[[GameIsOver]:[GameIsOver]],1,Table1[[AwayTeam]:[AwayTeam]],$A27, Table1[[HomeTeam]:[HomeTeam]], Q$1, Table1[[ActualResult]:[ActualResult]], "OT") + SUMIFS(Table1[[AwayWon]:[AwayWon]], Table1[[GameIsOver]:[GameIsOver]],1,Table1[[HomeTeam]:[HomeTeam]],$A27, Table1[[AwayTeam]:[AwayTeam]], Q$1, Table1[[ActualResult]:[ActualResult]], "OT") + SUMIFS(Table1[[HomeWon]:[HomeWon]], Table1[[GameIsOver]:[GameIsOver]],1,Table1[[AwayTeam]:[AwayTeam]],$A27, Table1[[HomeTeam]:[HomeTeam]], Q$1, Table1[[ActualResult]:[ActualResult]], "SO") + SUMIFS(Table1[[AwayWon]:[AwayWon]], Table1[[GameIsOver]:[GameIsOver]],1,Table1[[HomeTeam]:[HomeTeam]],$A27, Table1[[AwayTeam]:[AwayTeam]], Q$1, Table1[[ActualResult]:[ActualResult]], "SO"),0))</f>
        <v>0-0-0</v>
      </c>
      <c r="R27" s="57" t="str">
        <f>_xlfn.CONCAT(TEXT(SUMIFS(Table1[[AwayWon]:[AwayWon]], Table1[[GameIsOver]:[GameIsOver]],1,Table1[[AwayTeam]:[AwayTeam]],$A27, Table1[[HomeTeam]:[HomeTeam]], R$1) + SUMIFS(Table1[[HomeWon]:[HomeWon]], Table1[[GameIsOver]:[GameIsOver]],1,Table1[[HomeTeam]:[HomeTeam]],$A27, Table1[[AwayTeam]:[AwayTeam]], R$1),0), "-", TEXT(SUMIFS(Table1[[HomeWon]:[HomeWon]], Table1[[GameIsOver]:[GameIsOver]],1,Table1[[AwayTeam]:[AwayTeam]],$A27, Table1[[HomeTeam]:[HomeTeam]], R$1, Table1[[ActualResult]:[ActualResult]], "REG") + SUMIFS(Table1[[AwayWon]:[AwayWon]], Table1[[GameIsOver]:[GameIsOver]],1,Table1[[HomeTeam]:[HomeTeam]],$A27, Table1[[AwayTeam]:[AwayTeam]], R$1, Table1[[ActualResult]:[ActualResult]], "REG"),0), "-", TEXT(SUMIFS(Table1[[HomeWon]:[HomeWon]], Table1[[GameIsOver]:[GameIsOver]],1,Table1[[AwayTeam]:[AwayTeam]],$A27, Table1[[HomeTeam]:[HomeTeam]], R$1, Table1[[ActualResult]:[ActualResult]], "OT") + SUMIFS(Table1[[AwayWon]:[AwayWon]], Table1[[GameIsOver]:[GameIsOver]],1,Table1[[HomeTeam]:[HomeTeam]],$A27, Table1[[AwayTeam]:[AwayTeam]], R$1, Table1[[ActualResult]:[ActualResult]], "OT") + SUMIFS(Table1[[HomeWon]:[HomeWon]], Table1[[GameIsOver]:[GameIsOver]],1,Table1[[AwayTeam]:[AwayTeam]],$A27, Table1[[HomeTeam]:[HomeTeam]], R$1, Table1[[ActualResult]:[ActualResult]], "SO") + SUMIFS(Table1[[AwayWon]:[AwayWon]], Table1[[GameIsOver]:[GameIsOver]],1,Table1[[HomeTeam]:[HomeTeam]],$A27, Table1[[AwayTeam]:[AwayTeam]], R$1, Table1[[ActualResult]:[ActualResult]], "SO"),0))</f>
        <v>0-0-0</v>
      </c>
      <c r="S27" s="57" t="str">
        <f>_xlfn.CONCAT(TEXT(SUMIFS(Table1[[AwayWon]:[AwayWon]], Table1[[GameIsOver]:[GameIsOver]],1,Table1[[AwayTeam]:[AwayTeam]],$A27, Table1[[HomeTeam]:[HomeTeam]], S$1) + SUMIFS(Table1[[HomeWon]:[HomeWon]], Table1[[GameIsOver]:[GameIsOver]],1,Table1[[HomeTeam]:[HomeTeam]],$A27, Table1[[AwayTeam]:[AwayTeam]], S$1),0), "-", TEXT(SUMIFS(Table1[[HomeWon]:[HomeWon]], Table1[[GameIsOver]:[GameIsOver]],1,Table1[[AwayTeam]:[AwayTeam]],$A27, Table1[[HomeTeam]:[HomeTeam]], S$1, Table1[[ActualResult]:[ActualResult]], "REG") + SUMIFS(Table1[[AwayWon]:[AwayWon]], Table1[[GameIsOver]:[GameIsOver]],1,Table1[[HomeTeam]:[HomeTeam]],$A27, Table1[[AwayTeam]:[AwayTeam]], S$1, Table1[[ActualResult]:[ActualResult]], "REG"),0), "-", TEXT(SUMIFS(Table1[[HomeWon]:[HomeWon]], Table1[[GameIsOver]:[GameIsOver]],1,Table1[[AwayTeam]:[AwayTeam]],$A27, Table1[[HomeTeam]:[HomeTeam]], S$1, Table1[[ActualResult]:[ActualResult]], "OT") + SUMIFS(Table1[[AwayWon]:[AwayWon]], Table1[[GameIsOver]:[GameIsOver]],1,Table1[[HomeTeam]:[HomeTeam]],$A27, Table1[[AwayTeam]:[AwayTeam]], S$1, Table1[[ActualResult]:[ActualResult]], "OT") + SUMIFS(Table1[[HomeWon]:[HomeWon]], Table1[[GameIsOver]:[GameIsOver]],1,Table1[[AwayTeam]:[AwayTeam]],$A27, Table1[[HomeTeam]:[HomeTeam]], S$1, Table1[[ActualResult]:[ActualResult]], "SO") + SUMIFS(Table1[[AwayWon]:[AwayWon]], Table1[[GameIsOver]:[GameIsOver]],1,Table1[[HomeTeam]:[HomeTeam]],$A27, Table1[[AwayTeam]:[AwayTeam]], S$1, Table1[[ActualResult]:[ActualResult]], "SO"),0))</f>
        <v>0-0-0</v>
      </c>
      <c r="T27" s="57" t="str">
        <f>_xlfn.CONCAT(TEXT(SUMIFS(Table1[[AwayWon]:[AwayWon]], Table1[[GameIsOver]:[GameIsOver]],1,Table1[[AwayTeam]:[AwayTeam]],$A27, Table1[[HomeTeam]:[HomeTeam]], T$1) + SUMIFS(Table1[[HomeWon]:[HomeWon]], Table1[[GameIsOver]:[GameIsOver]],1,Table1[[HomeTeam]:[HomeTeam]],$A27, Table1[[AwayTeam]:[AwayTeam]], T$1),0), "-", TEXT(SUMIFS(Table1[[HomeWon]:[HomeWon]], Table1[[GameIsOver]:[GameIsOver]],1,Table1[[AwayTeam]:[AwayTeam]],$A27, Table1[[HomeTeam]:[HomeTeam]], T$1, Table1[[ActualResult]:[ActualResult]], "REG") + SUMIFS(Table1[[AwayWon]:[AwayWon]], Table1[[GameIsOver]:[GameIsOver]],1,Table1[[HomeTeam]:[HomeTeam]],$A27, Table1[[AwayTeam]:[AwayTeam]], T$1, Table1[[ActualResult]:[ActualResult]], "REG"),0), "-", TEXT(SUMIFS(Table1[[HomeWon]:[HomeWon]], Table1[[GameIsOver]:[GameIsOver]],1,Table1[[AwayTeam]:[AwayTeam]],$A27, Table1[[HomeTeam]:[HomeTeam]], T$1, Table1[[ActualResult]:[ActualResult]], "OT") + SUMIFS(Table1[[AwayWon]:[AwayWon]], Table1[[GameIsOver]:[GameIsOver]],1,Table1[[HomeTeam]:[HomeTeam]],$A27, Table1[[AwayTeam]:[AwayTeam]], T$1, Table1[[ActualResult]:[ActualResult]], "OT") + SUMIFS(Table1[[HomeWon]:[HomeWon]], Table1[[GameIsOver]:[GameIsOver]],1,Table1[[AwayTeam]:[AwayTeam]],$A27, Table1[[HomeTeam]:[HomeTeam]], T$1, Table1[[ActualResult]:[ActualResult]], "SO") + SUMIFS(Table1[[AwayWon]:[AwayWon]], Table1[[GameIsOver]:[GameIsOver]],1,Table1[[HomeTeam]:[HomeTeam]],$A27, Table1[[AwayTeam]:[AwayTeam]], T$1, Table1[[ActualResult]:[ActualResult]], "SO"),0))</f>
        <v>0-0-0</v>
      </c>
      <c r="U27" s="57" t="str">
        <f>_xlfn.CONCAT(TEXT(SUMIFS(Table1[[AwayWon]:[AwayWon]], Table1[[GameIsOver]:[GameIsOver]],1,Table1[[AwayTeam]:[AwayTeam]],$A27, Table1[[HomeTeam]:[HomeTeam]], U$1) + SUMIFS(Table1[[HomeWon]:[HomeWon]], Table1[[GameIsOver]:[GameIsOver]],1,Table1[[HomeTeam]:[HomeTeam]],$A27, Table1[[AwayTeam]:[AwayTeam]], U$1),0), "-", TEXT(SUMIFS(Table1[[HomeWon]:[HomeWon]], Table1[[GameIsOver]:[GameIsOver]],1,Table1[[AwayTeam]:[AwayTeam]],$A27, Table1[[HomeTeam]:[HomeTeam]], U$1, Table1[[ActualResult]:[ActualResult]], "REG") + SUMIFS(Table1[[AwayWon]:[AwayWon]], Table1[[GameIsOver]:[GameIsOver]],1,Table1[[HomeTeam]:[HomeTeam]],$A27, Table1[[AwayTeam]:[AwayTeam]], U$1, Table1[[ActualResult]:[ActualResult]], "REG"),0), "-", TEXT(SUMIFS(Table1[[HomeWon]:[HomeWon]], Table1[[GameIsOver]:[GameIsOver]],1,Table1[[AwayTeam]:[AwayTeam]],$A27, Table1[[HomeTeam]:[HomeTeam]], U$1, Table1[[ActualResult]:[ActualResult]], "OT") + SUMIFS(Table1[[AwayWon]:[AwayWon]], Table1[[GameIsOver]:[GameIsOver]],1,Table1[[HomeTeam]:[HomeTeam]],$A27, Table1[[AwayTeam]:[AwayTeam]], U$1, Table1[[ActualResult]:[ActualResult]], "OT") + SUMIFS(Table1[[HomeWon]:[HomeWon]], Table1[[GameIsOver]:[GameIsOver]],1,Table1[[AwayTeam]:[AwayTeam]],$A27, Table1[[HomeTeam]:[HomeTeam]], U$1, Table1[[ActualResult]:[ActualResult]], "SO") + SUMIFS(Table1[[AwayWon]:[AwayWon]], Table1[[GameIsOver]:[GameIsOver]],1,Table1[[HomeTeam]:[HomeTeam]],$A27, Table1[[AwayTeam]:[AwayTeam]], U$1, Table1[[ActualResult]:[ActualResult]], "SO"),0))</f>
        <v>0-0-0</v>
      </c>
      <c r="V27" s="57" t="str">
        <f>_xlfn.CONCAT(TEXT(SUMIFS(Table1[[AwayWon]:[AwayWon]], Table1[[GameIsOver]:[GameIsOver]],1,Table1[[AwayTeam]:[AwayTeam]],$A27, Table1[[HomeTeam]:[HomeTeam]], V$1) + SUMIFS(Table1[[HomeWon]:[HomeWon]], Table1[[GameIsOver]:[GameIsOver]],1,Table1[[HomeTeam]:[HomeTeam]],$A27, Table1[[AwayTeam]:[AwayTeam]], V$1),0), "-", TEXT(SUMIFS(Table1[[HomeWon]:[HomeWon]], Table1[[GameIsOver]:[GameIsOver]],1,Table1[[AwayTeam]:[AwayTeam]],$A27, Table1[[HomeTeam]:[HomeTeam]], V$1, Table1[[ActualResult]:[ActualResult]], "REG") + SUMIFS(Table1[[AwayWon]:[AwayWon]], Table1[[GameIsOver]:[GameIsOver]],1,Table1[[HomeTeam]:[HomeTeam]],$A27, Table1[[AwayTeam]:[AwayTeam]], V$1, Table1[[ActualResult]:[ActualResult]], "REG"),0), "-", TEXT(SUMIFS(Table1[[HomeWon]:[HomeWon]], Table1[[GameIsOver]:[GameIsOver]],1,Table1[[AwayTeam]:[AwayTeam]],$A27, Table1[[HomeTeam]:[HomeTeam]], V$1, Table1[[ActualResult]:[ActualResult]], "OT") + SUMIFS(Table1[[AwayWon]:[AwayWon]], Table1[[GameIsOver]:[GameIsOver]],1,Table1[[HomeTeam]:[HomeTeam]],$A27, Table1[[AwayTeam]:[AwayTeam]], V$1, Table1[[ActualResult]:[ActualResult]], "OT") + SUMIFS(Table1[[HomeWon]:[HomeWon]], Table1[[GameIsOver]:[GameIsOver]],1,Table1[[AwayTeam]:[AwayTeam]],$A27, Table1[[HomeTeam]:[HomeTeam]], V$1, Table1[[ActualResult]:[ActualResult]], "SO") + SUMIFS(Table1[[AwayWon]:[AwayWon]], Table1[[GameIsOver]:[GameIsOver]],1,Table1[[HomeTeam]:[HomeTeam]],$A27, Table1[[AwayTeam]:[AwayTeam]], V$1, Table1[[ActualResult]:[ActualResult]], "SO"),0))</f>
        <v>0-0-0</v>
      </c>
      <c r="W27" s="57" t="str">
        <f>_xlfn.CONCAT(TEXT(SUMIFS(Table1[[AwayWon]:[AwayWon]], Table1[[GameIsOver]:[GameIsOver]],1,Table1[[AwayTeam]:[AwayTeam]],$A27, Table1[[HomeTeam]:[HomeTeam]], W$1) + SUMIFS(Table1[[HomeWon]:[HomeWon]], Table1[[GameIsOver]:[GameIsOver]],1,Table1[[HomeTeam]:[HomeTeam]],$A27, Table1[[AwayTeam]:[AwayTeam]], W$1),0), "-", TEXT(SUMIFS(Table1[[HomeWon]:[HomeWon]], Table1[[GameIsOver]:[GameIsOver]],1,Table1[[AwayTeam]:[AwayTeam]],$A27, Table1[[HomeTeam]:[HomeTeam]], W$1, Table1[[ActualResult]:[ActualResult]], "REG") + SUMIFS(Table1[[AwayWon]:[AwayWon]], Table1[[GameIsOver]:[GameIsOver]],1,Table1[[HomeTeam]:[HomeTeam]],$A27, Table1[[AwayTeam]:[AwayTeam]], W$1, Table1[[ActualResult]:[ActualResult]], "REG"),0), "-", TEXT(SUMIFS(Table1[[HomeWon]:[HomeWon]], Table1[[GameIsOver]:[GameIsOver]],1,Table1[[AwayTeam]:[AwayTeam]],$A27, Table1[[HomeTeam]:[HomeTeam]], W$1, Table1[[ActualResult]:[ActualResult]], "OT") + SUMIFS(Table1[[AwayWon]:[AwayWon]], Table1[[GameIsOver]:[GameIsOver]],1,Table1[[HomeTeam]:[HomeTeam]],$A27, Table1[[AwayTeam]:[AwayTeam]], W$1, Table1[[ActualResult]:[ActualResult]], "OT") + SUMIFS(Table1[[HomeWon]:[HomeWon]], Table1[[GameIsOver]:[GameIsOver]],1,Table1[[AwayTeam]:[AwayTeam]],$A27, Table1[[HomeTeam]:[HomeTeam]], W$1, Table1[[ActualResult]:[ActualResult]], "SO") + SUMIFS(Table1[[AwayWon]:[AwayWon]], Table1[[GameIsOver]:[GameIsOver]],1,Table1[[HomeTeam]:[HomeTeam]],$A27, Table1[[AwayTeam]:[AwayTeam]], W$1, Table1[[ActualResult]:[ActualResult]], "SO"),0))</f>
        <v>0-0-0</v>
      </c>
      <c r="X27" s="57" t="str">
        <f>_xlfn.CONCAT(TEXT(SUMIFS(Table1[[AwayWon]:[AwayWon]], Table1[[GameIsOver]:[GameIsOver]],1,Table1[[AwayTeam]:[AwayTeam]],$A27, Table1[[HomeTeam]:[HomeTeam]], X$1) + SUMIFS(Table1[[HomeWon]:[HomeWon]], Table1[[GameIsOver]:[GameIsOver]],1,Table1[[HomeTeam]:[HomeTeam]],$A27, Table1[[AwayTeam]:[AwayTeam]], X$1),0), "-", TEXT(SUMIFS(Table1[[HomeWon]:[HomeWon]], Table1[[GameIsOver]:[GameIsOver]],1,Table1[[AwayTeam]:[AwayTeam]],$A27, Table1[[HomeTeam]:[HomeTeam]], X$1, Table1[[ActualResult]:[ActualResult]], "REG") + SUMIFS(Table1[[AwayWon]:[AwayWon]], Table1[[GameIsOver]:[GameIsOver]],1,Table1[[HomeTeam]:[HomeTeam]],$A27, Table1[[AwayTeam]:[AwayTeam]], X$1, Table1[[ActualResult]:[ActualResult]], "REG"),0), "-", TEXT(SUMIFS(Table1[[HomeWon]:[HomeWon]], Table1[[GameIsOver]:[GameIsOver]],1,Table1[[AwayTeam]:[AwayTeam]],$A27, Table1[[HomeTeam]:[HomeTeam]], X$1, Table1[[ActualResult]:[ActualResult]], "OT") + SUMIFS(Table1[[AwayWon]:[AwayWon]], Table1[[GameIsOver]:[GameIsOver]],1,Table1[[HomeTeam]:[HomeTeam]],$A27, Table1[[AwayTeam]:[AwayTeam]], X$1, Table1[[ActualResult]:[ActualResult]], "OT") + SUMIFS(Table1[[HomeWon]:[HomeWon]], Table1[[GameIsOver]:[GameIsOver]],1,Table1[[AwayTeam]:[AwayTeam]],$A27, Table1[[HomeTeam]:[HomeTeam]], X$1, Table1[[ActualResult]:[ActualResult]], "SO") + SUMIFS(Table1[[AwayWon]:[AwayWon]], Table1[[GameIsOver]:[GameIsOver]],1,Table1[[HomeTeam]:[HomeTeam]],$A27, Table1[[AwayTeam]:[AwayTeam]], X$1, Table1[[ActualResult]:[ActualResult]], "SO"),0))</f>
        <v>1-0-0</v>
      </c>
      <c r="Y27" s="59" t="str">
        <f>_xlfn.CONCAT(TEXT(SUMIFS(Table1[[AwayWon]:[AwayWon]], Table1[[GameIsOver]:[GameIsOver]],1,Table1[[AwayTeam]:[AwayTeam]],$A27, Table1[[HomeTeam]:[HomeTeam]], Y$1) + SUMIFS(Table1[[HomeWon]:[HomeWon]], Table1[[GameIsOver]:[GameIsOver]],1,Table1[[HomeTeam]:[HomeTeam]],$A27, Table1[[AwayTeam]:[AwayTeam]], Y$1),0), "-", TEXT(SUMIFS(Table1[[HomeWon]:[HomeWon]], Table1[[GameIsOver]:[GameIsOver]],1,Table1[[AwayTeam]:[AwayTeam]],$A27, Table1[[HomeTeam]:[HomeTeam]], Y$1, Table1[[ActualResult]:[ActualResult]], "REG") + SUMIFS(Table1[[AwayWon]:[AwayWon]], Table1[[GameIsOver]:[GameIsOver]],1,Table1[[HomeTeam]:[HomeTeam]],$A27, Table1[[AwayTeam]:[AwayTeam]], Y$1, Table1[[ActualResult]:[ActualResult]], "REG"),0), "-", TEXT(SUMIFS(Table1[[HomeWon]:[HomeWon]], Table1[[GameIsOver]:[GameIsOver]],1,Table1[[AwayTeam]:[AwayTeam]],$A27, Table1[[HomeTeam]:[HomeTeam]], Y$1, Table1[[ActualResult]:[ActualResult]], "OT") + SUMIFS(Table1[[AwayWon]:[AwayWon]], Table1[[GameIsOver]:[GameIsOver]],1,Table1[[HomeTeam]:[HomeTeam]],$A27, Table1[[AwayTeam]:[AwayTeam]], Y$1, Table1[[ActualResult]:[ActualResult]], "OT") + SUMIFS(Table1[[HomeWon]:[HomeWon]], Table1[[GameIsOver]:[GameIsOver]],1,Table1[[AwayTeam]:[AwayTeam]],$A27, Table1[[HomeTeam]:[HomeTeam]], Y$1, Table1[[ActualResult]:[ActualResult]], "SO") + SUMIFS(Table1[[AwayWon]:[AwayWon]], Table1[[GameIsOver]:[GameIsOver]],1,Table1[[HomeTeam]:[HomeTeam]],$A27, Table1[[AwayTeam]:[AwayTeam]], Y$1, Table1[[ActualResult]:[ActualResult]], "SO"),0))</f>
        <v>0-0-0</v>
      </c>
      <c r="Z27" s="57" t="str">
        <f>_xlfn.CONCAT(TEXT(SUMIFS(Table1[[AwayWon]:[AwayWon]], Table1[[GameIsOver]:[GameIsOver]],1,Table1[[AwayTeam]:[AwayTeam]],$A27, Table1[[HomeTeam]:[HomeTeam]], Z$1) + SUMIFS(Table1[[HomeWon]:[HomeWon]], Table1[[GameIsOver]:[GameIsOver]],1,Table1[[HomeTeam]:[HomeTeam]],$A27, Table1[[AwayTeam]:[AwayTeam]], Z$1),0), "-", TEXT(SUMIFS(Table1[[HomeWon]:[HomeWon]], Table1[[GameIsOver]:[GameIsOver]],1,Table1[[AwayTeam]:[AwayTeam]],$A27, Table1[[HomeTeam]:[HomeTeam]], Z$1, Table1[[ActualResult]:[ActualResult]], "REG") + SUMIFS(Table1[[AwayWon]:[AwayWon]], Table1[[GameIsOver]:[GameIsOver]],1,Table1[[HomeTeam]:[HomeTeam]],$A27, Table1[[AwayTeam]:[AwayTeam]], Z$1, Table1[[ActualResult]:[ActualResult]], "REG"),0), "-", TEXT(SUMIFS(Table1[[HomeWon]:[HomeWon]], Table1[[GameIsOver]:[GameIsOver]],1,Table1[[AwayTeam]:[AwayTeam]],$A27, Table1[[HomeTeam]:[HomeTeam]], Z$1, Table1[[ActualResult]:[ActualResult]], "OT") + SUMIFS(Table1[[AwayWon]:[AwayWon]], Table1[[GameIsOver]:[GameIsOver]],1,Table1[[HomeTeam]:[HomeTeam]],$A27, Table1[[AwayTeam]:[AwayTeam]], Z$1, Table1[[ActualResult]:[ActualResult]], "OT") + SUMIFS(Table1[[HomeWon]:[HomeWon]], Table1[[GameIsOver]:[GameIsOver]],1,Table1[[AwayTeam]:[AwayTeam]],$A27, Table1[[HomeTeam]:[HomeTeam]], Z$1, Table1[[ActualResult]:[ActualResult]], "SO") + SUMIFS(Table1[[AwayWon]:[AwayWon]], Table1[[GameIsOver]:[GameIsOver]],1,Table1[[HomeTeam]:[HomeTeam]],$A27, Table1[[AwayTeam]:[AwayTeam]], Z$1, Table1[[ActualResult]:[ActualResult]], "SO"),0))</f>
        <v>0-0-0</v>
      </c>
      <c r="AA27" s="57" t="str">
        <f>_xlfn.CONCAT(TEXT(SUMIFS(Table1[[AwayWon]:[AwayWon]], Table1[[GameIsOver]:[GameIsOver]],1,Table1[[AwayTeam]:[AwayTeam]],$A27, Table1[[HomeTeam]:[HomeTeam]], AA$1) + SUMIFS(Table1[[HomeWon]:[HomeWon]], Table1[[GameIsOver]:[GameIsOver]],1,Table1[[HomeTeam]:[HomeTeam]],$A27, Table1[[AwayTeam]:[AwayTeam]], AA$1),0), "-", TEXT(SUMIFS(Table1[[HomeWon]:[HomeWon]], Table1[[GameIsOver]:[GameIsOver]],1,Table1[[AwayTeam]:[AwayTeam]],$A27, Table1[[HomeTeam]:[HomeTeam]], AA$1, Table1[[ActualResult]:[ActualResult]], "REG") + SUMIFS(Table1[[AwayWon]:[AwayWon]], Table1[[GameIsOver]:[GameIsOver]],1,Table1[[HomeTeam]:[HomeTeam]],$A27, Table1[[AwayTeam]:[AwayTeam]], AA$1, Table1[[ActualResult]:[ActualResult]], "REG"),0), "-", TEXT(SUMIFS(Table1[[HomeWon]:[HomeWon]], Table1[[GameIsOver]:[GameIsOver]],1,Table1[[AwayTeam]:[AwayTeam]],$A27, Table1[[HomeTeam]:[HomeTeam]], AA$1, Table1[[ActualResult]:[ActualResult]], "OT") + SUMIFS(Table1[[AwayWon]:[AwayWon]], Table1[[GameIsOver]:[GameIsOver]],1,Table1[[HomeTeam]:[HomeTeam]],$A27, Table1[[AwayTeam]:[AwayTeam]], AA$1, Table1[[ActualResult]:[ActualResult]], "OT") + SUMIFS(Table1[[HomeWon]:[HomeWon]], Table1[[GameIsOver]:[GameIsOver]],1,Table1[[AwayTeam]:[AwayTeam]],$A27, Table1[[HomeTeam]:[HomeTeam]], AA$1, Table1[[ActualResult]:[ActualResult]], "SO") + SUMIFS(Table1[[AwayWon]:[AwayWon]], Table1[[GameIsOver]:[GameIsOver]],1,Table1[[HomeTeam]:[HomeTeam]],$A27, Table1[[AwayTeam]:[AwayTeam]], AA$1, Table1[[ActualResult]:[ActualResult]], "SO"),0))</f>
        <v>0-0-0</v>
      </c>
      <c r="AB27" s="57" t="str">
        <f>_xlfn.CONCAT(TEXT(SUMIFS(Table1[[AwayWon]:[AwayWon]], Table1[[GameIsOver]:[GameIsOver]],1,Table1[[AwayTeam]:[AwayTeam]],$A27, Table1[[HomeTeam]:[HomeTeam]], AB$1) + SUMIFS(Table1[[HomeWon]:[HomeWon]], Table1[[GameIsOver]:[GameIsOver]],1,Table1[[HomeTeam]:[HomeTeam]],$A27, Table1[[AwayTeam]:[AwayTeam]], AB$1),0), "-", TEXT(SUMIFS(Table1[[HomeWon]:[HomeWon]], Table1[[GameIsOver]:[GameIsOver]],1,Table1[[AwayTeam]:[AwayTeam]],$A27, Table1[[HomeTeam]:[HomeTeam]], AB$1, Table1[[ActualResult]:[ActualResult]], "REG") + SUMIFS(Table1[[AwayWon]:[AwayWon]], Table1[[GameIsOver]:[GameIsOver]],1,Table1[[HomeTeam]:[HomeTeam]],$A27, Table1[[AwayTeam]:[AwayTeam]], AB$1, Table1[[ActualResult]:[ActualResult]], "REG"),0), "-", TEXT(SUMIFS(Table1[[HomeWon]:[HomeWon]], Table1[[GameIsOver]:[GameIsOver]],1,Table1[[AwayTeam]:[AwayTeam]],$A27, Table1[[HomeTeam]:[HomeTeam]], AB$1, Table1[[ActualResult]:[ActualResult]], "OT") + SUMIFS(Table1[[AwayWon]:[AwayWon]], Table1[[GameIsOver]:[GameIsOver]],1,Table1[[HomeTeam]:[HomeTeam]],$A27, Table1[[AwayTeam]:[AwayTeam]], AB$1, Table1[[ActualResult]:[ActualResult]], "OT") + SUMIFS(Table1[[HomeWon]:[HomeWon]], Table1[[GameIsOver]:[GameIsOver]],1,Table1[[AwayTeam]:[AwayTeam]],$A27, Table1[[HomeTeam]:[HomeTeam]], AB$1, Table1[[ActualResult]:[ActualResult]], "SO") + SUMIFS(Table1[[AwayWon]:[AwayWon]], Table1[[GameIsOver]:[GameIsOver]],1,Table1[[HomeTeam]:[HomeTeam]],$A27, Table1[[AwayTeam]:[AwayTeam]], AB$1, Table1[[ActualResult]:[ActualResult]], "SO"),0))</f>
        <v>0-0-0</v>
      </c>
      <c r="AC27" s="57" t="str">
        <f>_xlfn.CONCAT(TEXT(SUMIFS(Table1[[AwayWon]:[AwayWon]], Table1[[GameIsOver]:[GameIsOver]],1,Table1[[AwayTeam]:[AwayTeam]],$A27, Table1[[HomeTeam]:[HomeTeam]], AC$1) + SUMIFS(Table1[[HomeWon]:[HomeWon]], Table1[[GameIsOver]:[GameIsOver]],1,Table1[[HomeTeam]:[HomeTeam]],$A27, Table1[[AwayTeam]:[AwayTeam]], AC$1),0), "-", TEXT(SUMIFS(Table1[[HomeWon]:[HomeWon]], Table1[[GameIsOver]:[GameIsOver]],1,Table1[[AwayTeam]:[AwayTeam]],$A27, Table1[[HomeTeam]:[HomeTeam]], AC$1, Table1[[ActualResult]:[ActualResult]], "REG") + SUMIFS(Table1[[AwayWon]:[AwayWon]], Table1[[GameIsOver]:[GameIsOver]],1,Table1[[HomeTeam]:[HomeTeam]],$A27, Table1[[AwayTeam]:[AwayTeam]], AC$1, Table1[[ActualResult]:[ActualResult]], "REG"),0), "-", TEXT(SUMIFS(Table1[[HomeWon]:[HomeWon]], Table1[[GameIsOver]:[GameIsOver]],1,Table1[[AwayTeam]:[AwayTeam]],$A27, Table1[[HomeTeam]:[HomeTeam]], AC$1, Table1[[ActualResult]:[ActualResult]], "OT") + SUMIFS(Table1[[AwayWon]:[AwayWon]], Table1[[GameIsOver]:[GameIsOver]],1,Table1[[HomeTeam]:[HomeTeam]],$A27, Table1[[AwayTeam]:[AwayTeam]], AC$1, Table1[[ActualResult]:[ActualResult]], "OT") + SUMIFS(Table1[[HomeWon]:[HomeWon]], Table1[[GameIsOver]:[GameIsOver]],1,Table1[[AwayTeam]:[AwayTeam]],$A27, Table1[[HomeTeam]:[HomeTeam]], AC$1, Table1[[ActualResult]:[ActualResult]], "SO") + SUMIFS(Table1[[AwayWon]:[AwayWon]], Table1[[GameIsOver]:[GameIsOver]],1,Table1[[HomeTeam]:[HomeTeam]],$A27, Table1[[AwayTeam]:[AwayTeam]], AC$1, Table1[[ActualResult]:[ActualResult]], "SO"),0))</f>
        <v>0-0-0</v>
      </c>
      <c r="AD27" s="57" t="str">
        <f>_xlfn.CONCAT(TEXT(SUMIFS(Table1[[AwayWon]:[AwayWon]], Table1[[GameIsOver]:[GameIsOver]],1,Table1[[AwayTeam]:[AwayTeam]],$A27, Table1[[HomeTeam]:[HomeTeam]], AD$1) + SUMIFS(Table1[[HomeWon]:[HomeWon]], Table1[[GameIsOver]:[GameIsOver]],1,Table1[[HomeTeam]:[HomeTeam]],$A27, Table1[[AwayTeam]:[AwayTeam]], AD$1),0), "-", TEXT(SUMIFS(Table1[[HomeWon]:[HomeWon]], Table1[[GameIsOver]:[GameIsOver]],1,Table1[[AwayTeam]:[AwayTeam]],$A27, Table1[[HomeTeam]:[HomeTeam]], AD$1, Table1[[ActualResult]:[ActualResult]], "REG") + SUMIFS(Table1[[AwayWon]:[AwayWon]], Table1[[GameIsOver]:[GameIsOver]],1,Table1[[HomeTeam]:[HomeTeam]],$A27, Table1[[AwayTeam]:[AwayTeam]], AD$1, Table1[[ActualResult]:[ActualResult]], "REG"),0), "-", TEXT(SUMIFS(Table1[[HomeWon]:[HomeWon]], Table1[[GameIsOver]:[GameIsOver]],1,Table1[[AwayTeam]:[AwayTeam]],$A27, Table1[[HomeTeam]:[HomeTeam]], AD$1, Table1[[ActualResult]:[ActualResult]], "OT") + SUMIFS(Table1[[AwayWon]:[AwayWon]], Table1[[GameIsOver]:[GameIsOver]],1,Table1[[HomeTeam]:[HomeTeam]],$A27, Table1[[AwayTeam]:[AwayTeam]], AD$1, Table1[[ActualResult]:[ActualResult]], "OT") + SUMIFS(Table1[[HomeWon]:[HomeWon]], Table1[[GameIsOver]:[GameIsOver]],1,Table1[[AwayTeam]:[AwayTeam]],$A27, Table1[[HomeTeam]:[HomeTeam]], AD$1, Table1[[ActualResult]:[ActualResult]], "SO") + SUMIFS(Table1[[AwayWon]:[AwayWon]], Table1[[GameIsOver]:[GameIsOver]],1,Table1[[HomeTeam]:[HomeTeam]],$A27, Table1[[AwayTeam]:[AwayTeam]], AD$1, Table1[[ActualResult]:[ActualResult]], "SO"),0))</f>
        <v>0-0-0</v>
      </c>
      <c r="AE27" s="57" t="str">
        <f>_xlfn.CONCAT(TEXT(SUMIFS(Table1[[AwayWon]:[AwayWon]], Table1[[GameIsOver]:[GameIsOver]],1,Table1[[AwayTeam]:[AwayTeam]],$A27, Table1[[HomeTeam]:[HomeTeam]], AE$1) + SUMIFS(Table1[[HomeWon]:[HomeWon]], Table1[[GameIsOver]:[GameIsOver]],1,Table1[[HomeTeam]:[HomeTeam]],$A27, Table1[[AwayTeam]:[AwayTeam]], AE$1),0), "-", TEXT(SUMIFS(Table1[[HomeWon]:[HomeWon]], Table1[[GameIsOver]:[GameIsOver]],1,Table1[[AwayTeam]:[AwayTeam]],$A27, Table1[[HomeTeam]:[HomeTeam]], AE$1, Table1[[ActualResult]:[ActualResult]], "REG") + SUMIFS(Table1[[AwayWon]:[AwayWon]], Table1[[GameIsOver]:[GameIsOver]],1,Table1[[HomeTeam]:[HomeTeam]],$A27, Table1[[AwayTeam]:[AwayTeam]], AE$1, Table1[[ActualResult]:[ActualResult]], "REG"),0), "-", TEXT(SUMIFS(Table1[[HomeWon]:[HomeWon]], Table1[[GameIsOver]:[GameIsOver]],1,Table1[[AwayTeam]:[AwayTeam]],$A27, Table1[[HomeTeam]:[HomeTeam]], AE$1, Table1[[ActualResult]:[ActualResult]], "OT") + SUMIFS(Table1[[AwayWon]:[AwayWon]], Table1[[GameIsOver]:[GameIsOver]],1,Table1[[HomeTeam]:[HomeTeam]],$A27, Table1[[AwayTeam]:[AwayTeam]], AE$1, Table1[[ActualResult]:[ActualResult]], "OT") + SUMIFS(Table1[[HomeWon]:[HomeWon]], Table1[[GameIsOver]:[GameIsOver]],1,Table1[[AwayTeam]:[AwayTeam]],$A27, Table1[[HomeTeam]:[HomeTeam]], AE$1, Table1[[ActualResult]:[ActualResult]], "SO") + SUMIFS(Table1[[AwayWon]:[AwayWon]], Table1[[GameIsOver]:[GameIsOver]],1,Table1[[HomeTeam]:[HomeTeam]],$A27, Table1[[AwayTeam]:[AwayTeam]], AE$1, Table1[[ActualResult]:[ActualResult]], "SO"),0))</f>
        <v>0-0-0</v>
      </c>
      <c r="AF27" s="57" t="str">
        <f>_xlfn.CONCAT(TEXT(SUMIFS(Table1[[AwayWon]:[AwayWon]], Table1[[GameIsOver]:[GameIsOver]],1,Table1[[AwayTeam]:[AwayTeam]],$A27, Table1[[HomeTeam]:[HomeTeam]], AF$1) + SUMIFS(Table1[[HomeWon]:[HomeWon]], Table1[[GameIsOver]:[GameIsOver]],1,Table1[[HomeTeam]:[HomeTeam]],$A27, Table1[[AwayTeam]:[AwayTeam]], AF$1),0), "-", TEXT(SUMIFS(Table1[[HomeWon]:[HomeWon]], Table1[[GameIsOver]:[GameIsOver]],1,Table1[[AwayTeam]:[AwayTeam]],$A27, Table1[[HomeTeam]:[HomeTeam]], AF$1, Table1[[ActualResult]:[ActualResult]], "REG") + SUMIFS(Table1[[AwayWon]:[AwayWon]], Table1[[GameIsOver]:[GameIsOver]],1,Table1[[HomeTeam]:[HomeTeam]],$A27, Table1[[AwayTeam]:[AwayTeam]], AF$1, Table1[[ActualResult]:[ActualResult]], "REG"),0), "-", TEXT(SUMIFS(Table1[[HomeWon]:[HomeWon]], Table1[[GameIsOver]:[GameIsOver]],1,Table1[[AwayTeam]:[AwayTeam]],$A27, Table1[[HomeTeam]:[HomeTeam]], AF$1, Table1[[ActualResult]:[ActualResult]], "OT") + SUMIFS(Table1[[AwayWon]:[AwayWon]], Table1[[GameIsOver]:[GameIsOver]],1,Table1[[HomeTeam]:[HomeTeam]],$A27, Table1[[AwayTeam]:[AwayTeam]], AF$1, Table1[[ActualResult]:[ActualResult]], "OT") + SUMIFS(Table1[[HomeWon]:[HomeWon]], Table1[[GameIsOver]:[GameIsOver]],1,Table1[[AwayTeam]:[AwayTeam]],$A27, Table1[[HomeTeam]:[HomeTeam]], AF$1, Table1[[ActualResult]:[ActualResult]], "SO") + SUMIFS(Table1[[AwayWon]:[AwayWon]], Table1[[GameIsOver]:[GameIsOver]],1,Table1[[HomeTeam]:[HomeTeam]],$A27, Table1[[AwayTeam]:[AwayTeam]], AF$1, Table1[[ActualResult]:[ActualResult]], "SO"),0))</f>
        <v>0-0-0</v>
      </c>
      <c r="AG27" s="57" t="str">
        <f>_xlfn.CONCAT(TEXT(SUMIFS(Table1[[AwayWon]:[AwayWon]], Table1[[GameIsOver]:[GameIsOver]],1,Table1[[AwayTeam]:[AwayTeam]],$A27, Table1[[HomeTeam]:[HomeTeam]], AG$1) + SUMIFS(Table1[[HomeWon]:[HomeWon]], Table1[[GameIsOver]:[GameIsOver]],1,Table1[[HomeTeam]:[HomeTeam]],$A27, Table1[[AwayTeam]:[AwayTeam]], AG$1),0), "-", TEXT(SUMIFS(Table1[[HomeWon]:[HomeWon]], Table1[[GameIsOver]:[GameIsOver]],1,Table1[[AwayTeam]:[AwayTeam]],$A27, Table1[[HomeTeam]:[HomeTeam]], AG$1, Table1[[ActualResult]:[ActualResult]], "REG") + SUMIFS(Table1[[AwayWon]:[AwayWon]], Table1[[GameIsOver]:[GameIsOver]],1,Table1[[HomeTeam]:[HomeTeam]],$A27, Table1[[AwayTeam]:[AwayTeam]], AG$1, Table1[[ActualResult]:[ActualResult]], "REG"),0), "-", TEXT(SUMIFS(Table1[[HomeWon]:[HomeWon]], Table1[[GameIsOver]:[GameIsOver]],1,Table1[[AwayTeam]:[AwayTeam]],$A27, Table1[[HomeTeam]:[HomeTeam]], AG$1, Table1[[ActualResult]:[ActualResult]], "OT") + SUMIFS(Table1[[AwayWon]:[AwayWon]], Table1[[GameIsOver]:[GameIsOver]],1,Table1[[HomeTeam]:[HomeTeam]],$A27, Table1[[AwayTeam]:[AwayTeam]], AG$1, Table1[[ActualResult]:[ActualResult]], "OT") + SUMIFS(Table1[[HomeWon]:[HomeWon]], Table1[[GameIsOver]:[GameIsOver]],1,Table1[[AwayTeam]:[AwayTeam]],$A27, Table1[[HomeTeam]:[HomeTeam]], AG$1, Table1[[ActualResult]:[ActualResult]], "SO") + SUMIFS(Table1[[AwayWon]:[AwayWon]], Table1[[GameIsOver]:[GameIsOver]],1,Table1[[HomeTeam]:[HomeTeam]],$A27, Table1[[AwayTeam]:[AwayTeam]], AG$1, Table1[[ActualResult]:[ActualResult]], "SO"),0))</f>
        <v>0-0-0</v>
      </c>
    </row>
    <row r="28" spans="1:33" x14ac:dyDescent="0.25">
      <c r="A28" s="28" t="s">
        <v>44</v>
      </c>
      <c r="B28" s="57" t="str">
        <f>_xlfn.CONCAT(TEXT(SUMIFS(Table1[[AwayWon]:[AwayWon]], Table1[[GameIsOver]:[GameIsOver]],1,Table1[[AwayTeam]:[AwayTeam]],$A28, Table1[[HomeTeam]:[HomeTeam]], B$1) + SUMIFS(Table1[[HomeWon]:[HomeWon]], Table1[[GameIsOver]:[GameIsOver]],1,Table1[[HomeTeam]:[HomeTeam]],$A28, Table1[[AwayTeam]:[AwayTeam]], B$1),0), "-", TEXT(SUMIFS(Table1[[HomeWon]:[HomeWon]], Table1[[GameIsOver]:[GameIsOver]],1,Table1[[AwayTeam]:[AwayTeam]],$A28, Table1[[HomeTeam]:[HomeTeam]], B$1, Table1[[ActualResult]:[ActualResult]], "REG") + SUMIFS(Table1[[AwayWon]:[AwayWon]], Table1[[GameIsOver]:[GameIsOver]],1,Table1[[HomeTeam]:[HomeTeam]],$A28, Table1[[AwayTeam]:[AwayTeam]], B$1, Table1[[ActualResult]:[ActualResult]], "REG"),0), "-", TEXT(SUMIFS(Table1[[HomeWon]:[HomeWon]], Table1[[GameIsOver]:[GameIsOver]],1,Table1[[AwayTeam]:[AwayTeam]],$A28, Table1[[HomeTeam]:[HomeTeam]], B$1, Table1[[ActualResult]:[ActualResult]], "OT") + SUMIFS(Table1[[AwayWon]:[AwayWon]], Table1[[GameIsOver]:[GameIsOver]],1,Table1[[HomeTeam]:[HomeTeam]],$A28, Table1[[AwayTeam]:[AwayTeam]], B$1, Table1[[ActualResult]:[ActualResult]], "OT") + SUMIFS(Table1[[HomeWon]:[HomeWon]], Table1[[GameIsOver]:[GameIsOver]],1,Table1[[AwayTeam]:[AwayTeam]],$A28, Table1[[HomeTeam]:[HomeTeam]], B$1, Table1[[ActualResult]:[ActualResult]], "SO") + SUMIFS(Table1[[AwayWon]:[AwayWon]], Table1[[GameIsOver]:[GameIsOver]],1,Table1[[HomeTeam]:[HomeTeam]],$A28, Table1[[AwayTeam]:[AwayTeam]], B$1, Table1[[ActualResult]:[ActualResult]], "SO"),0))</f>
        <v>0-0-0</v>
      </c>
      <c r="C28" s="57" t="str">
        <f>_xlfn.CONCAT(TEXT(SUMIFS(Table1[[AwayWon]:[AwayWon]], Table1[[GameIsOver]:[GameIsOver]],1,Table1[[AwayTeam]:[AwayTeam]],$A28, Table1[[HomeTeam]:[HomeTeam]], C$1) + SUMIFS(Table1[[HomeWon]:[HomeWon]], Table1[[GameIsOver]:[GameIsOver]],1,Table1[[HomeTeam]:[HomeTeam]],$A28, Table1[[AwayTeam]:[AwayTeam]], C$1),0), "-", TEXT(SUMIFS(Table1[[HomeWon]:[HomeWon]], Table1[[GameIsOver]:[GameIsOver]],1,Table1[[AwayTeam]:[AwayTeam]],$A28, Table1[[HomeTeam]:[HomeTeam]], C$1, Table1[[ActualResult]:[ActualResult]], "REG") + SUMIFS(Table1[[AwayWon]:[AwayWon]], Table1[[GameIsOver]:[GameIsOver]],1,Table1[[HomeTeam]:[HomeTeam]],$A28, Table1[[AwayTeam]:[AwayTeam]], C$1, Table1[[ActualResult]:[ActualResult]], "REG"),0), "-", TEXT(SUMIFS(Table1[[HomeWon]:[HomeWon]], Table1[[GameIsOver]:[GameIsOver]],1,Table1[[AwayTeam]:[AwayTeam]],$A28, Table1[[HomeTeam]:[HomeTeam]], C$1, Table1[[ActualResult]:[ActualResult]], "OT") + SUMIFS(Table1[[AwayWon]:[AwayWon]], Table1[[GameIsOver]:[GameIsOver]],1,Table1[[HomeTeam]:[HomeTeam]],$A28, Table1[[AwayTeam]:[AwayTeam]], C$1, Table1[[ActualResult]:[ActualResult]], "OT") + SUMIFS(Table1[[HomeWon]:[HomeWon]], Table1[[GameIsOver]:[GameIsOver]],1,Table1[[AwayTeam]:[AwayTeam]],$A28, Table1[[HomeTeam]:[HomeTeam]], C$1, Table1[[ActualResult]:[ActualResult]], "SO") + SUMIFS(Table1[[AwayWon]:[AwayWon]], Table1[[GameIsOver]:[GameIsOver]],1,Table1[[HomeTeam]:[HomeTeam]],$A28, Table1[[AwayTeam]:[AwayTeam]], C$1, Table1[[ActualResult]:[ActualResult]], "SO"),0))</f>
        <v>0-0-0</v>
      </c>
      <c r="D28" s="57" t="str">
        <f>_xlfn.CONCAT(TEXT(SUMIFS(Table1[[AwayWon]:[AwayWon]], Table1[[GameIsOver]:[GameIsOver]],1,Table1[[AwayTeam]:[AwayTeam]],$A28, Table1[[HomeTeam]:[HomeTeam]], D$1) + SUMIFS(Table1[[HomeWon]:[HomeWon]], Table1[[GameIsOver]:[GameIsOver]],1,Table1[[HomeTeam]:[HomeTeam]],$A28, Table1[[AwayTeam]:[AwayTeam]], D$1),0), "-", TEXT(SUMIFS(Table1[[HomeWon]:[HomeWon]], Table1[[GameIsOver]:[GameIsOver]],1,Table1[[AwayTeam]:[AwayTeam]],$A28, Table1[[HomeTeam]:[HomeTeam]], D$1, Table1[[ActualResult]:[ActualResult]], "REG") + SUMIFS(Table1[[AwayWon]:[AwayWon]], Table1[[GameIsOver]:[GameIsOver]],1,Table1[[HomeTeam]:[HomeTeam]],$A28, Table1[[AwayTeam]:[AwayTeam]], D$1, Table1[[ActualResult]:[ActualResult]], "REG"),0), "-", TEXT(SUMIFS(Table1[[HomeWon]:[HomeWon]], Table1[[GameIsOver]:[GameIsOver]],1,Table1[[AwayTeam]:[AwayTeam]],$A28, Table1[[HomeTeam]:[HomeTeam]], D$1, Table1[[ActualResult]:[ActualResult]], "OT") + SUMIFS(Table1[[AwayWon]:[AwayWon]], Table1[[GameIsOver]:[GameIsOver]],1,Table1[[HomeTeam]:[HomeTeam]],$A28, Table1[[AwayTeam]:[AwayTeam]], D$1, Table1[[ActualResult]:[ActualResult]], "OT") + SUMIFS(Table1[[HomeWon]:[HomeWon]], Table1[[GameIsOver]:[GameIsOver]],1,Table1[[AwayTeam]:[AwayTeam]],$A28, Table1[[HomeTeam]:[HomeTeam]], D$1, Table1[[ActualResult]:[ActualResult]], "SO") + SUMIFS(Table1[[AwayWon]:[AwayWon]], Table1[[GameIsOver]:[GameIsOver]],1,Table1[[HomeTeam]:[HomeTeam]],$A28, Table1[[AwayTeam]:[AwayTeam]], D$1, Table1[[ActualResult]:[ActualResult]], "SO"),0))</f>
        <v>0-0-0</v>
      </c>
      <c r="E28" s="57" t="str">
        <f>_xlfn.CONCAT(TEXT(SUMIFS(Table1[[AwayWon]:[AwayWon]], Table1[[GameIsOver]:[GameIsOver]],1,Table1[[AwayTeam]:[AwayTeam]],$A28, Table1[[HomeTeam]:[HomeTeam]], E$1) + SUMIFS(Table1[[HomeWon]:[HomeWon]], Table1[[GameIsOver]:[GameIsOver]],1,Table1[[HomeTeam]:[HomeTeam]],$A28, Table1[[AwayTeam]:[AwayTeam]], E$1),0), "-", TEXT(SUMIFS(Table1[[HomeWon]:[HomeWon]], Table1[[GameIsOver]:[GameIsOver]],1,Table1[[AwayTeam]:[AwayTeam]],$A28, Table1[[HomeTeam]:[HomeTeam]], E$1, Table1[[ActualResult]:[ActualResult]], "REG") + SUMIFS(Table1[[AwayWon]:[AwayWon]], Table1[[GameIsOver]:[GameIsOver]],1,Table1[[HomeTeam]:[HomeTeam]],$A28, Table1[[AwayTeam]:[AwayTeam]], E$1, Table1[[ActualResult]:[ActualResult]], "REG"),0), "-", TEXT(SUMIFS(Table1[[HomeWon]:[HomeWon]], Table1[[GameIsOver]:[GameIsOver]],1,Table1[[AwayTeam]:[AwayTeam]],$A28, Table1[[HomeTeam]:[HomeTeam]], E$1, Table1[[ActualResult]:[ActualResult]], "OT") + SUMIFS(Table1[[AwayWon]:[AwayWon]], Table1[[GameIsOver]:[GameIsOver]],1,Table1[[HomeTeam]:[HomeTeam]],$A28, Table1[[AwayTeam]:[AwayTeam]], E$1, Table1[[ActualResult]:[ActualResult]], "OT") + SUMIFS(Table1[[HomeWon]:[HomeWon]], Table1[[GameIsOver]:[GameIsOver]],1,Table1[[AwayTeam]:[AwayTeam]],$A28, Table1[[HomeTeam]:[HomeTeam]], E$1, Table1[[ActualResult]:[ActualResult]], "SO") + SUMIFS(Table1[[AwayWon]:[AwayWon]], Table1[[GameIsOver]:[GameIsOver]],1,Table1[[HomeTeam]:[HomeTeam]],$A28, Table1[[AwayTeam]:[AwayTeam]], E$1, Table1[[ActualResult]:[ActualResult]], "SO"),0))</f>
        <v>0-0-0</v>
      </c>
      <c r="F28" s="57" t="str">
        <f>_xlfn.CONCAT(TEXT(SUMIFS(Table1[[AwayWon]:[AwayWon]], Table1[[GameIsOver]:[GameIsOver]],1,Table1[[AwayTeam]:[AwayTeam]],$A28, Table1[[HomeTeam]:[HomeTeam]], F$1) + SUMIFS(Table1[[HomeWon]:[HomeWon]], Table1[[GameIsOver]:[GameIsOver]],1,Table1[[HomeTeam]:[HomeTeam]],$A28, Table1[[AwayTeam]:[AwayTeam]], F$1),0), "-", TEXT(SUMIFS(Table1[[HomeWon]:[HomeWon]], Table1[[GameIsOver]:[GameIsOver]],1,Table1[[AwayTeam]:[AwayTeam]],$A28, Table1[[HomeTeam]:[HomeTeam]], F$1, Table1[[ActualResult]:[ActualResult]], "REG") + SUMIFS(Table1[[AwayWon]:[AwayWon]], Table1[[GameIsOver]:[GameIsOver]],1,Table1[[HomeTeam]:[HomeTeam]],$A28, Table1[[AwayTeam]:[AwayTeam]], F$1, Table1[[ActualResult]:[ActualResult]], "REG"),0), "-", TEXT(SUMIFS(Table1[[HomeWon]:[HomeWon]], Table1[[GameIsOver]:[GameIsOver]],1,Table1[[AwayTeam]:[AwayTeam]],$A28, Table1[[HomeTeam]:[HomeTeam]], F$1, Table1[[ActualResult]:[ActualResult]], "OT") + SUMIFS(Table1[[AwayWon]:[AwayWon]], Table1[[GameIsOver]:[GameIsOver]],1,Table1[[HomeTeam]:[HomeTeam]],$A28, Table1[[AwayTeam]:[AwayTeam]], F$1, Table1[[ActualResult]:[ActualResult]], "OT") + SUMIFS(Table1[[HomeWon]:[HomeWon]], Table1[[GameIsOver]:[GameIsOver]],1,Table1[[AwayTeam]:[AwayTeam]],$A28, Table1[[HomeTeam]:[HomeTeam]], F$1, Table1[[ActualResult]:[ActualResult]], "SO") + SUMIFS(Table1[[AwayWon]:[AwayWon]], Table1[[GameIsOver]:[GameIsOver]],1,Table1[[HomeTeam]:[HomeTeam]],$A28, Table1[[AwayTeam]:[AwayTeam]], F$1, Table1[[ActualResult]:[ActualResult]], "SO"),0))</f>
        <v>0-0-0</v>
      </c>
      <c r="G28" s="57" t="str">
        <f>_xlfn.CONCAT(TEXT(SUMIFS(Table1[[AwayWon]:[AwayWon]], Table1[[GameIsOver]:[GameIsOver]],1,Table1[[AwayTeam]:[AwayTeam]],$A28, Table1[[HomeTeam]:[HomeTeam]], G$1) + SUMIFS(Table1[[HomeWon]:[HomeWon]], Table1[[GameIsOver]:[GameIsOver]],1,Table1[[HomeTeam]:[HomeTeam]],$A28, Table1[[AwayTeam]:[AwayTeam]], G$1),0), "-", TEXT(SUMIFS(Table1[[HomeWon]:[HomeWon]], Table1[[GameIsOver]:[GameIsOver]],1,Table1[[AwayTeam]:[AwayTeam]],$A28, Table1[[HomeTeam]:[HomeTeam]], G$1, Table1[[ActualResult]:[ActualResult]], "REG") + SUMIFS(Table1[[AwayWon]:[AwayWon]], Table1[[GameIsOver]:[GameIsOver]],1,Table1[[HomeTeam]:[HomeTeam]],$A28, Table1[[AwayTeam]:[AwayTeam]], G$1, Table1[[ActualResult]:[ActualResult]], "REG"),0), "-", TEXT(SUMIFS(Table1[[HomeWon]:[HomeWon]], Table1[[GameIsOver]:[GameIsOver]],1,Table1[[AwayTeam]:[AwayTeam]],$A28, Table1[[HomeTeam]:[HomeTeam]], G$1, Table1[[ActualResult]:[ActualResult]], "OT") + SUMIFS(Table1[[AwayWon]:[AwayWon]], Table1[[GameIsOver]:[GameIsOver]],1,Table1[[HomeTeam]:[HomeTeam]],$A28, Table1[[AwayTeam]:[AwayTeam]], G$1, Table1[[ActualResult]:[ActualResult]], "OT") + SUMIFS(Table1[[HomeWon]:[HomeWon]], Table1[[GameIsOver]:[GameIsOver]],1,Table1[[AwayTeam]:[AwayTeam]],$A28, Table1[[HomeTeam]:[HomeTeam]], G$1, Table1[[ActualResult]:[ActualResult]], "SO") + SUMIFS(Table1[[AwayWon]:[AwayWon]], Table1[[GameIsOver]:[GameIsOver]],1,Table1[[HomeTeam]:[HomeTeam]],$A28, Table1[[AwayTeam]:[AwayTeam]], G$1, Table1[[ActualResult]:[ActualResult]], "SO"),0))</f>
        <v>0-0-0</v>
      </c>
      <c r="H28" s="57" t="str">
        <f>_xlfn.CONCAT(TEXT(SUMIFS(Table1[[AwayWon]:[AwayWon]], Table1[[GameIsOver]:[GameIsOver]],1,Table1[[AwayTeam]:[AwayTeam]],$A28, Table1[[HomeTeam]:[HomeTeam]], H$1) + SUMIFS(Table1[[HomeWon]:[HomeWon]], Table1[[GameIsOver]:[GameIsOver]],1,Table1[[HomeTeam]:[HomeTeam]],$A28, Table1[[AwayTeam]:[AwayTeam]], H$1),0), "-", TEXT(SUMIFS(Table1[[HomeWon]:[HomeWon]], Table1[[GameIsOver]:[GameIsOver]],1,Table1[[AwayTeam]:[AwayTeam]],$A28, Table1[[HomeTeam]:[HomeTeam]], H$1, Table1[[ActualResult]:[ActualResult]], "REG") + SUMIFS(Table1[[AwayWon]:[AwayWon]], Table1[[GameIsOver]:[GameIsOver]],1,Table1[[HomeTeam]:[HomeTeam]],$A28, Table1[[AwayTeam]:[AwayTeam]], H$1, Table1[[ActualResult]:[ActualResult]], "REG"),0), "-", TEXT(SUMIFS(Table1[[HomeWon]:[HomeWon]], Table1[[GameIsOver]:[GameIsOver]],1,Table1[[AwayTeam]:[AwayTeam]],$A28, Table1[[HomeTeam]:[HomeTeam]], H$1, Table1[[ActualResult]:[ActualResult]], "OT") + SUMIFS(Table1[[AwayWon]:[AwayWon]], Table1[[GameIsOver]:[GameIsOver]],1,Table1[[HomeTeam]:[HomeTeam]],$A28, Table1[[AwayTeam]:[AwayTeam]], H$1, Table1[[ActualResult]:[ActualResult]], "OT") + SUMIFS(Table1[[HomeWon]:[HomeWon]], Table1[[GameIsOver]:[GameIsOver]],1,Table1[[AwayTeam]:[AwayTeam]],$A28, Table1[[HomeTeam]:[HomeTeam]], H$1, Table1[[ActualResult]:[ActualResult]], "SO") + SUMIFS(Table1[[AwayWon]:[AwayWon]], Table1[[GameIsOver]:[GameIsOver]],1,Table1[[HomeTeam]:[HomeTeam]],$A28, Table1[[AwayTeam]:[AwayTeam]], H$1, Table1[[ActualResult]:[ActualResult]], "SO"),0))</f>
        <v>0-0-0</v>
      </c>
      <c r="I28" s="59" t="str">
        <f>_xlfn.CONCAT(TEXT(SUMIFS(Table1[[AwayWon]:[AwayWon]], Table1[[GameIsOver]:[GameIsOver]],1,Table1[[AwayTeam]:[AwayTeam]],$A28, Table1[[HomeTeam]:[HomeTeam]], I$1) + SUMIFS(Table1[[HomeWon]:[HomeWon]], Table1[[GameIsOver]:[GameIsOver]],1,Table1[[HomeTeam]:[HomeTeam]],$A28, Table1[[AwayTeam]:[AwayTeam]], I$1),0), "-", TEXT(SUMIFS(Table1[[HomeWon]:[HomeWon]], Table1[[GameIsOver]:[GameIsOver]],1,Table1[[AwayTeam]:[AwayTeam]],$A28, Table1[[HomeTeam]:[HomeTeam]], I$1, Table1[[ActualResult]:[ActualResult]], "REG") + SUMIFS(Table1[[AwayWon]:[AwayWon]], Table1[[GameIsOver]:[GameIsOver]],1,Table1[[HomeTeam]:[HomeTeam]],$A28, Table1[[AwayTeam]:[AwayTeam]], I$1, Table1[[ActualResult]:[ActualResult]], "REG"),0), "-", TEXT(SUMIFS(Table1[[HomeWon]:[HomeWon]], Table1[[GameIsOver]:[GameIsOver]],1,Table1[[AwayTeam]:[AwayTeam]],$A28, Table1[[HomeTeam]:[HomeTeam]], I$1, Table1[[ActualResult]:[ActualResult]], "OT") + SUMIFS(Table1[[AwayWon]:[AwayWon]], Table1[[GameIsOver]:[GameIsOver]],1,Table1[[HomeTeam]:[HomeTeam]],$A28, Table1[[AwayTeam]:[AwayTeam]], I$1, Table1[[ActualResult]:[ActualResult]], "OT") + SUMIFS(Table1[[HomeWon]:[HomeWon]], Table1[[GameIsOver]:[GameIsOver]],1,Table1[[AwayTeam]:[AwayTeam]],$A28, Table1[[HomeTeam]:[HomeTeam]], I$1, Table1[[ActualResult]:[ActualResult]], "SO") + SUMIFS(Table1[[AwayWon]:[AwayWon]], Table1[[GameIsOver]:[GameIsOver]],1,Table1[[HomeTeam]:[HomeTeam]],$A28, Table1[[AwayTeam]:[AwayTeam]], I$1, Table1[[ActualResult]:[ActualResult]], "SO"),0))</f>
        <v>0-0-0</v>
      </c>
      <c r="J28" s="57" t="str">
        <f>_xlfn.CONCAT(TEXT(SUMIFS(Table1[[AwayWon]:[AwayWon]], Table1[[GameIsOver]:[GameIsOver]],1,Table1[[AwayTeam]:[AwayTeam]],$A28, Table1[[HomeTeam]:[HomeTeam]], J$1) + SUMIFS(Table1[[HomeWon]:[HomeWon]], Table1[[GameIsOver]:[GameIsOver]],1,Table1[[HomeTeam]:[HomeTeam]],$A28, Table1[[AwayTeam]:[AwayTeam]], J$1),0), "-", TEXT(SUMIFS(Table1[[HomeWon]:[HomeWon]], Table1[[GameIsOver]:[GameIsOver]],1,Table1[[AwayTeam]:[AwayTeam]],$A28, Table1[[HomeTeam]:[HomeTeam]], J$1, Table1[[ActualResult]:[ActualResult]], "REG") + SUMIFS(Table1[[AwayWon]:[AwayWon]], Table1[[GameIsOver]:[GameIsOver]],1,Table1[[HomeTeam]:[HomeTeam]],$A28, Table1[[AwayTeam]:[AwayTeam]], J$1, Table1[[ActualResult]:[ActualResult]], "REG"),0), "-", TEXT(SUMIFS(Table1[[HomeWon]:[HomeWon]], Table1[[GameIsOver]:[GameIsOver]],1,Table1[[AwayTeam]:[AwayTeam]],$A28, Table1[[HomeTeam]:[HomeTeam]], J$1, Table1[[ActualResult]:[ActualResult]], "OT") + SUMIFS(Table1[[AwayWon]:[AwayWon]], Table1[[GameIsOver]:[GameIsOver]],1,Table1[[HomeTeam]:[HomeTeam]],$A28, Table1[[AwayTeam]:[AwayTeam]], J$1, Table1[[ActualResult]:[ActualResult]], "OT") + SUMIFS(Table1[[HomeWon]:[HomeWon]], Table1[[GameIsOver]:[GameIsOver]],1,Table1[[AwayTeam]:[AwayTeam]],$A28, Table1[[HomeTeam]:[HomeTeam]], J$1, Table1[[ActualResult]:[ActualResult]], "SO") + SUMIFS(Table1[[AwayWon]:[AwayWon]], Table1[[GameIsOver]:[GameIsOver]],1,Table1[[HomeTeam]:[HomeTeam]],$A28, Table1[[AwayTeam]:[AwayTeam]], J$1, Table1[[ActualResult]:[ActualResult]], "SO"),0))</f>
        <v>0-0-0</v>
      </c>
      <c r="K28" s="57" t="str">
        <f>_xlfn.CONCAT(TEXT(SUMIFS(Table1[[AwayWon]:[AwayWon]], Table1[[GameIsOver]:[GameIsOver]],1,Table1[[AwayTeam]:[AwayTeam]],$A28, Table1[[HomeTeam]:[HomeTeam]], K$1) + SUMIFS(Table1[[HomeWon]:[HomeWon]], Table1[[GameIsOver]:[GameIsOver]],1,Table1[[HomeTeam]:[HomeTeam]],$A28, Table1[[AwayTeam]:[AwayTeam]], K$1),0), "-", TEXT(SUMIFS(Table1[[HomeWon]:[HomeWon]], Table1[[GameIsOver]:[GameIsOver]],1,Table1[[AwayTeam]:[AwayTeam]],$A28, Table1[[HomeTeam]:[HomeTeam]], K$1, Table1[[ActualResult]:[ActualResult]], "REG") + SUMIFS(Table1[[AwayWon]:[AwayWon]], Table1[[GameIsOver]:[GameIsOver]],1,Table1[[HomeTeam]:[HomeTeam]],$A28, Table1[[AwayTeam]:[AwayTeam]], K$1, Table1[[ActualResult]:[ActualResult]], "REG"),0), "-", TEXT(SUMIFS(Table1[[HomeWon]:[HomeWon]], Table1[[GameIsOver]:[GameIsOver]],1,Table1[[AwayTeam]:[AwayTeam]],$A28, Table1[[HomeTeam]:[HomeTeam]], K$1, Table1[[ActualResult]:[ActualResult]], "OT") + SUMIFS(Table1[[AwayWon]:[AwayWon]], Table1[[GameIsOver]:[GameIsOver]],1,Table1[[HomeTeam]:[HomeTeam]],$A28, Table1[[AwayTeam]:[AwayTeam]], K$1, Table1[[ActualResult]:[ActualResult]], "OT") + SUMIFS(Table1[[HomeWon]:[HomeWon]], Table1[[GameIsOver]:[GameIsOver]],1,Table1[[AwayTeam]:[AwayTeam]],$A28, Table1[[HomeTeam]:[HomeTeam]], K$1, Table1[[ActualResult]:[ActualResult]], "SO") + SUMIFS(Table1[[AwayWon]:[AwayWon]], Table1[[GameIsOver]:[GameIsOver]],1,Table1[[HomeTeam]:[HomeTeam]],$A28, Table1[[AwayTeam]:[AwayTeam]], K$1, Table1[[ActualResult]:[ActualResult]], "SO"),0))</f>
        <v>0-0-0</v>
      </c>
      <c r="L28" s="57" t="str">
        <f>_xlfn.CONCAT(TEXT(SUMIFS(Table1[[AwayWon]:[AwayWon]], Table1[[GameIsOver]:[GameIsOver]],1,Table1[[AwayTeam]:[AwayTeam]],$A28, Table1[[HomeTeam]:[HomeTeam]], L$1) + SUMIFS(Table1[[HomeWon]:[HomeWon]], Table1[[GameIsOver]:[GameIsOver]],1,Table1[[HomeTeam]:[HomeTeam]],$A28, Table1[[AwayTeam]:[AwayTeam]], L$1),0), "-", TEXT(SUMIFS(Table1[[HomeWon]:[HomeWon]], Table1[[GameIsOver]:[GameIsOver]],1,Table1[[AwayTeam]:[AwayTeam]],$A28, Table1[[HomeTeam]:[HomeTeam]], L$1, Table1[[ActualResult]:[ActualResult]], "REG") + SUMIFS(Table1[[AwayWon]:[AwayWon]], Table1[[GameIsOver]:[GameIsOver]],1,Table1[[HomeTeam]:[HomeTeam]],$A28, Table1[[AwayTeam]:[AwayTeam]], L$1, Table1[[ActualResult]:[ActualResult]], "REG"),0), "-", TEXT(SUMIFS(Table1[[HomeWon]:[HomeWon]], Table1[[GameIsOver]:[GameIsOver]],1,Table1[[AwayTeam]:[AwayTeam]],$A28, Table1[[HomeTeam]:[HomeTeam]], L$1, Table1[[ActualResult]:[ActualResult]], "OT") + SUMIFS(Table1[[AwayWon]:[AwayWon]], Table1[[GameIsOver]:[GameIsOver]],1,Table1[[HomeTeam]:[HomeTeam]],$A28, Table1[[AwayTeam]:[AwayTeam]], L$1, Table1[[ActualResult]:[ActualResult]], "OT") + SUMIFS(Table1[[HomeWon]:[HomeWon]], Table1[[GameIsOver]:[GameIsOver]],1,Table1[[AwayTeam]:[AwayTeam]],$A28, Table1[[HomeTeam]:[HomeTeam]], L$1, Table1[[ActualResult]:[ActualResult]], "SO") + SUMIFS(Table1[[AwayWon]:[AwayWon]], Table1[[GameIsOver]:[GameIsOver]],1,Table1[[HomeTeam]:[HomeTeam]],$A28, Table1[[AwayTeam]:[AwayTeam]], L$1, Table1[[ActualResult]:[ActualResult]], "SO"),0))</f>
        <v>0-0-0</v>
      </c>
      <c r="M28" s="57" t="str">
        <f>_xlfn.CONCAT(TEXT(SUMIFS(Table1[[AwayWon]:[AwayWon]], Table1[[GameIsOver]:[GameIsOver]],1,Table1[[AwayTeam]:[AwayTeam]],$A28, Table1[[HomeTeam]:[HomeTeam]], M$1) + SUMIFS(Table1[[HomeWon]:[HomeWon]], Table1[[GameIsOver]:[GameIsOver]],1,Table1[[HomeTeam]:[HomeTeam]],$A28, Table1[[AwayTeam]:[AwayTeam]], M$1),0), "-", TEXT(SUMIFS(Table1[[HomeWon]:[HomeWon]], Table1[[GameIsOver]:[GameIsOver]],1,Table1[[AwayTeam]:[AwayTeam]],$A28, Table1[[HomeTeam]:[HomeTeam]], M$1, Table1[[ActualResult]:[ActualResult]], "REG") + SUMIFS(Table1[[AwayWon]:[AwayWon]], Table1[[GameIsOver]:[GameIsOver]],1,Table1[[HomeTeam]:[HomeTeam]],$A28, Table1[[AwayTeam]:[AwayTeam]], M$1, Table1[[ActualResult]:[ActualResult]], "REG"),0), "-", TEXT(SUMIFS(Table1[[HomeWon]:[HomeWon]], Table1[[GameIsOver]:[GameIsOver]],1,Table1[[AwayTeam]:[AwayTeam]],$A28, Table1[[HomeTeam]:[HomeTeam]], M$1, Table1[[ActualResult]:[ActualResult]], "OT") + SUMIFS(Table1[[AwayWon]:[AwayWon]], Table1[[GameIsOver]:[GameIsOver]],1,Table1[[HomeTeam]:[HomeTeam]],$A28, Table1[[AwayTeam]:[AwayTeam]], M$1, Table1[[ActualResult]:[ActualResult]], "OT") + SUMIFS(Table1[[HomeWon]:[HomeWon]], Table1[[GameIsOver]:[GameIsOver]],1,Table1[[AwayTeam]:[AwayTeam]],$A28, Table1[[HomeTeam]:[HomeTeam]], M$1, Table1[[ActualResult]:[ActualResult]], "SO") + SUMIFS(Table1[[AwayWon]:[AwayWon]], Table1[[GameIsOver]:[GameIsOver]],1,Table1[[HomeTeam]:[HomeTeam]],$A28, Table1[[AwayTeam]:[AwayTeam]], M$1, Table1[[ActualResult]:[ActualResult]], "SO"),0))</f>
        <v>0-0-0</v>
      </c>
      <c r="N28" s="57" t="str">
        <f>_xlfn.CONCAT(TEXT(SUMIFS(Table1[[AwayWon]:[AwayWon]], Table1[[GameIsOver]:[GameIsOver]],1,Table1[[AwayTeam]:[AwayTeam]],$A28, Table1[[HomeTeam]:[HomeTeam]], N$1) + SUMIFS(Table1[[HomeWon]:[HomeWon]], Table1[[GameIsOver]:[GameIsOver]],1,Table1[[HomeTeam]:[HomeTeam]],$A28, Table1[[AwayTeam]:[AwayTeam]], N$1),0), "-", TEXT(SUMIFS(Table1[[HomeWon]:[HomeWon]], Table1[[GameIsOver]:[GameIsOver]],1,Table1[[AwayTeam]:[AwayTeam]],$A28, Table1[[HomeTeam]:[HomeTeam]], N$1, Table1[[ActualResult]:[ActualResult]], "REG") + SUMIFS(Table1[[AwayWon]:[AwayWon]], Table1[[GameIsOver]:[GameIsOver]],1,Table1[[HomeTeam]:[HomeTeam]],$A28, Table1[[AwayTeam]:[AwayTeam]], N$1, Table1[[ActualResult]:[ActualResult]], "REG"),0), "-", TEXT(SUMIFS(Table1[[HomeWon]:[HomeWon]], Table1[[GameIsOver]:[GameIsOver]],1,Table1[[AwayTeam]:[AwayTeam]],$A28, Table1[[HomeTeam]:[HomeTeam]], N$1, Table1[[ActualResult]:[ActualResult]], "OT") + SUMIFS(Table1[[AwayWon]:[AwayWon]], Table1[[GameIsOver]:[GameIsOver]],1,Table1[[HomeTeam]:[HomeTeam]],$A28, Table1[[AwayTeam]:[AwayTeam]], N$1, Table1[[ActualResult]:[ActualResult]], "OT") + SUMIFS(Table1[[HomeWon]:[HomeWon]], Table1[[GameIsOver]:[GameIsOver]],1,Table1[[AwayTeam]:[AwayTeam]],$A28, Table1[[HomeTeam]:[HomeTeam]], N$1, Table1[[ActualResult]:[ActualResult]], "SO") + SUMIFS(Table1[[AwayWon]:[AwayWon]], Table1[[GameIsOver]:[GameIsOver]],1,Table1[[HomeTeam]:[HomeTeam]],$A28, Table1[[AwayTeam]:[AwayTeam]], N$1, Table1[[ActualResult]:[ActualResult]], "SO"),0))</f>
        <v>1-0-0</v>
      </c>
      <c r="O28" s="57" t="str">
        <f>_xlfn.CONCAT(TEXT(SUMIFS(Table1[[AwayWon]:[AwayWon]], Table1[[GameIsOver]:[GameIsOver]],1,Table1[[AwayTeam]:[AwayTeam]],$A28, Table1[[HomeTeam]:[HomeTeam]], O$1) + SUMIFS(Table1[[HomeWon]:[HomeWon]], Table1[[GameIsOver]:[GameIsOver]],1,Table1[[HomeTeam]:[HomeTeam]],$A28, Table1[[AwayTeam]:[AwayTeam]], O$1),0), "-", TEXT(SUMIFS(Table1[[HomeWon]:[HomeWon]], Table1[[GameIsOver]:[GameIsOver]],1,Table1[[AwayTeam]:[AwayTeam]],$A28, Table1[[HomeTeam]:[HomeTeam]], O$1, Table1[[ActualResult]:[ActualResult]], "REG") + SUMIFS(Table1[[AwayWon]:[AwayWon]], Table1[[GameIsOver]:[GameIsOver]],1,Table1[[HomeTeam]:[HomeTeam]],$A28, Table1[[AwayTeam]:[AwayTeam]], O$1, Table1[[ActualResult]:[ActualResult]], "REG"),0), "-", TEXT(SUMIFS(Table1[[HomeWon]:[HomeWon]], Table1[[GameIsOver]:[GameIsOver]],1,Table1[[AwayTeam]:[AwayTeam]],$A28, Table1[[HomeTeam]:[HomeTeam]], O$1, Table1[[ActualResult]:[ActualResult]], "OT") + SUMIFS(Table1[[AwayWon]:[AwayWon]], Table1[[GameIsOver]:[GameIsOver]],1,Table1[[HomeTeam]:[HomeTeam]],$A28, Table1[[AwayTeam]:[AwayTeam]], O$1, Table1[[ActualResult]:[ActualResult]], "OT") + SUMIFS(Table1[[HomeWon]:[HomeWon]], Table1[[GameIsOver]:[GameIsOver]],1,Table1[[AwayTeam]:[AwayTeam]],$A28, Table1[[HomeTeam]:[HomeTeam]], O$1, Table1[[ActualResult]:[ActualResult]], "SO") + SUMIFS(Table1[[AwayWon]:[AwayWon]], Table1[[GameIsOver]:[GameIsOver]],1,Table1[[HomeTeam]:[HomeTeam]],$A28, Table1[[AwayTeam]:[AwayTeam]], O$1, Table1[[ActualResult]:[ActualResult]], "SO"),0))</f>
        <v>0-0-0</v>
      </c>
      <c r="P28" s="57" t="str">
        <f>_xlfn.CONCAT(TEXT(SUMIFS(Table1[[AwayWon]:[AwayWon]], Table1[[GameIsOver]:[GameIsOver]],1,Table1[[AwayTeam]:[AwayTeam]],$A28, Table1[[HomeTeam]:[HomeTeam]], P$1) + SUMIFS(Table1[[HomeWon]:[HomeWon]], Table1[[GameIsOver]:[GameIsOver]],1,Table1[[HomeTeam]:[HomeTeam]],$A28, Table1[[AwayTeam]:[AwayTeam]], P$1),0), "-", TEXT(SUMIFS(Table1[[HomeWon]:[HomeWon]], Table1[[GameIsOver]:[GameIsOver]],1,Table1[[AwayTeam]:[AwayTeam]],$A28, Table1[[HomeTeam]:[HomeTeam]], P$1, Table1[[ActualResult]:[ActualResult]], "REG") + SUMIFS(Table1[[AwayWon]:[AwayWon]], Table1[[GameIsOver]:[GameIsOver]],1,Table1[[HomeTeam]:[HomeTeam]],$A28, Table1[[AwayTeam]:[AwayTeam]], P$1, Table1[[ActualResult]:[ActualResult]], "REG"),0), "-", TEXT(SUMIFS(Table1[[HomeWon]:[HomeWon]], Table1[[GameIsOver]:[GameIsOver]],1,Table1[[AwayTeam]:[AwayTeam]],$A28, Table1[[HomeTeam]:[HomeTeam]], P$1, Table1[[ActualResult]:[ActualResult]], "OT") + SUMIFS(Table1[[AwayWon]:[AwayWon]], Table1[[GameIsOver]:[GameIsOver]],1,Table1[[HomeTeam]:[HomeTeam]],$A28, Table1[[AwayTeam]:[AwayTeam]], P$1, Table1[[ActualResult]:[ActualResult]], "OT") + SUMIFS(Table1[[HomeWon]:[HomeWon]], Table1[[GameIsOver]:[GameIsOver]],1,Table1[[AwayTeam]:[AwayTeam]],$A28, Table1[[HomeTeam]:[HomeTeam]], P$1, Table1[[ActualResult]:[ActualResult]], "SO") + SUMIFS(Table1[[AwayWon]:[AwayWon]], Table1[[GameIsOver]:[GameIsOver]],1,Table1[[HomeTeam]:[HomeTeam]],$A28, Table1[[AwayTeam]:[AwayTeam]], P$1, Table1[[ActualResult]:[ActualResult]], "SO"),0))</f>
        <v>0-0-0</v>
      </c>
      <c r="Q28" s="59" t="str">
        <f>_xlfn.CONCAT(TEXT(SUMIFS(Table1[[AwayWon]:[AwayWon]], Table1[[GameIsOver]:[GameIsOver]],1,Table1[[AwayTeam]:[AwayTeam]],$A28, Table1[[HomeTeam]:[HomeTeam]], Q$1) + SUMIFS(Table1[[HomeWon]:[HomeWon]], Table1[[GameIsOver]:[GameIsOver]],1,Table1[[HomeTeam]:[HomeTeam]],$A28, Table1[[AwayTeam]:[AwayTeam]], Q$1),0), "-", TEXT(SUMIFS(Table1[[HomeWon]:[HomeWon]], Table1[[GameIsOver]:[GameIsOver]],1,Table1[[AwayTeam]:[AwayTeam]],$A28, Table1[[HomeTeam]:[HomeTeam]], Q$1, Table1[[ActualResult]:[ActualResult]], "REG") + SUMIFS(Table1[[AwayWon]:[AwayWon]], Table1[[GameIsOver]:[GameIsOver]],1,Table1[[HomeTeam]:[HomeTeam]],$A28, Table1[[AwayTeam]:[AwayTeam]], Q$1, Table1[[ActualResult]:[ActualResult]], "REG"),0), "-", TEXT(SUMIFS(Table1[[HomeWon]:[HomeWon]], Table1[[GameIsOver]:[GameIsOver]],1,Table1[[AwayTeam]:[AwayTeam]],$A28, Table1[[HomeTeam]:[HomeTeam]], Q$1, Table1[[ActualResult]:[ActualResult]], "OT") + SUMIFS(Table1[[AwayWon]:[AwayWon]], Table1[[GameIsOver]:[GameIsOver]],1,Table1[[HomeTeam]:[HomeTeam]],$A28, Table1[[AwayTeam]:[AwayTeam]], Q$1, Table1[[ActualResult]:[ActualResult]], "OT") + SUMIFS(Table1[[HomeWon]:[HomeWon]], Table1[[GameIsOver]:[GameIsOver]],1,Table1[[AwayTeam]:[AwayTeam]],$A28, Table1[[HomeTeam]:[HomeTeam]], Q$1, Table1[[ActualResult]:[ActualResult]], "SO") + SUMIFS(Table1[[AwayWon]:[AwayWon]], Table1[[GameIsOver]:[GameIsOver]],1,Table1[[HomeTeam]:[HomeTeam]],$A28, Table1[[AwayTeam]:[AwayTeam]], Q$1, Table1[[ActualResult]:[ActualResult]], "SO"),0))</f>
        <v>0-0-0</v>
      </c>
      <c r="R28" s="57" t="str">
        <f>_xlfn.CONCAT(TEXT(SUMIFS(Table1[[AwayWon]:[AwayWon]], Table1[[GameIsOver]:[GameIsOver]],1,Table1[[AwayTeam]:[AwayTeam]],$A28, Table1[[HomeTeam]:[HomeTeam]], R$1) + SUMIFS(Table1[[HomeWon]:[HomeWon]], Table1[[GameIsOver]:[GameIsOver]],1,Table1[[HomeTeam]:[HomeTeam]],$A28, Table1[[AwayTeam]:[AwayTeam]], R$1),0), "-", TEXT(SUMIFS(Table1[[HomeWon]:[HomeWon]], Table1[[GameIsOver]:[GameIsOver]],1,Table1[[AwayTeam]:[AwayTeam]],$A28, Table1[[HomeTeam]:[HomeTeam]], R$1, Table1[[ActualResult]:[ActualResult]], "REG") + SUMIFS(Table1[[AwayWon]:[AwayWon]], Table1[[GameIsOver]:[GameIsOver]],1,Table1[[HomeTeam]:[HomeTeam]],$A28, Table1[[AwayTeam]:[AwayTeam]], R$1, Table1[[ActualResult]:[ActualResult]], "REG"),0), "-", TEXT(SUMIFS(Table1[[HomeWon]:[HomeWon]], Table1[[GameIsOver]:[GameIsOver]],1,Table1[[AwayTeam]:[AwayTeam]],$A28, Table1[[HomeTeam]:[HomeTeam]], R$1, Table1[[ActualResult]:[ActualResult]], "OT") + SUMIFS(Table1[[AwayWon]:[AwayWon]], Table1[[GameIsOver]:[GameIsOver]],1,Table1[[HomeTeam]:[HomeTeam]],$A28, Table1[[AwayTeam]:[AwayTeam]], R$1, Table1[[ActualResult]:[ActualResult]], "OT") + SUMIFS(Table1[[HomeWon]:[HomeWon]], Table1[[GameIsOver]:[GameIsOver]],1,Table1[[AwayTeam]:[AwayTeam]],$A28, Table1[[HomeTeam]:[HomeTeam]], R$1, Table1[[ActualResult]:[ActualResult]], "SO") + SUMIFS(Table1[[AwayWon]:[AwayWon]], Table1[[GameIsOver]:[GameIsOver]],1,Table1[[HomeTeam]:[HomeTeam]],$A28, Table1[[AwayTeam]:[AwayTeam]], R$1, Table1[[ActualResult]:[ActualResult]], "SO"),0))</f>
        <v>0-0-0</v>
      </c>
      <c r="S28" s="57" t="str">
        <f>_xlfn.CONCAT(TEXT(SUMIFS(Table1[[AwayWon]:[AwayWon]], Table1[[GameIsOver]:[GameIsOver]],1,Table1[[AwayTeam]:[AwayTeam]],$A28, Table1[[HomeTeam]:[HomeTeam]], S$1) + SUMIFS(Table1[[HomeWon]:[HomeWon]], Table1[[GameIsOver]:[GameIsOver]],1,Table1[[HomeTeam]:[HomeTeam]],$A28, Table1[[AwayTeam]:[AwayTeam]], S$1),0), "-", TEXT(SUMIFS(Table1[[HomeWon]:[HomeWon]], Table1[[GameIsOver]:[GameIsOver]],1,Table1[[AwayTeam]:[AwayTeam]],$A28, Table1[[HomeTeam]:[HomeTeam]], S$1, Table1[[ActualResult]:[ActualResult]], "REG") + SUMIFS(Table1[[AwayWon]:[AwayWon]], Table1[[GameIsOver]:[GameIsOver]],1,Table1[[HomeTeam]:[HomeTeam]],$A28, Table1[[AwayTeam]:[AwayTeam]], S$1, Table1[[ActualResult]:[ActualResult]], "REG"),0), "-", TEXT(SUMIFS(Table1[[HomeWon]:[HomeWon]], Table1[[GameIsOver]:[GameIsOver]],1,Table1[[AwayTeam]:[AwayTeam]],$A28, Table1[[HomeTeam]:[HomeTeam]], S$1, Table1[[ActualResult]:[ActualResult]], "OT") + SUMIFS(Table1[[AwayWon]:[AwayWon]], Table1[[GameIsOver]:[GameIsOver]],1,Table1[[HomeTeam]:[HomeTeam]],$A28, Table1[[AwayTeam]:[AwayTeam]], S$1, Table1[[ActualResult]:[ActualResult]], "OT") + SUMIFS(Table1[[HomeWon]:[HomeWon]], Table1[[GameIsOver]:[GameIsOver]],1,Table1[[AwayTeam]:[AwayTeam]],$A28, Table1[[HomeTeam]:[HomeTeam]], S$1, Table1[[ActualResult]:[ActualResult]], "SO") + SUMIFS(Table1[[AwayWon]:[AwayWon]], Table1[[GameIsOver]:[GameIsOver]],1,Table1[[HomeTeam]:[HomeTeam]],$A28, Table1[[AwayTeam]:[AwayTeam]], S$1, Table1[[ActualResult]:[ActualResult]], "SO"),0))</f>
        <v>0-0-0</v>
      </c>
      <c r="T28" s="57" t="str">
        <f>_xlfn.CONCAT(TEXT(SUMIFS(Table1[[AwayWon]:[AwayWon]], Table1[[GameIsOver]:[GameIsOver]],1,Table1[[AwayTeam]:[AwayTeam]],$A28, Table1[[HomeTeam]:[HomeTeam]], T$1) + SUMIFS(Table1[[HomeWon]:[HomeWon]], Table1[[GameIsOver]:[GameIsOver]],1,Table1[[HomeTeam]:[HomeTeam]],$A28, Table1[[AwayTeam]:[AwayTeam]], T$1),0), "-", TEXT(SUMIFS(Table1[[HomeWon]:[HomeWon]], Table1[[GameIsOver]:[GameIsOver]],1,Table1[[AwayTeam]:[AwayTeam]],$A28, Table1[[HomeTeam]:[HomeTeam]], T$1, Table1[[ActualResult]:[ActualResult]], "REG") + SUMIFS(Table1[[AwayWon]:[AwayWon]], Table1[[GameIsOver]:[GameIsOver]],1,Table1[[HomeTeam]:[HomeTeam]],$A28, Table1[[AwayTeam]:[AwayTeam]], T$1, Table1[[ActualResult]:[ActualResult]], "REG"),0), "-", TEXT(SUMIFS(Table1[[HomeWon]:[HomeWon]], Table1[[GameIsOver]:[GameIsOver]],1,Table1[[AwayTeam]:[AwayTeam]],$A28, Table1[[HomeTeam]:[HomeTeam]], T$1, Table1[[ActualResult]:[ActualResult]], "OT") + SUMIFS(Table1[[AwayWon]:[AwayWon]], Table1[[GameIsOver]:[GameIsOver]],1,Table1[[HomeTeam]:[HomeTeam]],$A28, Table1[[AwayTeam]:[AwayTeam]], T$1, Table1[[ActualResult]:[ActualResult]], "OT") + SUMIFS(Table1[[HomeWon]:[HomeWon]], Table1[[GameIsOver]:[GameIsOver]],1,Table1[[AwayTeam]:[AwayTeam]],$A28, Table1[[HomeTeam]:[HomeTeam]], T$1, Table1[[ActualResult]:[ActualResult]], "SO") + SUMIFS(Table1[[AwayWon]:[AwayWon]], Table1[[GameIsOver]:[GameIsOver]],1,Table1[[HomeTeam]:[HomeTeam]],$A28, Table1[[AwayTeam]:[AwayTeam]], T$1, Table1[[ActualResult]:[ActualResult]], "SO"),0))</f>
        <v>0-0-0</v>
      </c>
      <c r="U28" s="57" t="str">
        <f>_xlfn.CONCAT(TEXT(SUMIFS(Table1[[AwayWon]:[AwayWon]], Table1[[GameIsOver]:[GameIsOver]],1,Table1[[AwayTeam]:[AwayTeam]],$A28, Table1[[HomeTeam]:[HomeTeam]], U$1) + SUMIFS(Table1[[HomeWon]:[HomeWon]], Table1[[GameIsOver]:[GameIsOver]],1,Table1[[HomeTeam]:[HomeTeam]],$A28, Table1[[AwayTeam]:[AwayTeam]], U$1),0), "-", TEXT(SUMIFS(Table1[[HomeWon]:[HomeWon]], Table1[[GameIsOver]:[GameIsOver]],1,Table1[[AwayTeam]:[AwayTeam]],$A28, Table1[[HomeTeam]:[HomeTeam]], U$1, Table1[[ActualResult]:[ActualResult]], "REG") + SUMIFS(Table1[[AwayWon]:[AwayWon]], Table1[[GameIsOver]:[GameIsOver]],1,Table1[[HomeTeam]:[HomeTeam]],$A28, Table1[[AwayTeam]:[AwayTeam]], U$1, Table1[[ActualResult]:[ActualResult]], "REG"),0), "-", TEXT(SUMIFS(Table1[[HomeWon]:[HomeWon]], Table1[[GameIsOver]:[GameIsOver]],1,Table1[[AwayTeam]:[AwayTeam]],$A28, Table1[[HomeTeam]:[HomeTeam]], U$1, Table1[[ActualResult]:[ActualResult]], "OT") + SUMIFS(Table1[[AwayWon]:[AwayWon]], Table1[[GameIsOver]:[GameIsOver]],1,Table1[[HomeTeam]:[HomeTeam]],$A28, Table1[[AwayTeam]:[AwayTeam]], U$1, Table1[[ActualResult]:[ActualResult]], "OT") + SUMIFS(Table1[[HomeWon]:[HomeWon]], Table1[[GameIsOver]:[GameIsOver]],1,Table1[[AwayTeam]:[AwayTeam]],$A28, Table1[[HomeTeam]:[HomeTeam]], U$1, Table1[[ActualResult]:[ActualResult]], "SO") + SUMIFS(Table1[[AwayWon]:[AwayWon]], Table1[[GameIsOver]:[GameIsOver]],1,Table1[[HomeTeam]:[HomeTeam]],$A28, Table1[[AwayTeam]:[AwayTeam]], U$1, Table1[[ActualResult]:[ActualResult]], "SO"),0))</f>
        <v>0-0-0</v>
      </c>
      <c r="V28" s="57" t="str">
        <f>_xlfn.CONCAT(TEXT(SUMIFS(Table1[[AwayWon]:[AwayWon]], Table1[[GameIsOver]:[GameIsOver]],1,Table1[[AwayTeam]:[AwayTeam]],$A28, Table1[[HomeTeam]:[HomeTeam]], V$1) + SUMIFS(Table1[[HomeWon]:[HomeWon]], Table1[[GameIsOver]:[GameIsOver]],1,Table1[[HomeTeam]:[HomeTeam]],$A28, Table1[[AwayTeam]:[AwayTeam]], V$1),0), "-", TEXT(SUMIFS(Table1[[HomeWon]:[HomeWon]], Table1[[GameIsOver]:[GameIsOver]],1,Table1[[AwayTeam]:[AwayTeam]],$A28, Table1[[HomeTeam]:[HomeTeam]], V$1, Table1[[ActualResult]:[ActualResult]], "REG") + SUMIFS(Table1[[AwayWon]:[AwayWon]], Table1[[GameIsOver]:[GameIsOver]],1,Table1[[HomeTeam]:[HomeTeam]],$A28, Table1[[AwayTeam]:[AwayTeam]], V$1, Table1[[ActualResult]:[ActualResult]], "REG"),0), "-", TEXT(SUMIFS(Table1[[HomeWon]:[HomeWon]], Table1[[GameIsOver]:[GameIsOver]],1,Table1[[AwayTeam]:[AwayTeam]],$A28, Table1[[HomeTeam]:[HomeTeam]], V$1, Table1[[ActualResult]:[ActualResult]], "OT") + SUMIFS(Table1[[AwayWon]:[AwayWon]], Table1[[GameIsOver]:[GameIsOver]],1,Table1[[HomeTeam]:[HomeTeam]],$A28, Table1[[AwayTeam]:[AwayTeam]], V$1, Table1[[ActualResult]:[ActualResult]], "OT") + SUMIFS(Table1[[HomeWon]:[HomeWon]], Table1[[GameIsOver]:[GameIsOver]],1,Table1[[AwayTeam]:[AwayTeam]],$A28, Table1[[HomeTeam]:[HomeTeam]], V$1, Table1[[ActualResult]:[ActualResult]], "SO") + SUMIFS(Table1[[AwayWon]:[AwayWon]], Table1[[GameIsOver]:[GameIsOver]],1,Table1[[HomeTeam]:[HomeTeam]],$A28, Table1[[AwayTeam]:[AwayTeam]], V$1, Table1[[ActualResult]:[ActualResult]], "SO"),0))</f>
        <v>0-0-0</v>
      </c>
      <c r="W28" s="57" t="str">
        <f>_xlfn.CONCAT(TEXT(SUMIFS(Table1[[AwayWon]:[AwayWon]], Table1[[GameIsOver]:[GameIsOver]],1,Table1[[AwayTeam]:[AwayTeam]],$A28, Table1[[HomeTeam]:[HomeTeam]], W$1) + SUMIFS(Table1[[HomeWon]:[HomeWon]], Table1[[GameIsOver]:[GameIsOver]],1,Table1[[HomeTeam]:[HomeTeam]],$A28, Table1[[AwayTeam]:[AwayTeam]], W$1),0), "-", TEXT(SUMIFS(Table1[[HomeWon]:[HomeWon]], Table1[[GameIsOver]:[GameIsOver]],1,Table1[[AwayTeam]:[AwayTeam]],$A28, Table1[[HomeTeam]:[HomeTeam]], W$1, Table1[[ActualResult]:[ActualResult]], "REG") + SUMIFS(Table1[[AwayWon]:[AwayWon]], Table1[[GameIsOver]:[GameIsOver]],1,Table1[[HomeTeam]:[HomeTeam]],$A28, Table1[[AwayTeam]:[AwayTeam]], W$1, Table1[[ActualResult]:[ActualResult]], "REG"),0), "-", TEXT(SUMIFS(Table1[[HomeWon]:[HomeWon]], Table1[[GameIsOver]:[GameIsOver]],1,Table1[[AwayTeam]:[AwayTeam]],$A28, Table1[[HomeTeam]:[HomeTeam]], W$1, Table1[[ActualResult]:[ActualResult]], "OT") + SUMIFS(Table1[[AwayWon]:[AwayWon]], Table1[[GameIsOver]:[GameIsOver]],1,Table1[[HomeTeam]:[HomeTeam]],$A28, Table1[[AwayTeam]:[AwayTeam]], W$1, Table1[[ActualResult]:[ActualResult]], "OT") + SUMIFS(Table1[[HomeWon]:[HomeWon]], Table1[[GameIsOver]:[GameIsOver]],1,Table1[[AwayTeam]:[AwayTeam]],$A28, Table1[[HomeTeam]:[HomeTeam]], W$1, Table1[[ActualResult]:[ActualResult]], "SO") + SUMIFS(Table1[[AwayWon]:[AwayWon]], Table1[[GameIsOver]:[GameIsOver]],1,Table1[[HomeTeam]:[HomeTeam]],$A28, Table1[[AwayTeam]:[AwayTeam]], W$1, Table1[[ActualResult]:[ActualResult]], "SO"),0))</f>
        <v>0-0-0</v>
      </c>
      <c r="X28" s="57" t="str">
        <f>_xlfn.CONCAT(TEXT(SUMIFS(Table1[[AwayWon]:[AwayWon]], Table1[[GameIsOver]:[GameIsOver]],1,Table1[[AwayTeam]:[AwayTeam]],$A28, Table1[[HomeTeam]:[HomeTeam]], X$1) + SUMIFS(Table1[[HomeWon]:[HomeWon]], Table1[[GameIsOver]:[GameIsOver]],1,Table1[[HomeTeam]:[HomeTeam]],$A28, Table1[[AwayTeam]:[AwayTeam]], X$1),0), "-", TEXT(SUMIFS(Table1[[HomeWon]:[HomeWon]], Table1[[GameIsOver]:[GameIsOver]],1,Table1[[AwayTeam]:[AwayTeam]],$A28, Table1[[HomeTeam]:[HomeTeam]], X$1, Table1[[ActualResult]:[ActualResult]], "REG") + SUMIFS(Table1[[AwayWon]:[AwayWon]], Table1[[GameIsOver]:[GameIsOver]],1,Table1[[HomeTeam]:[HomeTeam]],$A28, Table1[[AwayTeam]:[AwayTeam]], X$1, Table1[[ActualResult]:[ActualResult]], "REG"),0), "-", TEXT(SUMIFS(Table1[[HomeWon]:[HomeWon]], Table1[[GameIsOver]:[GameIsOver]],1,Table1[[AwayTeam]:[AwayTeam]],$A28, Table1[[HomeTeam]:[HomeTeam]], X$1, Table1[[ActualResult]:[ActualResult]], "OT") + SUMIFS(Table1[[AwayWon]:[AwayWon]], Table1[[GameIsOver]:[GameIsOver]],1,Table1[[HomeTeam]:[HomeTeam]],$A28, Table1[[AwayTeam]:[AwayTeam]], X$1, Table1[[ActualResult]:[ActualResult]], "OT") + SUMIFS(Table1[[HomeWon]:[HomeWon]], Table1[[GameIsOver]:[GameIsOver]],1,Table1[[AwayTeam]:[AwayTeam]],$A28, Table1[[HomeTeam]:[HomeTeam]], X$1, Table1[[ActualResult]:[ActualResult]], "SO") + SUMIFS(Table1[[AwayWon]:[AwayWon]], Table1[[GameIsOver]:[GameIsOver]],1,Table1[[HomeTeam]:[HomeTeam]],$A28, Table1[[AwayTeam]:[AwayTeam]], X$1, Table1[[ActualResult]:[ActualResult]], "SO"),0))</f>
        <v>0-0-0</v>
      </c>
      <c r="Y28" s="59" t="str">
        <f>_xlfn.CONCAT(TEXT(SUMIFS(Table1[[AwayWon]:[AwayWon]], Table1[[GameIsOver]:[GameIsOver]],1,Table1[[AwayTeam]:[AwayTeam]],$A28, Table1[[HomeTeam]:[HomeTeam]], Y$1) + SUMIFS(Table1[[HomeWon]:[HomeWon]], Table1[[GameIsOver]:[GameIsOver]],1,Table1[[HomeTeam]:[HomeTeam]],$A28, Table1[[AwayTeam]:[AwayTeam]], Y$1),0), "-", TEXT(SUMIFS(Table1[[HomeWon]:[HomeWon]], Table1[[GameIsOver]:[GameIsOver]],1,Table1[[AwayTeam]:[AwayTeam]],$A28, Table1[[HomeTeam]:[HomeTeam]], Y$1, Table1[[ActualResult]:[ActualResult]], "REG") + SUMIFS(Table1[[AwayWon]:[AwayWon]], Table1[[GameIsOver]:[GameIsOver]],1,Table1[[HomeTeam]:[HomeTeam]],$A28, Table1[[AwayTeam]:[AwayTeam]], Y$1, Table1[[ActualResult]:[ActualResult]], "REG"),0), "-", TEXT(SUMIFS(Table1[[HomeWon]:[HomeWon]], Table1[[GameIsOver]:[GameIsOver]],1,Table1[[AwayTeam]:[AwayTeam]],$A28, Table1[[HomeTeam]:[HomeTeam]], Y$1, Table1[[ActualResult]:[ActualResult]], "OT") + SUMIFS(Table1[[AwayWon]:[AwayWon]], Table1[[GameIsOver]:[GameIsOver]],1,Table1[[HomeTeam]:[HomeTeam]],$A28, Table1[[AwayTeam]:[AwayTeam]], Y$1, Table1[[ActualResult]:[ActualResult]], "OT") + SUMIFS(Table1[[HomeWon]:[HomeWon]], Table1[[GameIsOver]:[GameIsOver]],1,Table1[[AwayTeam]:[AwayTeam]],$A28, Table1[[HomeTeam]:[HomeTeam]], Y$1, Table1[[ActualResult]:[ActualResult]], "SO") + SUMIFS(Table1[[AwayWon]:[AwayWon]], Table1[[GameIsOver]:[GameIsOver]],1,Table1[[HomeTeam]:[HomeTeam]],$A28, Table1[[AwayTeam]:[AwayTeam]], Y$1, Table1[[ActualResult]:[ActualResult]], "SO"),0))</f>
        <v>0-0-0</v>
      </c>
      <c r="Z28" s="57" t="str">
        <f>_xlfn.CONCAT(TEXT(SUMIFS(Table1[[AwayWon]:[AwayWon]], Table1[[GameIsOver]:[GameIsOver]],1,Table1[[AwayTeam]:[AwayTeam]],$A28, Table1[[HomeTeam]:[HomeTeam]], Z$1) + SUMIFS(Table1[[HomeWon]:[HomeWon]], Table1[[GameIsOver]:[GameIsOver]],1,Table1[[HomeTeam]:[HomeTeam]],$A28, Table1[[AwayTeam]:[AwayTeam]], Z$1),0), "-", TEXT(SUMIFS(Table1[[HomeWon]:[HomeWon]], Table1[[GameIsOver]:[GameIsOver]],1,Table1[[AwayTeam]:[AwayTeam]],$A28, Table1[[HomeTeam]:[HomeTeam]], Z$1, Table1[[ActualResult]:[ActualResult]], "REG") + SUMIFS(Table1[[AwayWon]:[AwayWon]], Table1[[GameIsOver]:[GameIsOver]],1,Table1[[HomeTeam]:[HomeTeam]],$A28, Table1[[AwayTeam]:[AwayTeam]], Z$1, Table1[[ActualResult]:[ActualResult]], "REG"),0), "-", TEXT(SUMIFS(Table1[[HomeWon]:[HomeWon]], Table1[[GameIsOver]:[GameIsOver]],1,Table1[[AwayTeam]:[AwayTeam]],$A28, Table1[[HomeTeam]:[HomeTeam]], Z$1, Table1[[ActualResult]:[ActualResult]], "OT") + SUMIFS(Table1[[AwayWon]:[AwayWon]], Table1[[GameIsOver]:[GameIsOver]],1,Table1[[HomeTeam]:[HomeTeam]],$A28, Table1[[AwayTeam]:[AwayTeam]], Z$1, Table1[[ActualResult]:[ActualResult]], "OT") + SUMIFS(Table1[[HomeWon]:[HomeWon]], Table1[[GameIsOver]:[GameIsOver]],1,Table1[[AwayTeam]:[AwayTeam]],$A28, Table1[[HomeTeam]:[HomeTeam]], Z$1, Table1[[ActualResult]:[ActualResult]], "SO") + SUMIFS(Table1[[AwayWon]:[AwayWon]], Table1[[GameIsOver]:[GameIsOver]],1,Table1[[HomeTeam]:[HomeTeam]],$A28, Table1[[AwayTeam]:[AwayTeam]], Z$1, Table1[[ActualResult]:[ActualResult]], "SO"),0))</f>
        <v>0-0-0</v>
      </c>
      <c r="AA28" s="57" t="str">
        <f>_xlfn.CONCAT(TEXT(SUMIFS(Table1[[AwayWon]:[AwayWon]], Table1[[GameIsOver]:[GameIsOver]],1,Table1[[AwayTeam]:[AwayTeam]],$A28, Table1[[HomeTeam]:[HomeTeam]], AA$1) + SUMIFS(Table1[[HomeWon]:[HomeWon]], Table1[[GameIsOver]:[GameIsOver]],1,Table1[[HomeTeam]:[HomeTeam]],$A28, Table1[[AwayTeam]:[AwayTeam]], AA$1),0), "-", TEXT(SUMIFS(Table1[[HomeWon]:[HomeWon]], Table1[[GameIsOver]:[GameIsOver]],1,Table1[[AwayTeam]:[AwayTeam]],$A28, Table1[[HomeTeam]:[HomeTeam]], AA$1, Table1[[ActualResult]:[ActualResult]], "REG") + SUMIFS(Table1[[AwayWon]:[AwayWon]], Table1[[GameIsOver]:[GameIsOver]],1,Table1[[HomeTeam]:[HomeTeam]],$A28, Table1[[AwayTeam]:[AwayTeam]], AA$1, Table1[[ActualResult]:[ActualResult]], "REG"),0), "-", TEXT(SUMIFS(Table1[[HomeWon]:[HomeWon]], Table1[[GameIsOver]:[GameIsOver]],1,Table1[[AwayTeam]:[AwayTeam]],$A28, Table1[[HomeTeam]:[HomeTeam]], AA$1, Table1[[ActualResult]:[ActualResult]], "OT") + SUMIFS(Table1[[AwayWon]:[AwayWon]], Table1[[GameIsOver]:[GameIsOver]],1,Table1[[HomeTeam]:[HomeTeam]],$A28, Table1[[AwayTeam]:[AwayTeam]], AA$1, Table1[[ActualResult]:[ActualResult]], "OT") + SUMIFS(Table1[[HomeWon]:[HomeWon]], Table1[[GameIsOver]:[GameIsOver]],1,Table1[[AwayTeam]:[AwayTeam]],$A28, Table1[[HomeTeam]:[HomeTeam]], AA$1, Table1[[ActualResult]:[ActualResult]], "SO") + SUMIFS(Table1[[AwayWon]:[AwayWon]], Table1[[GameIsOver]:[GameIsOver]],1,Table1[[HomeTeam]:[HomeTeam]],$A28, Table1[[AwayTeam]:[AwayTeam]], AA$1, Table1[[ActualResult]:[ActualResult]], "SO"),0))</f>
        <v>0-0-0</v>
      </c>
      <c r="AB28" s="57" t="str">
        <f>_xlfn.CONCAT(TEXT(SUMIFS(Table1[[AwayWon]:[AwayWon]], Table1[[GameIsOver]:[GameIsOver]],1,Table1[[AwayTeam]:[AwayTeam]],$A28, Table1[[HomeTeam]:[HomeTeam]], AB$1) + SUMIFS(Table1[[HomeWon]:[HomeWon]], Table1[[GameIsOver]:[GameIsOver]],1,Table1[[HomeTeam]:[HomeTeam]],$A28, Table1[[AwayTeam]:[AwayTeam]], AB$1),0), "-", TEXT(SUMIFS(Table1[[HomeWon]:[HomeWon]], Table1[[GameIsOver]:[GameIsOver]],1,Table1[[AwayTeam]:[AwayTeam]],$A28, Table1[[HomeTeam]:[HomeTeam]], AB$1, Table1[[ActualResult]:[ActualResult]], "REG") + SUMIFS(Table1[[AwayWon]:[AwayWon]], Table1[[GameIsOver]:[GameIsOver]],1,Table1[[HomeTeam]:[HomeTeam]],$A28, Table1[[AwayTeam]:[AwayTeam]], AB$1, Table1[[ActualResult]:[ActualResult]], "REG"),0), "-", TEXT(SUMIFS(Table1[[HomeWon]:[HomeWon]], Table1[[GameIsOver]:[GameIsOver]],1,Table1[[AwayTeam]:[AwayTeam]],$A28, Table1[[HomeTeam]:[HomeTeam]], AB$1, Table1[[ActualResult]:[ActualResult]], "OT") + SUMIFS(Table1[[AwayWon]:[AwayWon]], Table1[[GameIsOver]:[GameIsOver]],1,Table1[[HomeTeam]:[HomeTeam]],$A28, Table1[[AwayTeam]:[AwayTeam]], AB$1, Table1[[ActualResult]:[ActualResult]], "OT") + SUMIFS(Table1[[HomeWon]:[HomeWon]], Table1[[GameIsOver]:[GameIsOver]],1,Table1[[AwayTeam]:[AwayTeam]],$A28, Table1[[HomeTeam]:[HomeTeam]], AB$1, Table1[[ActualResult]:[ActualResult]], "SO") + SUMIFS(Table1[[AwayWon]:[AwayWon]], Table1[[GameIsOver]:[GameIsOver]],1,Table1[[HomeTeam]:[HomeTeam]],$A28, Table1[[AwayTeam]:[AwayTeam]], AB$1, Table1[[ActualResult]:[ActualResult]], "SO"),0))</f>
        <v>0-0-0</v>
      </c>
      <c r="AC28" s="57" t="str">
        <f>_xlfn.CONCAT(TEXT(SUMIFS(Table1[[AwayWon]:[AwayWon]], Table1[[GameIsOver]:[GameIsOver]],1,Table1[[AwayTeam]:[AwayTeam]],$A28, Table1[[HomeTeam]:[HomeTeam]], AC$1) + SUMIFS(Table1[[HomeWon]:[HomeWon]], Table1[[GameIsOver]:[GameIsOver]],1,Table1[[HomeTeam]:[HomeTeam]],$A28, Table1[[AwayTeam]:[AwayTeam]], AC$1),0), "-", TEXT(SUMIFS(Table1[[HomeWon]:[HomeWon]], Table1[[GameIsOver]:[GameIsOver]],1,Table1[[AwayTeam]:[AwayTeam]],$A28, Table1[[HomeTeam]:[HomeTeam]], AC$1, Table1[[ActualResult]:[ActualResult]], "REG") + SUMIFS(Table1[[AwayWon]:[AwayWon]], Table1[[GameIsOver]:[GameIsOver]],1,Table1[[HomeTeam]:[HomeTeam]],$A28, Table1[[AwayTeam]:[AwayTeam]], AC$1, Table1[[ActualResult]:[ActualResult]], "REG"),0), "-", TEXT(SUMIFS(Table1[[HomeWon]:[HomeWon]], Table1[[GameIsOver]:[GameIsOver]],1,Table1[[AwayTeam]:[AwayTeam]],$A28, Table1[[HomeTeam]:[HomeTeam]], AC$1, Table1[[ActualResult]:[ActualResult]], "OT") + SUMIFS(Table1[[AwayWon]:[AwayWon]], Table1[[GameIsOver]:[GameIsOver]],1,Table1[[HomeTeam]:[HomeTeam]],$A28, Table1[[AwayTeam]:[AwayTeam]], AC$1, Table1[[ActualResult]:[ActualResult]], "OT") + SUMIFS(Table1[[HomeWon]:[HomeWon]], Table1[[GameIsOver]:[GameIsOver]],1,Table1[[AwayTeam]:[AwayTeam]],$A28, Table1[[HomeTeam]:[HomeTeam]], AC$1, Table1[[ActualResult]:[ActualResult]], "SO") + SUMIFS(Table1[[AwayWon]:[AwayWon]], Table1[[GameIsOver]:[GameIsOver]],1,Table1[[HomeTeam]:[HomeTeam]],$A28, Table1[[AwayTeam]:[AwayTeam]], AC$1, Table1[[ActualResult]:[ActualResult]], "SO"),0))</f>
        <v>0-0-0</v>
      </c>
      <c r="AD28" s="57" t="str">
        <f>_xlfn.CONCAT(TEXT(SUMIFS(Table1[[AwayWon]:[AwayWon]], Table1[[GameIsOver]:[GameIsOver]],1,Table1[[AwayTeam]:[AwayTeam]],$A28, Table1[[HomeTeam]:[HomeTeam]], AD$1) + SUMIFS(Table1[[HomeWon]:[HomeWon]], Table1[[GameIsOver]:[GameIsOver]],1,Table1[[HomeTeam]:[HomeTeam]],$A28, Table1[[AwayTeam]:[AwayTeam]], AD$1),0), "-", TEXT(SUMIFS(Table1[[HomeWon]:[HomeWon]], Table1[[GameIsOver]:[GameIsOver]],1,Table1[[AwayTeam]:[AwayTeam]],$A28, Table1[[HomeTeam]:[HomeTeam]], AD$1, Table1[[ActualResult]:[ActualResult]], "REG") + SUMIFS(Table1[[AwayWon]:[AwayWon]], Table1[[GameIsOver]:[GameIsOver]],1,Table1[[HomeTeam]:[HomeTeam]],$A28, Table1[[AwayTeam]:[AwayTeam]], AD$1, Table1[[ActualResult]:[ActualResult]], "REG"),0), "-", TEXT(SUMIFS(Table1[[HomeWon]:[HomeWon]], Table1[[GameIsOver]:[GameIsOver]],1,Table1[[AwayTeam]:[AwayTeam]],$A28, Table1[[HomeTeam]:[HomeTeam]], AD$1, Table1[[ActualResult]:[ActualResult]], "OT") + SUMIFS(Table1[[AwayWon]:[AwayWon]], Table1[[GameIsOver]:[GameIsOver]],1,Table1[[HomeTeam]:[HomeTeam]],$A28, Table1[[AwayTeam]:[AwayTeam]], AD$1, Table1[[ActualResult]:[ActualResult]], "OT") + SUMIFS(Table1[[HomeWon]:[HomeWon]], Table1[[GameIsOver]:[GameIsOver]],1,Table1[[AwayTeam]:[AwayTeam]],$A28, Table1[[HomeTeam]:[HomeTeam]], AD$1, Table1[[ActualResult]:[ActualResult]], "SO") + SUMIFS(Table1[[AwayWon]:[AwayWon]], Table1[[GameIsOver]:[GameIsOver]],1,Table1[[HomeTeam]:[HomeTeam]],$A28, Table1[[AwayTeam]:[AwayTeam]], AD$1, Table1[[ActualResult]:[ActualResult]], "SO"),0))</f>
        <v>0-0-0</v>
      </c>
      <c r="AE28" s="57" t="str">
        <f>_xlfn.CONCAT(TEXT(SUMIFS(Table1[[AwayWon]:[AwayWon]], Table1[[GameIsOver]:[GameIsOver]],1,Table1[[AwayTeam]:[AwayTeam]],$A28, Table1[[HomeTeam]:[HomeTeam]], AE$1) + SUMIFS(Table1[[HomeWon]:[HomeWon]], Table1[[GameIsOver]:[GameIsOver]],1,Table1[[HomeTeam]:[HomeTeam]],$A28, Table1[[AwayTeam]:[AwayTeam]], AE$1),0), "-", TEXT(SUMIFS(Table1[[HomeWon]:[HomeWon]], Table1[[GameIsOver]:[GameIsOver]],1,Table1[[AwayTeam]:[AwayTeam]],$A28, Table1[[HomeTeam]:[HomeTeam]], AE$1, Table1[[ActualResult]:[ActualResult]], "REG") + SUMIFS(Table1[[AwayWon]:[AwayWon]], Table1[[GameIsOver]:[GameIsOver]],1,Table1[[HomeTeam]:[HomeTeam]],$A28, Table1[[AwayTeam]:[AwayTeam]], AE$1, Table1[[ActualResult]:[ActualResult]], "REG"),0), "-", TEXT(SUMIFS(Table1[[HomeWon]:[HomeWon]], Table1[[GameIsOver]:[GameIsOver]],1,Table1[[AwayTeam]:[AwayTeam]],$A28, Table1[[HomeTeam]:[HomeTeam]], AE$1, Table1[[ActualResult]:[ActualResult]], "OT") + SUMIFS(Table1[[AwayWon]:[AwayWon]], Table1[[GameIsOver]:[GameIsOver]],1,Table1[[HomeTeam]:[HomeTeam]],$A28, Table1[[AwayTeam]:[AwayTeam]], AE$1, Table1[[ActualResult]:[ActualResult]], "OT") + SUMIFS(Table1[[HomeWon]:[HomeWon]], Table1[[GameIsOver]:[GameIsOver]],1,Table1[[AwayTeam]:[AwayTeam]],$A28, Table1[[HomeTeam]:[HomeTeam]], AE$1, Table1[[ActualResult]:[ActualResult]], "SO") + SUMIFS(Table1[[AwayWon]:[AwayWon]], Table1[[GameIsOver]:[GameIsOver]],1,Table1[[HomeTeam]:[HomeTeam]],$A28, Table1[[AwayTeam]:[AwayTeam]], AE$1, Table1[[ActualResult]:[ActualResult]], "SO"),0))</f>
        <v>0-0-0</v>
      </c>
      <c r="AF28" s="57" t="str">
        <f>_xlfn.CONCAT(TEXT(SUMIFS(Table1[[AwayWon]:[AwayWon]], Table1[[GameIsOver]:[GameIsOver]],1,Table1[[AwayTeam]:[AwayTeam]],$A28, Table1[[HomeTeam]:[HomeTeam]], AF$1) + SUMIFS(Table1[[HomeWon]:[HomeWon]], Table1[[GameIsOver]:[GameIsOver]],1,Table1[[HomeTeam]:[HomeTeam]],$A28, Table1[[AwayTeam]:[AwayTeam]], AF$1),0), "-", TEXT(SUMIFS(Table1[[HomeWon]:[HomeWon]], Table1[[GameIsOver]:[GameIsOver]],1,Table1[[AwayTeam]:[AwayTeam]],$A28, Table1[[HomeTeam]:[HomeTeam]], AF$1, Table1[[ActualResult]:[ActualResult]], "REG") + SUMIFS(Table1[[AwayWon]:[AwayWon]], Table1[[GameIsOver]:[GameIsOver]],1,Table1[[HomeTeam]:[HomeTeam]],$A28, Table1[[AwayTeam]:[AwayTeam]], AF$1, Table1[[ActualResult]:[ActualResult]], "REG"),0), "-", TEXT(SUMIFS(Table1[[HomeWon]:[HomeWon]], Table1[[GameIsOver]:[GameIsOver]],1,Table1[[AwayTeam]:[AwayTeam]],$A28, Table1[[HomeTeam]:[HomeTeam]], AF$1, Table1[[ActualResult]:[ActualResult]], "OT") + SUMIFS(Table1[[AwayWon]:[AwayWon]], Table1[[GameIsOver]:[GameIsOver]],1,Table1[[HomeTeam]:[HomeTeam]],$A28, Table1[[AwayTeam]:[AwayTeam]], AF$1, Table1[[ActualResult]:[ActualResult]], "OT") + SUMIFS(Table1[[HomeWon]:[HomeWon]], Table1[[GameIsOver]:[GameIsOver]],1,Table1[[AwayTeam]:[AwayTeam]],$A28, Table1[[HomeTeam]:[HomeTeam]], AF$1, Table1[[ActualResult]:[ActualResult]], "SO") + SUMIFS(Table1[[AwayWon]:[AwayWon]], Table1[[GameIsOver]:[GameIsOver]],1,Table1[[HomeTeam]:[HomeTeam]],$A28, Table1[[AwayTeam]:[AwayTeam]], AF$1, Table1[[ActualResult]:[ActualResult]], "SO"),0))</f>
        <v>0-0-0</v>
      </c>
      <c r="AG28" s="57" t="str">
        <f>_xlfn.CONCAT(TEXT(SUMIFS(Table1[[AwayWon]:[AwayWon]], Table1[[GameIsOver]:[GameIsOver]],1,Table1[[AwayTeam]:[AwayTeam]],$A28, Table1[[HomeTeam]:[HomeTeam]], AG$1) + SUMIFS(Table1[[HomeWon]:[HomeWon]], Table1[[GameIsOver]:[GameIsOver]],1,Table1[[HomeTeam]:[HomeTeam]],$A28, Table1[[AwayTeam]:[AwayTeam]], AG$1),0), "-", TEXT(SUMIFS(Table1[[HomeWon]:[HomeWon]], Table1[[GameIsOver]:[GameIsOver]],1,Table1[[AwayTeam]:[AwayTeam]],$A28, Table1[[HomeTeam]:[HomeTeam]], AG$1, Table1[[ActualResult]:[ActualResult]], "REG") + SUMIFS(Table1[[AwayWon]:[AwayWon]], Table1[[GameIsOver]:[GameIsOver]],1,Table1[[HomeTeam]:[HomeTeam]],$A28, Table1[[AwayTeam]:[AwayTeam]], AG$1, Table1[[ActualResult]:[ActualResult]], "REG"),0), "-", TEXT(SUMIFS(Table1[[HomeWon]:[HomeWon]], Table1[[GameIsOver]:[GameIsOver]],1,Table1[[AwayTeam]:[AwayTeam]],$A28, Table1[[HomeTeam]:[HomeTeam]], AG$1, Table1[[ActualResult]:[ActualResult]], "OT") + SUMIFS(Table1[[AwayWon]:[AwayWon]], Table1[[GameIsOver]:[GameIsOver]],1,Table1[[HomeTeam]:[HomeTeam]],$A28, Table1[[AwayTeam]:[AwayTeam]], AG$1, Table1[[ActualResult]:[ActualResult]], "OT") + SUMIFS(Table1[[HomeWon]:[HomeWon]], Table1[[GameIsOver]:[GameIsOver]],1,Table1[[AwayTeam]:[AwayTeam]],$A28, Table1[[HomeTeam]:[HomeTeam]], AG$1, Table1[[ActualResult]:[ActualResult]], "SO") + SUMIFS(Table1[[AwayWon]:[AwayWon]], Table1[[GameIsOver]:[GameIsOver]],1,Table1[[HomeTeam]:[HomeTeam]],$A28, Table1[[AwayTeam]:[AwayTeam]], AG$1, Table1[[ActualResult]:[ActualResult]], "SO"),0))</f>
        <v>0-0-0</v>
      </c>
    </row>
    <row r="29" spans="1:33" x14ac:dyDescent="0.25">
      <c r="A29" s="28" t="s">
        <v>17</v>
      </c>
      <c r="B29" s="57" t="str">
        <f>_xlfn.CONCAT(TEXT(SUMIFS(Table1[[AwayWon]:[AwayWon]], Table1[[GameIsOver]:[GameIsOver]],1,Table1[[AwayTeam]:[AwayTeam]],$A29, Table1[[HomeTeam]:[HomeTeam]], B$1) + SUMIFS(Table1[[HomeWon]:[HomeWon]], Table1[[GameIsOver]:[GameIsOver]],1,Table1[[HomeTeam]:[HomeTeam]],$A29, Table1[[AwayTeam]:[AwayTeam]], B$1),0), "-", TEXT(SUMIFS(Table1[[HomeWon]:[HomeWon]], Table1[[GameIsOver]:[GameIsOver]],1,Table1[[AwayTeam]:[AwayTeam]],$A29, Table1[[HomeTeam]:[HomeTeam]], B$1, Table1[[ActualResult]:[ActualResult]], "REG") + SUMIFS(Table1[[AwayWon]:[AwayWon]], Table1[[GameIsOver]:[GameIsOver]],1,Table1[[HomeTeam]:[HomeTeam]],$A29, Table1[[AwayTeam]:[AwayTeam]], B$1, Table1[[ActualResult]:[ActualResult]], "REG"),0), "-", TEXT(SUMIFS(Table1[[HomeWon]:[HomeWon]], Table1[[GameIsOver]:[GameIsOver]],1,Table1[[AwayTeam]:[AwayTeam]],$A29, Table1[[HomeTeam]:[HomeTeam]], B$1, Table1[[ActualResult]:[ActualResult]], "OT") + SUMIFS(Table1[[AwayWon]:[AwayWon]], Table1[[GameIsOver]:[GameIsOver]],1,Table1[[HomeTeam]:[HomeTeam]],$A29, Table1[[AwayTeam]:[AwayTeam]], B$1, Table1[[ActualResult]:[ActualResult]], "OT") + SUMIFS(Table1[[HomeWon]:[HomeWon]], Table1[[GameIsOver]:[GameIsOver]],1,Table1[[AwayTeam]:[AwayTeam]],$A29, Table1[[HomeTeam]:[HomeTeam]], B$1, Table1[[ActualResult]:[ActualResult]], "SO") + SUMIFS(Table1[[AwayWon]:[AwayWon]], Table1[[GameIsOver]:[GameIsOver]],1,Table1[[HomeTeam]:[HomeTeam]],$A29, Table1[[AwayTeam]:[AwayTeam]], B$1, Table1[[ActualResult]:[ActualResult]], "SO"),0))</f>
        <v>0-0-0</v>
      </c>
      <c r="C29" s="57" t="str">
        <f>_xlfn.CONCAT(TEXT(SUMIFS(Table1[[AwayWon]:[AwayWon]], Table1[[GameIsOver]:[GameIsOver]],1,Table1[[AwayTeam]:[AwayTeam]],$A29, Table1[[HomeTeam]:[HomeTeam]], C$1) + SUMIFS(Table1[[HomeWon]:[HomeWon]], Table1[[GameIsOver]:[GameIsOver]],1,Table1[[HomeTeam]:[HomeTeam]],$A29, Table1[[AwayTeam]:[AwayTeam]], C$1),0), "-", TEXT(SUMIFS(Table1[[HomeWon]:[HomeWon]], Table1[[GameIsOver]:[GameIsOver]],1,Table1[[AwayTeam]:[AwayTeam]],$A29, Table1[[HomeTeam]:[HomeTeam]], C$1, Table1[[ActualResult]:[ActualResult]], "REG") + SUMIFS(Table1[[AwayWon]:[AwayWon]], Table1[[GameIsOver]:[GameIsOver]],1,Table1[[HomeTeam]:[HomeTeam]],$A29, Table1[[AwayTeam]:[AwayTeam]], C$1, Table1[[ActualResult]:[ActualResult]], "REG"),0), "-", TEXT(SUMIFS(Table1[[HomeWon]:[HomeWon]], Table1[[GameIsOver]:[GameIsOver]],1,Table1[[AwayTeam]:[AwayTeam]],$A29, Table1[[HomeTeam]:[HomeTeam]], C$1, Table1[[ActualResult]:[ActualResult]], "OT") + SUMIFS(Table1[[AwayWon]:[AwayWon]], Table1[[GameIsOver]:[GameIsOver]],1,Table1[[HomeTeam]:[HomeTeam]],$A29, Table1[[AwayTeam]:[AwayTeam]], C$1, Table1[[ActualResult]:[ActualResult]], "OT") + SUMIFS(Table1[[HomeWon]:[HomeWon]], Table1[[GameIsOver]:[GameIsOver]],1,Table1[[AwayTeam]:[AwayTeam]],$A29, Table1[[HomeTeam]:[HomeTeam]], C$1, Table1[[ActualResult]:[ActualResult]], "SO") + SUMIFS(Table1[[AwayWon]:[AwayWon]], Table1[[GameIsOver]:[GameIsOver]],1,Table1[[HomeTeam]:[HomeTeam]],$A29, Table1[[AwayTeam]:[AwayTeam]], C$1, Table1[[ActualResult]:[ActualResult]], "SO"),0))</f>
        <v>0-0-0</v>
      </c>
      <c r="D29" s="57" t="str">
        <f>_xlfn.CONCAT(TEXT(SUMIFS(Table1[[AwayWon]:[AwayWon]], Table1[[GameIsOver]:[GameIsOver]],1,Table1[[AwayTeam]:[AwayTeam]],$A29, Table1[[HomeTeam]:[HomeTeam]], D$1) + SUMIFS(Table1[[HomeWon]:[HomeWon]], Table1[[GameIsOver]:[GameIsOver]],1,Table1[[HomeTeam]:[HomeTeam]],$A29, Table1[[AwayTeam]:[AwayTeam]], D$1),0), "-", TEXT(SUMIFS(Table1[[HomeWon]:[HomeWon]], Table1[[GameIsOver]:[GameIsOver]],1,Table1[[AwayTeam]:[AwayTeam]],$A29, Table1[[HomeTeam]:[HomeTeam]], D$1, Table1[[ActualResult]:[ActualResult]], "REG") + SUMIFS(Table1[[AwayWon]:[AwayWon]], Table1[[GameIsOver]:[GameIsOver]],1,Table1[[HomeTeam]:[HomeTeam]],$A29, Table1[[AwayTeam]:[AwayTeam]], D$1, Table1[[ActualResult]:[ActualResult]], "REG"),0), "-", TEXT(SUMIFS(Table1[[HomeWon]:[HomeWon]], Table1[[GameIsOver]:[GameIsOver]],1,Table1[[AwayTeam]:[AwayTeam]],$A29, Table1[[HomeTeam]:[HomeTeam]], D$1, Table1[[ActualResult]:[ActualResult]], "OT") + SUMIFS(Table1[[AwayWon]:[AwayWon]], Table1[[GameIsOver]:[GameIsOver]],1,Table1[[HomeTeam]:[HomeTeam]],$A29, Table1[[AwayTeam]:[AwayTeam]], D$1, Table1[[ActualResult]:[ActualResult]], "OT") + SUMIFS(Table1[[HomeWon]:[HomeWon]], Table1[[GameIsOver]:[GameIsOver]],1,Table1[[AwayTeam]:[AwayTeam]],$A29, Table1[[HomeTeam]:[HomeTeam]], D$1, Table1[[ActualResult]:[ActualResult]], "SO") + SUMIFS(Table1[[AwayWon]:[AwayWon]], Table1[[GameIsOver]:[GameIsOver]],1,Table1[[HomeTeam]:[HomeTeam]],$A29, Table1[[AwayTeam]:[AwayTeam]], D$1, Table1[[ActualResult]:[ActualResult]], "SO"),0))</f>
        <v>0-0-0</v>
      </c>
      <c r="E29" s="57" t="str">
        <f>_xlfn.CONCAT(TEXT(SUMIFS(Table1[[AwayWon]:[AwayWon]], Table1[[GameIsOver]:[GameIsOver]],1,Table1[[AwayTeam]:[AwayTeam]],$A29, Table1[[HomeTeam]:[HomeTeam]], E$1) + SUMIFS(Table1[[HomeWon]:[HomeWon]], Table1[[GameIsOver]:[GameIsOver]],1,Table1[[HomeTeam]:[HomeTeam]],$A29, Table1[[AwayTeam]:[AwayTeam]], E$1),0), "-", TEXT(SUMIFS(Table1[[HomeWon]:[HomeWon]], Table1[[GameIsOver]:[GameIsOver]],1,Table1[[AwayTeam]:[AwayTeam]],$A29, Table1[[HomeTeam]:[HomeTeam]], E$1, Table1[[ActualResult]:[ActualResult]], "REG") + SUMIFS(Table1[[AwayWon]:[AwayWon]], Table1[[GameIsOver]:[GameIsOver]],1,Table1[[HomeTeam]:[HomeTeam]],$A29, Table1[[AwayTeam]:[AwayTeam]], E$1, Table1[[ActualResult]:[ActualResult]], "REG"),0), "-", TEXT(SUMIFS(Table1[[HomeWon]:[HomeWon]], Table1[[GameIsOver]:[GameIsOver]],1,Table1[[AwayTeam]:[AwayTeam]],$A29, Table1[[HomeTeam]:[HomeTeam]], E$1, Table1[[ActualResult]:[ActualResult]], "OT") + SUMIFS(Table1[[AwayWon]:[AwayWon]], Table1[[GameIsOver]:[GameIsOver]],1,Table1[[HomeTeam]:[HomeTeam]],$A29, Table1[[AwayTeam]:[AwayTeam]], E$1, Table1[[ActualResult]:[ActualResult]], "OT") + SUMIFS(Table1[[HomeWon]:[HomeWon]], Table1[[GameIsOver]:[GameIsOver]],1,Table1[[AwayTeam]:[AwayTeam]],$A29, Table1[[HomeTeam]:[HomeTeam]], E$1, Table1[[ActualResult]:[ActualResult]], "SO") + SUMIFS(Table1[[AwayWon]:[AwayWon]], Table1[[GameIsOver]:[GameIsOver]],1,Table1[[HomeTeam]:[HomeTeam]],$A29, Table1[[AwayTeam]:[AwayTeam]], E$1, Table1[[ActualResult]:[ActualResult]], "SO"),0))</f>
        <v>0-0-0</v>
      </c>
      <c r="F29" s="57" t="str">
        <f>_xlfn.CONCAT(TEXT(SUMIFS(Table1[[AwayWon]:[AwayWon]], Table1[[GameIsOver]:[GameIsOver]],1,Table1[[AwayTeam]:[AwayTeam]],$A29, Table1[[HomeTeam]:[HomeTeam]], F$1) + SUMIFS(Table1[[HomeWon]:[HomeWon]], Table1[[GameIsOver]:[GameIsOver]],1,Table1[[HomeTeam]:[HomeTeam]],$A29, Table1[[AwayTeam]:[AwayTeam]], F$1),0), "-", TEXT(SUMIFS(Table1[[HomeWon]:[HomeWon]], Table1[[GameIsOver]:[GameIsOver]],1,Table1[[AwayTeam]:[AwayTeam]],$A29, Table1[[HomeTeam]:[HomeTeam]], F$1, Table1[[ActualResult]:[ActualResult]], "REG") + SUMIFS(Table1[[AwayWon]:[AwayWon]], Table1[[GameIsOver]:[GameIsOver]],1,Table1[[HomeTeam]:[HomeTeam]],$A29, Table1[[AwayTeam]:[AwayTeam]], F$1, Table1[[ActualResult]:[ActualResult]], "REG"),0), "-", TEXT(SUMIFS(Table1[[HomeWon]:[HomeWon]], Table1[[GameIsOver]:[GameIsOver]],1,Table1[[AwayTeam]:[AwayTeam]],$A29, Table1[[HomeTeam]:[HomeTeam]], F$1, Table1[[ActualResult]:[ActualResult]], "OT") + SUMIFS(Table1[[AwayWon]:[AwayWon]], Table1[[GameIsOver]:[GameIsOver]],1,Table1[[HomeTeam]:[HomeTeam]],$A29, Table1[[AwayTeam]:[AwayTeam]], F$1, Table1[[ActualResult]:[ActualResult]], "OT") + SUMIFS(Table1[[HomeWon]:[HomeWon]], Table1[[GameIsOver]:[GameIsOver]],1,Table1[[AwayTeam]:[AwayTeam]],$A29, Table1[[HomeTeam]:[HomeTeam]], F$1, Table1[[ActualResult]:[ActualResult]], "SO") + SUMIFS(Table1[[AwayWon]:[AwayWon]], Table1[[GameIsOver]:[GameIsOver]],1,Table1[[HomeTeam]:[HomeTeam]],$A29, Table1[[AwayTeam]:[AwayTeam]], F$1, Table1[[ActualResult]:[ActualResult]], "SO"),0))</f>
        <v>0-0-0</v>
      </c>
      <c r="G29" s="57" t="str">
        <f>_xlfn.CONCAT(TEXT(SUMIFS(Table1[[AwayWon]:[AwayWon]], Table1[[GameIsOver]:[GameIsOver]],1,Table1[[AwayTeam]:[AwayTeam]],$A29, Table1[[HomeTeam]:[HomeTeam]], G$1) + SUMIFS(Table1[[HomeWon]:[HomeWon]], Table1[[GameIsOver]:[GameIsOver]],1,Table1[[HomeTeam]:[HomeTeam]],$A29, Table1[[AwayTeam]:[AwayTeam]], G$1),0), "-", TEXT(SUMIFS(Table1[[HomeWon]:[HomeWon]], Table1[[GameIsOver]:[GameIsOver]],1,Table1[[AwayTeam]:[AwayTeam]],$A29, Table1[[HomeTeam]:[HomeTeam]], G$1, Table1[[ActualResult]:[ActualResult]], "REG") + SUMIFS(Table1[[AwayWon]:[AwayWon]], Table1[[GameIsOver]:[GameIsOver]],1,Table1[[HomeTeam]:[HomeTeam]],$A29, Table1[[AwayTeam]:[AwayTeam]], G$1, Table1[[ActualResult]:[ActualResult]], "REG"),0), "-", TEXT(SUMIFS(Table1[[HomeWon]:[HomeWon]], Table1[[GameIsOver]:[GameIsOver]],1,Table1[[AwayTeam]:[AwayTeam]],$A29, Table1[[HomeTeam]:[HomeTeam]], G$1, Table1[[ActualResult]:[ActualResult]], "OT") + SUMIFS(Table1[[AwayWon]:[AwayWon]], Table1[[GameIsOver]:[GameIsOver]],1,Table1[[HomeTeam]:[HomeTeam]],$A29, Table1[[AwayTeam]:[AwayTeam]], G$1, Table1[[ActualResult]:[ActualResult]], "OT") + SUMIFS(Table1[[HomeWon]:[HomeWon]], Table1[[GameIsOver]:[GameIsOver]],1,Table1[[AwayTeam]:[AwayTeam]],$A29, Table1[[HomeTeam]:[HomeTeam]], G$1, Table1[[ActualResult]:[ActualResult]], "SO") + SUMIFS(Table1[[AwayWon]:[AwayWon]], Table1[[GameIsOver]:[GameIsOver]],1,Table1[[HomeTeam]:[HomeTeam]],$A29, Table1[[AwayTeam]:[AwayTeam]], G$1, Table1[[ActualResult]:[ActualResult]], "SO"),0))</f>
        <v>0-0-0</v>
      </c>
      <c r="H29" s="57" t="str">
        <f>_xlfn.CONCAT(TEXT(SUMIFS(Table1[[AwayWon]:[AwayWon]], Table1[[GameIsOver]:[GameIsOver]],1,Table1[[AwayTeam]:[AwayTeam]],$A29, Table1[[HomeTeam]:[HomeTeam]], H$1) + SUMIFS(Table1[[HomeWon]:[HomeWon]], Table1[[GameIsOver]:[GameIsOver]],1,Table1[[HomeTeam]:[HomeTeam]],$A29, Table1[[AwayTeam]:[AwayTeam]], H$1),0), "-", TEXT(SUMIFS(Table1[[HomeWon]:[HomeWon]], Table1[[GameIsOver]:[GameIsOver]],1,Table1[[AwayTeam]:[AwayTeam]],$A29, Table1[[HomeTeam]:[HomeTeam]], H$1, Table1[[ActualResult]:[ActualResult]], "REG") + SUMIFS(Table1[[AwayWon]:[AwayWon]], Table1[[GameIsOver]:[GameIsOver]],1,Table1[[HomeTeam]:[HomeTeam]],$A29, Table1[[AwayTeam]:[AwayTeam]], H$1, Table1[[ActualResult]:[ActualResult]], "REG"),0), "-", TEXT(SUMIFS(Table1[[HomeWon]:[HomeWon]], Table1[[GameIsOver]:[GameIsOver]],1,Table1[[AwayTeam]:[AwayTeam]],$A29, Table1[[HomeTeam]:[HomeTeam]], H$1, Table1[[ActualResult]:[ActualResult]], "OT") + SUMIFS(Table1[[AwayWon]:[AwayWon]], Table1[[GameIsOver]:[GameIsOver]],1,Table1[[HomeTeam]:[HomeTeam]],$A29, Table1[[AwayTeam]:[AwayTeam]], H$1, Table1[[ActualResult]:[ActualResult]], "OT") + SUMIFS(Table1[[HomeWon]:[HomeWon]], Table1[[GameIsOver]:[GameIsOver]],1,Table1[[AwayTeam]:[AwayTeam]],$A29, Table1[[HomeTeam]:[HomeTeam]], H$1, Table1[[ActualResult]:[ActualResult]], "SO") + SUMIFS(Table1[[AwayWon]:[AwayWon]], Table1[[GameIsOver]:[GameIsOver]],1,Table1[[HomeTeam]:[HomeTeam]],$A29, Table1[[AwayTeam]:[AwayTeam]], H$1, Table1[[ActualResult]:[ActualResult]], "SO"),0))</f>
        <v>0-0-0</v>
      </c>
      <c r="I29" s="59" t="str">
        <f>_xlfn.CONCAT(TEXT(SUMIFS(Table1[[AwayWon]:[AwayWon]], Table1[[GameIsOver]:[GameIsOver]],1,Table1[[AwayTeam]:[AwayTeam]],$A29, Table1[[HomeTeam]:[HomeTeam]], I$1) + SUMIFS(Table1[[HomeWon]:[HomeWon]], Table1[[GameIsOver]:[GameIsOver]],1,Table1[[HomeTeam]:[HomeTeam]],$A29, Table1[[AwayTeam]:[AwayTeam]], I$1),0), "-", TEXT(SUMIFS(Table1[[HomeWon]:[HomeWon]], Table1[[GameIsOver]:[GameIsOver]],1,Table1[[AwayTeam]:[AwayTeam]],$A29, Table1[[HomeTeam]:[HomeTeam]], I$1, Table1[[ActualResult]:[ActualResult]], "REG") + SUMIFS(Table1[[AwayWon]:[AwayWon]], Table1[[GameIsOver]:[GameIsOver]],1,Table1[[HomeTeam]:[HomeTeam]],$A29, Table1[[AwayTeam]:[AwayTeam]], I$1, Table1[[ActualResult]:[ActualResult]], "REG"),0), "-", TEXT(SUMIFS(Table1[[HomeWon]:[HomeWon]], Table1[[GameIsOver]:[GameIsOver]],1,Table1[[AwayTeam]:[AwayTeam]],$A29, Table1[[HomeTeam]:[HomeTeam]], I$1, Table1[[ActualResult]:[ActualResult]], "OT") + SUMIFS(Table1[[AwayWon]:[AwayWon]], Table1[[GameIsOver]:[GameIsOver]],1,Table1[[HomeTeam]:[HomeTeam]],$A29, Table1[[AwayTeam]:[AwayTeam]], I$1, Table1[[ActualResult]:[ActualResult]], "OT") + SUMIFS(Table1[[HomeWon]:[HomeWon]], Table1[[GameIsOver]:[GameIsOver]],1,Table1[[AwayTeam]:[AwayTeam]],$A29, Table1[[HomeTeam]:[HomeTeam]], I$1, Table1[[ActualResult]:[ActualResult]], "SO") + SUMIFS(Table1[[AwayWon]:[AwayWon]], Table1[[GameIsOver]:[GameIsOver]],1,Table1[[HomeTeam]:[HomeTeam]],$A29, Table1[[AwayTeam]:[AwayTeam]], I$1, Table1[[ActualResult]:[ActualResult]], "SO"),0))</f>
        <v>0-0-0</v>
      </c>
      <c r="J29" s="57" t="str">
        <f>_xlfn.CONCAT(TEXT(SUMIFS(Table1[[AwayWon]:[AwayWon]], Table1[[GameIsOver]:[GameIsOver]],1,Table1[[AwayTeam]:[AwayTeam]],$A29, Table1[[HomeTeam]:[HomeTeam]], J$1) + SUMIFS(Table1[[HomeWon]:[HomeWon]], Table1[[GameIsOver]:[GameIsOver]],1,Table1[[HomeTeam]:[HomeTeam]],$A29, Table1[[AwayTeam]:[AwayTeam]], J$1),0), "-", TEXT(SUMIFS(Table1[[HomeWon]:[HomeWon]], Table1[[GameIsOver]:[GameIsOver]],1,Table1[[AwayTeam]:[AwayTeam]],$A29, Table1[[HomeTeam]:[HomeTeam]], J$1, Table1[[ActualResult]:[ActualResult]], "REG") + SUMIFS(Table1[[AwayWon]:[AwayWon]], Table1[[GameIsOver]:[GameIsOver]],1,Table1[[HomeTeam]:[HomeTeam]],$A29, Table1[[AwayTeam]:[AwayTeam]], J$1, Table1[[ActualResult]:[ActualResult]], "REG"),0), "-", TEXT(SUMIFS(Table1[[HomeWon]:[HomeWon]], Table1[[GameIsOver]:[GameIsOver]],1,Table1[[AwayTeam]:[AwayTeam]],$A29, Table1[[HomeTeam]:[HomeTeam]], J$1, Table1[[ActualResult]:[ActualResult]], "OT") + SUMIFS(Table1[[AwayWon]:[AwayWon]], Table1[[GameIsOver]:[GameIsOver]],1,Table1[[HomeTeam]:[HomeTeam]],$A29, Table1[[AwayTeam]:[AwayTeam]], J$1, Table1[[ActualResult]:[ActualResult]], "OT") + SUMIFS(Table1[[HomeWon]:[HomeWon]], Table1[[GameIsOver]:[GameIsOver]],1,Table1[[AwayTeam]:[AwayTeam]],$A29, Table1[[HomeTeam]:[HomeTeam]], J$1, Table1[[ActualResult]:[ActualResult]], "SO") + SUMIFS(Table1[[AwayWon]:[AwayWon]], Table1[[GameIsOver]:[GameIsOver]],1,Table1[[HomeTeam]:[HomeTeam]],$A29, Table1[[AwayTeam]:[AwayTeam]], J$1, Table1[[ActualResult]:[ActualResult]], "SO"),0))</f>
        <v>0-1-0</v>
      </c>
      <c r="K29" s="57" t="str">
        <f>_xlfn.CONCAT(TEXT(SUMIFS(Table1[[AwayWon]:[AwayWon]], Table1[[GameIsOver]:[GameIsOver]],1,Table1[[AwayTeam]:[AwayTeam]],$A29, Table1[[HomeTeam]:[HomeTeam]], K$1) + SUMIFS(Table1[[HomeWon]:[HomeWon]], Table1[[GameIsOver]:[GameIsOver]],1,Table1[[HomeTeam]:[HomeTeam]],$A29, Table1[[AwayTeam]:[AwayTeam]], K$1),0), "-", TEXT(SUMIFS(Table1[[HomeWon]:[HomeWon]], Table1[[GameIsOver]:[GameIsOver]],1,Table1[[AwayTeam]:[AwayTeam]],$A29, Table1[[HomeTeam]:[HomeTeam]], K$1, Table1[[ActualResult]:[ActualResult]], "REG") + SUMIFS(Table1[[AwayWon]:[AwayWon]], Table1[[GameIsOver]:[GameIsOver]],1,Table1[[HomeTeam]:[HomeTeam]],$A29, Table1[[AwayTeam]:[AwayTeam]], K$1, Table1[[ActualResult]:[ActualResult]], "REG"),0), "-", TEXT(SUMIFS(Table1[[HomeWon]:[HomeWon]], Table1[[GameIsOver]:[GameIsOver]],1,Table1[[AwayTeam]:[AwayTeam]],$A29, Table1[[HomeTeam]:[HomeTeam]], K$1, Table1[[ActualResult]:[ActualResult]], "OT") + SUMIFS(Table1[[AwayWon]:[AwayWon]], Table1[[GameIsOver]:[GameIsOver]],1,Table1[[HomeTeam]:[HomeTeam]],$A29, Table1[[AwayTeam]:[AwayTeam]], K$1, Table1[[ActualResult]:[ActualResult]], "OT") + SUMIFS(Table1[[HomeWon]:[HomeWon]], Table1[[GameIsOver]:[GameIsOver]],1,Table1[[AwayTeam]:[AwayTeam]],$A29, Table1[[HomeTeam]:[HomeTeam]], K$1, Table1[[ActualResult]:[ActualResult]], "SO") + SUMIFS(Table1[[AwayWon]:[AwayWon]], Table1[[GameIsOver]:[GameIsOver]],1,Table1[[HomeTeam]:[HomeTeam]],$A29, Table1[[AwayTeam]:[AwayTeam]], K$1, Table1[[ActualResult]:[ActualResult]], "SO"),0))</f>
        <v>0-0-0</v>
      </c>
      <c r="L29" s="57" t="str">
        <f>_xlfn.CONCAT(TEXT(SUMIFS(Table1[[AwayWon]:[AwayWon]], Table1[[GameIsOver]:[GameIsOver]],1,Table1[[AwayTeam]:[AwayTeam]],$A29, Table1[[HomeTeam]:[HomeTeam]], L$1) + SUMIFS(Table1[[HomeWon]:[HomeWon]], Table1[[GameIsOver]:[GameIsOver]],1,Table1[[HomeTeam]:[HomeTeam]],$A29, Table1[[AwayTeam]:[AwayTeam]], L$1),0), "-", TEXT(SUMIFS(Table1[[HomeWon]:[HomeWon]], Table1[[GameIsOver]:[GameIsOver]],1,Table1[[AwayTeam]:[AwayTeam]],$A29, Table1[[HomeTeam]:[HomeTeam]], L$1, Table1[[ActualResult]:[ActualResult]], "REG") + SUMIFS(Table1[[AwayWon]:[AwayWon]], Table1[[GameIsOver]:[GameIsOver]],1,Table1[[HomeTeam]:[HomeTeam]],$A29, Table1[[AwayTeam]:[AwayTeam]], L$1, Table1[[ActualResult]:[ActualResult]], "REG"),0), "-", TEXT(SUMIFS(Table1[[HomeWon]:[HomeWon]], Table1[[GameIsOver]:[GameIsOver]],1,Table1[[AwayTeam]:[AwayTeam]],$A29, Table1[[HomeTeam]:[HomeTeam]], L$1, Table1[[ActualResult]:[ActualResult]], "OT") + SUMIFS(Table1[[AwayWon]:[AwayWon]], Table1[[GameIsOver]:[GameIsOver]],1,Table1[[HomeTeam]:[HomeTeam]],$A29, Table1[[AwayTeam]:[AwayTeam]], L$1, Table1[[ActualResult]:[ActualResult]], "OT") + SUMIFS(Table1[[HomeWon]:[HomeWon]], Table1[[GameIsOver]:[GameIsOver]],1,Table1[[AwayTeam]:[AwayTeam]],$A29, Table1[[HomeTeam]:[HomeTeam]], L$1, Table1[[ActualResult]:[ActualResult]], "SO") + SUMIFS(Table1[[AwayWon]:[AwayWon]], Table1[[GameIsOver]:[GameIsOver]],1,Table1[[HomeTeam]:[HomeTeam]],$A29, Table1[[AwayTeam]:[AwayTeam]], L$1, Table1[[ActualResult]:[ActualResult]], "SO"),0))</f>
        <v>0-0-0</v>
      </c>
      <c r="M29" s="57" t="str">
        <f>_xlfn.CONCAT(TEXT(SUMIFS(Table1[[AwayWon]:[AwayWon]], Table1[[GameIsOver]:[GameIsOver]],1,Table1[[AwayTeam]:[AwayTeam]],$A29, Table1[[HomeTeam]:[HomeTeam]], M$1) + SUMIFS(Table1[[HomeWon]:[HomeWon]], Table1[[GameIsOver]:[GameIsOver]],1,Table1[[HomeTeam]:[HomeTeam]],$A29, Table1[[AwayTeam]:[AwayTeam]], M$1),0), "-", TEXT(SUMIFS(Table1[[HomeWon]:[HomeWon]], Table1[[GameIsOver]:[GameIsOver]],1,Table1[[AwayTeam]:[AwayTeam]],$A29, Table1[[HomeTeam]:[HomeTeam]], M$1, Table1[[ActualResult]:[ActualResult]], "REG") + SUMIFS(Table1[[AwayWon]:[AwayWon]], Table1[[GameIsOver]:[GameIsOver]],1,Table1[[HomeTeam]:[HomeTeam]],$A29, Table1[[AwayTeam]:[AwayTeam]], M$1, Table1[[ActualResult]:[ActualResult]], "REG"),0), "-", TEXT(SUMIFS(Table1[[HomeWon]:[HomeWon]], Table1[[GameIsOver]:[GameIsOver]],1,Table1[[AwayTeam]:[AwayTeam]],$A29, Table1[[HomeTeam]:[HomeTeam]], M$1, Table1[[ActualResult]:[ActualResult]], "OT") + SUMIFS(Table1[[AwayWon]:[AwayWon]], Table1[[GameIsOver]:[GameIsOver]],1,Table1[[HomeTeam]:[HomeTeam]],$A29, Table1[[AwayTeam]:[AwayTeam]], M$1, Table1[[ActualResult]:[ActualResult]], "OT") + SUMIFS(Table1[[HomeWon]:[HomeWon]], Table1[[GameIsOver]:[GameIsOver]],1,Table1[[AwayTeam]:[AwayTeam]],$A29, Table1[[HomeTeam]:[HomeTeam]], M$1, Table1[[ActualResult]:[ActualResult]], "SO") + SUMIFS(Table1[[AwayWon]:[AwayWon]], Table1[[GameIsOver]:[GameIsOver]],1,Table1[[HomeTeam]:[HomeTeam]],$A29, Table1[[AwayTeam]:[AwayTeam]], M$1, Table1[[ActualResult]:[ActualResult]], "SO"),0))</f>
        <v>0-0-0</v>
      </c>
      <c r="N29" s="57" t="str">
        <f>_xlfn.CONCAT(TEXT(SUMIFS(Table1[[AwayWon]:[AwayWon]], Table1[[GameIsOver]:[GameIsOver]],1,Table1[[AwayTeam]:[AwayTeam]],$A29, Table1[[HomeTeam]:[HomeTeam]], N$1) + SUMIFS(Table1[[HomeWon]:[HomeWon]], Table1[[GameIsOver]:[GameIsOver]],1,Table1[[HomeTeam]:[HomeTeam]],$A29, Table1[[AwayTeam]:[AwayTeam]], N$1),0), "-", TEXT(SUMIFS(Table1[[HomeWon]:[HomeWon]], Table1[[GameIsOver]:[GameIsOver]],1,Table1[[AwayTeam]:[AwayTeam]],$A29, Table1[[HomeTeam]:[HomeTeam]], N$1, Table1[[ActualResult]:[ActualResult]], "REG") + SUMIFS(Table1[[AwayWon]:[AwayWon]], Table1[[GameIsOver]:[GameIsOver]],1,Table1[[HomeTeam]:[HomeTeam]],$A29, Table1[[AwayTeam]:[AwayTeam]], N$1, Table1[[ActualResult]:[ActualResult]], "REG"),0), "-", TEXT(SUMIFS(Table1[[HomeWon]:[HomeWon]], Table1[[GameIsOver]:[GameIsOver]],1,Table1[[AwayTeam]:[AwayTeam]],$A29, Table1[[HomeTeam]:[HomeTeam]], N$1, Table1[[ActualResult]:[ActualResult]], "OT") + SUMIFS(Table1[[AwayWon]:[AwayWon]], Table1[[GameIsOver]:[GameIsOver]],1,Table1[[HomeTeam]:[HomeTeam]],$A29, Table1[[AwayTeam]:[AwayTeam]], N$1, Table1[[ActualResult]:[ActualResult]], "OT") + SUMIFS(Table1[[HomeWon]:[HomeWon]], Table1[[GameIsOver]:[GameIsOver]],1,Table1[[AwayTeam]:[AwayTeam]],$A29, Table1[[HomeTeam]:[HomeTeam]], N$1, Table1[[ActualResult]:[ActualResult]], "SO") + SUMIFS(Table1[[AwayWon]:[AwayWon]], Table1[[GameIsOver]:[GameIsOver]],1,Table1[[HomeTeam]:[HomeTeam]],$A29, Table1[[AwayTeam]:[AwayTeam]], N$1, Table1[[ActualResult]:[ActualResult]], "SO"),0))</f>
        <v>0-0-0</v>
      </c>
      <c r="O29" s="57" t="str">
        <f>_xlfn.CONCAT(TEXT(SUMIFS(Table1[[AwayWon]:[AwayWon]], Table1[[GameIsOver]:[GameIsOver]],1,Table1[[AwayTeam]:[AwayTeam]],$A29, Table1[[HomeTeam]:[HomeTeam]], O$1) + SUMIFS(Table1[[HomeWon]:[HomeWon]], Table1[[GameIsOver]:[GameIsOver]],1,Table1[[HomeTeam]:[HomeTeam]],$A29, Table1[[AwayTeam]:[AwayTeam]], O$1),0), "-", TEXT(SUMIFS(Table1[[HomeWon]:[HomeWon]], Table1[[GameIsOver]:[GameIsOver]],1,Table1[[AwayTeam]:[AwayTeam]],$A29, Table1[[HomeTeam]:[HomeTeam]], O$1, Table1[[ActualResult]:[ActualResult]], "REG") + SUMIFS(Table1[[AwayWon]:[AwayWon]], Table1[[GameIsOver]:[GameIsOver]],1,Table1[[HomeTeam]:[HomeTeam]],$A29, Table1[[AwayTeam]:[AwayTeam]], O$1, Table1[[ActualResult]:[ActualResult]], "REG"),0), "-", TEXT(SUMIFS(Table1[[HomeWon]:[HomeWon]], Table1[[GameIsOver]:[GameIsOver]],1,Table1[[AwayTeam]:[AwayTeam]],$A29, Table1[[HomeTeam]:[HomeTeam]], O$1, Table1[[ActualResult]:[ActualResult]], "OT") + SUMIFS(Table1[[AwayWon]:[AwayWon]], Table1[[GameIsOver]:[GameIsOver]],1,Table1[[HomeTeam]:[HomeTeam]],$A29, Table1[[AwayTeam]:[AwayTeam]], O$1, Table1[[ActualResult]:[ActualResult]], "OT") + SUMIFS(Table1[[HomeWon]:[HomeWon]], Table1[[GameIsOver]:[GameIsOver]],1,Table1[[AwayTeam]:[AwayTeam]],$A29, Table1[[HomeTeam]:[HomeTeam]], O$1, Table1[[ActualResult]:[ActualResult]], "SO") + SUMIFS(Table1[[AwayWon]:[AwayWon]], Table1[[GameIsOver]:[GameIsOver]],1,Table1[[HomeTeam]:[HomeTeam]],$A29, Table1[[AwayTeam]:[AwayTeam]], O$1, Table1[[ActualResult]:[ActualResult]], "SO"),0))</f>
        <v>0-0-0</v>
      </c>
      <c r="P29" s="57" t="str">
        <f>_xlfn.CONCAT(TEXT(SUMIFS(Table1[[AwayWon]:[AwayWon]], Table1[[GameIsOver]:[GameIsOver]],1,Table1[[AwayTeam]:[AwayTeam]],$A29, Table1[[HomeTeam]:[HomeTeam]], P$1) + SUMIFS(Table1[[HomeWon]:[HomeWon]], Table1[[GameIsOver]:[GameIsOver]],1,Table1[[HomeTeam]:[HomeTeam]],$A29, Table1[[AwayTeam]:[AwayTeam]], P$1),0), "-", TEXT(SUMIFS(Table1[[HomeWon]:[HomeWon]], Table1[[GameIsOver]:[GameIsOver]],1,Table1[[AwayTeam]:[AwayTeam]],$A29, Table1[[HomeTeam]:[HomeTeam]], P$1, Table1[[ActualResult]:[ActualResult]], "REG") + SUMIFS(Table1[[AwayWon]:[AwayWon]], Table1[[GameIsOver]:[GameIsOver]],1,Table1[[HomeTeam]:[HomeTeam]],$A29, Table1[[AwayTeam]:[AwayTeam]], P$1, Table1[[ActualResult]:[ActualResult]], "REG"),0), "-", TEXT(SUMIFS(Table1[[HomeWon]:[HomeWon]], Table1[[GameIsOver]:[GameIsOver]],1,Table1[[AwayTeam]:[AwayTeam]],$A29, Table1[[HomeTeam]:[HomeTeam]], P$1, Table1[[ActualResult]:[ActualResult]], "OT") + SUMIFS(Table1[[AwayWon]:[AwayWon]], Table1[[GameIsOver]:[GameIsOver]],1,Table1[[HomeTeam]:[HomeTeam]],$A29, Table1[[AwayTeam]:[AwayTeam]], P$1, Table1[[ActualResult]:[ActualResult]], "OT") + SUMIFS(Table1[[HomeWon]:[HomeWon]], Table1[[GameIsOver]:[GameIsOver]],1,Table1[[AwayTeam]:[AwayTeam]],$A29, Table1[[HomeTeam]:[HomeTeam]], P$1, Table1[[ActualResult]:[ActualResult]], "SO") + SUMIFS(Table1[[AwayWon]:[AwayWon]], Table1[[GameIsOver]:[GameIsOver]],1,Table1[[HomeTeam]:[HomeTeam]],$A29, Table1[[AwayTeam]:[AwayTeam]], P$1, Table1[[ActualResult]:[ActualResult]], "SO"),0))</f>
        <v>0-0-0</v>
      </c>
      <c r="Q29" s="59" t="str">
        <f>_xlfn.CONCAT(TEXT(SUMIFS(Table1[[AwayWon]:[AwayWon]], Table1[[GameIsOver]:[GameIsOver]],1,Table1[[AwayTeam]:[AwayTeam]],$A29, Table1[[HomeTeam]:[HomeTeam]], Q$1) + SUMIFS(Table1[[HomeWon]:[HomeWon]], Table1[[GameIsOver]:[GameIsOver]],1,Table1[[HomeTeam]:[HomeTeam]],$A29, Table1[[AwayTeam]:[AwayTeam]], Q$1),0), "-", TEXT(SUMIFS(Table1[[HomeWon]:[HomeWon]], Table1[[GameIsOver]:[GameIsOver]],1,Table1[[AwayTeam]:[AwayTeam]],$A29, Table1[[HomeTeam]:[HomeTeam]], Q$1, Table1[[ActualResult]:[ActualResult]], "REG") + SUMIFS(Table1[[AwayWon]:[AwayWon]], Table1[[GameIsOver]:[GameIsOver]],1,Table1[[HomeTeam]:[HomeTeam]],$A29, Table1[[AwayTeam]:[AwayTeam]], Q$1, Table1[[ActualResult]:[ActualResult]], "REG"),0), "-", TEXT(SUMIFS(Table1[[HomeWon]:[HomeWon]], Table1[[GameIsOver]:[GameIsOver]],1,Table1[[AwayTeam]:[AwayTeam]],$A29, Table1[[HomeTeam]:[HomeTeam]], Q$1, Table1[[ActualResult]:[ActualResult]], "OT") + SUMIFS(Table1[[AwayWon]:[AwayWon]], Table1[[GameIsOver]:[GameIsOver]],1,Table1[[HomeTeam]:[HomeTeam]],$A29, Table1[[AwayTeam]:[AwayTeam]], Q$1, Table1[[ActualResult]:[ActualResult]], "OT") + SUMIFS(Table1[[HomeWon]:[HomeWon]], Table1[[GameIsOver]:[GameIsOver]],1,Table1[[AwayTeam]:[AwayTeam]],$A29, Table1[[HomeTeam]:[HomeTeam]], Q$1, Table1[[ActualResult]:[ActualResult]], "SO") + SUMIFS(Table1[[AwayWon]:[AwayWon]], Table1[[GameIsOver]:[GameIsOver]],1,Table1[[HomeTeam]:[HomeTeam]],$A29, Table1[[AwayTeam]:[AwayTeam]], Q$1, Table1[[ActualResult]:[ActualResult]], "SO"),0))</f>
        <v>0-0-0</v>
      </c>
      <c r="R29" s="57" t="str">
        <f>_xlfn.CONCAT(TEXT(SUMIFS(Table1[[AwayWon]:[AwayWon]], Table1[[GameIsOver]:[GameIsOver]],1,Table1[[AwayTeam]:[AwayTeam]],$A29, Table1[[HomeTeam]:[HomeTeam]], R$1) + SUMIFS(Table1[[HomeWon]:[HomeWon]], Table1[[GameIsOver]:[GameIsOver]],1,Table1[[HomeTeam]:[HomeTeam]],$A29, Table1[[AwayTeam]:[AwayTeam]], R$1),0), "-", TEXT(SUMIFS(Table1[[HomeWon]:[HomeWon]], Table1[[GameIsOver]:[GameIsOver]],1,Table1[[AwayTeam]:[AwayTeam]],$A29, Table1[[HomeTeam]:[HomeTeam]], R$1, Table1[[ActualResult]:[ActualResult]], "REG") + SUMIFS(Table1[[AwayWon]:[AwayWon]], Table1[[GameIsOver]:[GameIsOver]],1,Table1[[HomeTeam]:[HomeTeam]],$A29, Table1[[AwayTeam]:[AwayTeam]], R$1, Table1[[ActualResult]:[ActualResult]], "REG"),0), "-", TEXT(SUMIFS(Table1[[HomeWon]:[HomeWon]], Table1[[GameIsOver]:[GameIsOver]],1,Table1[[AwayTeam]:[AwayTeam]],$A29, Table1[[HomeTeam]:[HomeTeam]], R$1, Table1[[ActualResult]:[ActualResult]], "OT") + SUMIFS(Table1[[AwayWon]:[AwayWon]], Table1[[GameIsOver]:[GameIsOver]],1,Table1[[HomeTeam]:[HomeTeam]],$A29, Table1[[AwayTeam]:[AwayTeam]], R$1, Table1[[ActualResult]:[ActualResult]], "OT") + SUMIFS(Table1[[HomeWon]:[HomeWon]], Table1[[GameIsOver]:[GameIsOver]],1,Table1[[AwayTeam]:[AwayTeam]],$A29, Table1[[HomeTeam]:[HomeTeam]], R$1, Table1[[ActualResult]:[ActualResult]], "SO") + SUMIFS(Table1[[AwayWon]:[AwayWon]], Table1[[GameIsOver]:[GameIsOver]],1,Table1[[HomeTeam]:[HomeTeam]],$A29, Table1[[AwayTeam]:[AwayTeam]], R$1, Table1[[ActualResult]:[ActualResult]], "SO"),0))</f>
        <v>0-0-0</v>
      </c>
      <c r="S29" s="57" t="str">
        <f>_xlfn.CONCAT(TEXT(SUMIFS(Table1[[AwayWon]:[AwayWon]], Table1[[GameIsOver]:[GameIsOver]],1,Table1[[AwayTeam]:[AwayTeam]],$A29, Table1[[HomeTeam]:[HomeTeam]], S$1) + SUMIFS(Table1[[HomeWon]:[HomeWon]], Table1[[GameIsOver]:[GameIsOver]],1,Table1[[HomeTeam]:[HomeTeam]],$A29, Table1[[AwayTeam]:[AwayTeam]], S$1),0), "-", TEXT(SUMIFS(Table1[[HomeWon]:[HomeWon]], Table1[[GameIsOver]:[GameIsOver]],1,Table1[[AwayTeam]:[AwayTeam]],$A29, Table1[[HomeTeam]:[HomeTeam]], S$1, Table1[[ActualResult]:[ActualResult]], "REG") + SUMIFS(Table1[[AwayWon]:[AwayWon]], Table1[[GameIsOver]:[GameIsOver]],1,Table1[[HomeTeam]:[HomeTeam]],$A29, Table1[[AwayTeam]:[AwayTeam]], S$1, Table1[[ActualResult]:[ActualResult]], "REG"),0), "-", TEXT(SUMIFS(Table1[[HomeWon]:[HomeWon]], Table1[[GameIsOver]:[GameIsOver]],1,Table1[[AwayTeam]:[AwayTeam]],$A29, Table1[[HomeTeam]:[HomeTeam]], S$1, Table1[[ActualResult]:[ActualResult]], "OT") + SUMIFS(Table1[[AwayWon]:[AwayWon]], Table1[[GameIsOver]:[GameIsOver]],1,Table1[[HomeTeam]:[HomeTeam]],$A29, Table1[[AwayTeam]:[AwayTeam]], S$1, Table1[[ActualResult]:[ActualResult]], "OT") + SUMIFS(Table1[[HomeWon]:[HomeWon]], Table1[[GameIsOver]:[GameIsOver]],1,Table1[[AwayTeam]:[AwayTeam]],$A29, Table1[[HomeTeam]:[HomeTeam]], S$1, Table1[[ActualResult]:[ActualResult]], "SO") + SUMIFS(Table1[[AwayWon]:[AwayWon]], Table1[[GameIsOver]:[GameIsOver]],1,Table1[[HomeTeam]:[HomeTeam]],$A29, Table1[[AwayTeam]:[AwayTeam]], S$1, Table1[[ActualResult]:[ActualResult]], "SO"),0))</f>
        <v>0-0-0</v>
      </c>
      <c r="T29" s="57" t="str">
        <f>_xlfn.CONCAT(TEXT(SUMIFS(Table1[[AwayWon]:[AwayWon]], Table1[[GameIsOver]:[GameIsOver]],1,Table1[[AwayTeam]:[AwayTeam]],$A29, Table1[[HomeTeam]:[HomeTeam]], T$1) + SUMIFS(Table1[[HomeWon]:[HomeWon]], Table1[[GameIsOver]:[GameIsOver]],1,Table1[[HomeTeam]:[HomeTeam]],$A29, Table1[[AwayTeam]:[AwayTeam]], T$1),0), "-", TEXT(SUMIFS(Table1[[HomeWon]:[HomeWon]], Table1[[GameIsOver]:[GameIsOver]],1,Table1[[AwayTeam]:[AwayTeam]],$A29, Table1[[HomeTeam]:[HomeTeam]], T$1, Table1[[ActualResult]:[ActualResult]], "REG") + SUMIFS(Table1[[AwayWon]:[AwayWon]], Table1[[GameIsOver]:[GameIsOver]],1,Table1[[HomeTeam]:[HomeTeam]],$A29, Table1[[AwayTeam]:[AwayTeam]], T$1, Table1[[ActualResult]:[ActualResult]], "REG"),0), "-", TEXT(SUMIFS(Table1[[HomeWon]:[HomeWon]], Table1[[GameIsOver]:[GameIsOver]],1,Table1[[AwayTeam]:[AwayTeam]],$A29, Table1[[HomeTeam]:[HomeTeam]], T$1, Table1[[ActualResult]:[ActualResult]], "OT") + SUMIFS(Table1[[AwayWon]:[AwayWon]], Table1[[GameIsOver]:[GameIsOver]],1,Table1[[HomeTeam]:[HomeTeam]],$A29, Table1[[AwayTeam]:[AwayTeam]], T$1, Table1[[ActualResult]:[ActualResult]], "OT") + SUMIFS(Table1[[HomeWon]:[HomeWon]], Table1[[GameIsOver]:[GameIsOver]],1,Table1[[AwayTeam]:[AwayTeam]],$A29, Table1[[HomeTeam]:[HomeTeam]], T$1, Table1[[ActualResult]:[ActualResult]], "SO") + SUMIFS(Table1[[AwayWon]:[AwayWon]], Table1[[GameIsOver]:[GameIsOver]],1,Table1[[HomeTeam]:[HomeTeam]],$A29, Table1[[AwayTeam]:[AwayTeam]], T$1, Table1[[ActualResult]:[ActualResult]], "SO"),0))</f>
        <v>0-0-0</v>
      </c>
      <c r="U29" s="57" t="str">
        <f>_xlfn.CONCAT(TEXT(SUMIFS(Table1[[AwayWon]:[AwayWon]], Table1[[GameIsOver]:[GameIsOver]],1,Table1[[AwayTeam]:[AwayTeam]],$A29, Table1[[HomeTeam]:[HomeTeam]], U$1) + SUMIFS(Table1[[HomeWon]:[HomeWon]], Table1[[GameIsOver]:[GameIsOver]],1,Table1[[HomeTeam]:[HomeTeam]],$A29, Table1[[AwayTeam]:[AwayTeam]], U$1),0), "-", TEXT(SUMIFS(Table1[[HomeWon]:[HomeWon]], Table1[[GameIsOver]:[GameIsOver]],1,Table1[[AwayTeam]:[AwayTeam]],$A29, Table1[[HomeTeam]:[HomeTeam]], U$1, Table1[[ActualResult]:[ActualResult]], "REG") + SUMIFS(Table1[[AwayWon]:[AwayWon]], Table1[[GameIsOver]:[GameIsOver]],1,Table1[[HomeTeam]:[HomeTeam]],$A29, Table1[[AwayTeam]:[AwayTeam]], U$1, Table1[[ActualResult]:[ActualResult]], "REG"),0), "-", TEXT(SUMIFS(Table1[[HomeWon]:[HomeWon]], Table1[[GameIsOver]:[GameIsOver]],1,Table1[[AwayTeam]:[AwayTeam]],$A29, Table1[[HomeTeam]:[HomeTeam]], U$1, Table1[[ActualResult]:[ActualResult]], "OT") + SUMIFS(Table1[[AwayWon]:[AwayWon]], Table1[[GameIsOver]:[GameIsOver]],1,Table1[[HomeTeam]:[HomeTeam]],$A29, Table1[[AwayTeam]:[AwayTeam]], U$1, Table1[[ActualResult]:[ActualResult]], "OT") + SUMIFS(Table1[[HomeWon]:[HomeWon]], Table1[[GameIsOver]:[GameIsOver]],1,Table1[[AwayTeam]:[AwayTeam]],$A29, Table1[[HomeTeam]:[HomeTeam]], U$1, Table1[[ActualResult]:[ActualResult]], "SO") + SUMIFS(Table1[[AwayWon]:[AwayWon]], Table1[[GameIsOver]:[GameIsOver]],1,Table1[[HomeTeam]:[HomeTeam]],$A29, Table1[[AwayTeam]:[AwayTeam]], U$1, Table1[[ActualResult]:[ActualResult]], "SO"),0))</f>
        <v>0-0-0</v>
      </c>
      <c r="V29" s="57" t="str">
        <f>_xlfn.CONCAT(TEXT(SUMIFS(Table1[[AwayWon]:[AwayWon]], Table1[[GameIsOver]:[GameIsOver]],1,Table1[[AwayTeam]:[AwayTeam]],$A29, Table1[[HomeTeam]:[HomeTeam]], V$1) + SUMIFS(Table1[[HomeWon]:[HomeWon]], Table1[[GameIsOver]:[GameIsOver]],1,Table1[[HomeTeam]:[HomeTeam]],$A29, Table1[[AwayTeam]:[AwayTeam]], V$1),0), "-", TEXT(SUMIFS(Table1[[HomeWon]:[HomeWon]], Table1[[GameIsOver]:[GameIsOver]],1,Table1[[AwayTeam]:[AwayTeam]],$A29, Table1[[HomeTeam]:[HomeTeam]], V$1, Table1[[ActualResult]:[ActualResult]], "REG") + SUMIFS(Table1[[AwayWon]:[AwayWon]], Table1[[GameIsOver]:[GameIsOver]],1,Table1[[HomeTeam]:[HomeTeam]],$A29, Table1[[AwayTeam]:[AwayTeam]], V$1, Table1[[ActualResult]:[ActualResult]], "REG"),0), "-", TEXT(SUMIFS(Table1[[HomeWon]:[HomeWon]], Table1[[GameIsOver]:[GameIsOver]],1,Table1[[AwayTeam]:[AwayTeam]],$A29, Table1[[HomeTeam]:[HomeTeam]], V$1, Table1[[ActualResult]:[ActualResult]], "OT") + SUMIFS(Table1[[AwayWon]:[AwayWon]], Table1[[GameIsOver]:[GameIsOver]],1,Table1[[HomeTeam]:[HomeTeam]],$A29, Table1[[AwayTeam]:[AwayTeam]], V$1, Table1[[ActualResult]:[ActualResult]], "OT") + SUMIFS(Table1[[HomeWon]:[HomeWon]], Table1[[GameIsOver]:[GameIsOver]],1,Table1[[AwayTeam]:[AwayTeam]],$A29, Table1[[HomeTeam]:[HomeTeam]], V$1, Table1[[ActualResult]:[ActualResult]], "SO") + SUMIFS(Table1[[AwayWon]:[AwayWon]], Table1[[GameIsOver]:[GameIsOver]],1,Table1[[HomeTeam]:[HomeTeam]],$A29, Table1[[AwayTeam]:[AwayTeam]], V$1, Table1[[ActualResult]:[ActualResult]], "SO"),0))</f>
        <v>0-0-0</v>
      </c>
      <c r="W29" s="57" t="str">
        <f>_xlfn.CONCAT(TEXT(SUMIFS(Table1[[AwayWon]:[AwayWon]], Table1[[GameIsOver]:[GameIsOver]],1,Table1[[AwayTeam]:[AwayTeam]],$A29, Table1[[HomeTeam]:[HomeTeam]], W$1) + SUMIFS(Table1[[HomeWon]:[HomeWon]], Table1[[GameIsOver]:[GameIsOver]],1,Table1[[HomeTeam]:[HomeTeam]],$A29, Table1[[AwayTeam]:[AwayTeam]], W$1),0), "-", TEXT(SUMIFS(Table1[[HomeWon]:[HomeWon]], Table1[[GameIsOver]:[GameIsOver]],1,Table1[[AwayTeam]:[AwayTeam]],$A29, Table1[[HomeTeam]:[HomeTeam]], W$1, Table1[[ActualResult]:[ActualResult]], "REG") + SUMIFS(Table1[[AwayWon]:[AwayWon]], Table1[[GameIsOver]:[GameIsOver]],1,Table1[[HomeTeam]:[HomeTeam]],$A29, Table1[[AwayTeam]:[AwayTeam]], W$1, Table1[[ActualResult]:[ActualResult]], "REG"),0), "-", TEXT(SUMIFS(Table1[[HomeWon]:[HomeWon]], Table1[[GameIsOver]:[GameIsOver]],1,Table1[[AwayTeam]:[AwayTeam]],$A29, Table1[[HomeTeam]:[HomeTeam]], W$1, Table1[[ActualResult]:[ActualResult]], "OT") + SUMIFS(Table1[[AwayWon]:[AwayWon]], Table1[[GameIsOver]:[GameIsOver]],1,Table1[[HomeTeam]:[HomeTeam]],$A29, Table1[[AwayTeam]:[AwayTeam]], W$1, Table1[[ActualResult]:[ActualResult]], "OT") + SUMIFS(Table1[[HomeWon]:[HomeWon]], Table1[[GameIsOver]:[GameIsOver]],1,Table1[[AwayTeam]:[AwayTeam]],$A29, Table1[[HomeTeam]:[HomeTeam]], W$1, Table1[[ActualResult]:[ActualResult]], "SO") + SUMIFS(Table1[[AwayWon]:[AwayWon]], Table1[[GameIsOver]:[GameIsOver]],1,Table1[[HomeTeam]:[HomeTeam]],$A29, Table1[[AwayTeam]:[AwayTeam]], W$1, Table1[[ActualResult]:[ActualResult]], "SO"),0))</f>
        <v>0-0-0</v>
      </c>
      <c r="X29" s="57" t="str">
        <f>_xlfn.CONCAT(TEXT(SUMIFS(Table1[[AwayWon]:[AwayWon]], Table1[[GameIsOver]:[GameIsOver]],1,Table1[[AwayTeam]:[AwayTeam]],$A29, Table1[[HomeTeam]:[HomeTeam]], X$1) + SUMIFS(Table1[[HomeWon]:[HomeWon]], Table1[[GameIsOver]:[GameIsOver]],1,Table1[[HomeTeam]:[HomeTeam]],$A29, Table1[[AwayTeam]:[AwayTeam]], X$1),0), "-", TEXT(SUMIFS(Table1[[HomeWon]:[HomeWon]], Table1[[GameIsOver]:[GameIsOver]],1,Table1[[AwayTeam]:[AwayTeam]],$A29, Table1[[HomeTeam]:[HomeTeam]], X$1, Table1[[ActualResult]:[ActualResult]], "REG") + SUMIFS(Table1[[AwayWon]:[AwayWon]], Table1[[GameIsOver]:[GameIsOver]],1,Table1[[HomeTeam]:[HomeTeam]],$A29, Table1[[AwayTeam]:[AwayTeam]], X$1, Table1[[ActualResult]:[ActualResult]], "REG"),0), "-", TEXT(SUMIFS(Table1[[HomeWon]:[HomeWon]], Table1[[GameIsOver]:[GameIsOver]],1,Table1[[AwayTeam]:[AwayTeam]],$A29, Table1[[HomeTeam]:[HomeTeam]], X$1, Table1[[ActualResult]:[ActualResult]], "OT") + SUMIFS(Table1[[AwayWon]:[AwayWon]], Table1[[GameIsOver]:[GameIsOver]],1,Table1[[HomeTeam]:[HomeTeam]],$A29, Table1[[AwayTeam]:[AwayTeam]], X$1, Table1[[ActualResult]:[ActualResult]], "OT") + SUMIFS(Table1[[HomeWon]:[HomeWon]], Table1[[GameIsOver]:[GameIsOver]],1,Table1[[AwayTeam]:[AwayTeam]],$A29, Table1[[HomeTeam]:[HomeTeam]], X$1, Table1[[ActualResult]:[ActualResult]], "SO") + SUMIFS(Table1[[AwayWon]:[AwayWon]], Table1[[GameIsOver]:[GameIsOver]],1,Table1[[HomeTeam]:[HomeTeam]],$A29, Table1[[AwayTeam]:[AwayTeam]], X$1, Table1[[ActualResult]:[ActualResult]], "SO"),0))</f>
        <v>0-0-0</v>
      </c>
      <c r="Y29" s="59" t="str">
        <f>_xlfn.CONCAT(TEXT(SUMIFS(Table1[[AwayWon]:[AwayWon]], Table1[[GameIsOver]:[GameIsOver]],1,Table1[[AwayTeam]:[AwayTeam]],$A29, Table1[[HomeTeam]:[HomeTeam]], Y$1) + SUMIFS(Table1[[HomeWon]:[HomeWon]], Table1[[GameIsOver]:[GameIsOver]],1,Table1[[HomeTeam]:[HomeTeam]],$A29, Table1[[AwayTeam]:[AwayTeam]], Y$1),0), "-", TEXT(SUMIFS(Table1[[HomeWon]:[HomeWon]], Table1[[GameIsOver]:[GameIsOver]],1,Table1[[AwayTeam]:[AwayTeam]],$A29, Table1[[HomeTeam]:[HomeTeam]], Y$1, Table1[[ActualResult]:[ActualResult]], "REG") + SUMIFS(Table1[[AwayWon]:[AwayWon]], Table1[[GameIsOver]:[GameIsOver]],1,Table1[[HomeTeam]:[HomeTeam]],$A29, Table1[[AwayTeam]:[AwayTeam]], Y$1, Table1[[ActualResult]:[ActualResult]], "REG"),0), "-", TEXT(SUMIFS(Table1[[HomeWon]:[HomeWon]], Table1[[GameIsOver]:[GameIsOver]],1,Table1[[AwayTeam]:[AwayTeam]],$A29, Table1[[HomeTeam]:[HomeTeam]], Y$1, Table1[[ActualResult]:[ActualResult]], "OT") + SUMIFS(Table1[[AwayWon]:[AwayWon]], Table1[[GameIsOver]:[GameIsOver]],1,Table1[[HomeTeam]:[HomeTeam]],$A29, Table1[[AwayTeam]:[AwayTeam]], Y$1, Table1[[ActualResult]:[ActualResult]], "OT") + SUMIFS(Table1[[HomeWon]:[HomeWon]], Table1[[GameIsOver]:[GameIsOver]],1,Table1[[AwayTeam]:[AwayTeam]],$A29, Table1[[HomeTeam]:[HomeTeam]], Y$1, Table1[[ActualResult]:[ActualResult]], "SO") + SUMIFS(Table1[[AwayWon]:[AwayWon]], Table1[[GameIsOver]:[GameIsOver]],1,Table1[[HomeTeam]:[HomeTeam]],$A29, Table1[[AwayTeam]:[AwayTeam]], Y$1, Table1[[ActualResult]:[ActualResult]], "SO"),0))</f>
        <v>0-0-0</v>
      </c>
      <c r="Z29" s="57" t="str">
        <f>_xlfn.CONCAT(TEXT(SUMIFS(Table1[[AwayWon]:[AwayWon]], Table1[[GameIsOver]:[GameIsOver]],1,Table1[[AwayTeam]:[AwayTeam]],$A29, Table1[[HomeTeam]:[HomeTeam]], Z$1) + SUMIFS(Table1[[HomeWon]:[HomeWon]], Table1[[GameIsOver]:[GameIsOver]],1,Table1[[HomeTeam]:[HomeTeam]],$A29, Table1[[AwayTeam]:[AwayTeam]], Z$1),0), "-", TEXT(SUMIFS(Table1[[HomeWon]:[HomeWon]], Table1[[GameIsOver]:[GameIsOver]],1,Table1[[AwayTeam]:[AwayTeam]],$A29, Table1[[HomeTeam]:[HomeTeam]], Z$1, Table1[[ActualResult]:[ActualResult]], "REG") + SUMIFS(Table1[[AwayWon]:[AwayWon]], Table1[[GameIsOver]:[GameIsOver]],1,Table1[[HomeTeam]:[HomeTeam]],$A29, Table1[[AwayTeam]:[AwayTeam]], Z$1, Table1[[ActualResult]:[ActualResult]], "REG"),0), "-", TEXT(SUMIFS(Table1[[HomeWon]:[HomeWon]], Table1[[GameIsOver]:[GameIsOver]],1,Table1[[AwayTeam]:[AwayTeam]],$A29, Table1[[HomeTeam]:[HomeTeam]], Z$1, Table1[[ActualResult]:[ActualResult]], "OT") + SUMIFS(Table1[[AwayWon]:[AwayWon]], Table1[[GameIsOver]:[GameIsOver]],1,Table1[[HomeTeam]:[HomeTeam]],$A29, Table1[[AwayTeam]:[AwayTeam]], Z$1, Table1[[ActualResult]:[ActualResult]], "OT") + SUMIFS(Table1[[HomeWon]:[HomeWon]], Table1[[GameIsOver]:[GameIsOver]],1,Table1[[AwayTeam]:[AwayTeam]],$A29, Table1[[HomeTeam]:[HomeTeam]], Z$1, Table1[[ActualResult]:[ActualResult]], "SO") + SUMIFS(Table1[[AwayWon]:[AwayWon]], Table1[[GameIsOver]:[GameIsOver]],1,Table1[[HomeTeam]:[HomeTeam]],$A29, Table1[[AwayTeam]:[AwayTeam]], Z$1, Table1[[ActualResult]:[ActualResult]], "SO"),0))</f>
        <v>0-0-0</v>
      </c>
      <c r="AA29" s="57" t="str">
        <f>_xlfn.CONCAT(TEXT(SUMIFS(Table1[[AwayWon]:[AwayWon]], Table1[[GameIsOver]:[GameIsOver]],1,Table1[[AwayTeam]:[AwayTeam]],$A29, Table1[[HomeTeam]:[HomeTeam]], AA$1) + SUMIFS(Table1[[HomeWon]:[HomeWon]], Table1[[GameIsOver]:[GameIsOver]],1,Table1[[HomeTeam]:[HomeTeam]],$A29, Table1[[AwayTeam]:[AwayTeam]], AA$1),0), "-", TEXT(SUMIFS(Table1[[HomeWon]:[HomeWon]], Table1[[GameIsOver]:[GameIsOver]],1,Table1[[AwayTeam]:[AwayTeam]],$A29, Table1[[HomeTeam]:[HomeTeam]], AA$1, Table1[[ActualResult]:[ActualResult]], "REG") + SUMIFS(Table1[[AwayWon]:[AwayWon]], Table1[[GameIsOver]:[GameIsOver]],1,Table1[[HomeTeam]:[HomeTeam]],$A29, Table1[[AwayTeam]:[AwayTeam]], AA$1, Table1[[ActualResult]:[ActualResult]], "REG"),0), "-", TEXT(SUMIFS(Table1[[HomeWon]:[HomeWon]], Table1[[GameIsOver]:[GameIsOver]],1,Table1[[AwayTeam]:[AwayTeam]],$A29, Table1[[HomeTeam]:[HomeTeam]], AA$1, Table1[[ActualResult]:[ActualResult]], "OT") + SUMIFS(Table1[[AwayWon]:[AwayWon]], Table1[[GameIsOver]:[GameIsOver]],1,Table1[[HomeTeam]:[HomeTeam]],$A29, Table1[[AwayTeam]:[AwayTeam]], AA$1, Table1[[ActualResult]:[ActualResult]], "OT") + SUMIFS(Table1[[HomeWon]:[HomeWon]], Table1[[GameIsOver]:[GameIsOver]],1,Table1[[AwayTeam]:[AwayTeam]],$A29, Table1[[HomeTeam]:[HomeTeam]], AA$1, Table1[[ActualResult]:[ActualResult]], "SO") + SUMIFS(Table1[[AwayWon]:[AwayWon]], Table1[[GameIsOver]:[GameIsOver]],1,Table1[[HomeTeam]:[HomeTeam]],$A29, Table1[[AwayTeam]:[AwayTeam]], AA$1, Table1[[ActualResult]:[ActualResult]], "SO"),0))</f>
        <v>0-0-0</v>
      </c>
      <c r="AB29" s="57" t="str">
        <f>_xlfn.CONCAT(TEXT(SUMIFS(Table1[[AwayWon]:[AwayWon]], Table1[[GameIsOver]:[GameIsOver]],1,Table1[[AwayTeam]:[AwayTeam]],$A29, Table1[[HomeTeam]:[HomeTeam]], AB$1) + SUMIFS(Table1[[HomeWon]:[HomeWon]], Table1[[GameIsOver]:[GameIsOver]],1,Table1[[HomeTeam]:[HomeTeam]],$A29, Table1[[AwayTeam]:[AwayTeam]], AB$1),0), "-", TEXT(SUMIFS(Table1[[HomeWon]:[HomeWon]], Table1[[GameIsOver]:[GameIsOver]],1,Table1[[AwayTeam]:[AwayTeam]],$A29, Table1[[HomeTeam]:[HomeTeam]], AB$1, Table1[[ActualResult]:[ActualResult]], "REG") + SUMIFS(Table1[[AwayWon]:[AwayWon]], Table1[[GameIsOver]:[GameIsOver]],1,Table1[[HomeTeam]:[HomeTeam]],$A29, Table1[[AwayTeam]:[AwayTeam]], AB$1, Table1[[ActualResult]:[ActualResult]], "REG"),0), "-", TEXT(SUMIFS(Table1[[HomeWon]:[HomeWon]], Table1[[GameIsOver]:[GameIsOver]],1,Table1[[AwayTeam]:[AwayTeam]],$A29, Table1[[HomeTeam]:[HomeTeam]], AB$1, Table1[[ActualResult]:[ActualResult]], "OT") + SUMIFS(Table1[[AwayWon]:[AwayWon]], Table1[[GameIsOver]:[GameIsOver]],1,Table1[[HomeTeam]:[HomeTeam]],$A29, Table1[[AwayTeam]:[AwayTeam]], AB$1, Table1[[ActualResult]:[ActualResult]], "OT") + SUMIFS(Table1[[HomeWon]:[HomeWon]], Table1[[GameIsOver]:[GameIsOver]],1,Table1[[AwayTeam]:[AwayTeam]],$A29, Table1[[HomeTeam]:[HomeTeam]], AB$1, Table1[[ActualResult]:[ActualResult]], "SO") + SUMIFS(Table1[[AwayWon]:[AwayWon]], Table1[[GameIsOver]:[GameIsOver]],1,Table1[[HomeTeam]:[HomeTeam]],$A29, Table1[[AwayTeam]:[AwayTeam]], AB$1, Table1[[ActualResult]:[ActualResult]], "SO"),0))</f>
        <v>0-0-0</v>
      </c>
      <c r="AC29" s="57" t="str">
        <f>_xlfn.CONCAT(TEXT(SUMIFS(Table1[[AwayWon]:[AwayWon]], Table1[[GameIsOver]:[GameIsOver]],1,Table1[[AwayTeam]:[AwayTeam]],$A29, Table1[[HomeTeam]:[HomeTeam]], AC$1) + SUMIFS(Table1[[HomeWon]:[HomeWon]], Table1[[GameIsOver]:[GameIsOver]],1,Table1[[HomeTeam]:[HomeTeam]],$A29, Table1[[AwayTeam]:[AwayTeam]], AC$1),0), "-", TEXT(SUMIFS(Table1[[HomeWon]:[HomeWon]], Table1[[GameIsOver]:[GameIsOver]],1,Table1[[AwayTeam]:[AwayTeam]],$A29, Table1[[HomeTeam]:[HomeTeam]], AC$1, Table1[[ActualResult]:[ActualResult]], "REG") + SUMIFS(Table1[[AwayWon]:[AwayWon]], Table1[[GameIsOver]:[GameIsOver]],1,Table1[[HomeTeam]:[HomeTeam]],$A29, Table1[[AwayTeam]:[AwayTeam]], AC$1, Table1[[ActualResult]:[ActualResult]], "REG"),0), "-", TEXT(SUMIFS(Table1[[HomeWon]:[HomeWon]], Table1[[GameIsOver]:[GameIsOver]],1,Table1[[AwayTeam]:[AwayTeam]],$A29, Table1[[HomeTeam]:[HomeTeam]], AC$1, Table1[[ActualResult]:[ActualResult]], "OT") + SUMIFS(Table1[[AwayWon]:[AwayWon]], Table1[[GameIsOver]:[GameIsOver]],1,Table1[[HomeTeam]:[HomeTeam]],$A29, Table1[[AwayTeam]:[AwayTeam]], AC$1, Table1[[ActualResult]:[ActualResult]], "OT") + SUMIFS(Table1[[HomeWon]:[HomeWon]], Table1[[GameIsOver]:[GameIsOver]],1,Table1[[AwayTeam]:[AwayTeam]],$A29, Table1[[HomeTeam]:[HomeTeam]], AC$1, Table1[[ActualResult]:[ActualResult]], "SO") + SUMIFS(Table1[[AwayWon]:[AwayWon]], Table1[[GameIsOver]:[GameIsOver]],1,Table1[[HomeTeam]:[HomeTeam]],$A29, Table1[[AwayTeam]:[AwayTeam]], AC$1, Table1[[ActualResult]:[ActualResult]], "SO"),0))</f>
        <v>0-0-0</v>
      </c>
      <c r="AD29" s="57" t="str">
        <f>_xlfn.CONCAT(TEXT(SUMIFS(Table1[[AwayWon]:[AwayWon]], Table1[[GameIsOver]:[GameIsOver]],1,Table1[[AwayTeam]:[AwayTeam]],$A29, Table1[[HomeTeam]:[HomeTeam]], AD$1) + SUMIFS(Table1[[HomeWon]:[HomeWon]], Table1[[GameIsOver]:[GameIsOver]],1,Table1[[HomeTeam]:[HomeTeam]],$A29, Table1[[AwayTeam]:[AwayTeam]], AD$1),0), "-", TEXT(SUMIFS(Table1[[HomeWon]:[HomeWon]], Table1[[GameIsOver]:[GameIsOver]],1,Table1[[AwayTeam]:[AwayTeam]],$A29, Table1[[HomeTeam]:[HomeTeam]], AD$1, Table1[[ActualResult]:[ActualResult]], "REG") + SUMIFS(Table1[[AwayWon]:[AwayWon]], Table1[[GameIsOver]:[GameIsOver]],1,Table1[[HomeTeam]:[HomeTeam]],$A29, Table1[[AwayTeam]:[AwayTeam]], AD$1, Table1[[ActualResult]:[ActualResult]], "REG"),0), "-", TEXT(SUMIFS(Table1[[HomeWon]:[HomeWon]], Table1[[GameIsOver]:[GameIsOver]],1,Table1[[AwayTeam]:[AwayTeam]],$A29, Table1[[HomeTeam]:[HomeTeam]], AD$1, Table1[[ActualResult]:[ActualResult]], "OT") + SUMIFS(Table1[[AwayWon]:[AwayWon]], Table1[[GameIsOver]:[GameIsOver]],1,Table1[[HomeTeam]:[HomeTeam]],$A29, Table1[[AwayTeam]:[AwayTeam]], AD$1, Table1[[ActualResult]:[ActualResult]], "OT") + SUMIFS(Table1[[HomeWon]:[HomeWon]], Table1[[GameIsOver]:[GameIsOver]],1,Table1[[AwayTeam]:[AwayTeam]],$A29, Table1[[HomeTeam]:[HomeTeam]], AD$1, Table1[[ActualResult]:[ActualResult]], "SO") + SUMIFS(Table1[[AwayWon]:[AwayWon]], Table1[[GameIsOver]:[GameIsOver]],1,Table1[[HomeTeam]:[HomeTeam]],$A29, Table1[[AwayTeam]:[AwayTeam]], AD$1, Table1[[ActualResult]:[ActualResult]], "SO"),0))</f>
        <v>0-0-0</v>
      </c>
      <c r="AE29" s="57" t="str">
        <f>_xlfn.CONCAT(TEXT(SUMIFS(Table1[[AwayWon]:[AwayWon]], Table1[[GameIsOver]:[GameIsOver]],1,Table1[[AwayTeam]:[AwayTeam]],$A29, Table1[[HomeTeam]:[HomeTeam]], AE$1) + SUMIFS(Table1[[HomeWon]:[HomeWon]], Table1[[GameIsOver]:[GameIsOver]],1,Table1[[HomeTeam]:[HomeTeam]],$A29, Table1[[AwayTeam]:[AwayTeam]], AE$1),0), "-", TEXT(SUMIFS(Table1[[HomeWon]:[HomeWon]], Table1[[GameIsOver]:[GameIsOver]],1,Table1[[AwayTeam]:[AwayTeam]],$A29, Table1[[HomeTeam]:[HomeTeam]], AE$1, Table1[[ActualResult]:[ActualResult]], "REG") + SUMIFS(Table1[[AwayWon]:[AwayWon]], Table1[[GameIsOver]:[GameIsOver]],1,Table1[[HomeTeam]:[HomeTeam]],$A29, Table1[[AwayTeam]:[AwayTeam]], AE$1, Table1[[ActualResult]:[ActualResult]], "REG"),0), "-", TEXT(SUMIFS(Table1[[HomeWon]:[HomeWon]], Table1[[GameIsOver]:[GameIsOver]],1,Table1[[AwayTeam]:[AwayTeam]],$A29, Table1[[HomeTeam]:[HomeTeam]], AE$1, Table1[[ActualResult]:[ActualResult]], "OT") + SUMIFS(Table1[[AwayWon]:[AwayWon]], Table1[[GameIsOver]:[GameIsOver]],1,Table1[[HomeTeam]:[HomeTeam]],$A29, Table1[[AwayTeam]:[AwayTeam]], AE$1, Table1[[ActualResult]:[ActualResult]], "OT") + SUMIFS(Table1[[HomeWon]:[HomeWon]], Table1[[GameIsOver]:[GameIsOver]],1,Table1[[AwayTeam]:[AwayTeam]],$A29, Table1[[HomeTeam]:[HomeTeam]], AE$1, Table1[[ActualResult]:[ActualResult]], "SO") + SUMIFS(Table1[[AwayWon]:[AwayWon]], Table1[[GameIsOver]:[GameIsOver]],1,Table1[[HomeTeam]:[HomeTeam]],$A29, Table1[[AwayTeam]:[AwayTeam]], AE$1, Table1[[ActualResult]:[ActualResult]], "SO"),0))</f>
        <v>0-0-0</v>
      </c>
      <c r="AF29" s="57" t="str">
        <f>_xlfn.CONCAT(TEXT(SUMIFS(Table1[[AwayWon]:[AwayWon]], Table1[[GameIsOver]:[GameIsOver]],1,Table1[[AwayTeam]:[AwayTeam]],$A29, Table1[[HomeTeam]:[HomeTeam]], AF$1) + SUMIFS(Table1[[HomeWon]:[HomeWon]], Table1[[GameIsOver]:[GameIsOver]],1,Table1[[HomeTeam]:[HomeTeam]],$A29, Table1[[AwayTeam]:[AwayTeam]], AF$1),0), "-", TEXT(SUMIFS(Table1[[HomeWon]:[HomeWon]], Table1[[GameIsOver]:[GameIsOver]],1,Table1[[AwayTeam]:[AwayTeam]],$A29, Table1[[HomeTeam]:[HomeTeam]], AF$1, Table1[[ActualResult]:[ActualResult]], "REG") + SUMIFS(Table1[[AwayWon]:[AwayWon]], Table1[[GameIsOver]:[GameIsOver]],1,Table1[[HomeTeam]:[HomeTeam]],$A29, Table1[[AwayTeam]:[AwayTeam]], AF$1, Table1[[ActualResult]:[ActualResult]], "REG"),0), "-", TEXT(SUMIFS(Table1[[HomeWon]:[HomeWon]], Table1[[GameIsOver]:[GameIsOver]],1,Table1[[AwayTeam]:[AwayTeam]],$A29, Table1[[HomeTeam]:[HomeTeam]], AF$1, Table1[[ActualResult]:[ActualResult]], "OT") + SUMIFS(Table1[[AwayWon]:[AwayWon]], Table1[[GameIsOver]:[GameIsOver]],1,Table1[[HomeTeam]:[HomeTeam]],$A29, Table1[[AwayTeam]:[AwayTeam]], AF$1, Table1[[ActualResult]:[ActualResult]], "OT") + SUMIFS(Table1[[HomeWon]:[HomeWon]], Table1[[GameIsOver]:[GameIsOver]],1,Table1[[AwayTeam]:[AwayTeam]],$A29, Table1[[HomeTeam]:[HomeTeam]], AF$1, Table1[[ActualResult]:[ActualResult]], "SO") + SUMIFS(Table1[[AwayWon]:[AwayWon]], Table1[[GameIsOver]:[GameIsOver]],1,Table1[[HomeTeam]:[HomeTeam]],$A29, Table1[[AwayTeam]:[AwayTeam]], AF$1, Table1[[ActualResult]:[ActualResult]], "SO"),0))</f>
        <v>0-0-0</v>
      </c>
      <c r="AG29" s="57" t="str">
        <f>_xlfn.CONCAT(TEXT(SUMIFS(Table1[[AwayWon]:[AwayWon]], Table1[[GameIsOver]:[GameIsOver]],1,Table1[[AwayTeam]:[AwayTeam]],$A29, Table1[[HomeTeam]:[HomeTeam]], AG$1) + SUMIFS(Table1[[HomeWon]:[HomeWon]], Table1[[GameIsOver]:[GameIsOver]],1,Table1[[HomeTeam]:[HomeTeam]],$A29, Table1[[AwayTeam]:[AwayTeam]], AG$1),0), "-", TEXT(SUMIFS(Table1[[HomeWon]:[HomeWon]], Table1[[GameIsOver]:[GameIsOver]],1,Table1[[AwayTeam]:[AwayTeam]],$A29, Table1[[HomeTeam]:[HomeTeam]], AG$1, Table1[[ActualResult]:[ActualResult]], "REG") + SUMIFS(Table1[[AwayWon]:[AwayWon]], Table1[[GameIsOver]:[GameIsOver]],1,Table1[[HomeTeam]:[HomeTeam]],$A29, Table1[[AwayTeam]:[AwayTeam]], AG$1, Table1[[ActualResult]:[ActualResult]], "REG"),0), "-", TEXT(SUMIFS(Table1[[HomeWon]:[HomeWon]], Table1[[GameIsOver]:[GameIsOver]],1,Table1[[AwayTeam]:[AwayTeam]],$A29, Table1[[HomeTeam]:[HomeTeam]], AG$1, Table1[[ActualResult]:[ActualResult]], "OT") + SUMIFS(Table1[[AwayWon]:[AwayWon]], Table1[[GameIsOver]:[GameIsOver]],1,Table1[[HomeTeam]:[HomeTeam]],$A29, Table1[[AwayTeam]:[AwayTeam]], AG$1, Table1[[ActualResult]:[ActualResult]], "OT") + SUMIFS(Table1[[HomeWon]:[HomeWon]], Table1[[GameIsOver]:[GameIsOver]],1,Table1[[AwayTeam]:[AwayTeam]],$A29, Table1[[HomeTeam]:[HomeTeam]], AG$1, Table1[[ActualResult]:[ActualResult]], "SO") + SUMIFS(Table1[[AwayWon]:[AwayWon]], Table1[[GameIsOver]:[GameIsOver]],1,Table1[[HomeTeam]:[HomeTeam]],$A29, Table1[[AwayTeam]:[AwayTeam]], AG$1, Table1[[ActualResult]:[ActualResult]], "SO"),0))</f>
        <v>0-0-0</v>
      </c>
    </row>
    <row r="30" spans="1:33" x14ac:dyDescent="0.25">
      <c r="A30" s="28" t="s">
        <v>47</v>
      </c>
      <c r="B30" s="57" t="str">
        <f>_xlfn.CONCAT(TEXT(SUMIFS(Table1[[AwayWon]:[AwayWon]], Table1[[GameIsOver]:[GameIsOver]],1,Table1[[AwayTeam]:[AwayTeam]],$A30, Table1[[HomeTeam]:[HomeTeam]], B$1) + SUMIFS(Table1[[HomeWon]:[HomeWon]], Table1[[GameIsOver]:[GameIsOver]],1,Table1[[HomeTeam]:[HomeTeam]],$A30, Table1[[AwayTeam]:[AwayTeam]], B$1),0), "-", TEXT(SUMIFS(Table1[[HomeWon]:[HomeWon]], Table1[[GameIsOver]:[GameIsOver]],1,Table1[[AwayTeam]:[AwayTeam]],$A30, Table1[[HomeTeam]:[HomeTeam]], B$1, Table1[[ActualResult]:[ActualResult]], "REG") + SUMIFS(Table1[[AwayWon]:[AwayWon]], Table1[[GameIsOver]:[GameIsOver]],1,Table1[[HomeTeam]:[HomeTeam]],$A30, Table1[[AwayTeam]:[AwayTeam]], B$1, Table1[[ActualResult]:[ActualResult]], "REG"),0), "-", TEXT(SUMIFS(Table1[[HomeWon]:[HomeWon]], Table1[[GameIsOver]:[GameIsOver]],1,Table1[[AwayTeam]:[AwayTeam]],$A30, Table1[[HomeTeam]:[HomeTeam]], B$1, Table1[[ActualResult]:[ActualResult]], "OT") + SUMIFS(Table1[[AwayWon]:[AwayWon]], Table1[[GameIsOver]:[GameIsOver]],1,Table1[[HomeTeam]:[HomeTeam]],$A30, Table1[[AwayTeam]:[AwayTeam]], B$1, Table1[[ActualResult]:[ActualResult]], "OT") + SUMIFS(Table1[[HomeWon]:[HomeWon]], Table1[[GameIsOver]:[GameIsOver]],1,Table1[[AwayTeam]:[AwayTeam]],$A30, Table1[[HomeTeam]:[HomeTeam]], B$1, Table1[[ActualResult]:[ActualResult]], "SO") + SUMIFS(Table1[[AwayWon]:[AwayWon]], Table1[[GameIsOver]:[GameIsOver]],1,Table1[[HomeTeam]:[HomeTeam]],$A30, Table1[[AwayTeam]:[AwayTeam]], B$1, Table1[[ActualResult]:[ActualResult]], "SO"),0))</f>
        <v>0-0-0</v>
      </c>
      <c r="C30" s="57" t="str">
        <f>_xlfn.CONCAT(TEXT(SUMIFS(Table1[[AwayWon]:[AwayWon]], Table1[[GameIsOver]:[GameIsOver]],1,Table1[[AwayTeam]:[AwayTeam]],$A30, Table1[[HomeTeam]:[HomeTeam]], C$1) + SUMIFS(Table1[[HomeWon]:[HomeWon]], Table1[[GameIsOver]:[GameIsOver]],1,Table1[[HomeTeam]:[HomeTeam]],$A30, Table1[[AwayTeam]:[AwayTeam]], C$1),0), "-", TEXT(SUMIFS(Table1[[HomeWon]:[HomeWon]], Table1[[GameIsOver]:[GameIsOver]],1,Table1[[AwayTeam]:[AwayTeam]],$A30, Table1[[HomeTeam]:[HomeTeam]], C$1, Table1[[ActualResult]:[ActualResult]], "REG") + SUMIFS(Table1[[AwayWon]:[AwayWon]], Table1[[GameIsOver]:[GameIsOver]],1,Table1[[HomeTeam]:[HomeTeam]],$A30, Table1[[AwayTeam]:[AwayTeam]], C$1, Table1[[ActualResult]:[ActualResult]], "REG"),0), "-", TEXT(SUMIFS(Table1[[HomeWon]:[HomeWon]], Table1[[GameIsOver]:[GameIsOver]],1,Table1[[AwayTeam]:[AwayTeam]],$A30, Table1[[HomeTeam]:[HomeTeam]], C$1, Table1[[ActualResult]:[ActualResult]], "OT") + SUMIFS(Table1[[AwayWon]:[AwayWon]], Table1[[GameIsOver]:[GameIsOver]],1,Table1[[HomeTeam]:[HomeTeam]],$A30, Table1[[AwayTeam]:[AwayTeam]], C$1, Table1[[ActualResult]:[ActualResult]], "OT") + SUMIFS(Table1[[HomeWon]:[HomeWon]], Table1[[GameIsOver]:[GameIsOver]],1,Table1[[AwayTeam]:[AwayTeam]],$A30, Table1[[HomeTeam]:[HomeTeam]], C$1, Table1[[ActualResult]:[ActualResult]], "SO") + SUMIFS(Table1[[AwayWon]:[AwayWon]], Table1[[GameIsOver]:[GameIsOver]],1,Table1[[HomeTeam]:[HomeTeam]],$A30, Table1[[AwayTeam]:[AwayTeam]], C$1, Table1[[ActualResult]:[ActualResult]], "SO"),0))</f>
        <v>0-0-0</v>
      </c>
      <c r="D30" s="57" t="str">
        <f>_xlfn.CONCAT(TEXT(SUMIFS(Table1[[AwayWon]:[AwayWon]], Table1[[GameIsOver]:[GameIsOver]],1,Table1[[AwayTeam]:[AwayTeam]],$A30, Table1[[HomeTeam]:[HomeTeam]], D$1) + SUMIFS(Table1[[HomeWon]:[HomeWon]], Table1[[GameIsOver]:[GameIsOver]],1,Table1[[HomeTeam]:[HomeTeam]],$A30, Table1[[AwayTeam]:[AwayTeam]], D$1),0), "-", TEXT(SUMIFS(Table1[[HomeWon]:[HomeWon]], Table1[[GameIsOver]:[GameIsOver]],1,Table1[[AwayTeam]:[AwayTeam]],$A30, Table1[[HomeTeam]:[HomeTeam]], D$1, Table1[[ActualResult]:[ActualResult]], "REG") + SUMIFS(Table1[[AwayWon]:[AwayWon]], Table1[[GameIsOver]:[GameIsOver]],1,Table1[[HomeTeam]:[HomeTeam]],$A30, Table1[[AwayTeam]:[AwayTeam]], D$1, Table1[[ActualResult]:[ActualResult]], "REG"),0), "-", TEXT(SUMIFS(Table1[[HomeWon]:[HomeWon]], Table1[[GameIsOver]:[GameIsOver]],1,Table1[[AwayTeam]:[AwayTeam]],$A30, Table1[[HomeTeam]:[HomeTeam]], D$1, Table1[[ActualResult]:[ActualResult]], "OT") + SUMIFS(Table1[[AwayWon]:[AwayWon]], Table1[[GameIsOver]:[GameIsOver]],1,Table1[[HomeTeam]:[HomeTeam]],$A30, Table1[[AwayTeam]:[AwayTeam]], D$1, Table1[[ActualResult]:[ActualResult]], "OT") + SUMIFS(Table1[[HomeWon]:[HomeWon]], Table1[[GameIsOver]:[GameIsOver]],1,Table1[[AwayTeam]:[AwayTeam]],$A30, Table1[[HomeTeam]:[HomeTeam]], D$1, Table1[[ActualResult]:[ActualResult]], "SO") + SUMIFS(Table1[[AwayWon]:[AwayWon]], Table1[[GameIsOver]:[GameIsOver]],1,Table1[[HomeTeam]:[HomeTeam]],$A30, Table1[[AwayTeam]:[AwayTeam]], D$1, Table1[[ActualResult]:[ActualResult]], "SO"),0))</f>
        <v>0-0-1</v>
      </c>
      <c r="E30" s="57" t="str">
        <f>_xlfn.CONCAT(TEXT(SUMIFS(Table1[[AwayWon]:[AwayWon]], Table1[[GameIsOver]:[GameIsOver]],1,Table1[[AwayTeam]:[AwayTeam]],$A30, Table1[[HomeTeam]:[HomeTeam]], E$1) + SUMIFS(Table1[[HomeWon]:[HomeWon]], Table1[[GameIsOver]:[GameIsOver]],1,Table1[[HomeTeam]:[HomeTeam]],$A30, Table1[[AwayTeam]:[AwayTeam]], E$1),0), "-", TEXT(SUMIFS(Table1[[HomeWon]:[HomeWon]], Table1[[GameIsOver]:[GameIsOver]],1,Table1[[AwayTeam]:[AwayTeam]],$A30, Table1[[HomeTeam]:[HomeTeam]], E$1, Table1[[ActualResult]:[ActualResult]], "REG") + SUMIFS(Table1[[AwayWon]:[AwayWon]], Table1[[GameIsOver]:[GameIsOver]],1,Table1[[HomeTeam]:[HomeTeam]],$A30, Table1[[AwayTeam]:[AwayTeam]], E$1, Table1[[ActualResult]:[ActualResult]], "REG"),0), "-", TEXT(SUMIFS(Table1[[HomeWon]:[HomeWon]], Table1[[GameIsOver]:[GameIsOver]],1,Table1[[AwayTeam]:[AwayTeam]],$A30, Table1[[HomeTeam]:[HomeTeam]], E$1, Table1[[ActualResult]:[ActualResult]], "OT") + SUMIFS(Table1[[AwayWon]:[AwayWon]], Table1[[GameIsOver]:[GameIsOver]],1,Table1[[HomeTeam]:[HomeTeam]],$A30, Table1[[AwayTeam]:[AwayTeam]], E$1, Table1[[ActualResult]:[ActualResult]], "OT") + SUMIFS(Table1[[HomeWon]:[HomeWon]], Table1[[GameIsOver]:[GameIsOver]],1,Table1[[AwayTeam]:[AwayTeam]],$A30, Table1[[HomeTeam]:[HomeTeam]], E$1, Table1[[ActualResult]:[ActualResult]], "SO") + SUMIFS(Table1[[AwayWon]:[AwayWon]], Table1[[GameIsOver]:[GameIsOver]],1,Table1[[HomeTeam]:[HomeTeam]],$A30, Table1[[AwayTeam]:[AwayTeam]], E$1, Table1[[ActualResult]:[ActualResult]], "SO"),0))</f>
        <v>0-0-0</v>
      </c>
      <c r="F30" s="57" t="str">
        <f>_xlfn.CONCAT(TEXT(SUMIFS(Table1[[AwayWon]:[AwayWon]], Table1[[GameIsOver]:[GameIsOver]],1,Table1[[AwayTeam]:[AwayTeam]],$A30, Table1[[HomeTeam]:[HomeTeam]], F$1) + SUMIFS(Table1[[HomeWon]:[HomeWon]], Table1[[GameIsOver]:[GameIsOver]],1,Table1[[HomeTeam]:[HomeTeam]],$A30, Table1[[AwayTeam]:[AwayTeam]], F$1),0), "-", TEXT(SUMIFS(Table1[[HomeWon]:[HomeWon]], Table1[[GameIsOver]:[GameIsOver]],1,Table1[[AwayTeam]:[AwayTeam]],$A30, Table1[[HomeTeam]:[HomeTeam]], F$1, Table1[[ActualResult]:[ActualResult]], "REG") + SUMIFS(Table1[[AwayWon]:[AwayWon]], Table1[[GameIsOver]:[GameIsOver]],1,Table1[[HomeTeam]:[HomeTeam]],$A30, Table1[[AwayTeam]:[AwayTeam]], F$1, Table1[[ActualResult]:[ActualResult]], "REG"),0), "-", TEXT(SUMIFS(Table1[[HomeWon]:[HomeWon]], Table1[[GameIsOver]:[GameIsOver]],1,Table1[[AwayTeam]:[AwayTeam]],$A30, Table1[[HomeTeam]:[HomeTeam]], F$1, Table1[[ActualResult]:[ActualResult]], "OT") + SUMIFS(Table1[[AwayWon]:[AwayWon]], Table1[[GameIsOver]:[GameIsOver]],1,Table1[[HomeTeam]:[HomeTeam]],$A30, Table1[[AwayTeam]:[AwayTeam]], F$1, Table1[[ActualResult]:[ActualResult]], "OT") + SUMIFS(Table1[[HomeWon]:[HomeWon]], Table1[[GameIsOver]:[GameIsOver]],1,Table1[[AwayTeam]:[AwayTeam]],$A30, Table1[[HomeTeam]:[HomeTeam]], F$1, Table1[[ActualResult]:[ActualResult]], "SO") + SUMIFS(Table1[[AwayWon]:[AwayWon]], Table1[[GameIsOver]:[GameIsOver]],1,Table1[[HomeTeam]:[HomeTeam]],$A30, Table1[[AwayTeam]:[AwayTeam]], F$1, Table1[[ActualResult]:[ActualResult]], "SO"),0))</f>
        <v>0-0-0</v>
      </c>
      <c r="G30" s="57" t="str">
        <f>_xlfn.CONCAT(TEXT(SUMIFS(Table1[[AwayWon]:[AwayWon]], Table1[[GameIsOver]:[GameIsOver]],1,Table1[[AwayTeam]:[AwayTeam]],$A30, Table1[[HomeTeam]:[HomeTeam]], G$1) + SUMIFS(Table1[[HomeWon]:[HomeWon]], Table1[[GameIsOver]:[GameIsOver]],1,Table1[[HomeTeam]:[HomeTeam]],$A30, Table1[[AwayTeam]:[AwayTeam]], G$1),0), "-", TEXT(SUMIFS(Table1[[HomeWon]:[HomeWon]], Table1[[GameIsOver]:[GameIsOver]],1,Table1[[AwayTeam]:[AwayTeam]],$A30, Table1[[HomeTeam]:[HomeTeam]], G$1, Table1[[ActualResult]:[ActualResult]], "REG") + SUMIFS(Table1[[AwayWon]:[AwayWon]], Table1[[GameIsOver]:[GameIsOver]],1,Table1[[HomeTeam]:[HomeTeam]],$A30, Table1[[AwayTeam]:[AwayTeam]], G$1, Table1[[ActualResult]:[ActualResult]], "REG"),0), "-", TEXT(SUMIFS(Table1[[HomeWon]:[HomeWon]], Table1[[GameIsOver]:[GameIsOver]],1,Table1[[AwayTeam]:[AwayTeam]],$A30, Table1[[HomeTeam]:[HomeTeam]], G$1, Table1[[ActualResult]:[ActualResult]], "OT") + SUMIFS(Table1[[AwayWon]:[AwayWon]], Table1[[GameIsOver]:[GameIsOver]],1,Table1[[HomeTeam]:[HomeTeam]],$A30, Table1[[AwayTeam]:[AwayTeam]], G$1, Table1[[ActualResult]:[ActualResult]], "OT") + SUMIFS(Table1[[HomeWon]:[HomeWon]], Table1[[GameIsOver]:[GameIsOver]],1,Table1[[AwayTeam]:[AwayTeam]],$A30, Table1[[HomeTeam]:[HomeTeam]], G$1, Table1[[ActualResult]:[ActualResult]], "SO") + SUMIFS(Table1[[AwayWon]:[AwayWon]], Table1[[GameIsOver]:[GameIsOver]],1,Table1[[HomeTeam]:[HomeTeam]],$A30, Table1[[AwayTeam]:[AwayTeam]], G$1, Table1[[ActualResult]:[ActualResult]], "SO"),0))</f>
        <v>0-0-0</v>
      </c>
      <c r="H30" s="57" t="str">
        <f>_xlfn.CONCAT(TEXT(SUMIFS(Table1[[AwayWon]:[AwayWon]], Table1[[GameIsOver]:[GameIsOver]],1,Table1[[AwayTeam]:[AwayTeam]],$A30, Table1[[HomeTeam]:[HomeTeam]], H$1) + SUMIFS(Table1[[HomeWon]:[HomeWon]], Table1[[GameIsOver]:[GameIsOver]],1,Table1[[HomeTeam]:[HomeTeam]],$A30, Table1[[AwayTeam]:[AwayTeam]], H$1),0), "-", TEXT(SUMIFS(Table1[[HomeWon]:[HomeWon]], Table1[[GameIsOver]:[GameIsOver]],1,Table1[[AwayTeam]:[AwayTeam]],$A30, Table1[[HomeTeam]:[HomeTeam]], H$1, Table1[[ActualResult]:[ActualResult]], "REG") + SUMIFS(Table1[[AwayWon]:[AwayWon]], Table1[[GameIsOver]:[GameIsOver]],1,Table1[[HomeTeam]:[HomeTeam]],$A30, Table1[[AwayTeam]:[AwayTeam]], H$1, Table1[[ActualResult]:[ActualResult]], "REG"),0), "-", TEXT(SUMIFS(Table1[[HomeWon]:[HomeWon]], Table1[[GameIsOver]:[GameIsOver]],1,Table1[[AwayTeam]:[AwayTeam]],$A30, Table1[[HomeTeam]:[HomeTeam]], H$1, Table1[[ActualResult]:[ActualResult]], "OT") + SUMIFS(Table1[[AwayWon]:[AwayWon]], Table1[[GameIsOver]:[GameIsOver]],1,Table1[[HomeTeam]:[HomeTeam]],$A30, Table1[[AwayTeam]:[AwayTeam]], H$1, Table1[[ActualResult]:[ActualResult]], "OT") + SUMIFS(Table1[[HomeWon]:[HomeWon]], Table1[[GameIsOver]:[GameIsOver]],1,Table1[[AwayTeam]:[AwayTeam]],$A30, Table1[[HomeTeam]:[HomeTeam]], H$1, Table1[[ActualResult]:[ActualResult]], "SO") + SUMIFS(Table1[[AwayWon]:[AwayWon]], Table1[[GameIsOver]:[GameIsOver]],1,Table1[[HomeTeam]:[HomeTeam]],$A30, Table1[[AwayTeam]:[AwayTeam]], H$1, Table1[[ActualResult]:[ActualResult]], "SO"),0))</f>
        <v>0-0-0</v>
      </c>
      <c r="I30" s="59" t="str">
        <f>_xlfn.CONCAT(TEXT(SUMIFS(Table1[[AwayWon]:[AwayWon]], Table1[[GameIsOver]:[GameIsOver]],1,Table1[[AwayTeam]:[AwayTeam]],$A30, Table1[[HomeTeam]:[HomeTeam]], I$1) + SUMIFS(Table1[[HomeWon]:[HomeWon]], Table1[[GameIsOver]:[GameIsOver]],1,Table1[[HomeTeam]:[HomeTeam]],$A30, Table1[[AwayTeam]:[AwayTeam]], I$1),0), "-", TEXT(SUMIFS(Table1[[HomeWon]:[HomeWon]], Table1[[GameIsOver]:[GameIsOver]],1,Table1[[AwayTeam]:[AwayTeam]],$A30, Table1[[HomeTeam]:[HomeTeam]], I$1, Table1[[ActualResult]:[ActualResult]], "REG") + SUMIFS(Table1[[AwayWon]:[AwayWon]], Table1[[GameIsOver]:[GameIsOver]],1,Table1[[HomeTeam]:[HomeTeam]],$A30, Table1[[AwayTeam]:[AwayTeam]], I$1, Table1[[ActualResult]:[ActualResult]], "REG"),0), "-", TEXT(SUMIFS(Table1[[HomeWon]:[HomeWon]], Table1[[GameIsOver]:[GameIsOver]],1,Table1[[AwayTeam]:[AwayTeam]],$A30, Table1[[HomeTeam]:[HomeTeam]], I$1, Table1[[ActualResult]:[ActualResult]], "OT") + SUMIFS(Table1[[AwayWon]:[AwayWon]], Table1[[GameIsOver]:[GameIsOver]],1,Table1[[HomeTeam]:[HomeTeam]],$A30, Table1[[AwayTeam]:[AwayTeam]], I$1, Table1[[ActualResult]:[ActualResult]], "OT") + SUMIFS(Table1[[HomeWon]:[HomeWon]], Table1[[GameIsOver]:[GameIsOver]],1,Table1[[AwayTeam]:[AwayTeam]],$A30, Table1[[HomeTeam]:[HomeTeam]], I$1, Table1[[ActualResult]:[ActualResult]], "SO") + SUMIFS(Table1[[AwayWon]:[AwayWon]], Table1[[GameIsOver]:[GameIsOver]],1,Table1[[HomeTeam]:[HomeTeam]],$A30, Table1[[AwayTeam]:[AwayTeam]], I$1, Table1[[ActualResult]:[ActualResult]], "SO"),0))</f>
        <v>0-0-0</v>
      </c>
      <c r="J30" s="57" t="str">
        <f>_xlfn.CONCAT(TEXT(SUMIFS(Table1[[AwayWon]:[AwayWon]], Table1[[GameIsOver]:[GameIsOver]],1,Table1[[AwayTeam]:[AwayTeam]],$A30, Table1[[HomeTeam]:[HomeTeam]], J$1) + SUMIFS(Table1[[HomeWon]:[HomeWon]], Table1[[GameIsOver]:[GameIsOver]],1,Table1[[HomeTeam]:[HomeTeam]],$A30, Table1[[AwayTeam]:[AwayTeam]], J$1),0), "-", TEXT(SUMIFS(Table1[[HomeWon]:[HomeWon]], Table1[[GameIsOver]:[GameIsOver]],1,Table1[[AwayTeam]:[AwayTeam]],$A30, Table1[[HomeTeam]:[HomeTeam]], J$1, Table1[[ActualResult]:[ActualResult]], "REG") + SUMIFS(Table1[[AwayWon]:[AwayWon]], Table1[[GameIsOver]:[GameIsOver]],1,Table1[[HomeTeam]:[HomeTeam]],$A30, Table1[[AwayTeam]:[AwayTeam]], J$1, Table1[[ActualResult]:[ActualResult]], "REG"),0), "-", TEXT(SUMIFS(Table1[[HomeWon]:[HomeWon]], Table1[[GameIsOver]:[GameIsOver]],1,Table1[[AwayTeam]:[AwayTeam]],$A30, Table1[[HomeTeam]:[HomeTeam]], J$1, Table1[[ActualResult]:[ActualResult]], "OT") + SUMIFS(Table1[[AwayWon]:[AwayWon]], Table1[[GameIsOver]:[GameIsOver]],1,Table1[[HomeTeam]:[HomeTeam]],$A30, Table1[[AwayTeam]:[AwayTeam]], J$1, Table1[[ActualResult]:[ActualResult]], "OT") + SUMIFS(Table1[[HomeWon]:[HomeWon]], Table1[[GameIsOver]:[GameIsOver]],1,Table1[[AwayTeam]:[AwayTeam]],$A30, Table1[[HomeTeam]:[HomeTeam]], J$1, Table1[[ActualResult]:[ActualResult]], "SO") + SUMIFS(Table1[[AwayWon]:[AwayWon]], Table1[[GameIsOver]:[GameIsOver]],1,Table1[[HomeTeam]:[HomeTeam]],$A30, Table1[[AwayTeam]:[AwayTeam]], J$1, Table1[[ActualResult]:[ActualResult]], "SO"),0))</f>
        <v>0-0-0</v>
      </c>
      <c r="K30" s="57" t="str">
        <f>_xlfn.CONCAT(TEXT(SUMIFS(Table1[[AwayWon]:[AwayWon]], Table1[[GameIsOver]:[GameIsOver]],1,Table1[[AwayTeam]:[AwayTeam]],$A30, Table1[[HomeTeam]:[HomeTeam]], K$1) + SUMIFS(Table1[[HomeWon]:[HomeWon]], Table1[[GameIsOver]:[GameIsOver]],1,Table1[[HomeTeam]:[HomeTeam]],$A30, Table1[[AwayTeam]:[AwayTeam]], K$1),0), "-", TEXT(SUMIFS(Table1[[HomeWon]:[HomeWon]], Table1[[GameIsOver]:[GameIsOver]],1,Table1[[AwayTeam]:[AwayTeam]],$A30, Table1[[HomeTeam]:[HomeTeam]], K$1, Table1[[ActualResult]:[ActualResult]], "REG") + SUMIFS(Table1[[AwayWon]:[AwayWon]], Table1[[GameIsOver]:[GameIsOver]],1,Table1[[HomeTeam]:[HomeTeam]],$A30, Table1[[AwayTeam]:[AwayTeam]], K$1, Table1[[ActualResult]:[ActualResult]], "REG"),0), "-", TEXT(SUMIFS(Table1[[HomeWon]:[HomeWon]], Table1[[GameIsOver]:[GameIsOver]],1,Table1[[AwayTeam]:[AwayTeam]],$A30, Table1[[HomeTeam]:[HomeTeam]], K$1, Table1[[ActualResult]:[ActualResult]], "OT") + SUMIFS(Table1[[AwayWon]:[AwayWon]], Table1[[GameIsOver]:[GameIsOver]],1,Table1[[HomeTeam]:[HomeTeam]],$A30, Table1[[AwayTeam]:[AwayTeam]], K$1, Table1[[ActualResult]:[ActualResult]], "OT") + SUMIFS(Table1[[HomeWon]:[HomeWon]], Table1[[GameIsOver]:[GameIsOver]],1,Table1[[AwayTeam]:[AwayTeam]],$A30, Table1[[HomeTeam]:[HomeTeam]], K$1, Table1[[ActualResult]:[ActualResult]], "SO") + SUMIFS(Table1[[AwayWon]:[AwayWon]], Table1[[GameIsOver]:[GameIsOver]],1,Table1[[HomeTeam]:[HomeTeam]],$A30, Table1[[AwayTeam]:[AwayTeam]], K$1, Table1[[ActualResult]:[ActualResult]], "SO"),0))</f>
        <v>0-0-0</v>
      </c>
      <c r="L30" s="57" t="str">
        <f>_xlfn.CONCAT(TEXT(SUMIFS(Table1[[AwayWon]:[AwayWon]], Table1[[GameIsOver]:[GameIsOver]],1,Table1[[AwayTeam]:[AwayTeam]],$A30, Table1[[HomeTeam]:[HomeTeam]], L$1) + SUMIFS(Table1[[HomeWon]:[HomeWon]], Table1[[GameIsOver]:[GameIsOver]],1,Table1[[HomeTeam]:[HomeTeam]],$A30, Table1[[AwayTeam]:[AwayTeam]], L$1),0), "-", TEXT(SUMIFS(Table1[[HomeWon]:[HomeWon]], Table1[[GameIsOver]:[GameIsOver]],1,Table1[[AwayTeam]:[AwayTeam]],$A30, Table1[[HomeTeam]:[HomeTeam]], L$1, Table1[[ActualResult]:[ActualResult]], "REG") + SUMIFS(Table1[[AwayWon]:[AwayWon]], Table1[[GameIsOver]:[GameIsOver]],1,Table1[[HomeTeam]:[HomeTeam]],$A30, Table1[[AwayTeam]:[AwayTeam]], L$1, Table1[[ActualResult]:[ActualResult]], "REG"),0), "-", TEXT(SUMIFS(Table1[[HomeWon]:[HomeWon]], Table1[[GameIsOver]:[GameIsOver]],1,Table1[[AwayTeam]:[AwayTeam]],$A30, Table1[[HomeTeam]:[HomeTeam]], L$1, Table1[[ActualResult]:[ActualResult]], "OT") + SUMIFS(Table1[[AwayWon]:[AwayWon]], Table1[[GameIsOver]:[GameIsOver]],1,Table1[[HomeTeam]:[HomeTeam]],$A30, Table1[[AwayTeam]:[AwayTeam]], L$1, Table1[[ActualResult]:[ActualResult]], "OT") + SUMIFS(Table1[[HomeWon]:[HomeWon]], Table1[[GameIsOver]:[GameIsOver]],1,Table1[[AwayTeam]:[AwayTeam]],$A30, Table1[[HomeTeam]:[HomeTeam]], L$1, Table1[[ActualResult]:[ActualResult]], "SO") + SUMIFS(Table1[[AwayWon]:[AwayWon]], Table1[[GameIsOver]:[GameIsOver]],1,Table1[[HomeTeam]:[HomeTeam]],$A30, Table1[[AwayTeam]:[AwayTeam]], L$1, Table1[[ActualResult]:[ActualResult]], "SO"),0))</f>
        <v>0-0-0</v>
      </c>
      <c r="M30" s="57" t="str">
        <f>_xlfn.CONCAT(TEXT(SUMIFS(Table1[[AwayWon]:[AwayWon]], Table1[[GameIsOver]:[GameIsOver]],1,Table1[[AwayTeam]:[AwayTeam]],$A30, Table1[[HomeTeam]:[HomeTeam]], M$1) + SUMIFS(Table1[[HomeWon]:[HomeWon]], Table1[[GameIsOver]:[GameIsOver]],1,Table1[[HomeTeam]:[HomeTeam]],$A30, Table1[[AwayTeam]:[AwayTeam]], M$1),0), "-", TEXT(SUMIFS(Table1[[HomeWon]:[HomeWon]], Table1[[GameIsOver]:[GameIsOver]],1,Table1[[AwayTeam]:[AwayTeam]],$A30, Table1[[HomeTeam]:[HomeTeam]], M$1, Table1[[ActualResult]:[ActualResult]], "REG") + SUMIFS(Table1[[AwayWon]:[AwayWon]], Table1[[GameIsOver]:[GameIsOver]],1,Table1[[HomeTeam]:[HomeTeam]],$A30, Table1[[AwayTeam]:[AwayTeam]], M$1, Table1[[ActualResult]:[ActualResult]], "REG"),0), "-", TEXT(SUMIFS(Table1[[HomeWon]:[HomeWon]], Table1[[GameIsOver]:[GameIsOver]],1,Table1[[AwayTeam]:[AwayTeam]],$A30, Table1[[HomeTeam]:[HomeTeam]], M$1, Table1[[ActualResult]:[ActualResult]], "OT") + SUMIFS(Table1[[AwayWon]:[AwayWon]], Table1[[GameIsOver]:[GameIsOver]],1,Table1[[HomeTeam]:[HomeTeam]],$A30, Table1[[AwayTeam]:[AwayTeam]], M$1, Table1[[ActualResult]:[ActualResult]], "OT") + SUMIFS(Table1[[HomeWon]:[HomeWon]], Table1[[GameIsOver]:[GameIsOver]],1,Table1[[AwayTeam]:[AwayTeam]],$A30, Table1[[HomeTeam]:[HomeTeam]], M$1, Table1[[ActualResult]:[ActualResult]], "SO") + SUMIFS(Table1[[AwayWon]:[AwayWon]], Table1[[GameIsOver]:[GameIsOver]],1,Table1[[HomeTeam]:[HomeTeam]],$A30, Table1[[AwayTeam]:[AwayTeam]], M$1, Table1[[ActualResult]:[ActualResult]], "SO"),0))</f>
        <v>0-0-0</v>
      </c>
      <c r="N30" s="57" t="str">
        <f>_xlfn.CONCAT(TEXT(SUMIFS(Table1[[AwayWon]:[AwayWon]], Table1[[GameIsOver]:[GameIsOver]],1,Table1[[AwayTeam]:[AwayTeam]],$A30, Table1[[HomeTeam]:[HomeTeam]], N$1) + SUMIFS(Table1[[HomeWon]:[HomeWon]], Table1[[GameIsOver]:[GameIsOver]],1,Table1[[HomeTeam]:[HomeTeam]],$A30, Table1[[AwayTeam]:[AwayTeam]], N$1),0), "-", TEXT(SUMIFS(Table1[[HomeWon]:[HomeWon]], Table1[[GameIsOver]:[GameIsOver]],1,Table1[[AwayTeam]:[AwayTeam]],$A30, Table1[[HomeTeam]:[HomeTeam]], N$1, Table1[[ActualResult]:[ActualResult]], "REG") + SUMIFS(Table1[[AwayWon]:[AwayWon]], Table1[[GameIsOver]:[GameIsOver]],1,Table1[[HomeTeam]:[HomeTeam]],$A30, Table1[[AwayTeam]:[AwayTeam]], N$1, Table1[[ActualResult]:[ActualResult]], "REG"),0), "-", TEXT(SUMIFS(Table1[[HomeWon]:[HomeWon]], Table1[[GameIsOver]:[GameIsOver]],1,Table1[[AwayTeam]:[AwayTeam]],$A30, Table1[[HomeTeam]:[HomeTeam]], N$1, Table1[[ActualResult]:[ActualResult]], "OT") + SUMIFS(Table1[[AwayWon]:[AwayWon]], Table1[[GameIsOver]:[GameIsOver]],1,Table1[[HomeTeam]:[HomeTeam]],$A30, Table1[[AwayTeam]:[AwayTeam]], N$1, Table1[[ActualResult]:[ActualResult]], "OT") + SUMIFS(Table1[[HomeWon]:[HomeWon]], Table1[[GameIsOver]:[GameIsOver]],1,Table1[[AwayTeam]:[AwayTeam]],$A30, Table1[[HomeTeam]:[HomeTeam]], N$1, Table1[[ActualResult]:[ActualResult]], "SO") + SUMIFS(Table1[[AwayWon]:[AwayWon]], Table1[[GameIsOver]:[GameIsOver]],1,Table1[[HomeTeam]:[HomeTeam]],$A30, Table1[[AwayTeam]:[AwayTeam]], N$1, Table1[[ActualResult]:[ActualResult]], "SO"),0))</f>
        <v>0-0-0</v>
      </c>
      <c r="O30" s="57" t="str">
        <f>_xlfn.CONCAT(TEXT(SUMIFS(Table1[[AwayWon]:[AwayWon]], Table1[[GameIsOver]:[GameIsOver]],1,Table1[[AwayTeam]:[AwayTeam]],$A30, Table1[[HomeTeam]:[HomeTeam]], O$1) + SUMIFS(Table1[[HomeWon]:[HomeWon]], Table1[[GameIsOver]:[GameIsOver]],1,Table1[[HomeTeam]:[HomeTeam]],$A30, Table1[[AwayTeam]:[AwayTeam]], O$1),0), "-", TEXT(SUMIFS(Table1[[HomeWon]:[HomeWon]], Table1[[GameIsOver]:[GameIsOver]],1,Table1[[AwayTeam]:[AwayTeam]],$A30, Table1[[HomeTeam]:[HomeTeam]], O$1, Table1[[ActualResult]:[ActualResult]], "REG") + SUMIFS(Table1[[AwayWon]:[AwayWon]], Table1[[GameIsOver]:[GameIsOver]],1,Table1[[HomeTeam]:[HomeTeam]],$A30, Table1[[AwayTeam]:[AwayTeam]], O$1, Table1[[ActualResult]:[ActualResult]], "REG"),0), "-", TEXT(SUMIFS(Table1[[HomeWon]:[HomeWon]], Table1[[GameIsOver]:[GameIsOver]],1,Table1[[AwayTeam]:[AwayTeam]],$A30, Table1[[HomeTeam]:[HomeTeam]], O$1, Table1[[ActualResult]:[ActualResult]], "OT") + SUMIFS(Table1[[AwayWon]:[AwayWon]], Table1[[GameIsOver]:[GameIsOver]],1,Table1[[HomeTeam]:[HomeTeam]],$A30, Table1[[AwayTeam]:[AwayTeam]], O$1, Table1[[ActualResult]:[ActualResult]], "OT") + SUMIFS(Table1[[HomeWon]:[HomeWon]], Table1[[GameIsOver]:[GameIsOver]],1,Table1[[AwayTeam]:[AwayTeam]],$A30, Table1[[HomeTeam]:[HomeTeam]], O$1, Table1[[ActualResult]:[ActualResult]], "SO") + SUMIFS(Table1[[AwayWon]:[AwayWon]], Table1[[GameIsOver]:[GameIsOver]],1,Table1[[HomeTeam]:[HomeTeam]],$A30, Table1[[AwayTeam]:[AwayTeam]], O$1, Table1[[ActualResult]:[ActualResult]], "SO"),0))</f>
        <v>0-0-0</v>
      </c>
      <c r="P30" s="57" t="str">
        <f>_xlfn.CONCAT(TEXT(SUMIFS(Table1[[AwayWon]:[AwayWon]], Table1[[GameIsOver]:[GameIsOver]],1,Table1[[AwayTeam]:[AwayTeam]],$A30, Table1[[HomeTeam]:[HomeTeam]], P$1) + SUMIFS(Table1[[HomeWon]:[HomeWon]], Table1[[GameIsOver]:[GameIsOver]],1,Table1[[HomeTeam]:[HomeTeam]],$A30, Table1[[AwayTeam]:[AwayTeam]], P$1),0), "-", TEXT(SUMIFS(Table1[[HomeWon]:[HomeWon]], Table1[[GameIsOver]:[GameIsOver]],1,Table1[[AwayTeam]:[AwayTeam]],$A30, Table1[[HomeTeam]:[HomeTeam]], P$1, Table1[[ActualResult]:[ActualResult]], "REG") + SUMIFS(Table1[[AwayWon]:[AwayWon]], Table1[[GameIsOver]:[GameIsOver]],1,Table1[[HomeTeam]:[HomeTeam]],$A30, Table1[[AwayTeam]:[AwayTeam]], P$1, Table1[[ActualResult]:[ActualResult]], "REG"),0), "-", TEXT(SUMIFS(Table1[[HomeWon]:[HomeWon]], Table1[[GameIsOver]:[GameIsOver]],1,Table1[[AwayTeam]:[AwayTeam]],$A30, Table1[[HomeTeam]:[HomeTeam]], P$1, Table1[[ActualResult]:[ActualResult]], "OT") + SUMIFS(Table1[[AwayWon]:[AwayWon]], Table1[[GameIsOver]:[GameIsOver]],1,Table1[[HomeTeam]:[HomeTeam]],$A30, Table1[[AwayTeam]:[AwayTeam]], P$1, Table1[[ActualResult]:[ActualResult]], "OT") + SUMIFS(Table1[[HomeWon]:[HomeWon]], Table1[[GameIsOver]:[GameIsOver]],1,Table1[[AwayTeam]:[AwayTeam]],$A30, Table1[[HomeTeam]:[HomeTeam]], P$1, Table1[[ActualResult]:[ActualResult]], "SO") + SUMIFS(Table1[[AwayWon]:[AwayWon]], Table1[[GameIsOver]:[GameIsOver]],1,Table1[[HomeTeam]:[HomeTeam]],$A30, Table1[[AwayTeam]:[AwayTeam]], P$1, Table1[[ActualResult]:[ActualResult]], "SO"),0))</f>
        <v>0-0-0</v>
      </c>
      <c r="Q30" s="59" t="str">
        <f>_xlfn.CONCAT(TEXT(SUMIFS(Table1[[AwayWon]:[AwayWon]], Table1[[GameIsOver]:[GameIsOver]],1,Table1[[AwayTeam]:[AwayTeam]],$A30, Table1[[HomeTeam]:[HomeTeam]], Q$1) + SUMIFS(Table1[[HomeWon]:[HomeWon]], Table1[[GameIsOver]:[GameIsOver]],1,Table1[[HomeTeam]:[HomeTeam]],$A30, Table1[[AwayTeam]:[AwayTeam]], Q$1),0), "-", TEXT(SUMIFS(Table1[[HomeWon]:[HomeWon]], Table1[[GameIsOver]:[GameIsOver]],1,Table1[[AwayTeam]:[AwayTeam]],$A30, Table1[[HomeTeam]:[HomeTeam]], Q$1, Table1[[ActualResult]:[ActualResult]], "REG") + SUMIFS(Table1[[AwayWon]:[AwayWon]], Table1[[GameIsOver]:[GameIsOver]],1,Table1[[HomeTeam]:[HomeTeam]],$A30, Table1[[AwayTeam]:[AwayTeam]], Q$1, Table1[[ActualResult]:[ActualResult]], "REG"),0), "-", TEXT(SUMIFS(Table1[[HomeWon]:[HomeWon]], Table1[[GameIsOver]:[GameIsOver]],1,Table1[[AwayTeam]:[AwayTeam]],$A30, Table1[[HomeTeam]:[HomeTeam]], Q$1, Table1[[ActualResult]:[ActualResult]], "OT") + SUMIFS(Table1[[AwayWon]:[AwayWon]], Table1[[GameIsOver]:[GameIsOver]],1,Table1[[HomeTeam]:[HomeTeam]],$A30, Table1[[AwayTeam]:[AwayTeam]], Q$1, Table1[[ActualResult]:[ActualResult]], "OT") + SUMIFS(Table1[[HomeWon]:[HomeWon]], Table1[[GameIsOver]:[GameIsOver]],1,Table1[[AwayTeam]:[AwayTeam]],$A30, Table1[[HomeTeam]:[HomeTeam]], Q$1, Table1[[ActualResult]:[ActualResult]], "SO") + SUMIFS(Table1[[AwayWon]:[AwayWon]], Table1[[GameIsOver]:[GameIsOver]],1,Table1[[HomeTeam]:[HomeTeam]],$A30, Table1[[AwayTeam]:[AwayTeam]], Q$1, Table1[[ActualResult]:[ActualResult]], "SO"),0))</f>
        <v>0-0-0</v>
      </c>
      <c r="R30" s="57" t="str">
        <f>_xlfn.CONCAT(TEXT(SUMIFS(Table1[[AwayWon]:[AwayWon]], Table1[[GameIsOver]:[GameIsOver]],1,Table1[[AwayTeam]:[AwayTeam]],$A30, Table1[[HomeTeam]:[HomeTeam]], R$1) + SUMIFS(Table1[[HomeWon]:[HomeWon]], Table1[[GameIsOver]:[GameIsOver]],1,Table1[[HomeTeam]:[HomeTeam]],$A30, Table1[[AwayTeam]:[AwayTeam]], R$1),0), "-", TEXT(SUMIFS(Table1[[HomeWon]:[HomeWon]], Table1[[GameIsOver]:[GameIsOver]],1,Table1[[AwayTeam]:[AwayTeam]],$A30, Table1[[HomeTeam]:[HomeTeam]], R$1, Table1[[ActualResult]:[ActualResult]], "REG") + SUMIFS(Table1[[AwayWon]:[AwayWon]], Table1[[GameIsOver]:[GameIsOver]],1,Table1[[HomeTeam]:[HomeTeam]],$A30, Table1[[AwayTeam]:[AwayTeam]], R$1, Table1[[ActualResult]:[ActualResult]], "REG"),0), "-", TEXT(SUMIFS(Table1[[HomeWon]:[HomeWon]], Table1[[GameIsOver]:[GameIsOver]],1,Table1[[AwayTeam]:[AwayTeam]],$A30, Table1[[HomeTeam]:[HomeTeam]], R$1, Table1[[ActualResult]:[ActualResult]], "OT") + SUMIFS(Table1[[AwayWon]:[AwayWon]], Table1[[GameIsOver]:[GameIsOver]],1,Table1[[HomeTeam]:[HomeTeam]],$A30, Table1[[AwayTeam]:[AwayTeam]], R$1, Table1[[ActualResult]:[ActualResult]], "OT") + SUMIFS(Table1[[HomeWon]:[HomeWon]], Table1[[GameIsOver]:[GameIsOver]],1,Table1[[AwayTeam]:[AwayTeam]],$A30, Table1[[HomeTeam]:[HomeTeam]], R$1, Table1[[ActualResult]:[ActualResult]], "SO") + SUMIFS(Table1[[AwayWon]:[AwayWon]], Table1[[GameIsOver]:[GameIsOver]],1,Table1[[HomeTeam]:[HomeTeam]],$A30, Table1[[AwayTeam]:[AwayTeam]], R$1, Table1[[ActualResult]:[ActualResult]], "SO"),0))</f>
        <v>0-0-0</v>
      </c>
      <c r="S30" s="57" t="str">
        <f>_xlfn.CONCAT(TEXT(SUMIFS(Table1[[AwayWon]:[AwayWon]], Table1[[GameIsOver]:[GameIsOver]],1,Table1[[AwayTeam]:[AwayTeam]],$A30, Table1[[HomeTeam]:[HomeTeam]], S$1) + SUMIFS(Table1[[HomeWon]:[HomeWon]], Table1[[GameIsOver]:[GameIsOver]],1,Table1[[HomeTeam]:[HomeTeam]],$A30, Table1[[AwayTeam]:[AwayTeam]], S$1),0), "-", TEXT(SUMIFS(Table1[[HomeWon]:[HomeWon]], Table1[[GameIsOver]:[GameIsOver]],1,Table1[[AwayTeam]:[AwayTeam]],$A30, Table1[[HomeTeam]:[HomeTeam]], S$1, Table1[[ActualResult]:[ActualResult]], "REG") + SUMIFS(Table1[[AwayWon]:[AwayWon]], Table1[[GameIsOver]:[GameIsOver]],1,Table1[[HomeTeam]:[HomeTeam]],$A30, Table1[[AwayTeam]:[AwayTeam]], S$1, Table1[[ActualResult]:[ActualResult]], "REG"),0), "-", TEXT(SUMIFS(Table1[[HomeWon]:[HomeWon]], Table1[[GameIsOver]:[GameIsOver]],1,Table1[[AwayTeam]:[AwayTeam]],$A30, Table1[[HomeTeam]:[HomeTeam]], S$1, Table1[[ActualResult]:[ActualResult]], "OT") + SUMIFS(Table1[[AwayWon]:[AwayWon]], Table1[[GameIsOver]:[GameIsOver]],1,Table1[[HomeTeam]:[HomeTeam]],$A30, Table1[[AwayTeam]:[AwayTeam]], S$1, Table1[[ActualResult]:[ActualResult]], "OT") + SUMIFS(Table1[[HomeWon]:[HomeWon]], Table1[[GameIsOver]:[GameIsOver]],1,Table1[[AwayTeam]:[AwayTeam]],$A30, Table1[[HomeTeam]:[HomeTeam]], S$1, Table1[[ActualResult]:[ActualResult]], "SO") + SUMIFS(Table1[[AwayWon]:[AwayWon]], Table1[[GameIsOver]:[GameIsOver]],1,Table1[[HomeTeam]:[HomeTeam]],$A30, Table1[[AwayTeam]:[AwayTeam]], S$1, Table1[[ActualResult]:[ActualResult]], "SO"),0))</f>
        <v>0-0-0</v>
      </c>
      <c r="T30" s="57" t="str">
        <f>_xlfn.CONCAT(TEXT(SUMIFS(Table1[[AwayWon]:[AwayWon]], Table1[[GameIsOver]:[GameIsOver]],1,Table1[[AwayTeam]:[AwayTeam]],$A30, Table1[[HomeTeam]:[HomeTeam]], T$1) + SUMIFS(Table1[[HomeWon]:[HomeWon]], Table1[[GameIsOver]:[GameIsOver]],1,Table1[[HomeTeam]:[HomeTeam]],$A30, Table1[[AwayTeam]:[AwayTeam]], T$1),0), "-", TEXT(SUMIFS(Table1[[HomeWon]:[HomeWon]], Table1[[GameIsOver]:[GameIsOver]],1,Table1[[AwayTeam]:[AwayTeam]],$A30, Table1[[HomeTeam]:[HomeTeam]], T$1, Table1[[ActualResult]:[ActualResult]], "REG") + SUMIFS(Table1[[AwayWon]:[AwayWon]], Table1[[GameIsOver]:[GameIsOver]],1,Table1[[HomeTeam]:[HomeTeam]],$A30, Table1[[AwayTeam]:[AwayTeam]], T$1, Table1[[ActualResult]:[ActualResult]], "REG"),0), "-", TEXT(SUMIFS(Table1[[HomeWon]:[HomeWon]], Table1[[GameIsOver]:[GameIsOver]],1,Table1[[AwayTeam]:[AwayTeam]],$A30, Table1[[HomeTeam]:[HomeTeam]], T$1, Table1[[ActualResult]:[ActualResult]], "OT") + SUMIFS(Table1[[AwayWon]:[AwayWon]], Table1[[GameIsOver]:[GameIsOver]],1,Table1[[HomeTeam]:[HomeTeam]],$A30, Table1[[AwayTeam]:[AwayTeam]], T$1, Table1[[ActualResult]:[ActualResult]], "OT") + SUMIFS(Table1[[HomeWon]:[HomeWon]], Table1[[GameIsOver]:[GameIsOver]],1,Table1[[AwayTeam]:[AwayTeam]],$A30, Table1[[HomeTeam]:[HomeTeam]], T$1, Table1[[ActualResult]:[ActualResult]], "SO") + SUMIFS(Table1[[AwayWon]:[AwayWon]], Table1[[GameIsOver]:[GameIsOver]],1,Table1[[HomeTeam]:[HomeTeam]],$A30, Table1[[AwayTeam]:[AwayTeam]], T$1, Table1[[ActualResult]:[ActualResult]], "SO"),0))</f>
        <v>0-0-0</v>
      </c>
      <c r="U30" s="57" t="str">
        <f>_xlfn.CONCAT(TEXT(SUMIFS(Table1[[AwayWon]:[AwayWon]], Table1[[GameIsOver]:[GameIsOver]],1,Table1[[AwayTeam]:[AwayTeam]],$A30, Table1[[HomeTeam]:[HomeTeam]], U$1) + SUMIFS(Table1[[HomeWon]:[HomeWon]], Table1[[GameIsOver]:[GameIsOver]],1,Table1[[HomeTeam]:[HomeTeam]],$A30, Table1[[AwayTeam]:[AwayTeam]], U$1),0), "-", TEXT(SUMIFS(Table1[[HomeWon]:[HomeWon]], Table1[[GameIsOver]:[GameIsOver]],1,Table1[[AwayTeam]:[AwayTeam]],$A30, Table1[[HomeTeam]:[HomeTeam]], U$1, Table1[[ActualResult]:[ActualResult]], "REG") + SUMIFS(Table1[[AwayWon]:[AwayWon]], Table1[[GameIsOver]:[GameIsOver]],1,Table1[[HomeTeam]:[HomeTeam]],$A30, Table1[[AwayTeam]:[AwayTeam]], U$1, Table1[[ActualResult]:[ActualResult]], "REG"),0), "-", TEXT(SUMIFS(Table1[[HomeWon]:[HomeWon]], Table1[[GameIsOver]:[GameIsOver]],1,Table1[[AwayTeam]:[AwayTeam]],$A30, Table1[[HomeTeam]:[HomeTeam]], U$1, Table1[[ActualResult]:[ActualResult]], "OT") + SUMIFS(Table1[[AwayWon]:[AwayWon]], Table1[[GameIsOver]:[GameIsOver]],1,Table1[[HomeTeam]:[HomeTeam]],$A30, Table1[[AwayTeam]:[AwayTeam]], U$1, Table1[[ActualResult]:[ActualResult]], "OT") + SUMIFS(Table1[[HomeWon]:[HomeWon]], Table1[[GameIsOver]:[GameIsOver]],1,Table1[[AwayTeam]:[AwayTeam]],$A30, Table1[[HomeTeam]:[HomeTeam]], U$1, Table1[[ActualResult]:[ActualResult]], "SO") + SUMIFS(Table1[[AwayWon]:[AwayWon]], Table1[[GameIsOver]:[GameIsOver]],1,Table1[[HomeTeam]:[HomeTeam]],$A30, Table1[[AwayTeam]:[AwayTeam]], U$1, Table1[[ActualResult]:[ActualResult]], "SO"),0))</f>
        <v>0-0-0</v>
      </c>
      <c r="V30" s="57" t="str">
        <f>_xlfn.CONCAT(TEXT(SUMIFS(Table1[[AwayWon]:[AwayWon]], Table1[[GameIsOver]:[GameIsOver]],1,Table1[[AwayTeam]:[AwayTeam]],$A30, Table1[[HomeTeam]:[HomeTeam]], V$1) + SUMIFS(Table1[[HomeWon]:[HomeWon]], Table1[[GameIsOver]:[GameIsOver]],1,Table1[[HomeTeam]:[HomeTeam]],$A30, Table1[[AwayTeam]:[AwayTeam]], V$1),0), "-", TEXT(SUMIFS(Table1[[HomeWon]:[HomeWon]], Table1[[GameIsOver]:[GameIsOver]],1,Table1[[AwayTeam]:[AwayTeam]],$A30, Table1[[HomeTeam]:[HomeTeam]], V$1, Table1[[ActualResult]:[ActualResult]], "REG") + SUMIFS(Table1[[AwayWon]:[AwayWon]], Table1[[GameIsOver]:[GameIsOver]],1,Table1[[HomeTeam]:[HomeTeam]],$A30, Table1[[AwayTeam]:[AwayTeam]], V$1, Table1[[ActualResult]:[ActualResult]], "REG"),0), "-", TEXT(SUMIFS(Table1[[HomeWon]:[HomeWon]], Table1[[GameIsOver]:[GameIsOver]],1,Table1[[AwayTeam]:[AwayTeam]],$A30, Table1[[HomeTeam]:[HomeTeam]], V$1, Table1[[ActualResult]:[ActualResult]], "OT") + SUMIFS(Table1[[AwayWon]:[AwayWon]], Table1[[GameIsOver]:[GameIsOver]],1,Table1[[HomeTeam]:[HomeTeam]],$A30, Table1[[AwayTeam]:[AwayTeam]], V$1, Table1[[ActualResult]:[ActualResult]], "OT") + SUMIFS(Table1[[HomeWon]:[HomeWon]], Table1[[GameIsOver]:[GameIsOver]],1,Table1[[AwayTeam]:[AwayTeam]],$A30, Table1[[HomeTeam]:[HomeTeam]], V$1, Table1[[ActualResult]:[ActualResult]], "SO") + SUMIFS(Table1[[AwayWon]:[AwayWon]], Table1[[GameIsOver]:[GameIsOver]],1,Table1[[HomeTeam]:[HomeTeam]],$A30, Table1[[AwayTeam]:[AwayTeam]], V$1, Table1[[ActualResult]:[ActualResult]], "SO"),0))</f>
        <v>0-0-0</v>
      </c>
      <c r="W30" s="57" t="str">
        <f>_xlfn.CONCAT(TEXT(SUMIFS(Table1[[AwayWon]:[AwayWon]], Table1[[GameIsOver]:[GameIsOver]],1,Table1[[AwayTeam]:[AwayTeam]],$A30, Table1[[HomeTeam]:[HomeTeam]], W$1) + SUMIFS(Table1[[HomeWon]:[HomeWon]], Table1[[GameIsOver]:[GameIsOver]],1,Table1[[HomeTeam]:[HomeTeam]],$A30, Table1[[AwayTeam]:[AwayTeam]], W$1),0), "-", TEXT(SUMIFS(Table1[[HomeWon]:[HomeWon]], Table1[[GameIsOver]:[GameIsOver]],1,Table1[[AwayTeam]:[AwayTeam]],$A30, Table1[[HomeTeam]:[HomeTeam]], W$1, Table1[[ActualResult]:[ActualResult]], "REG") + SUMIFS(Table1[[AwayWon]:[AwayWon]], Table1[[GameIsOver]:[GameIsOver]],1,Table1[[HomeTeam]:[HomeTeam]],$A30, Table1[[AwayTeam]:[AwayTeam]], W$1, Table1[[ActualResult]:[ActualResult]], "REG"),0), "-", TEXT(SUMIFS(Table1[[HomeWon]:[HomeWon]], Table1[[GameIsOver]:[GameIsOver]],1,Table1[[AwayTeam]:[AwayTeam]],$A30, Table1[[HomeTeam]:[HomeTeam]], W$1, Table1[[ActualResult]:[ActualResult]], "OT") + SUMIFS(Table1[[AwayWon]:[AwayWon]], Table1[[GameIsOver]:[GameIsOver]],1,Table1[[HomeTeam]:[HomeTeam]],$A30, Table1[[AwayTeam]:[AwayTeam]], W$1, Table1[[ActualResult]:[ActualResult]], "OT") + SUMIFS(Table1[[HomeWon]:[HomeWon]], Table1[[GameIsOver]:[GameIsOver]],1,Table1[[AwayTeam]:[AwayTeam]],$A30, Table1[[HomeTeam]:[HomeTeam]], W$1, Table1[[ActualResult]:[ActualResult]], "SO") + SUMIFS(Table1[[AwayWon]:[AwayWon]], Table1[[GameIsOver]:[GameIsOver]],1,Table1[[HomeTeam]:[HomeTeam]],$A30, Table1[[AwayTeam]:[AwayTeam]], W$1, Table1[[ActualResult]:[ActualResult]], "SO"),0))</f>
        <v>0-0-0</v>
      </c>
      <c r="X30" s="57" t="str">
        <f>_xlfn.CONCAT(TEXT(SUMIFS(Table1[[AwayWon]:[AwayWon]], Table1[[GameIsOver]:[GameIsOver]],1,Table1[[AwayTeam]:[AwayTeam]],$A30, Table1[[HomeTeam]:[HomeTeam]], X$1) + SUMIFS(Table1[[HomeWon]:[HomeWon]], Table1[[GameIsOver]:[GameIsOver]],1,Table1[[HomeTeam]:[HomeTeam]],$A30, Table1[[AwayTeam]:[AwayTeam]], X$1),0), "-", TEXT(SUMIFS(Table1[[HomeWon]:[HomeWon]], Table1[[GameIsOver]:[GameIsOver]],1,Table1[[AwayTeam]:[AwayTeam]],$A30, Table1[[HomeTeam]:[HomeTeam]], X$1, Table1[[ActualResult]:[ActualResult]], "REG") + SUMIFS(Table1[[AwayWon]:[AwayWon]], Table1[[GameIsOver]:[GameIsOver]],1,Table1[[HomeTeam]:[HomeTeam]],$A30, Table1[[AwayTeam]:[AwayTeam]], X$1, Table1[[ActualResult]:[ActualResult]], "REG"),0), "-", TEXT(SUMIFS(Table1[[HomeWon]:[HomeWon]], Table1[[GameIsOver]:[GameIsOver]],1,Table1[[AwayTeam]:[AwayTeam]],$A30, Table1[[HomeTeam]:[HomeTeam]], X$1, Table1[[ActualResult]:[ActualResult]], "OT") + SUMIFS(Table1[[AwayWon]:[AwayWon]], Table1[[GameIsOver]:[GameIsOver]],1,Table1[[HomeTeam]:[HomeTeam]],$A30, Table1[[AwayTeam]:[AwayTeam]], X$1, Table1[[ActualResult]:[ActualResult]], "OT") + SUMIFS(Table1[[HomeWon]:[HomeWon]], Table1[[GameIsOver]:[GameIsOver]],1,Table1[[AwayTeam]:[AwayTeam]],$A30, Table1[[HomeTeam]:[HomeTeam]], X$1, Table1[[ActualResult]:[ActualResult]], "SO") + SUMIFS(Table1[[AwayWon]:[AwayWon]], Table1[[GameIsOver]:[GameIsOver]],1,Table1[[HomeTeam]:[HomeTeam]],$A30, Table1[[AwayTeam]:[AwayTeam]], X$1, Table1[[ActualResult]:[ActualResult]], "SO"),0))</f>
        <v>0-0-0</v>
      </c>
      <c r="Y30" s="59" t="str">
        <f>_xlfn.CONCAT(TEXT(SUMIFS(Table1[[AwayWon]:[AwayWon]], Table1[[GameIsOver]:[GameIsOver]],1,Table1[[AwayTeam]:[AwayTeam]],$A30, Table1[[HomeTeam]:[HomeTeam]], Y$1) + SUMIFS(Table1[[HomeWon]:[HomeWon]], Table1[[GameIsOver]:[GameIsOver]],1,Table1[[HomeTeam]:[HomeTeam]],$A30, Table1[[AwayTeam]:[AwayTeam]], Y$1),0), "-", TEXT(SUMIFS(Table1[[HomeWon]:[HomeWon]], Table1[[GameIsOver]:[GameIsOver]],1,Table1[[AwayTeam]:[AwayTeam]],$A30, Table1[[HomeTeam]:[HomeTeam]], Y$1, Table1[[ActualResult]:[ActualResult]], "REG") + SUMIFS(Table1[[AwayWon]:[AwayWon]], Table1[[GameIsOver]:[GameIsOver]],1,Table1[[HomeTeam]:[HomeTeam]],$A30, Table1[[AwayTeam]:[AwayTeam]], Y$1, Table1[[ActualResult]:[ActualResult]], "REG"),0), "-", TEXT(SUMIFS(Table1[[HomeWon]:[HomeWon]], Table1[[GameIsOver]:[GameIsOver]],1,Table1[[AwayTeam]:[AwayTeam]],$A30, Table1[[HomeTeam]:[HomeTeam]], Y$1, Table1[[ActualResult]:[ActualResult]], "OT") + SUMIFS(Table1[[AwayWon]:[AwayWon]], Table1[[GameIsOver]:[GameIsOver]],1,Table1[[HomeTeam]:[HomeTeam]],$A30, Table1[[AwayTeam]:[AwayTeam]], Y$1, Table1[[ActualResult]:[ActualResult]], "OT") + SUMIFS(Table1[[HomeWon]:[HomeWon]], Table1[[GameIsOver]:[GameIsOver]],1,Table1[[AwayTeam]:[AwayTeam]],$A30, Table1[[HomeTeam]:[HomeTeam]], Y$1, Table1[[ActualResult]:[ActualResult]], "SO") + SUMIFS(Table1[[AwayWon]:[AwayWon]], Table1[[GameIsOver]:[GameIsOver]],1,Table1[[HomeTeam]:[HomeTeam]],$A30, Table1[[AwayTeam]:[AwayTeam]], Y$1, Table1[[ActualResult]:[ActualResult]], "SO"),0))</f>
        <v>0-0-0</v>
      </c>
      <c r="Z30" s="57" t="str">
        <f>_xlfn.CONCAT(TEXT(SUMIFS(Table1[[AwayWon]:[AwayWon]], Table1[[GameIsOver]:[GameIsOver]],1,Table1[[AwayTeam]:[AwayTeam]],$A30, Table1[[HomeTeam]:[HomeTeam]], Z$1) + SUMIFS(Table1[[HomeWon]:[HomeWon]], Table1[[GameIsOver]:[GameIsOver]],1,Table1[[HomeTeam]:[HomeTeam]],$A30, Table1[[AwayTeam]:[AwayTeam]], Z$1),0), "-", TEXT(SUMIFS(Table1[[HomeWon]:[HomeWon]], Table1[[GameIsOver]:[GameIsOver]],1,Table1[[AwayTeam]:[AwayTeam]],$A30, Table1[[HomeTeam]:[HomeTeam]], Z$1, Table1[[ActualResult]:[ActualResult]], "REG") + SUMIFS(Table1[[AwayWon]:[AwayWon]], Table1[[GameIsOver]:[GameIsOver]],1,Table1[[HomeTeam]:[HomeTeam]],$A30, Table1[[AwayTeam]:[AwayTeam]], Z$1, Table1[[ActualResult]:[ActualResult]], "REG"),0), "-", TEXT(SUMIFS(Table1[[HomeWon]:[HomeWon]], Table1[[GameIsOver]:[GameIsOver]],1,Table1[[AwayTeam]:[AwayTeam]],$A30, Table1[[HomeTeam]:[HomeTeam]], Z$1, Table1[[ActualResult]:[ActualResult]], "OT") + SUMIFS(Table1[[AwayWon]:[AwayWon]], Table1[[GameIsOver]:[GameIsOver]],1,Table1[[HomeTeam]:[HomeTeam]],$A30, Table1[[AwayTeam]:[AwayTeam]], Z$1, Table1[[ActualResult]:[ActualResult]], "OT") + SUMIFS(Table1[[HomeWon]:[HomeWon]], Table1[[GameIsOver]:[GameIsOver]],1,Table1[[AwayTeam]:[AwayTeam]],$A30, Table1[[HomeTeam]:[HomeTeam]], Z$1, Table1[[ActualResult]:[ActualResult]], "SO") + SUMIFS(Table1[[AwayWon]:[AwayWon]], Table1[[GameIsOver]:[GameIsOver]],1,Table1[[HomeTeam]:[HomeTeam]],$A30, Table1[[AwayTeam]:[AwayTeam]], Z$1, Table1[[ActualResult]:[ActualResult]], "SO"),0))</f>
        <v>0-0-0</v>
      </c>
      <c r="AA30" s="57" t="str">
        <f>_xlfn.CONCAT(TEXT(SUMIFS(Table1[[AwayWon]:[AwayWon]], Table1[[GameIsOver]:[GameIsOver]],1,Table1[[AwayTeam]:[AwayTeam]],$A30, Table1[[HomeTeam]:[HomeTeam]], AA$1) + SUMIFS(Table1[[HomeWon]:[HomeWon]], Table1[[GameIsOver]:[GameIsOver]],1,Table1[[HomeTeam]:[HomeTeam]],$A30, Table1[[AwayTeam]:[AwayTeam]], AA$1),0), "-", TEXT(SUMIFS(Table1[[HomeWon]:[HomeWon]], Table1[[GameIsOver]:[GameIsOver]],1,Table1[[AwayTeam]:[AwayTeam]],$A30, Table1[[HomeTeam]:[HomeTeam]], AA$1, Table1[[ActualResult]:[ActualResult]], "REG") + SUMIFS(Table1[[AwayWon]:[AwayWon]], Table1[[GameIsOver]:[GameIsOver]],1,Table1[[HomeTeam]:[HomeTeam]],$A30, Table1[[AwayTeam]:[AwayTeam]], AA$1, Table1[[ActualResult]:[ActualResult]], "REG"),0), "-", TEXT(SUMIFS(Table1[[HomeWon]:[HomeWon]], Table1[[GameIsOver]:[GameIsOver]],1,Table1[[AwayTeam]:[AwayTeam]],$A30, Table1[[HomeTeam]:[HomeTeam]], AA$1, Table1[[ActualResult]:[ActualResult]], "OT") + SUMIFS(Table1[[AwayWon]:[AwayWon]], Table1[[GameIsOver]:[GameIsOver]],1,Table1[[HomeTeam]:[HomeTeam]],$A30, Table1[[AwayTeam]:[AwayTeam]], AA$1, Table1[[ActualResult]:[ActualResult]], "OT") + SUMIFS(Table1[[HomeWon]:[HomeWon]], Table1[[GameIsOver]:[GameIsOver]],1,Table1[[AwayTeam]:[AwayTeam]],$A30, Table1[[HomeTeam]:[HomeTeam]], AA$1, Table1[[ActualResult]:[ActualResult]], "SO") + SUMIFS(Table1[[AwayWon]:[AwayWon]], Table1[[GameIsOver]:[GameIsOver]],1,Table1[[HomeTeam]:[HomeTeam]],$A30, Table1[[AwayTeam]:[AwayTeam]], AA$1, Table1[[ActualResult]:[ActualResult]], "SO"),0))</f>
        <v>0-0-0</v>
      </c>
      <c r="AB30" s="57" t="str">
        <f>_xlfn.CONCAT(TEXT(SUMIFS(Table1[[AwayWon]:[AwayWon]], Table1[[GameIsOver]:[GameIsOver]],1,Table1[[AwayTeam]:[AwayTeam]],$A30, Table1[[HomeTeam]:[HomeTeam]], AB$1) + SUMIFS(Table1[[HomeWon]:[HomeWon]], Table1[[GameIsOver]:[GameIsOver]],1,Table1[[HomeTeam]:[HomeTeam]],$A30, Table1[[AwayTeam]:[AwayTeam]], AB$1),0), "-", TEXT(SUMIFS(Table1[[HomeWon]:[HomeWon]], Table1[[GameIsOver]:[GameIsOver]],1,Table1[[AwayTeam]:[AwayTeam]],$A30, Table1[[HomeTeam]:[HomeTeam]], AB$1, Table1[[ActualResult]:[ActualResult]], "REG") + SUMIFS(Table1[[AwayWon]:[AwayWon]], Table1[[GameIsOver]:[GameIsOver]],1,Table1[[HomeTeam]:[HomeTeam]],$A30, Table1[[AwayTeam]:[AwayTeam]], AB$1, Table1[[ActualResult]:[ActualResult]], "REG"),0), "-", TEXT(SUMIFS(Table1[[HomeWon]:[HomeWon]], Table1[[GameIsOver]:[GameIsOver]],1,Table1[[AwayTeam]:[AwayTeam]],$A30, Table1[[HomeTeam]:[HomeTeam]], AB$1, Table1[[ActualResult]:[ActualResult]], "OT") + SUMIFS(Table1[[AwayWon]:[AwayWon]], Table1[[GameIsOver]:[GameIsOver]],1,Table1[[HomeTeam]:[HomeTeam]],$A30, Table1[[AwayTeam]:[AwayTeam]], AB$1, Table1[[ActualResult]:[ActualResult]], "OT") + SUMIFS(Table1[[HomeWon]:[HomeWon]], Table1[[GameIsOver]:[GameIsOver]],1,Table1[[AwayTeam]:[AwayTeam]],$A30, Table1[[HomeTeam]:[HomeTeam]], AB$1, Table1[[ActualResult]:[ActualResult]], "SO") + SUMIFS(Table1[[AwayWon]:[AwayWon]], Table1[[GameIsOver]:[GameIsOver]],1,Table1[[HomeTeam]:[HomeTeam]],$A30, Table1[[AwayTeam]:[AwayTeam]], AB$1, Table1[[ActualResult]:[ActualResult]], "SO"),0))</f>
        <v>0-0-0</v>
      </c>
      <c r="AC30" s="57" t="str">
        <f>_xlfn.CONCAT(TEXT(SUMIFS(Table1[[AwayWon]:[AwayWon]], Table1[[GameIsOver]:[GameIsOver]],1,Table1[[AwayTeam]:[AwayTeam]],$A30, Table1[[HomeTeam]:[HomeTeam]], AC$1) + SUMIFS(Table1[[HomeWon]:[HomeWon]], Table1[[GameIsOver]:[GameIsOver]],1,Table1[[HomeTeam]:[HomeTeam]],$A30, Table1[[AwayTeam]:[AwayTeam]], AC$1),0), "-", TEXT(SUMIFS(Table1[[HomeWon]:[HomeWon]], Table1[[GameIsOver]:[GameIsOver]],1,Table1[[AwayTeam]:[AwayTeam]],$A30, Table1[[HomeTeam]:[HomeTeam]], AC$1, Table1[[ActualResult]:[ActualResult]], "REG") + SUMIFS(Table1[[AwayWon]:[AwayWon]], Table1[[GameIsOver]:[GameIsOver]],1,Table1[[HomeTeam]:[HomeTeam]],$A30, Table1[[AwayTeam]:[AwayTeam]], AC$1, Table1[[ActualResult]:[ActualResult]], "REG"),0), "-", TEXT(SUMIFS(Table1[[HomeWon]:[HomeWon]], Table1[[GameIsOver]:[GameIsOver]],1,Table1[[AwayTeam]:[AwayTeam]],$A30, Table1[[HomeTeam]:[HomeTeam]], AC$1, Table1[[ActualResult]:[ActualResult]], "OT") + SUMIFS(Table1[[AwayWon]:[AwayWon]], Table1[[GameIsOver]:[GameIsOver]],1,Table1[[HomeTeam]:[HomeTeam]],$A30, Table1[[AwayTeam]:[AwayTeam]], AC$1, Table1[[ActualResult]:[ActualResult]], "OT") + SUMIFS(Table1[[HomeWon]:[HomeWon]], Table1[[GameIsOver]:[GameIsOver]],1,Table1[[AwayTeam]:[AwayTeam]],$A30, Table1[[HomeTeam]:[HomeTeam]], AC$1, Table1[[ActualResult]:[ActualResult]], "SO") + SUMIFS(Table1[[AwayWon]:[AwayWon]], Table1[[GameIsOver]:[GameIsOver]],1,Table1[[HomeTeam]:[HomeTeam]],$A30, Table1[[AwayTeam]:[AwayTeam]], AC$1, Table1[[ActualResult]:[ActualResult]], "SO"),0))</f>
        <v>0-0-0</v>
      </c>
      <c r="AD30" s="57" t="str">
        <f>_xlfn.CONCAT(TEXT(SUMIFS(Table1[[AwayWon]:[AwayWon]], Table1[[GameIsOver]:[GameIsOver]],1,Table1[[AwayTeam]:[AwayTeam]],$A30, Table1[[HomeTeam]:[HomeTeam]], AD$1) + SUMIFS(Table1[[HomeWon]:[HomeWon]], Table1[[GameIsOver]:[GameIsOver]],1,Table1[[HomeTeam]:[HomeTeam]],$A30, Table1[[AwayTeam]:[AwayTeam]], AD$1),0), "-", TEXT(SUMIFS(Table1[[HomeWon]:[HomeWon]], Table1[[GameIsOver]:[GameIsOver]],1,Table1[[AwayTeam]:[AwayTeam]],$A30, Table1[[HomeTeam]:[HomeTeam]], AD$1, Table1[[ActualResult]:[ActualResult]], "REG") + SUMIFS(Table1[[AwayWon]:[AwayWon]], Table1[[GameIsOver]:[GameIsOver]],1,Table1[[HomeTeam]:[HomeTeam]],$A30, Table1[[AwayTeam]:[AwayTeam]], AD$1, Table1[[ActualResult]:[ActualResult]], "REG"),0), "-", TEXT(SUMIFS(Table1[[HomeWon]:[HomeWon]], Table1[[GameIsOver]:[GameIsOver]],1,Table1[[AwayTeam]:[AwayTeam]],$A30, Table1[[HomeTeam]:[HomeTeam]], AD$1, Table1[[ActualResult]:[ActualResult]], "OT") + SUMIFS(Table1[[AwayWon]:[AwayWon]], Table1[[GameIsOver]:[GameIsOver]],1,Table1[[HomeTeam]:[HomeTeam]],$A30, Table1[[AwayTeam]:[AwayTeam]], AD$1, Table1[[ActualResult]:[ActualResult]], "OT") + SUMIFS(Table1[[HomeWon]:[HomeWon]], Table1[[GameIsOver]:[GameIsOver]],1,Table1[[AwayTeam]:[AwayTeam]],$A30, Table1[[HomeTeam]:[HomeTeam]], AD$1, Table1[[ActualResult]:[ActualResult]], "SO") + SUMIFS(Table1[[AwayWon]:[AwayWon]], Table1[[GameIsOver]:[GameIsOver]],1,Table1[[HomeTeam]:[HomeTeam]],$A30, Table1[[AwayTeam]:[AwayTeam]], AD$1, Table1[[ActualResult]:[ActualResult]], "SO"),0))</f>
        <v>0-0-0</v>
      </c>
      <c r="AE30" s="57" t="str">
        <f>_xlfn.CONCAT(TEXT(SUMIFS(Table1[[AwayWon]:[AwayWon]], Table1[[GameIsOver]:[GameIsOver]],1,Table1[[AwayTeam]:[AwayTeam]],$A30, Table1[[HomeTeam]:[HomeTeam]], AE$1) + SUMIFS(Table1[[HomeWon]:[HomeWon]], Table1[[GameIsOver]:[GameIsOver]],1,Table1[[HomeTeam]:[HomeTeam]],$A30, Table1[[AwayTeam]:[AwayTeam]], AE$1),0), "-", TEXT(SUMIFS(Table1[[HomeWon]:[HomeWon]], Table1[[GameIsOver]:[GameIsOver]],1,Table1[[AwayTeam]:[AwayTeam]],$A30, Table1[[HomeTeam]:[HomeTeam]], AE$1, Table1[[ActualResult]:[ActualResult]], "REG") + SUMIFS(Table1[[AwayWon]:[AwayWon]], Table1[[GameIsOver]:[GameIsOver]],1,Table1[[HomeTeam]:[HomeTeam]],$A30, Table1[[AwayTeam]:[AwayTeam]], AE$1, Table1[[ActualResult]:[ActualResult]], "REG"),0), "-", TEXT(SUMIFS(Table1[[HomeWon]:[HomeWon]], Table1[[GameIsOver]:[GameIsOver]],1,Table1[[AwayTeam]:[AwayTeam]],$A30, Table1[[HomeTeam]:[HomeTeam]], AE$1, Table1[[ActualResult]:[ActualResult]], "OT") + SUMIFS(Table1[[AwayWon]:[AwayWon]], Table1[[GameIsOver]:[GameIsOver]],1,Table1[[HomeTeam]:[HomeTeam]],$A30, Table1[[AwayTeam]:[AwayTeam]], AE$1, Table1[[ActualResult]:[ActualResult]], "OT") + SUMIFS(Table1[[HomeWon]:[HomeWon]], Table1[[GameIsOver]:[GameIsOver]],1,Table1[[AwayTeam]:[AwayTeam]],$A30, Table1[[HomeTeam]:[HomeTeam]], AE$1, Table1[[ActualResult]:[ActualResult]], "SO") + SUMIFS(Table1[[AwayWon]:[AwayWon]], Table1[[GameIsOver]:[GameIsOver]],1,Table1[[HomeTeam]:[HomeTeam]],$A30, Table1[[AwayTeam]:[AwayTeam]], AE$1, Table1[[ActualResult]:[ActualResult]], "SO"),0))</f>
        <v>0-0-0</v>
      </c>
      <c r="AF30" s="57" t="str">
        <f>_xlfn.CONCAT(TEXT(SUMIFS(Table1[[AwayWon]:[AwayWon]], Table1[[GameIsOver]:[GameIsOver]],1,Table1[[AwayTeam]:[AwayTeam]],$A30, Table1[[HomeTeam]:[HomeTeam]], AF$1) + SUMIFS(Table1[[HomeWon]:[HomeWon]], Table1[[GameIsOver]:[GameIsOver]],1,Table1[[HomeTeam]:[HomeTeam]],$A30, Table1[[AwayTeam]:[AwayTeam]], AF$1),0), "-", TEXT(SUMIFS(Table1[[HomeWon]:[HomeWon]], Table1[[GameIsOver]:[GameIsOver]],1,Table1[[AwayTeam]:[AwayTeam]],$A30, Table1[[HomeTeam]:[HomeTeam]], AF$1, Table1[[ActualResult]:[ActualResult]], "REG") + SUMIFS(Table1[[AwayWon]:[AwayWon]], Table1[[GameIsOver]:[GameIsOver]],1,Table1[[HomeTeam]:[HomeTeam]],$A30, Table1[[AwayTeam]:[AwayTeam]], AF$1, Table1[[ActualResult]:[ActualResult]], "REG"),0), "-", TEXT(SUMIFS(Table1[[HomeWon]:[HomeWon]], Table1[[GameIsOver]:[GameIsOver]],1,Table1[[AwayTeam]:[AwayTeam]],$A30, Table1[[HomeTeam]:[HomeTeam]], AF$1, Table1[[ActualResult]:[ActualResult]], "OT") + SUMIFS(Table1[[AwayWon]:[AwayWon]], Table1[[GameIsOver]:[GameIsOver]],1,Table1[[HomeTeam]:[HomeTeam]],$A30, Table1[[AwayTeam]:[AwayTeam]], AF$1, Table1[[ActualResult]:[ActualResult]], "OT") + SUMIFS(Table1[[HomeWon]:[HomeWon]], Table1[[GameIsOver]:[GameIsOver]],1,Table1[[AwayTeam]:[AwayTeam]],$A30, Table1[[HomeTeam]:[HomeTeam]], AF$1, Table1[[ActualResult]:[ActualResult]], "SO") + SUMIFS(Table1[[AwayWon]:[AwayWon]], Table1[[GameIsOver]:[GameIsOver]],1,Table1[[HomeTeam]:[HomeTeam]],$A30, Table1[[AwayTeam]:[AwayTeam]], AF$1, Table1[[ActualResult]:[ActualResult]], "SO"),0))</f>
        <v>0-0-0</v>
      </c>
      <c r="AG30" s="57" t="str">
        <f>_xlfn.CONCAT(TEXT(SUMIFS(Table1[[AwayWon]:[AwayWon]], Table1[[GameIsOver]:[GameIsOver]],1,Table1[[AwayTeam]:[AwayTeam]],$A30, Table1[[HomeTeam]:[HomeTeam]], AG$1) + SUMIFS(Table1[[HomeWon]:[HomeWon]], Table1[[GameIsOver]:[GameIsOver]],1,Table1[[HomeTeam]:[HomeTeam]],$A30, Table1[[AwayTeam]:[AwayTeam]], AG$1),0), "-", TEXT(SUMIFS(Table1[[HomeWon]:[HomeWon]], Table1[[GameIsOver]:[GameIsOver]],1,Table1[[AwayTeam]:[AwayTeam]],$A30, Table1[[HomeTeam]:[HomeTeam]], AG$1, Table1[[ActualResult]:[ActualResult]], "REG") + SUMIFS(Table1[[AwayWon]:[AwayWon]], Table1[[GameIsOver]:[GameIsOver]],1,Table1[[HomeTeam]:[HomeTeam]],$A30, Table1[[AwayTeam]:[AwayTeam]], AG$1, Table1[[ActualResult]:[ActualResult]], "REG"),0), "-", TEXT(SUMIFS(Table1[[HomeWon]:[HomeWon]], Table1[[GameIsOver]:[GameIsOver]],1,Table1[[AwayTeam]:[AwayTeam]],$A30, Table1[[HomeTeam]:[HomeTeam]], AG$1, Table1[[ActualResult]:[ActualResult]], "OT") + SUMIFS(Table1[[AwayWon]:[AwayWon]], Table1[[GameIsOver]:[GameIsOver]],1,Table1[[HomeTeam]:[HomeTeam]],$A30, Table1[[AwayTeam]:[AwayTeam]], AG$1, Table1[[ActualResult]:[ActualResult]], "OT") + SUMIFS(Table1[[HomeWon]:[HomeWon]], Table1[[GameIsOver]:[GameIsOver]],1,Table1[[AwayTeam]:[AwayTeam]],$A30, Table1[[HomeTeam]:[HomeTeam]], AG$1, Table1[[ActualResult]:[ActualResult]], "SO") + SUMIFS(Table1[[AwayWon]:[AwayWon]], Table1[[GameIsOver]:[GameIsOver]],1,Table1[[HomeTeam]:[HomeTeam]],$A30, Table1[[AwayTeam]:[AwayTeam]], AG$1, Table1[[ActualResult]:[ActualResult]], "SO"),0))</f>
        <v>0-0-0</v>
      </c>
    </row>
    <row r="31" spans="1:33" x14ac:dyDescent="0.25">
      <c r="A31" s="28" t="s">
        <v>52</v>
      </c>
      <c r="B31" s="57" t="str">
        <f>_xlfn.CONCAT(TEXT(SUMIFS(Table1[[AwayWon]:[AwayWon]], Table1[[GameIsOver]:[GameIsOver]],1,Table1[[AwayTeam]:[AwayTeam]],$A31, Table1[[HomeTeam]:[HomeTeam]], B$1) + SUMIFS(Table1[[HomeWon]:[HomeWon]], Table1[[GameIsOver]:[GameIsOver]],1,Table1[[HomeTeam]:[HomeTeam]],$A31, Table1[[AwayTeam]:[AwayTeam]], B$1),0), "-", TEXT(SUMIFS(Table1[[HomeWon]:[HomeWon]], Table1[[GameIsOver]:[GameIsOver]],1,Table1[[AwayTeam]:[AwayTeam]],$A31, Table1[[HomeTeam]:[HomeTeam]], B$1, Table1[[ActualResult]:[ActualResult]], "REG") + SUMIFS(Table1[[AwayWon]:[AwayWon]], Table1[[GameIsOver]:[GameIsOver]],1,Table1[[HomeTeam]:[HomeTeam]],$A31, Table1[[AwayTeam]:[AwayTeam]], B$1, Table1[[ActualResult]:[ActualResult]], "REG"),0), "-", TEXT(SUMIFS(Table1[[HomeWon]:[HomeWon]], Table1[[GameIsOver]:[GameIsOver]],1,Table1[[AwayTeam]:[AwayTeam]],$A31, Table1[[HomeTeam]:[HomeTeam]], B$1, Table1[[ActualResult]:[ActualResult]], "OT") + SUMIFS(Table1[[AwayWon]:[AwayWon]], Table1[[GameIsOver]:[GameIsOver]],1,Table1[[HomeTeam]:[HomeTeam]],$A31, Table1[[AwayTeam]:[AwayTeam]], B$1, Table1[[ActualResult]:[ActualResult]], "OT") + SUMIFS(Table1[[HomeWon]:[HomeWon]], Table1[[GameIsOver]:[GameIsOver]],1,Table1[[AwayTeam]:[AwayTeam]],$A31, Table1[[HomeTeam]:[HomeTeam]], B$1, Table1[[ActualResult]:[ActualResult]], "SO") + SUMIFS(Table1[[AwayWon]:[AwayWon]], Table1[[GameIsOver]:[GameIsOver]],1,Table1[[HomeTeam]:[HomeTeam]],$A31, Table1[[AwayTeam]:[AwayTeam]], B$1, Table1[[ActualResult]:[ActualResult]], "SO"),0))</f>
        <v>0-0-0</v>
      </c>
      <c r="C31" s="57" t="str">
        <f>_xlfn.CONCAT(TEXT(SUMIFS(Table1[[AwayWon]:[AwayWon]], Table1[[GameIsOver]:[GameIsOver]],1,Table1[[AwayTeam]:[AwayTeam]],$A31, Table1[[HomeTeam]:[HomeTeam]], C$1) + SUMIFS(Table1[[HomeWon]:[HomeWon]], Table1[[GameIsOver]:[GameIsOver]],1,Table1[[HomeTeam]:[HomeTeam]],$A31, Table1[[AwayTeam]:[AwayTeam]], C$1),0), "-", TEXT(SUMIFS(Table1[[HomeWon]:[HomeWon]], Table1[[GameIsOver]:[GameIsOver]],1,Table1[[AwayTeam]:[AwayTeam]],$A31, Table1[[HomeTeam]:[HomeTeam]], C$1, Table1[[ActualResult]:[ActualResult]], "REG") + SUMIFS(Table1[[AwayWon]:[AwayWon]], Table1[[GameIsOver]:[GameIsOver]],1,Table1[[HomeTeam]:[HomeTeam]],$A31, Table1[[AwayTeam]:[AwayTeam]], C$1, Table1[[ActualResult]:[ActualResult]], "REG"),0), "-", TEXT(SUMIFS(Table1[[HomeWon]:[HomeWon]], Table1[[GameIsOver]:[GameIsOver]],1,Table1[[AwayTeam]:[AwayTeam]],$A31, Table1[[HomeTeam]:[HomeTeam]], C$1, Table1[[ActualResult]:[ActualResult]], "OT") + SUMIFS(Table1[[AwayWon]:[AwayWon]], Table1[[GameIsOver]:[GameIsOver]],1,Table1[[HomeTeam]:[HomeTeam]],$A31, Table1[[AwayTeam]:[AwayTeam]], C$1, Table1[[ActualResult]:[ActualResult]], "OT") + SUMIFS(Table1[[HomeWon]:[HomeWon]], Table1[[GameIsOver]:[GameIsOver]],1,Table1[[AwayTeam]:[AwayTeam]],$A31, Table1[[HomeTeam]:[HomeTeam]], C$1, Table1[[ActualResult]:[ActualResult]], "SO") + SUMIFS(Table1[[AwayWon]:[AwayWon]], Table1[[GameIsOver]:[GameIsOver]],1,Table1[[HomeTeam]:[HomeTeam]],$A31, Table1[[AwayTeam]:[AwayTeam]], C$1, Table1[[ActualResult]:[ActualResult]], "SO"),0))</f>
        <v>0-1-0</v>
      </c>
      <c r="D31" s="57" t="str">
        <f>_xlfn.CONCAT(TEXT(SUMIFS(Table1[[AwayWon]:[AwayWon]], Table1[[GameIsOver]:[GameIsOver]],1,Table1[[AwayTeam]:[AwayTeam]],$A31, Table1[[HomeTeam]:[HomeTeam]], D$1) + SUMIFS(Table1[[HomeWon]:[HomeWon]], Table1[[GameIsOver]:[GameIsOver]],1,Table1[[HomeTeam]:[HomeTeam]],$A31, Table1[[AwayTeam]:[AwayTeam]], D$1),0), "-", TEXT(SUMIFS(Table1[[HomeWon]:[HomeWon]], Table1[[GameIsOver]:[GameIsOver]],1,Table1[[AwayTeam]:[AwayTeam]],$A31, Table1[[HomeTeam]:[HomeTeam]], D$1, Table1[[ActualResult]:[ActualResult]], "REG") + SUMIFS(Table1[[AwayWon]:[AwayWon]], Table1[[GameIsOver]:[GameIsOver]],1,Table1[[HomeTeam]:[HomeTeam]],$A31, Table1[[AwayTeam]:[AwayTeam]], D$1, Table1[[ActualResult]:[ActualResult]], "REG"),0), "-", TEXT(SUMIFS(Table1[[HomeWon]:[HomeWon]], Table1[[GameIsOver]:[GameIsOver]],1,Table1[[AwayTeam]:[AwayTeam]],$A31, Table1[[HomeTeam]:[HomeTeam]], D$1, Table1[[ActualResult]:[ActualResult]], "OT") + SUMIFS(Table1[[AwayWon]:[AwayWon]], Table1[[GameIsOver]:[GameIsOver]],1,Table1[[HomeTeam]:[HomeTeam]],$A31, Table1[[AwayTeam]:[AwayTeam]], D$1, Table1[[ActualResult]:[ActualResult]], "OT") + SUMIFS(Table1[[HomeWon]:[HomeWon]], Table1[[GameIsOver]:[GameIsOver]],1,Table1[[AwayTeam]:[AwayTeam]],$A31, Table1[[HomeTeam]:[HomeTeam]], D$1, Table1[[ActualResult]:[ActualResult]], "SO") + SUMIFS(Table1[[AwayWon]:[AwayWon]], Table1[[GameIsOver]:[GameIsOver]],1,Table1[[HomeTeam]:[HomeTeam]],$A31, Table1[[AwayTeam]:[AwayTeam]], D$1, Table1[[ActualResult]:[ActualResult]], "SO"),0))</f>
        <v>0-0-0</v>
      </c>
      <c r="E31" s="57" t="str">
        <f>_xlfn.CONCAT(TEXT(SUMIFS(Table1[[AwayWon]:[AwayWon]], Table1[[GameIsOver]:[GameIsOver]],1,Table1[[AwayTeam]:[AwayTeam]],$A31, Table1[[HomeTeam]:[HomeTeam]], E$1) + SUMIFS(Table1[[HomeWon]:[HomeWon]], Table1[[GameIsOver]:[GameIsOver]],1,Table1[[HomeTeam]:[HomeTeam]],$A31, Table1[[AwayTeam]:[AwayTeam]], E$1),0), "-", TEXT(SUMIFS(Table1[[HomeWon]:[HomeWon]], Table1[[GameIsOver]:[GameIsOver]],1,Table1[[AwayTeam]:[AwayTeam]],$A31, Table1[[HomeTeam]:[HomeTeam]], E$1, Table1[[ActualResult]:[ActualResult]], "REG") + SUMIFS(Table1[[AwayWon]:[AwayWon]], Table1[[GameIsOver]:[GameIsOver]],1,Table1[[HomeTeam]:[HomeTeam]],$A31, Table1[[AwayTeam]:[AwayTeam]], E$1, Table1[[ActualResult]:[ActualResult]], "REG"),0), "-", TEXT(SUMIFS(Table1[[HomeWon]:[HomeWon]], Table1[[GameIsOver]:[GameIsOver]],1,Table1[[AwayTeam]:[AwayTeam]],$A31, Table1[[HomeTeam]:[HomeTeam]], E$1, Table1[[ActualResult]:[ActualResult]], "OT") + SUMIFS(Table1[[AwayWon]:[AwayWon]], Table1[[GameIsOver]:[GameIsOver]],1,Table1[[HomeTeam]:[HomeTeam]],$A31, Table1[[AwayTeam]:[AwayTeam]], E$1, Table1[[ActualResult]:[ActualResult]], "OT") + SUMIFS(Table1[[HomeWon]:[HomeWon]], Table1[[GameIsOver]:[GameIsOver]],1,Table1[[AwayTeam]:[AwayTeam]],$A31, Table1[[HomeTeam]:[HomeTeam]], E$1, Table1[[ActualResult]:[ActualResult]], "SO") + SUMIFS(Table1[[AwayWon]:[AwayWon]], Table1[[GameIsOver]:[GameIsOver]],1,Table1[[HomeTeam]:[HomeTeam]],$A31, Table1[[AwayTeam]:[AwayTeam]], E$1, Table1[[ActualResult]:[ActualResult]], "SO"),0))</f>
        <v>0-0-0</v>
      </c>
      <c r="F31" s="57" t="str">
        <f>_xlfn.CONCAT(TEXT(SUMIFS(Table1[[AwayWon]:[AwayWon]], Table1[[GameIsOver]:[GameIsOver]],1,Table1[[AwayTeam]:[AwayTeam]],$A31, Table1[[HomeTeam]:[HomeTeam]], F$1) + SUMIFS(Table1[[HomeWon]:[HomeWon]], Table1[[GameIsOver]:[GameIsOver]],1,Table1[[HomeTeam]:[HomeTeam]],$A31, Table1[[AwayTeam]:[AwayTeam]], F$1),0), "-", TEXT(SUMIFS(Table1[[HomeWon]:[HomeWon]], Table1[[GameIsOver]:[GameIsOver]],1,Table1[[AwayTeam]:[AwayTeam]],$A31, Table1[[HomeTeam]:[HomeTeam]], F$1, Table1[[ActualResult]:[ActualResult]], "REG") + SUMIFS(Table1[[AwayWon]:[AwayWon]], Table1[[GameIsOver]:[GameIsOver]],1,Table1[[HomeTeam]:[HomeTeam]],$A31, Table1[[AwayTeam]:[AwayTeam]], F$1, Table1[[ActualResult]:[ActualResult]], "REG"),0), "-", TEXT(SUMIFS(Table1[[HomeWon]:[HomeWon]], Table1[[GameIsOver]:[GameIsOver]],1,Table1[[AwayTeam]:[AwayTeam]],$A31, Table1[[HomeTeam]:[HomeTeam]], F$1, Table1[[ActualResult]:[ActualResult]], "OT") + SUMIFS(Table1[[AwayWon]:[AwayWon]], Table1[[GameIsOver]:[GameIsOver]],1,Table1[[HomeTeam]:[HomeTeam]],$A31, Table1[[AwayTeam]:[AwayTeam]], F$1, Table1[[ActualResult]:[ActualResult]], "OT") + SUMIFS(Table1[[HomeWon]:[HomeWon]], Table1[[GameIsOver]:[GameIsOver]],1,Table1[[AwayTeam]:[AwayTeam]],$A31, Table1[[HomeTeam]:[HomeTeam]], F$1, Table1[[ActualResult]:[ActualResult]], "SO") + SUMIFS(Table1[[AwayWon]:[AwayWon]], Table1[[GameIsOver]:[GameIsOver]],1,Table1[[HomeTeam]:[HomeTeam]],$A31, Table1[[AwayTeam]:[AwayTeam]], F$1, Table1[[ActualResult]:[ActualResult]], "SO"),0))</f>
        <v>0-0-0</v>
      </c>
      <c r="G31" s="57" t="str">
        <f>_xlfn.CONCAT(TEXT(SUMIFS(Table1[[AwayWon]:[AwayWon]], Table1[[GameIsOver]:[GameIsOver]],1,Table1[[AwayTeam]:[AwayTeam]],$A31, Table1[[HomeTeam]:[HomeTeam]], G$1) + SUMIFS(Table1[[HomeWon]:[HomeWon]], Table1[[GameIsOver]:[GameIsOver]],1,Table1[[HomeTeam]:[HomeTeam]],$A31, Table1[[AwayTeam]:[AwayTeam]], G$1),0), "-", TEXT(SUMIFS(Table1[[HomeWon]:[HomeWon]], Table1[[GameIsOver]:[GameIsOver]],1,Table1[[AwayTeam]:[AwayTeam]],$A31, Table1[[HomeTeam]:[HomeTeam]], G$1, Table1[[ActualResult]:[ActualResult]], "REG") + SUMIFS(Table1[[AwayWon]:[AwayWon]], Table1[[GameIsOver]:[GameIsOver]],1,Table1[[HomeTeam]:[HomeTeam]],$A31, Table1[[AwayTeam]:[AwayTeam]], G$1, Table1[[ActualResult]:[ActualResult]], "REG"),0), "-", TEXT(SUMIFS(Table1[[HomeWon]:[HomeWon]], Table1[[GameIsOver]:[GameIsOver]],1,Table1[[AwayTeam]:[AwayTeam]],$A31, Table1[[HomeTeam]:[HomeTeam]], G$1, Table1[[ActualResult]:[ActualResult]], "OT") + SUMIFS(Table1[[AwayWon]:[AwayWon]], Table1[[GameIsOver]:[GameIsOver]],1,Table1[[HomeTeam]:[HomeTeam]],$A31, Table1[[AwayTeam]:[AwayTeam]], G$1, Table1[[ActualResult]:[ActualResult]], "OT") + SUMIFS(Table1[[HomeWon]:[HomeWon]], Table1[[GameIsOver]:[GameIsOver]],1,Table1[[AwayTeam]:[AwayTeam]],$A31, Table1[[HomeTeam]:[HomeTeam]], G$1, Table1[[ActualResult]:[ActualResult]], "SO") + SUMIFS(Table1[[AwayWon]:[AwayWon]], Table1[[GameIsOver]:[GameIsOver]],1,Table1[[HomeTeam]:[HomeTeam]],$A31, Table1[[AwayTeam]:[AwayTeam]], G$1, Table1[[ActualResult]:[ActualResult]], "SO"),0))</f>
        <v>0-0-0</v>
      </c>
      <c r="H31" s="57" t="str">
        <f>_xlfn.CONCAT(TEXT(SUMIFS(Table1[[AwayWon]:[AwayWon]], Table1[[GameIsOver]:[GameIsOver]],1,Table1[[AwayTeam]:[AwayTeam]],$A31, Table1[[HomeTeam]:[HomeTeam]], H$1) + SUMIFS(Table1[[HomeWon]:[HomeWon]], Table1[[GameIsOver]:[GameIsOver]],1,Table1[[HomeTeam]:[HomeTeam]],$A31, Table1[[AwayTeam]:[AwayTeam]], H$1),0), "-", TEXT(SUMIFS(Table1[[HomeWon]:[HomeWon]], Table1[[GameIsOver]:[GameIsOver]],1,Table1[[AwayTeam]:[AwayTeam]],$A31, Table1[[HomeTeam]:[HomeTeam]], H$1, Table1[[ActualResult]:[ActualResult]], "REG") + SUMIFS(Table1[[AwayWon]:[AwayWon]], Table1[[GameIsOver]:[GameIsOver]],1,Table1[[HomeTeam]:[HomeTeam]],$A31, Table1[[AwayTeam]:[AwayTeam]], H$1, Table1[[ActualResult]:[ActualResult]], "REG"),0), "-", TEXT(SUMIFS(Table1[[HomeWon]:[HomeWon]], Table1[[GameIsOver]:[GameIsOver]],1,Table1[[AwayTeam]:[AwayTeam]],$A31, Table1[[HomeTeam]:[HomeTeam]], H$1, Table1[[ActualResult]:[ActualResult]], "OT") + SUMIFS(Table1[[AwayWon]:[AwayWon]], Table1[[GameIsOver]:[GameIsOver]],1,Table1[[HomeTeam]:[HomeTeam]],$A31, Table1[[AwayTeam]:[AwayTeam]], H$1, Table1[[ActualResult]:[ActualResult]], "OT") + SUMIFS(Table1[[HomeWon]:[HomeWon]], Table1[[GameIsOver]:[GameIsOver]],1,Table1[[AwayTeam]:[AwayTeam]],$A31, Table1[[HomeTeam]:[HomeTeam]], H$1, Table1[[ActualResult]:[ActualResult]], "SO") + SUMIFS(Table1[[AwayWon]:[AwayWon]], Table1[[GameIsOver]:[GameIsOver]],1,Table1[[HomeTeam]:[HomeTeam]],$A31, Table1[[AwayTeam]:[AwayTeam]], H$1, Table1[[ActualResult]:[ActualResult]], "SO"),0))</f>
        <v>0-0-0</v>
      </c>
      <c r="I31" s="59" t="str">
        <f>_xlfn.CONCAT(TEXT(SUMIFS(Table1[[AwayWon]:[AwayWon]], Table1[[GameIsOver]:[GameIsOver]],1,Table1[[AwayTeam]:[AwayTeam]],$A31, Table1[[HomeTeam]:[HomeTeam]], I$1) + SUMIFS(Table1[[HomeWon]:[HomeWon]], Table1[[GameIsOver]:[GameIsOver]],1,Table1[[HomeTeam]:[HomeTeam]],$A31, Table1[[AwayTeam]:[AwayTeam]], I$1),0), "-", TEXT(SUMIFS(Table1[[HomeWon]:[HomeWon]], Table1[[GameIsOver]:[GameIsOver]],1,Table1[[AwayTeam]:[AwayTeam]],$A31, Table1[[HomeTeam]:[HomeTeam]], I$1, Table1[[ActualResult]:[ActualResult]], "REG") + SUMIFS(Table1[[AwayWon]:[AwayWon]], Table1[[GameIsOver]:[GameIsOver]],1,Table1[[HomeTeam]:[HomeTeam]],$A31, Table1[[AwayTeam]:[AwayTeam]], I$1, Table1[[ActualResult]:[ActualResult]], "REG"),0), "-", TEXT(SUMIFS(Table1[[HomeWon]:[HomeWon]], Table1[[GameIsOver]:[GameIsOver]],1,Table1[[AwayTeam]:[AwayTeam]],$A31, Table1[[HomeTeam]:[HomeTeam]], I$1, Table1[[ActualResult]:[ActualResult]], "OT") + SUMIFS(Table1[[AwayWon]:[AwayWon]], Table1[[GameIsOver]:[GameIsOver]],1,Table1[[HomeTeam]:[HomeTeam]],$A31, Table1[[AwayTeam]:[AwayTeam]], I$1, Table1[[ActualResult]:[ActualResult]], "OT") + SUMIFS(Table1[[HomeWon]:[HomeWon]], Table1[[GameIsOver]:[GameIsOver]],1,Table1[[AwayTeam]:[AwayTeam]],$A31, Table1[[HomeTeam]:[HomeTeam]], I$1, Table1[[ActualResult]:[ActualResult]], "SO") + SUMIFS(Table1[[AwayWon]:[AwayWon]], Table1[[GameIsOver]:[GameIsOver]],1,Table1[[HomeTeam]:[HomeTeam]],$A31, Table1[[AwayTeam]:[AwayTeam]], I$1, Table1[[ActualResult]:[ActualResult]], "SO"),0))</f>
        <v>0-0-0</v>
      </c>
      <c r="J31" s="57" t="str">
        <f>_xlfn.CONCAT(TEXT(SUMIFS(Table1[[AwayWon]:[AwayWon]], Table1[[GameIsOver]:[GameIsOver]],1,Table1[[AwayTeam]:[AwayTeam]],$A31, Table1[[HomeTeam]:[HomeTeam]], J$1) + SUMIFS(Table1[[HomeWon]:[HomeWon]], Table1[[GameIsOver]:[GameIsOver]],1,Table1[[HomeTeam]:[HomeTeam]],$A31, Table1[[AwayTeam]:[AwayTeam]], J$1),0), "-", TEXT(SUMIFS(Table1[[HomeWon]:[HomeWon]], Table1[[GameIsOver]:[GameIsOver]],1,Table1[[AwayTeam]:[AwayTeam]],$A31, Table1[[HomeTeam]:[HomeTeam]], J$1, Table1[[ActualResult]:[ActualResult]], "REG") + SUMIFS(Table1[[AwayWon]:[AwayWon]], Table1[[GameIsOver]:[GameIsOver]],1,Table1[[HomeTeam]:[HomeTeam]],$A31, Table1[[AwayTeam]:[AwayTeam]], J$1, Table1[[ActualResult]:[ActualResult]], "REG"),0), "-", TEXT(SUMIFS(Table1[[HomeWon]:[HomeWon]], Table1[[GameIsOver]:[GameIsOver]],1,Table1[[AwayTeam]:[AwayTeam]],$A31, Table1[[HomeTeam]:[HomeTeam]], J$1, Table1[[ActualResult]:[ActualResult]], "OT") + SUMIFS(Table1[[AwayWon]:[AwayWon]], Table1[[GameIsOver]:[GameIsOver]],1,Table1[[HomeTeam]:[HomeTeam]],$A31, Table1[[AwayTeam]:[AwayTeam]], J$1, Table1[[ActualResult]:[ActualResult]], "OT") + SUMIFS(Table1[[HomeWon]:[HomeWon]], Table1[[GameIsOver]:[GameIsOver]],1,Table1[[AwayTeam]:[AwayTeam]],$A31, Table1[[HomeTeam]:[HomeTeam]], J$1, Table1[[ActualResult]:[ActualResult]], "SO") + SUMIFS(Table1[[AwayWon]:[AwayWon]], Table1[[GameIsOver]:[GameIsOver]],1,Table1[[HomeTeam]:[HomeTeam]],$A31, Table1[[AwayTeam]:[AwayTeam]], J$1, Table1[[ActualResult]:[ActualResult]], "SO"),0))</f>
        <v>0-0-0</v>
      </c>
      <c r="K31" s="57" t="str">
        <f>_xlfn.CONCAT(TEXT(SUMIFS(Table1[[AwayWon]:[AwayWon]], Table1[[GameIsOver]:[GameIsOver]],1,Table1[[AwayTeam]:[AwayTeam]],$A31, Table1[[HomeTeam]:[HomeTeam]], K$1) + SUMIFS(Table1[[HomeWon]:[HomeWon]], Table1[[GameIsOver]:[GameIsOver]],1,Table1[[HomeTeam]:[HomeTeam]],$A31, Table1[[AwayTeam]:[AwayTeam]], K$1),0), "-", TEXT(SUMIFS(Table1[[HomeWon]:[HomeWon]], Table1[[GameIsOver]:[GameIsOver]],1,Table1[[AwayTeam]:[AwayTeam]],$A31, Table1[[HomeTeam]:[HomeTeam]], K$1, Table1[[ActualResult]:[ActualResult]], "REG") + SUMIFS(Table1[[AwayWon]:[AwayWon]], Table1[[GameIsOver]:[GameIsOver]],1,Table1[[HomeTeam]:[HomeTeam]],$A31, Table1[[AwayTeam]:[AwayTeam]], K$1, Table1[[ActualResult]:[ActualResult]], "REG"),0), "-", TEXT(SUMIFS(Table1[[HomeWon]:[HomeWon]], Table1[[GameIsOver]:[GameIsOver]],1,Table1[[AwayTeam]:[AwayTeam]],$A31, Table1[[HomeTeam]:[HomeTeam]], K$1, Table1[[ActualResult]:[ActualResult]], "OT") + SUMIFS(Table1[[AwayWon]:[AwayWon]], Table1[[GameIsOver]:[GameIsOver]],1,Table1[[HomeTeam]:[HomeTeam]],$A31, Table1[[AwayTeam]:[AwayTeam]], K$1, Table1[[ActualResult]:[ActualResult]], "OT") + SUMIFS(Table1[[HomeWon]:[HomeWon]], Table1[[GameIsOver]:[GameIsOver]],1,Table1[[AwayTeam]:[AwayTeam]],$A31, Table1[[HomeTeam]:[HomeTeam]], K$1, Table1[[ActualResult]:[ActualResult]], "SO") + SUMIFS(Table1[[AwayWon]:[AwayWon]], Table1[[GameIsOver]:[GameIsOver]],1,Table1[[HomeTeam]:[HomeTeam]],$A31, Table1[[AwayTeam]:[AwayTeam]], K$1, Table1[[ActualResult]:[ActualResult]], "SO"),0))</f>
        <v>0-0-0</v>
      </c>
      <c r="L31" s="57" t="str">
        <f>_xlfn.CONCAT(TEXT(SUMIFS(Table1[[AwayWon]:[AwayWon]], Table1[[GameIsOver]:[GameIsOver]],1,Table1[[AwayTeam]:[AwayTeam]],$A31, Table1[[HomeTeam]:[HomeTeam]], L$1) + SUMIFS(Table1[[HomeWon]:[HomeWon]], Table1[[GameIsOver]:[GameIsOver]],1,Table1[[HomeTeam]:[HomeTeam]],$A31, Table1[[AwayTeam]:[AwayTeam]], L$1),0), "-", TEXT(SUMIFS(Table1[[HomeWon]:[HomeWon]], Table1[[GameIsOver]:[GameIsOver]],1,Table1[[AwayTeam]:[AwayTeam]],$A31, Table1[[HomeTeam]:[HomeTeam]], L$1, Table1[[ActualResult]:[ActualResult]], "REG") + SUMIFS(Table1[[AwayWon]:[AwayWon]], Table1[[GameIsOver]:[GameIsOver]],1,Table1[[HomeTeam]:[HomeTeam]],$A31, Table1[[AwayTeam]:[AwayTeam]], L$1, Table1[[ActualResult]:[ActualResult]], "REG"),0), "-", TEXT(SUMIFS(Table1[[HomeWon]:[HomeWon]], Table1[[GameIsOver]:[GameIsOver]],1,Table1[[AwayTeam]:[AwayTeam]],$A31, Table1[[HomeTeam]:[HomeTeam]], L$1, Table1[[ActualResult]:[ActualResult]], "OT") + SUMIFS(Table1[[AwayWon]:[AwayWon]], Table1[[GameIsOver]:[GameIsOver]],1,Table1[[HomeTeam]:[HomeTeam]],$A31, Table1[[AwayTeam]:[AwayTeam]], L$1, Table1[[ActualResult]:[ActualResult]], "OT") + SUMIFS(Table1[[HomeWon]:[HomeWon]], Table1[[GameIsOver]:[GameIsOver]],1,Table1[[AwayTeam]:[AwayTeam]],$A31, Table1[[HomeTeam]:[HomeTeam]], L$1, Table1[[ActualResult]:[ActualResult]], "SO") + SUMIFS(Table1[[AwayWon]:[AwayWon]], Table1[[GameIsOver]:[GameIsOver]],1,Table1[[HomeTeam]:[HomeTeam]],$A31, Table1[[AwayTeam]:[AwayTeam]], L$1, Table1[[ActualResult]:[ActualResult]], "SO"),0))</f>
        <v>0-0-0</v>
      </c>
      <c r="M31" s="57" t="str">
        <f>_xlfn.CONCAT(TEXT(SUMIFS(Table1[[AwayWon]:[AwayWon]], Table1[[GameIsOver]:[GameIsOver]],1,Table1[[AwayTeam]:[AwayTeam]],$A31, Table1[[HomeTeam]:[HomeTeam]], M$1) + SUMIFS(Table1[[HomeWon]:[HomeWon]], Table1[[GameIsOver]:[GameIsOver]],1,Table1[[HomeTeam]:[HomeTeam]],$A31, Table1[[AwayTeam]:[AwayTeam]], M$1),0), "-", TEXT(SUMIFS(Table1[[HomeWon]:[HomeWon]], Table1[[GameIsOver]:[GameIsOver]],1,Table1[[AwayTeam]:[AwayTeam]],$A31, Table1[[HomeTeam]:[HomeTeam]], M$1, Table1[[ActualResult]:[ActualResult]], "REG") + SUMIFS(Table1[[AwayWon]:[AwayWon]], Table1[[GameIsOver]:[GameIsOver]],1,Table1[[HomeTeam]:[HomeTeam]],$A31, Table1[[AwayTeam]:[AwayTeam]], M$1, Table1[[ActualResult]:[ActualResult]], "REG"),0), "-", TEXT(SUMIFS(Table1[[HomeWon]:[HomeWon]], Table1[[GameIsOver]:[GameIsOver]],1,Table1[[AwayTeam]:[AwayTeam]],$A31, Table1[[HomeTeam]:[HomeTeam]], M$1, Table1[[ActualResult]:[ActualResult]], "OT") + SUMIFS(Table1[[AwayWon]:[AwayWon]], Table1[[GameIsOver]:[GameIsOver]],1,Table1[[HomeTeam]:[HomeTeam]],$A31, Table1[[AwayTeam]:[AwayTeam]], M$1, Table1[[ActualResult]:[ActualResult]], "OT") + SUMIFS(Table1[[HomeWon]:[HomeWon]], Table1[[GameIsOver]:[GameIsOver]],1,Table1[[AwayTeam]:[AwayTeam]],$A31, Table1[[HomeTeam]:[HomeTeam]], M$1, Table1[[ActualResult]:[ActualResult]], "SO") + SUMIFS(Table1[[AwayWon]:[AwayWon]], Table1[[GameIsOver]:[GameIsOver]],1,Table1[[HomeTeam]:[HomeTeam]],$A31, Table1[[AwayTeam]:[AwayTeam]], M$1, Table1[[ActualResult]:[ActualResult]], "SO"),0))</f>
        <v>0-0-0</v>
      </c>
      <c r="N31" s="57" t="str">
        <f>_xlfn.CONCAT(TEXT(SUMIFS(Table1[[AwayWon]:[AwayWon]], Table1[[GameIsOver]:[GameIsOver]],1,Table1[[AwayTeam]:[AwayTeam]],$A31, Table1[[HomeTeam]:[HomeTeam]], N$1) + SUMIFS(Table1[[HomeWon]:[HomeWon]], Table1[[GameIsOver]:[GameIsOver]],1,Table1[[HomeTeam]:[HomeTeam]],$A31, Table1[[AwayTeam]:[AwayTeam]], N$1),0), "-", TEXT(SUMIFS(Table1[[HomeWon]:[HomeWon]], Table1[[GameIsOver]:[GameIsOver]],1,Table1[[AwayTeam]:[AwayTeam]],$A31, Table1[[HomeTeam]:[HomeTeam]], N$1, Table1[[ActualResult]:[ActualResult]], "REG") + SUMIFS(Table1[[AwayWon]:[AwayWon]], Table1[[GameIsOver]:[GameIsOver]],1,Table1[[HomeTeam]:[HomeTeam]],$A31, Table1[[AwayTeam]:[AwayTeam]], N$1, Table1[[ActualResult]:[ActualResult]], "REG"),0), "-", TEXT(SUMIFS(Table1[[HomeWon]:[HomeWon]], Table1[[GameIsOver]:[GameIsOver]],1,Table1[[AwayTeam]:[AwayTeam]],$A31, Table1[[HomeTeam]:[HomeTeam]], N$1, Table1[[ActualResult]:[ActualResult]], "OT") + SUMIFS(Table1[[AwayWon]:[AwayWon]], Table1[[GameIsOver]:[GameIsOver]],1,Table1[[HomeTeam]:[HomeTeam]],$A31, Table1[[AwayTeam]:[AwayTeam]], N$1, Table1[[ActualResult]:[ActualResult]], "OT") + SUMIFS(Table1[[HomeWon]:[HomeWon]], Table1[[GameIsOver]:[GameIsOver]],1,Table1[[AwayTeam]:[AwayTeam]],$A31, Table1[[HomeTeam]:[HomeTeam]], N$1, Table1[[ActualResult]:[ActualResult]], "SO") + SUMIFS(Table1[[AwayWon]:[AwayWon]], Table1[[GameIsOver]:[GameIsOver]],1,Table1[[HomeTeam]:[HomeTeam]],$A31, Table1[[AwayTeam]:[AwayTeam]], N$1, Table1[[ActualResult]:[ActualResult]], "SO"),0))</f>
        <v>0-0-0</v>
      </c>
      <c r="O31" s="57" t="str">
        <f>_xlfn.CONCAT(TEXT(SUMIFS(Table1[[AwayWon]:[AwayWon]], Table1[[GameIsOver]:[GameIsOver]],1,Table1[[AwayTeam]:[AwayTeam]],$A31, Table1[[HomeTeam]:[HomeTeam]], O$1) + SUMIFS(Table1[[HomeWon]:[HomeWon]], Table1[[GameIsOver]:[GameIsOver]],1,Table1[[HomeTeam]:[HomeTeam]],$A31, Table1[[AwayTeam]:[AwayTeam]], O$1),0), "-", TEXT(SUMIFS(Table1[[HomeWon]:[HomeWon]], Table1[[GameIsOver]:[GameIsOver]],1,Table1[[AwayTeam]:[AwayTeam]],$A31, Table1[[HomeTeam]:[HomeTeam]], O$1, Table1[[ActualResult]:[ActualResult]], "REG") + SUMIFS(Table1[[AwayWon]:[AwayWon]], Table1[[GameIsOver]:[GameIsOver]],1,Table1[[HomeTeam]:[HomeTeam]],$A31, Table1[[AwayTeam]:[AwayTeam]], O$1, Table1[[ActualResult]:[ActualResult]], "REG"),0), "-", TEXT(SUMIFS(Table1[[HomeWon]:[HomeWon]], Table1[[GameIsOver]:[GameIsOver]],1,Table1[[AwayTeam]:[AwayTeam]],$A31, Table1[[HomeTeam]:[HomeTeam]], O$1, Table1[[ActualResult]:[ActualResult]], "OT") + SUMIFS(Table1[[AwayWon]:[AwayWon]], Table1[[GameIsOver]:[GameIsOver]],1,Table1[[HomeTeam]:[HomeTeam]],$A31, Table1[[AwayTeam]:[AwayTeam]], O$1, Table1[[ActualResult]:[ActualResult]], "OT") + SUMIFS(Table1[[HomeWon]:[HomeWon]], Table1[[GameIsOver]:[GameIsOver]],1,Table1[[AwayTeam]:[AwayTeam]],$A31, Table1[[HomeTeam]:[HomeTeam]], O$1, Table1[[ActualResult]:[ActualResult]], "SO") + SUMIFS(Table1[[AwayWon]:[AwayWon]], Table1[[GameIsOver]:[GameIsOver]],1,Table1[[HomeTeam]:[HomeTeam]],$A31, Table1[[AwayTeam]:[AwayTeam]], O$1, Table1[[ActualResult]:[ActualResult]], "SO"),0))</f>
        <v>0-0-0</v>
      </c>
      <c r="P31" s="57" t="str">
        <f>_xlfn.CONCAT(TEXT(SUMIFS(Table1[[AwayWon]:[AwayWon]], Table1[[GameIsOver]:[GameIsOver]],1,Table1[[AwayTeam]:[AwayTeam]],$A31, Table1[[HomeTeam]:[HomeTeam]], P$1) + SUMIFS(Table1[[HomeWon]:[HomeWon]], Table1[[GameIsOver]:[GameIsOver]],1,Table1[[HomeTeam]:[HomeTeam]],$A31, Table1[[AwayTeam]:[AwayTeam]], P$1),0), "-", TEXT(SUMIFS(Table1[[HomeWon]:[HomeWon]], Table1[[GameIsOver]:[GameIsOver]],1,Table1[[AwayTeam]:[AwayTeam]],$A31, Table1[[HomeTeam]:[HomeTeam]], P$1, Table1[[ActualResult]:[ActualResult]], "REG") + SUMIFS(Table1[[AwayWon]:[AwayWon]], Table1[[GameIsOver]:[GameIsOver]],1,Table1[[HomeTeam]:[HomeTeam]],$A31, Table1[[AwayTeam]:[AwayTeam]], P$1, Table1[[ActualResult]:[ActualResult]], "REG"),0), "-", TEXT(SUMIFS(Table1[[HomeWon]:[HomeWon]], Table1[[GameIsOver]:[GameIsOver]],1,Table1[[AwayTeam]:[AwayTeam]],$A31, Table1[[HomeTeam]:[HomeTeam]], P$1, Table1[[ActualResult]:[ActualResult]], "OT") + SUMIFS(Table1[[AwayWon]:[AwayWon]], Table1[[GameIsOver]:[GameIsOver]],1,Table1[[HomeTeam]:[HomeTeam]],$A31, Table1[[AwayTeam]:[AwayTeam]], P$1, Table1[[ActualResult]:[ActualResult]], "OT") + SUMIFS(Table1[[HomeWon]:[HomeWon]], Table1[[GameIsOver]:[GameIsOver]],1,Table1[[AwayTeam]:[AwayTeam]],$A31, Table1[[HomeTeam]:[HomeTeam]], P$1, Table1[[ActualResult]:[ActualResult]], "SO") + SUMIFS(Table1[[AwayWon]:[AwayWon]], Table1[[GameIsOver]:[GameIsOver]],1,Table1[[HomeTeam]:[HomeTeam]],$A31, Table1[[AwayTeam]:[AwayTeam]], P$1, Table1[[ActualResult]:[ActualResult]], "SO"),0))</f>
        <v>0-0-1</v>
      </c>
      <c r="Q31" s="59" t="str">
        <f>_xlfn.CONCAT(TEXT(SUMIFS(Table1[[AwayWon]:[AwayWon]], Table1[[GameIsOver]:[GameIsOver]],1,Table1[[AwayTeam]:[AwayTeam]],$A31, Table1[[HomeTeam]:[HomeTeam]], Q$1) + SUMIFS(Table1[[HomeWon]:[HomeWon]], Table1[[GameIsOver]:[GameIsOver]],1,Table1[[HomeTeam]:[HomeTeam]],$A31, Table1[[AwayTeam]:[AwayTeam]], Q$1),0), "-", TEXT(SUMIFS(Table1[[HomeWon]:[HomeWon]], Table1[[GameIsOver]:[GameIsOver]],1,Table1[[AwayTeam]:[AwayTeam]],$A31, Table1[[HomeTeam]:[HomeTeam]], Q$1, Table1[[ActualResult]:[ActualResult]], "REG") + SUMIFS(Table1[[AwayWon]:[AwayWon]], Table1[[GameIsOver]:[GameIsOver]],1,Table1[[HomeTeam]:[HomeTeam]],$A31, Table1[[AwayTeam]:[AwayTeam]], Q$1, Table1[[ActualResult]:[ActualResult]], "REG"),0), "-", TEXT(SUMIFS(Table1[[HomeWon]:[HomeWon]], Table1[[GameIsOver]:[GameIsOver]],1,Table1[[AwayTeam]:[AwayTeam]],$A31, Table1[[HomeTeam]:[HomeTeam]], Q$1, Table1[[ActualResult]:[ActualResult]], "OT") + SUMIFS(Table1[[AwayWon]:[AwayWon]], Table1[[GameIsOver]:[GameIsOver]],1,Table1[[HomeTeam]:[HomeTeam]],$A31, Table1[[AwayTeam]:[AwayTeam]], Q$1, Table1[[ActualResult]:[ActualResult]], "OT") + SUMIFS(Table1[[HomeWon]:[HomeWon]], Table1[[GameIsOver]:[GameIsOver]],1,Table1[[AwayTeam]:[AwayTeam]],$A31, Table1[[HomeTeam]:[HomeTeam]], Q$1, Table1[[ActualResult]:[ActualResult]], "SO") + SUMIFS(Table1[[AwayWon]:[AwayWon]], Table1[[GameIsOver]:[GameIsOver]],1,Table1[[HomeTeam]:[HomeTeam]],$A31, Table1[[AwayTeam]:[AwayTeam]], Q$1, Table1[[ActualResult]:[ActualResult]], "SO"),0))</f>
        <v>0-0-0</v>
      </c>
      <c r="R31" s="57" t="str">
        <f>_xlfn.CONCAT(TEXT(SUMIFS(Table1[[AwayWon]:[AwayWon]], Table1[[GameIsOver]:[GameIsOver]],1,Table1[[AwayTeam]:[AwayTeam]],$A31, Table1[[HomeTeam]:[HomeTeam]], R$1) + SUMIFS(Table1[[HomeWon]:[HomeWon]], Table1[[GameIsOver]:[GameIsOver]],1,Table1[[HomeTeam]:[HomeTeam]],$A31, Table1[[AwayTeam]:[AwayTeam]], R$1),0), "-", TEXT(SUMIFS(Table1[[HomeWon]:[HomeWon]], Table1[[GameIsOver]:[GameIsOver]],1,Table1[[AwayTeam]:[AwayTeam]],$A31, Table1[[HomeTeam]:[HomeTeam]], R$1, Table1[[ActualResult]:[ActualResult]], "REG") + SUMIFS(Table1[[AwayWon]:[AwayWon]], Table1[[GameIsOver]:[GameIsOver]],1,Table1[[HomeTeam]:[HomeTeam]],$A31, Table1[[AwayTeam]:[AwayTeam]], R$1, Table1[[ActualResult]:[ActualResult]], "REG"),0), "-", TEXT(SUMIFS(Table1[[HomeWon]:[HomeWon]], Table1[[GameIsOver]:[GameIsOver]],1,Table1[[AwayTeam]:[AwayTeam]],$A31, Table1[[HomeTeam]:[HomeTeam]], R$1, Table1[[ActualResult]:[ActualResult]], "OT") + SUMIFS(Table1[[AwayWon]:[AwayWon]], Table1[[GameIsOver]:[GameIsOver]],1,Table1[[HomeTeam]:[HomeTeam]],$A31, Table1[[AwayTeam]:[AwayTeam]], R$1, Table1[[ActualResult]:[ActualResult]], "OT") + SUMIFS(Table1[[HomeWon]:[HomeWon]], Table1[[GameIsOver]:[GameIsOver]],1,Table1[[AwayTeam]:[AwayTeam]],$A31, Table1[[HomeTeam]:[HomeTeam]], R$1, Table1[[ActualResult]:[ActualResult]], "SO") + SUMIFS(Table1[[AwayWon]:[AwayWon]], Table1[[GameIsOver]:[GameIsOver]],1,Table1[[HomeTeam]:[HomeTeam]],$A31, Table1[[AwayTeam]:[AwayTeam]], R$1, Table1[[ActualResult]:[ActualResult]], "SO"),0))</f>
        <v>0-0-0</v>
      </c>
      <c r="S31" s="57" t="str">
        <f>_xlfn.CONCAT(TEXT(SUMIFS(Table1[[AwayWon]:[AwayWon]], Table1[[GameIsOver]:[GameIsOver]],1,Table1[[AwayTeam]:[AwayTeam]],$A31, Table1[[HomeTeam]:[HomeTeam]], S$1) + SUMIFS(Table1[[HomeWon]:[HomeWon]], Table1[[GameIsOver]:[GameIsOver]],1,Table1[[HomeTeam]:[HomeTeam]],$A31, Table1[[AwayTeam]:[AwayTeam]], S$1),0), "-", TEXT(SUMIFS(Table1[[HomeWon]:[HomeWon]], Table1[[GameIsOver]:[GameIsOver]],1,Table1[[AwayTeam]:[AwayTeam]],$A31, Table1[[HomeTeam]:[HomeTeam]], S$1, Table1[[ActualResult]:[ActualResult]], "REG") + SUMIFS(Table1[[AwayWon]:[AwayWon]], Table1[[GameIsOver]:[GameIsOver]],1,Table1[[HomeTeam]:[HomeTeam]],$A31, Table1[[AwayTeam]:[AwayTeam]], S$1, Table1[[ActualResult]:[ActualResult]], "REG"),0), "-", TEXT(SUMIFS(Table1[[HomeWon]:[HomeWon]], Table1[[GameIsOver]:[GameIsOver]],1,Table1[[AwayTeam]:[AwayTeam]],$A31, Table1[[HomeTeam]:[HomeTeam]], S$1, Table1[[ActualResult]:[ActualResult]], "OT") + SUMIFS(Table1[[AwayWon]:[AwayWon]], Table1[[GameIsOver]:[GameIsOver]],1,Table1[[HomeTeam]:[HomeTeam]],$A31, Table1[[AwayTeam]:[AwayTeam]], S$1, Table1[[ActualResult]:[ActualResult]], "OT") + SUMIFS(Table1[[HomeWon]:[HomeWon]], Table1[[GameIsOver]:[GameIsOver]],1,Table1[[AwayTeam]:[AwayTeam]],$A31, Table1[[HomeTeam]:[HomeTeam]], S$1, Table1[[ActualResult]:[ActualResult]], "SO") + SUMIFS(Table1[[AwayWon]:[AwayWon]], Table1[[GameIsOver]:[GameIsOver]],1,Table1[[HomeTeam]:[HomeTeam]],$A31, Table1[[AwayTeam]:[AwayTeam]], S$1, Table1[[ActualResult]:[ActualResult]], "SO"),0))</f>
        <v>0-0-0</v>
      </c>
      <c r="T31" s="57" t="str">
        <f>_xlfn.CONCAT(TEXT(SUMIFS(Table1[[AwayWon]:[AwayWon]], Table1[[GameIsOver]:[GameIsOver]],1,Table1[[AwayTeam]:[AwayTeam]],$A31, Table1[[HomeTeam]:[HomeTeam]], T$1) + SUMIFS(Table1[[HomeWon]:[HomeWon]], Table1[[GameIsOver]:[GameIsOver]],1,Table1[[HomeTeam]:[HomeTeam]],$A31, Table1[[AwayTeam]:[AwayTeam]], T$1),0), "-", TEXT(SUMIFS(Table1[[HomeWon]:[HomeWon]], Table1[[GameIsOver]:[GameIsOver]],1,Table1[[AwayTeam]:[AwayTeam]],$A31, Table1[[HomeTeam]:[HomeTeam]], T$1, Table1[[ActualResult]:[ActualResult]], "REG") + SUMIFS(Table1[[AwayWon]:[AwayWon]], Table1[[GameIsOver]:[GameIsOver]],1,Table1[[HomeTeam]:[HomeTeam]],$A31, Table1[[AwayTeam]:[AwayTeam]], T$1, Table1[[ActualResult]:[ActualResult]], "REG"),0), "-", TEXT(SUMIFS(Table1[[HomeWon]:[HomeWon]], Table1[[GameIsOver]:[GameIsOver]],1,Table1[[AwayTeam]:[AwayTeam]],$A31, Table1[[HomeTeam]:[HomeTeam]], T$1, Table1[[ActualResult]:[ActualResult]], "OT") + SUMIFS(Table1[[AwayWon]:[AwayWon]], Table1[[GameIsOver]:[GameIsOver]],1,Table1[[HomeTeam]:[HomeTeam]],$A31, Table1[[AwayTeam]:[AwayTeam]], T$1, Table1[[ActualResult]:[ActualResult]], "OT") + SUMIFS(Table1[[HomeWon]:[HomeWon]], Table1[[GameIsOver]:[GameIsOver]],1,Table1[[AwayTeam]:[AwayTeam]],$A31, Table1[[HomeTeam]:[HomeTeam]], T$1, Table1[[ActualResult]:[ActualResult]], "SO") + SUMIFS(Table1[[AwayWon]:[AwayWon]], Table1[[GameIsOver]:[GameIsOver]],1,Table1[[HomeTeam]:[HomeTeam]],$A31, Table1[[AwayTeam]:[AwayTeam]], T$1, Table1[[ActualResult]:[ActualResult]], "SO"),0))</f>
        <v>0-0-0</v>
      </c>
      <c r="U31" s="57" t="str">
        <f>_xlfn.CONCAT(TEXT(SUMIFS(Table1[[AwayWon]:[AwayWon]], Table1[[GameIsOver]:[GameIsOver]],1,Table1[[AwayTeam]:[AwayTeam]],$A31, Table1[[HomeTeam]:[HomeTeam]], U$1) + SUMIFS(Table1[[HomeWon]:[HomeWon]], Table1[[GameIsOver]:[GameIsOver]],1,Table1[[HomeTeam]:[HomeTeam]],$A31, Table1[[AwayTeam]:[AwayTeam]], U$1),0), "-", TEXT(SUMIFS(Table1[[HomeWon]:[HomeWon]], Table1[[GameIsOver]:[GameIsOver]],1,Table1[[AwayTeam]:[AwayTeam]],$A31, Table1[[HomeTeam]:[HomeTeam]], U$1, Table1[[ActualResult]:[ActualResult]], "REG") + SUMIFS(Table1[[AwayWon]:[AwayWon]], Table1[[GameIsOver]:[GameIsOver]],1,Table1[[HomeTeam]:[HomeTeam]],$A31, Table1[[AwayTeam]:[AwayTeam]], U$1, Table1[[ActualResult]:[ActualResult]], "REG"),0), "-", TEXT(SUMIFS(Table1[[HomeWon]:[HomeWon]], Table1[[GameIsOver]:[GameIsOver]],1,Table1[[AwayTeam]:[AwayTeam]],$A31, Table1[[HomeTeam]:[HomeTeam]], U$1, Table1[[ActualResult]:[ActualResult]], "OT") + SUMIFS(Table1[[AwayWon]:[AwayWon]], Table1[[GameIsOver]:[GameIsOver]],1,Table1[[HomeTeam]:[HomeTeam]],$A31, Table1[[AwayTeam]:[AwayTeam]], U$1, Table1[[ActualResult]:[ActualResult]], "OT") + SUMIFS(Table1[[HomeWon]:[HomeWon]], Table1[[GameIsOver]:[GameIsOver]],1,Table1[[AwayTeam]:[AwayTeam]],$A31, Table1[[HomeTeam]:[HomeTeam]], U$1, Table1[[ActualResult]:[ActualResult]], "SO") + SUMIFS(Table1[[AwayWon]:[AwayWon]], Table1[[GameIsOver]:[GameIsOver]],1,Table1[[HomeTeam]:[HomeTeam]],$A31, Table1[[AwayTeam]:[AwayTeam]], U$1, Table1[[ActualResult]:[ActualResult]], "SO"),0))</f>
        <v>0-0-0</v>
      </c>
      <c r="V31" s="57" t="str">
        <f>_xlfn.CONCAT(TEXT(SUMIFS(Table1[[AwayWon]:[AwayWon]], Table1[[GameIsOver]:[GameIsOver]],1,Table1[[AwayTeam]:[AwayTeam]],$A31, Table1[[HomeTeam]:[HomeTeam]], V$1) + SUMIFS(Table1[[HomeWon]:[HomeWon]], Table1[[GameIsOver]:[GameIsOver]],1,Table1[[HomeTeam]:[HomeTeam]],$A31, Table1[[AwayTeam]:[AwayTeam]], V$1),0), "-", TEXT(SUMIFS(Table1[[HomeWon]:[HomeWon]], Table1[[GameIsOver]:[GameIsOver]],1,Table1[[AwayTeam]:[AwayTeam]],$A31, Table1[[HomeTeam]:[HomeTeam]], V$1, Table1[[ActualResult]:[ActualResult]], "REG") + SUMIFS(Table1[[AwayWon]:[AwayWon]], Table1[[GameIsOver]:[GameIsOver]],1,Table1[[HomeTeam]:[HomeTeam]],$A31, Table1[[AwayTeam]:[AwayTeam]], V$1, Table1[[ActualResult]:[ActualResult]], "REG"),0), "-", TEXT(SUMIFS(Table1[[HomeWon]:[HomeWon]], Table1[[GameIsOver]:[GameIsOver]],1,Table1[[AwayTeam]:[AwayTeam]],$A31, Table1[[HomeTeam]:[HomeTeam]], V$1, Table1[[ActualResult]:[ActualResult]], "OT") + SUMIFS(Table1[[AwayWon]:[AwayWon]], Table1[[GameIsOver]:[GameIsOver]],1,Table1[[HomeTeam]:[HomeTeam]],$A31, Table1[[AwayTeam]:[AwayTeam]], V$1, Table1[[ActualResult]:[ActualResult]], "OT") + SUMIFS(Table1[[HomeWon]:[HomeWon]], Table1[[GameIsOver]:[GameIsOver]],1,Table1[[AwayTeam]:[AwayTeam]],$A31, Table1[[HomeTeam]:[HomeTeam]], V$1, Table1[[ActualResult]:[ActualResult]], "SO") + SUMIFS(Table1[[AwayWon]:[AwayWon]], Table1[[GameIsOver]:[GameIsOver]],1,Table1[[HomeTeam]:[HomeTeam]],$A31, Table1[[AwayTeam]:[AwayTeam]], V$1, Table1[[ActualResult]:[ActualResult]], "SO"),0))</f>
        <v>0-0-0</v>
      </c>
      <c r="W31" s="57" t="str">
        <f>_xlfn.CONCAT(TEXT(SUMIFS(Table1[[AwayWon]:[AwayWon]], Table1[[GameIsOver]:[GameIsOver]],1,Table1[[AwayTeam]:[AwayTeam]],$A31, Table1[[HomeTeam]:[HomeTeam]], W$1) + SUMIFS(Table1[[HomeWon]:[HomeWon]], Table1[[GameIsOver]:[GameIsOver]],1,Table1[[HomeTeam]:[HomeTeam]],$A31, Table1[[AwayTeam]:[AwayTeam]], W$1),0), "-", TEXT(SUMIFS(Table1[[HomeWon]:[HomeWon]], Table1[[GameIsOver]:[GameIsOver]],1,Table1[[AwayTeam]:[AwayTeam]],$A31, Table1[[HomeTeam]:[HomeTeam]], W$1, Table1[[ActualResult]:[ActualResult]], "REG") + SUMIFS(Table1[[AwayWon]:[AwayWon]], Table1[[GameIsOver]:[GameIsOver]],1,Table1[[HomeTeam]:[HomeTeam]],$A31, Table1[[AwayTeam]:[AwayTeam]], W$1, Table1[[ActualResult]:[ActualResult]], "REG"),0), "-", TEXT(SUMIFS(Table1[[HomeWon]:[HomeWon]], Table1[[GameIsOver]:[GameIsOver]],1,Table1[[AwayTeam]:[AwayTeam]],$A31, Table1[[HomeTeam]:[HomeTeam]], W$1, Table1[[ActualResult]:[ActualResult]], "OT") + SUMIFS(Table1[[AwayWon]:[AwayWon]], Table1[[GameIsOver]:[GameIsOver]],1,Table1[[HomeTeam]:[HomeTeam]],$A31, Table1[[AwayTeam]:[AwayTeam]], W$1, Table1[[ActualResult]:[ActualResult]], "OT") + SUMIFS(Table1[[HomeWon]:[HomeWon]], Table1[[GameIsOver]:[GameIsOver]],1,Table1[[AwayTeam]:[AwayTeam]],$A31, Table1[[HomeTeam]:[HomeTeam]], W$1, Table1[[ActualResult]:[ActualResult]], "SO") + SUMIFS(Table1[[AwayWon]:[AwayWon]], Table1[[GameIsOver]:[GameIsOver]],1,Table1[[HomeTeam]:[HomeTeam]],$A31, Table1[[AwayTeam]:[AwayTeam]], W$1, Table1[[ActualResult]:[ActualResult]], "SO"),0))</f>
        <v>0-0-0</v>
      </c>
      <c r="X31" s="57" t="str">
        <f>_xlfn.CONCAT(TEXT(SUMIFS(Table1[[AwayWon]:[AwayWon]], Table1[[GameIsOver]:[GameIsOver]],1,Table1[[AwayTeam]:[AwayTeam]],$A31, Table1[[HomeTeam]:[HomeTeam]], X$1) + SUMIFS(Table1[[HomeWon]:[HomeWon]], Table1[[GameIsOver]:[GameIsOver]],1,Table1[[HomeTeam]:[HomeTeam]],$A31, Table1[[AwayTeam]:[AwayTeam]], X$1),0), "-", TEXT(SUMIFS(Table1[[HomeWon]:[HomeWon]], Table1[[GameIsOver]:[GameIsOver]],1,Table1[[AwayTeam]:[AwayTeam]],$A31, Table1[[HomeTeam]:[HomeTeam]], X$1, Table1[[ActualResult]:[ActualResult]], "REG") + SUMIFS(Table1[[AwayWon]:[AwayWon]], Table1[[GameIsOver]:[GameIsOver]],1,Table1[[HomeTeam]:[HomeTeam]],$A31, Table1[[AwayTeam]:[AwayTeam]], X$1, Table1[[ActualResult]:[ActualResult]], "REG"),0), "-", TEXT(SUMIFS(Table1[[HomeWon]:[HomeWon]], Table1[[GameIsOver]:[GameIsOver]],1,Table1[[AwayTeam]:[AwayTeam]],$A31, Table1[[HomeTeam]:[HomeTeam]], X$1, Table1[[ActualResult]:[ActualResult]], "OT") + SUMIFS(Table1[[AwayWon]:[AwayWon]], Table1[[GameIsOver]:[GameIsOver]],1,Table1[[HomeTeam]:[HomeTeam]],$A31, Table1[[AwayTeam]:[AwayTeam]], X$1, Table1[[ActualResult]:[ActualResult]], "OT") + SUMIFS(Table1[[HomeWon]:[HomeWon]], Table1[[GameIsOver]:[GameIsOver]],1,Table1[[AwayTeam]:[AwayTeam]],$A31, Table1[[HomeTeam]:[HomeTeam]], X$1, Table1[[ActualResult]:[ActualResult]], "SO") + SUMIFS(Table1[[AwayWon]:[AwayWon]], Table1[[GameIsOver]:[GameIsOver]],1,Table1[[HomeTeam]:[HomeTeam]],$A31, Table1[[AwayTeam]:[AwayTeam]], X$1, Table1[[ActualResult]:[ActualResult]], "SO"),0))</f>
        <v>0-0-0</v>
      </c>
      <c r="Y31" s="59" t="str">
        <f>_xlfn.CONCAT(TEXT(SUMIFS(Table1[[AwayWon]:[AwayWon]], Table1[[GameIsOver]:[GameIsOver]],1,Table1[[AwayTeam]:[AwayTeam]],$A31, Table1[[HomeTeam]:[HomeTeam]], Y$1) + SUMIFS(Table1[[HomeWon]:[HomeWon]], Table1[[GameIsOver]:[GameIsOver]],1,Table1[[HomeTeam]:[HomeTeam]],$A31, Table1[[AwayTeam]:[AwayTeam]], Y$1),0), "-", TEXT(SUMIFS(Table1[[HomeWon]:[HomeWon]], Table1[[GameIsOver]:[GameIsOver]],1,Table1[[AwayTeam]:[AwayTeam]],$A31, Table1[[HomeTeam]:[HomeTeam]], Y$1, Table1[[ActualResult]:[ActualResult]], "REG") + SUMIFS(Table1[[AwayWon]:[AwayWon]], Table1[[GameIsOver]:[GameIsOver]],1,Table1[[HomeTeam]:[HomeTeam]],$A31, Table1[[AwayTeam]:[AwayTeam]], Y$1, Table1[[ActualResult]:[ActualResult]], "REG"),0), "-", TEXT(SUMIFS(Table1[[HomeWon]:[HomeWon]], Table1[[GameIsOver]:[GameIsOver]],1,Table1[[AwayTeam]:[AwayTeam]],$A31, Table1[[HomeTeam]:[HomeTeam]], Y$1, Table1[[ActualResult]:[ActualResult]], "OT") + SUMIFS(Table1[[AwayWon]:[AwayWon]], Table1[[GameIsOver]:[GameIsOver]],1,Table1[[HomeTeam]:[HomeTeam]],$A31, Table1[[AwayTeam]:[AwayTeam]], Y$1, Table1[[ActualResult]:[ActualResult]], "OT") + SUMIFS(Table1[[HomeWon]:[HomeWon]], Table1[[GameIsOver]:[GameIsOver]],1,Table1[[AwayTeam]:[AwayTeam]],$A31, Table1[[HomeTeam]:[HomeTeam]], Y$1, Table1[[ActualResult]:[ActualResult]], "SO") + SUMIFS(Table1[[AwayWon]:[AwayWon]], Table1[[GameIsOver]:[GameIsOver]],1,Table1[[HomeTeam]:[HomeTeam]],$A31, Table1[[AwayTeam]:[AwayTeam]], Y$1, Table1[[ActualResult]:[ActualResult]], "SO"),0))</f>
        <v>0-0-0</v>
      </c>
      <c r="Z31" s="57" t="str">
        <f>_xlfn.CONCAT(TEXT(SUMIFS(Table1[[AwayWon]:[AwayWon]], Table1[[GameIsOver]:[GameIsOver]],1,Table1[[AwayTeam]:[AwayTeam]],$A31, Table1[[HomeTeam]:[HomeTeam]], Z$1) + SUMIFS(Table1[[HomeWon]:[HomeWon]], Table1[[GameIsOver]:[GameIsOver]],1,Table1[[HomeTeam]:[HomeTeam]],$A31, Table1[[AwayTeam]:[AwayTeam]], Z$1),0), "-", TEXT(SUMIFS(Table1[[HomeWon]:[HomeWon]], Table1[[GameIsOver]:[GameIsOver]],1,Table1[[AwayTeam]:[AwayTeam]],$A31, Table1[[HomeTeam]:[HomeTeam]], Z$1, Table1[[ActualResult]:[ActualResult]], "REG") + SUMIFS(Table1[[AwayWon]:[AwayWon]], Table1[[GameIsOver]:[GameIsOver]],1,Table1[[HomeTeam]:[HomeTeam]],$A31, Table1[[AwayTeam]:[AwayTeam]], Z$1, Table1[[ActualResult]:[ActualResult]], "REG"),0), "-", TEXT(SUMIFS(Table1[[HomeWon]:[HomeWon]], Table1[[GameIsOver]:[GameIsOver]],1,Table1[[AwayTeam]:[AwayTeam]],$A31, Table1[[HomeTeam]:[HomeTeam]], Z$1, Table1[[ActualResult]:[ActualResult]], "OT") + SUMIFS(Table1[[AwayWon]:[AwayWon]], Table1[[GameIsOver]:[GameIsOver]],1,Table1[[HomeTeam]:[HomeTeam]],$A31, Table1[[AwayTeam]:[AwayTeam]], Z$1, Table1[[ActualResult]:[ActualResult]], "OT") + SUMIFS(Table1[[HomeWon]:[HomeWon]], Table1[[GameIsOver]:[GameIsOver]],1,Table1[[AwayTeam]:[AwayTeam]],$A31, Table1[[HomeTeam]:[HomeTeam]], Z$1, Table1[[ActualResult]:[ActualResult]], "SO") + SUMIFS(Table1[[AwayWon]:[AwayWon]], Table1[[GameIsOver]:[GameIsOver]],1,Table1[[HomeTeam]:[HomeTeam]],$A31, Table1[[AwayTeam]:[AwayTeam]], Z$1, Table1[[ActualResult]:[ActualResult]], "SO"),0))</f>
        <v>0-0-0</v>
      </c>
      <c r="AA31" s="57" t="str">
        <f>_xlfn.CONCAT(TEXT(SUMIFS(Table1[[AwayWon]:[AwayWon]], Table1[[GameIsOver]:[GameIsOver]],1,Table1[[AwayTeam]:[AwayTeam]],$A31, Table1[[HomeTeam]:[HomeTeam]], AA$1) + SUMIFS(Table1[[HomeWon]:[HomeWon]], Table1[[GameIsOver]:[GameIsOver]],1,Table1[[HomeTeam]:[HomeTeam]],$A31, Table1[[AwayTeam]:[AwayTeam]], AA$1),0), "-", TEXT(SUMIFS(Table1[[HomeWon]:[HomeWon]], Table1[[GameIsOver]:[GameIsOver]],1,Table1[[AwayTeam]:[AwayTeam]],$A31, Table1[[HomeTeam]:[HomeTeam]], AA$1, Table1[[ActualResult]:[ActualResult]], "REG") + SUMIFS(Table1[[AwayWon]:[AwayWon]], Table1[[GameIsOver]:[GameIsOver]],1,Table1[[HomeTeam]:[HomeTeam]],$A31, Table1[[AwayTeam]:[AwayTeam]], AA$1, Table1[[ActualResult]:[ActualResult]], "REG"),0), "-", TEXT(SUMIFS(Table1[[HomeWon]:[HomeWon]], Table1[[GameIsOver]:[GameIsOver]],1,Table1[[AwayTeam]:[AwayTeam]],$A31, Table1[[HomeTeam]:[HomeTeam]], AA$1, Table1[[ActualResult]:[ActualResult]], "OT") + SUMIFS(Table1[[AwayWon]:[AwayWon]], Table1[[GameIsOver]:[GameIsOver]],1,Table1[[HomeTeam]:[HomeTeam]],$A31, Table1[[AwayTeam]:[AwayTeam]], AA$1, Table1[[ActualResult]:[ActualResult]], "OT") + SUMIFS(Table1[[HomeWon]:[HomeWon]], Table1[[GameIsOver]:[GameIsOver]],1,Table1[[AwayTeam]:[AwayTeam]],$A31, Table1[[HomeTeam]:[HomeTeam]], AA$1, Table1[[ActualResult]:[ActualResult]], "SO") + SUMIFS(Table1[[AwayWon]:[AwayWon]], Table1[[GameIsOver]:[GameIsOver]],1,Table1[[HomeTeam]:[HomeTeam]],$A31, Table1[[AwayTeam]:[AwayTeam]], AA$1, Table1[[ActualResult]:[ActualResult]], "SO"),0))</f>
        <v>0-0-0</v>
      </c>
      <c r="AB31" s="57" t="str">
        <f>_xlfn.CONCAT(TEXT(SUMIFS(Table1[[AwayWon]:[AwayWon]], Table1[[GameIsOver]:[GameIsOver]],1,Table1[[AwayTeam]:[AwayTeam]],$A31, Table1[[HomeTeam]:[HomeTeam]], AB$1) + SUMIFS(Table1[[HomeWon]:[HomeWon]], Table1[[GameIsOver]:[GameIsOver]],1,Table1[[HomeTeam]:[HomeTeam]],$A31, Table1[[AwayTeam]:[AwayTeam]], AB$1),0), "-", TEXT(SUMIFS(Table1[[HomeWon]:[HomeWon]], Table1[[GameIsOver]:[GameIsOver]],1,Table1[[AwayTeam]:[AwayTeam]],$A31, Table1[[HomeTeam]:[HomeTeam]], AB$1, Table1[[ActualResult]:[ActualResult]], "REG") + SUMIFS(Table1[[AwayWon]:[AwayWon]], Table1[[GameIsOver]:[GameIsOver]],1,Table1[[HomeTeam]:[HomeTeam]],$A31, Table1[[AwayTeam]:[AwayTeam]], AB$1, Table1[[ActualResult]:[ActualResult]], "REG"),0), "-", TEXT(SUMIFS(Table1[[HomeWon]:[HomeWon]], Table1[[GameIsOver]:[GameIsOver]],1,Table1[[AwayTeam]:[AwayTeam]],$A31, Table1[[HomeTeam]:[HomeTeam]], AB$1, Table1[[ActualResult]:[ActualResult]], "OT") + SUMIFS(Table1[[AwayWon]:[AwayWon]], Table1[[GameIsOver]:[GameIsOver]],1,Table1[[HomeTeam]:[HomeTeam]],$A31, Table1[[AwayTeam]:[AwayTeam]], AB$1, Table1[[ActualResult]:[ActualResult]], "OT") + SUMIFS(Table1[[HomeWon]:[HomeWon]], Table1[[GameIsOver]:[GameIsOver]],1,Table1[[AwayTeam]:[AwayTeam]],$A31, Table1[[HomeTeam]:[HomeTeam]], AB$1, Table1[[ActualResult]:[ActualResult]], "SO") + SUMIFS(Table1[[AwayWon]:[AwayWon]], Table1[[GameIsOver]:[GameIsOver]],1,Table1[[HomeTeam]:[HomeTeam]],$A31, Table1[[AwayTeam]:[AwayTeam]], AB$1, Table1[[ActualResult]:[ActualResult]], "SO"),0))</f>
        <v>0-0-0</v>
      </c>
      <c r="AC31" s="57" t="str">
        <f>_xlfn.CONCAT(TEXT(SUMIFS(Table1[[AwayWon]:[AwayWon]], Table1[[GameIsOver]:[GameIsOver]],1,Table1[[AwayTeam]:[AwayTeam]],$A31, Table1[[HomeTeam]:[HomeTeam]], AC$1) + SUMIFS(Table1[[HomeWon]:[HomeWon]], Table1[[GameIsOver]:[GameIsOver]],1,Table1[[HomeTeam]:[HomeTeam]],$A31, Table1[[AwayTeam]:[AwayTeam]], AC$1),0), "-", TEXT(SUMIFS(Table1[[HomeWon]:[HomeWon]], Table1[[GameIsOver]:[GameIsOver]],1,Table1[[AwayTeam]:[AwayTeam]],$A31, Table1[[HomeTeam]:[HomeTeam]], AC$1, Table1[[ActualResult]:[ActualResult]], "REG") + SUMIFS(Table1[[AwayWon]:[AwayWon]], Table1[[GameIsOver]:[GameIsOver]],1,Table1[[HomeTeam]:[HomeTeam]],$A31, Table1[[AwayTeam]:[AwayTeam]], AC$1, Table1[[ActualResult]:[ActualResult]], "REG"),0), "-", TEXT(SUMIFS(Table1[[HomeWon]:[HomeWon]], Table1[[GameIsOver]:[GameIsOver]],1,Table1[[AwayTeam]:[AwayTeam]],$A31, Table1[[HomeTeam]:[HomeTeam]], AC$1, Table1[[ActualResult]:[ActualResult]], "OT") + SUMIFS(Table1[[AwayWon]:[AwayWon]], Table1[[GameIsOver]:[GameIsOver]],1,Table1[[HomeTeam]:[HomeTeam]],$A31, Table1[[AwayTeam]:[AwayTeam]], AC$1, Table1[[ActualResult]:[ActualResult]], "OT") + SUMIFS(Table1[[HomeWon]:[HomeWon]], Table1[[GameIsOver]:[GameIsOver]],1,Table1[[AwayTeam]:[AwayTeam]],$A31, Table1[[HomeTeam]:[HomeTeam]], AC$1, Table1[[ActualResult]:[ActualResult]], "SO") + SUMIFS(Table1[[AwayWon]:[AwayWon]], Table1[[GameIsOver]:[GameIsOver]],1,Table1[[HomeTeam]:[HomeTeam]],$A31, Table1[[AwayTeam]:[AwayTeam]], AC$1, Table1[[ActualResult]:[ActualResult]], "SO"),0))</f>
        <v>0-0-0</v>
      </c>
      <c r="AD31" s="57" t="str">
        <f>_xlfn.CONCAT(TEXT(SUMIFS(Table1[[AwayWon]:[AwayWon]], Table1[[GameIsOver]:[GameIsOver]],1,Table1[[AwayTeam]:[AwayTeam]],$A31, Table1[[HomeTeam]:[HomeTeam]], AD$1) + SUMIFS(Table1[[HomeWon]:[HomeWon]], Table1[[GameIsOver]:[GameIsOver]],1,Table1[[HomeTeam]:[HomeTeam]],$A31, Table1[[AwayTeam]:[AwayTeam]], AD$1),0), "-", TEXT(SUMIFS(Table1[[HomeWon]:[HomeWon]], Table1[[GameIsOver]:[GameIsOver]],1,Table1[[AwayTeam]:[AwayTeam]],$A31, Table1[[HomeTeam]:[HomeTeam]], AD$1, Table1[[ActualResult]:[ActualResult]], "REG") + SUMIFS(Table1[[AwayWon]:[AwayWon]], Table1[[GameIsOver]:[GameIsOver]],1,Table1[[HomeTeam]:[HomeTeam]],$A31, Table1[[AwayTeam]:[AwayTeam]], AD$1, Table1[[ActualResult]:[ActualResult]], "REG"),0), "-", TEXT(SUMIFS(Table1[[HomeWon]:[HomeWon]], Table1[[GameIsOver]:[GameIsOver]],1,Table1[[AwayTeam]:[AwayTeam]],$A31, Table1[[HomeTeam]:[HomeTeam]], AD$1, Table1[[ActualResult]:[ActualResult]], "OT") + SUMIFS(Table1[[AwayWon]:[AwayWon]], Table1[[GameIsOver]:[GameIsOver]],1,Table1[[HomeTeam]:[HomeTeam]],$A31, Table1[[AwayTeam]:[AwayTeam]], AD$1, Table1[[ActualResult]:[ActualResult]], "OT") + SUMIFS(Table1[[HomeWon]:[HomeWon]], Table1[[GameIsOver]:[GameIsOver]],1,Table1[[AwayTeam]:[AwayTeam]],$A31, Table1[[HomeTeam]:[HomeTeam]], AD$1, Table1[[ActualResult]:[ActualResult]], "SO") + SUMIFS(Table1[[AwayWon]:[AwayWon]], Table1[[GameIsOver]:[GameIsOver]],1,Table1[[HomeTeam]:[HomeTeam]],$A31, Table1[[AwayTeam]:[AwayTeam]], AD$1, Table1[[ActualResult]:[ActualResult]], "SO"),0))</f>
        <v>0-0-0</v>
      </c>
      <c r="AE31" s="57" t="str">
        <f>_xlfn.CONCAT(TEXT(SUMIFS(Table1[[AwayWon]:[AwayWon]], Table1[[GameIsOver]:[GameIsOver]],1,Table1[[AwayTeam]:[AwayTeam]],$A31, Table1[[HomeTeam]:[HomeTeam]], AE$1) + SUMIFS(Table1[[HomeWon]:[HomeWon]], Table1[[GameIsOver]:[GameIsOver]],1,Table1[[HomeTeam]:[HomeTeam]],$A31, Table1[[AwayTeam]:[AwayTeam]], AE$1),0), "-", TEXT(SUMIFS(Table1[[HomeWon]:[HomeWon]], Table1[[GameIsOver]:[GameIsOver]],1,Table1[[AwayTeam]:[AwayTeam]],$A31, Table1[[HomeTeam]:[HomeTeam]], AE$1, Table1[[ActualResult]:[ActualResult]], "REG") + SUMIFS(Table1[[AwayWon]:[AwayWon]], Table1[[GameIsOver]:[GameIsOver]],1,Table1[[HomeTeam]:[HomeTeam]],$A31, Table1[[AwayTeam]:[AwayTeam]], AE$1, Table1[[ActualResult]:[ActualResult]], "REG"),0), "-", TEXT(SUMIFS(Table1[[HomeWon]:[HomeWon]], Table1[[GameIsOver]:[GameIsOver]],1,Table1[[AwayTeam]:[AwayTeam]],$A31, Table1[[HomeTeam]:[HomeTeam]], AE$1, Table1[[ActualResult]:[ActualResult]], "OT") + SUMIFS(Table1[[AwayWon]:[AwayWon]], Table1[[GameIsOver]:[GameIsOver]],1,Table1[[HomeTeam]:[HomeTeam]],$A31, Table1[[AwayTeam]:[AwayTeam]], AE$1, Table1[[ActualResult]:[ActualResult]], "OT") + SUMIFS(Table1[[HomeWon]:[HomeWon]], Table1[[GameIsOver]:[GameIsOver]],1,Table1[[AwayTeam]:[AwayTeam]],$A31, Table1[[HomeTeam]:[HomeTeam]], AE$1, Table1[[ActualResult]:[ActualResult]], "SO") + SUMIFS(Table1[[AwayWon]:[AwayWon]], Table1[[GameIsOver]:[GameIsOver]],1,Table1[[HomeTeam]:[HomeTeam]],$A31, Table1[[AwayTeam]:[AwayTeam]], AE$1, Table1[[ActualResult]:[ActualResult]], "SO"),0))</f>
        <v>0-0-0</v>
      </c>
      <c r="AF31" s="57" t="str">
        <f>_xlfn.CONCAT(TEXT(SUMIFS(Table1[[AwayWon]:[AwayWon]], Table1[[GameIsOver]:[GameIsOver]],1,Table1[[AwayTeam]:[AwayTeam]],$A31, Table1[[HomeTeam]:[HomeTeam]], AF$1) + SUMIFS(Table1[[HomeWon]:[HomeWon]], Table1[[GameIsOver]:[GameIsOver]],1,Table1[[HomeTeam]:[HomeTeam]],$A31, Table1[[AwayTeam]:[AwayTeam]], AF$1),0), "-", TEXT(SUMIFS(Table1[[HomeWon]:[HomeWon]], Table1[[GameIsOver]:[GameIsOver]],1,Table1[[AwayTeam]:[AwayTeam]],$A31, Table1[[HomeTeam]:[HomeTeam]], AF$1, Table1[[ActualResult]:[ActualResult]], "REG") + SUMIFS(Table1[[AwayWon]:[AwayWon]], Table1[[GameIsOver]:[GameIsOver]],1,Table1[[HomeTeam]:[HomeTeam]],$A31, Table1[[AwayTeam]:[AwayTeam]], AF$1, Table1[[ActualResult]:[ActualResult]], "REG"),0), "-", TEXT(SUMIFS(Table1[[HomeWon]:[HomeWon]], Table1[[GameIsOver]:[GameIsOver]],1,Table1[[AwayTeam]:[AwayTeam]],$A31, Table1[[HomeTeam]:[HomeTeam]], AF$1, Table1[[ActualResult]:[ActualResult]], "OT") + SUMIFS(Table1[[AwayWon]:[AwayWon]], Table1[[GameIsOver]:[GameIsOver]],1,Table1[[HomeTeam]:[HomeTeam]],$A31, Table1[[AwayTeam]:[AwayTeam]], AF$1, Table1[[ActualResult]:[ActualResult]], "OT") + SUMIFS(Table1[[HomeWon]:[HomeWon]], Table1[[GameIsOver]:[GameIsOver]],1,Table1[[AwayTeam]:[AwayTeam]],$A31, Table1[[HomeTeam]:[HomeTeam]], AF$1, Table1[[ActualResult]:[ActualResult]], "SO") + SUMIFS(Table1[[AwayWon]:[AwayWon]], Table1[[GameIsOver]:[GameIsOver]],1,Table1[[HomeTeam]:[HomeTeam]],$A31, Table1[[AwayTeam]:[AwayTeam]], AF$1, Table1[[ActualResult]:[ActualResult]], "SO"),0))</f>
        <v>0-0-0</v>
      </c>
      <c r="AG31" s="57" t="str">
        <f>_xlfn.CONCAT(TEXT(SUMIFS(Table1[[AwayWon]:[AwayWon]], Table1[[GameIsOver]:[GameIsOver]],1,Table1[[AwayTeam]:[AwayTeam]],$A31, Table1[[HomeTeam]:[HomeTeam]], AG$1) + SUMIFS(Table1[[HomeWon]:[HomeWon]], Table1[[GameIsOver]:[GameIsOver]],1,Table1[[HomeTeam]:[HomeTeam]],$A31, Table1[[AwayTeam]:[AwayTeam]], AG$1),0), "-", TEXT(SUMIFS(Table1[[HomeWon]:[HomeWon]], Table1[[GameIsOver]:[GameIsOver]],1,Table1[[AwayTeam]:[AwayTeam]],$A31, Table1[[HomeTeam]:[HomeTeam]], AG$1, Table1[[ActualResult]:[ActualResult]], "REG") + SUMIFS(Table1[[AwayWon]:[AwayWon]], Table1[[GameIsOver]:[GameIsOver]],1,Table1[[HomeTeam]:[HomeTeam]],$A31, Table1[[AwayTeam]:[AwayTeam]], AG$1, Table1[[ActualResult]:[ActualResult]], "REG"),0), "-", TEXT(SUMIFS(Table1[[HomeWon]:[HomeWon]], Table1[[GameIsOver]:[GameIsOver]],1,Table1[[AwayTeam]:[AwayTeam]],$A31, Table1[[HomeTeam]:[HomeTeam]], AG$1, Table1[[ActualResult]:[ActualResult]], "OT") + SUMIFS(Table1[[AwayWon]:[AwayWon]], Table1[[GameIsOver]:[GameIsOver]],1,Table1[[HomeTeam]:[HomeTeam]],$A31, Table1[[AwayTeam]:[AwayTeam]], AG$1, Table1[[ActualResult]:[ActualResult]], "OT") + SUMIFS(Table1[[HomeWon]:[HomeWon]], Table1[[GameIsOver]:[GameIsOver]],1,Table1[[AwayTeam]:[AwayTeam]],$A31, Table1[[HomeTeam]:[HomeTeam]], AG$1, Table1[[ActualResult]:[ActualResult]], "SO") + SUMIFS(Table1[[AwayWon]:[AwayWon]], Table1[[GameIsOver]:[GameIsOver]],1,Table1[[HomeTeam]:[HomeTeam]],$A31, Table1[[AwayTeam]:[AwayTeam]], AG$1, Table1[[ActualResult]:[ActualResult]], "SO"),0))</f>
        <v>0-0-0</v>
      </c>
    </row>
    <row r="32" spans="1:33" x14ac:dyDescent="0.25">
      <c r="A32" s="28" t="s">
        <v>57</v>
      </c>
      <c r="B32" s="57" t="str">
        <f>_xlfn.CONCAT(TEXT(SUMIFS(Table1[[AwayWon]:[AwayWon]], Table1[[GameIsOver]:[GameIsOver]],1,Table1[[AwayTeam]:[AwayTeam]],$A32, Table1[[HomeTeam]:[HomeTeam]], B$1) + SUMIFS(Table1[[HomeWon]:[HomeWon]], Table1[[GameIsOver]:[GameIsOver]],1,Table1[[HomeTeam]:[HomeTeam]],$A32, Table1[[AwayTeam]:[AwayTeam]], B$1),0), "-", TEXT(SUMIFS(Table1[[HomeWon]:[HomeWon]], Table1[[GameIsOver]:[GameIsOver]],1,Table1[[AwayTeam]:[AwayTeam]],$A32, Table1[[HomeTeam]:[HomeTeam]], B$1, Table1[[ActualResult]:[ActualResult]], "REG") + SUMIFS(Table1[[AwayWon]:[AwayWon]], Table1[[GameIsOver]:[GameIsOver]],1,Table1[[HomeTeam]:[HomeTeam]],$A32, Table1[[AwayTeam]:[AwayTeam]], B$1, Table1[[ActualResult]:[ActualResult]], "REG"),0), "-", TEXT(SUMIFS(Table1[[HomeWon]:[HomeWon]], Table1[[GameIsOver]:[GameIsOver]],1,Table1[[AwayTeam]:[AwayTeam]],$A32, Table1[[HomeTeam]:[HomeTeam]], B$1, Table1[[ActualResult]:[ActualResult]], "OT") + SUMIFS(Table1[[AwayWon]:[AwayWon]], Table1[[GameIsOver]:[GameIsOver]],1,Table1[[HomeTeam]:[HomeTeam]],$A32, Table1[[AwayTeam]:[AwayTeam]], B$1, Table1[[ActualResult]:[ActualResult]], "OT") + SUMIFS(Table1[[HomeWon]:[HomeWon]], Table1[[GameIsOver]:[GameIsOver]],1,Table1[[AwayTeam]:[AwayTeam]],$A32, Table1[[HomeTeam]:[HomeTeam]], B$1, Table1[[ActualResult]:[ActualResult]], "SO") + SUMIFS(Table1[[AwayWon]:[AwayWon]], Table1[[GameIsOver]:[GameIsOver]],1,Table1[[HomeTeam]:[HomeTeam]],$A32, Table1[[AwayTeam]:[AwayTeam]], B$1, Table1[[ActualResult]:[ActualResult]], "SO"),0))</f>
        <v>0-0-0</v>
      </c>
      <c r="C32" s="57" t="str">
        <f>_xlfn.CONCAT(TEXT(SUMIFS(Table1[[AwayWon]:[AwayWon]], Table1[[GameIsOver]:[GameIsOver]],1,Table1[[AwayTeam]:[AwayTeam]],$A32, Table1[[HomeTeam]:[HomeTeam]], C$1) + SUMIFS(Table1[[HomeWon]:[HomeWon]], Table1[[GameIsOver]:[GameIsOver]],1,Table1[[HomeTeam]:[HomeTeam]],$A32, Table1[[AwayTeam]:[AwayTeam]], C$1),0), "-", TEXT(SUMIFS(Table1[[HomeWon]:[HomeWon]], Table1[[GameIsOver]:[GameIsOver]],1,Table1[[AwayTeam]:[AwayTeam]],$A32, Table1[[HomeTeam]:[HomeTeam]], C$1, Table1[[ActualResult]:[ActualResult]], "REG") + SUMIFS(Table1[[AwayWon]:[AwayWon]], Table1[[GameIsOver]:[GameIsOver]],1,Table1[[HomeTeam]:[HomeTeam]],$A32, Table1[[AwayTeam]:[AwayTeam]], C$1, Table1[[ActualResult]:[ActualResult]], "REG"),0), "-", TEXT(SUMIFS(Table1[[HomeWon]:[HomeWon]], Table1[[GameIsOver]:[GameIsOver]],1,Table1[[AwayTeam]:[AwayTeam]],$A32, Table1[[HomeTeam]:[HomeTeam]], C$1, Table1[[ActualResult]:[ActualResult]], "OT") + SUMIFS(Table1[[AwayWon]:[AwayWon]], Table1[[GameIsOver]:[GameIsOver]],1,Table1[[HomeTeam]:[HomeTeam]],$A32, Table1[[AwayTeam]:[AwayTeam]], C$1, Table1[[ActualResult]:[ActualResult]], "OT") + SUMIFS(Table1[[HomeWon]:[HomeWon]], Table1[[GameIsOver]:[GameIsOver]],1,Table1[[AwayTeam]:[AwayTeam]],$A32, Table1[[HomeTeam]:[HomeTeam]], C$1, Table1[[ActualResult]:[ActualResult]], "SO") + SUMIFS(Table1[[AwayWon]:[AwayWon]], Table1[[GameIsOver]:[GameIsOver]],1,Table1[[HomeTeam]:[HomeTeam]],$A32, Table1[[AwayTeam]:[AwayTeam]], C$1, Table1[[ActualResult]:[ActualResult]], "SO"),0))</f>
        <v>0-0-0</v>
      </c>
      <c r="D32" s="57" t="str">
        <f>_xlfn.CONCAT(TEXT(SUMIFS(Table1[[AwayWon]:[AwayWon]], Table1[[GameIsOver]:[GameIsOver]],1,Table1[[AwayTeam]:[AwayTeam]],$A32, Table1[[HomeTeam]:[HomeTeam]], D$1) + SUMIFS(Table1[[HomeWon]:[HomeWon]], Table1[[GameIsOver]:[GameIsOver]],1,Table1[[HomeTeam]:[HomeTeam]],$A32, Table1[[AwayTeam]:[AwayTeam]], D$1),0), "-", TEXT(SUMIFS(Table1[[HomeWon]:[HomeWon]], Table1[[GameIsOver]:[GameIsOver]],1,Table1[[AwayTeam]:[AwayTeam]],$A32, Table1[[HomeTeam]:[HomeTeam]], D$1, Table1[[ActualResult]:[ActualResult]], "REG") + SUMIFS(Table1[[AwayWon]:[AwayWon]], Table1[[GameIsOver]:[GameIsOver]],1,Table1[[HomeTeam]:[HomeTeam]],$A32, Table1[[AwayTeam]:[AwayTeam]], D$1, Table1[[ActualResult]:[ActualResult]], "REG"),0), "-", TEXT(SUMIFS(Table1[[HomeWon]:[HomeWon]], Table1[[GameIsOver]:[GameIsOver]],1,Table1[[AwayTeam]:[AwayTeam]],$A32, Table1[[HomeTeam]:[HomeTeam]], D$1, Table1[[ActualResult]:[ActualResult]], "OT") + SUMIFS(Table1[[AwayWon]:[AwayWon]], Table1[[GameIsOver]:[GameIsOver]],1,Table1[[HomeTeam]:[HomeTeam]],$A32, Table1[[AwayTeam]:[AwayTeam]], D$1, Table1[[ActualResult]:[ActualResult]], "OT") + SUMIFS(Table1[[HomeWon]:[HomeWon]], Table1[[GameIsOver]:[GameIsOver]],1,Table1[[AwayTeam]:[AwayTeam]],$A32, Table1[[HomeTeam]:[HomeTeam]], D$1, Table1[[ActualResult]:[ActualResult]], "SO") + SUMIFS(Table1[[AwayWon]:[AwayWon]], Table1[[GameIsOver]:[GameIsOver]],1,Table1[[HomeTeam]:[HomeTeam]],$A32, Table1[[AwayTeam]:[AwayTeam]], D$1, Table1[[ActualResult]:[ActualResult]], "SO"),0))</f>
        <v>0-0-0</v>
      </c>
      <c r="E32" s="57" t="str">
        <f>_xlfn.CONCAT(TEXT(SUMIFS(Table1[[AwayWon]:[AwayWon]], Table1[[GameIsOver]:[GameIsOver]],1,Table1[[AwayTeam]:[AwayTeam]],$A32, Table1[[HomeTeam]:[HomeTeam]], E$1) + SUMIFS(Table1[[HomeWon]:[HomeWon]], Table1[[GameIsOver]:[GameIsOver]],1,Table1[[HomeTeam]:[HomeTeam]],$A32, Table1[[AwayTeam]:[AwayTeam]], E$1),0), "-", TEXT(SUMIFS(Table1[[HomeWon]:[HomeWon]], Table1[[GameIsOver]:[GameIsOver]],1,Table1[[AwayTeam]:[AwayTeam]],$A32, Table1[[HomeTeam]:[HomeTeam]], E$1, Table1[[ActualResult]:[ActualResult]], "REG") + SUMIFS(Table1[[AwayWon]:[AwayWon]], Table1[[GameIsOver]:[GameIsOver]],1,Table1[[HomeTeam]:[HomeTeam]],$A32, Table1[[AwayTeam]:[AwayTeam]], E$1, Table1[[ActualResult]:[ActualResult]], "REG"),0), "-", TEXT(SUMIFS(Table1[[HomeWon]:[HomeWon]], Table1[[GameIsOver]:[GameIsOver]],1,Table1[[AwayTeam]:[AwayTeam]],$A32, Table1[[HomeTeam]:[HomeTeam]], E$1, Table1[[ActualResult]:[ActualResult]], "OT") + SUMIFS(Table1[[AwayWon]:[AwayWon]], Table1[[GameIsOver]:[GameIsOver]],1,Table1[[HomeTeam]:[HomeTeam]],$A32, Table1[[AwayTeam]:[AwayTeam]], E$1, Table1[[ActualResult]:[ActualResult]], "OT") + SUMIFS(Table1[[HomeWon]:[HomeWon]], Table1[[GameIsOver]:[GameIsOver]],1,Table1[[AwayTeam]:[AwayTeam]],$A32, Table1[[HomeTeam]:[HomeTeam]], E$1, Table1[[ActualResult]:[ActualResult]], "SO") + SUMIFS(Table1[[AwayWon]:[AwayWon]], Table1[[GameIsOver]:[GameIsOver]],1,Table1[[HomeTeam]:[HomeTeam]],$A32, Table1[[AwayTeam]:[AwayTeam]], E$1, Table1[[ActualResult]:[ActualResult]], "SO"),0))</f>
        <v>0-0-0</v>
      </c>
      <c r="F32" s="57" t="str">
        <f>_xlfn.CONCAT(TEXT(SUMIFS(Table1[[AwayWon]:[AwayWon]], Table1[[GameIsOver]:[GameIsOver]],1,Table1[[AwayTeam]:[AwayTeam]],$A32, Table1[[HomeTeam]:[HomeTeam]], F$1) + SUMIFS(Table1[[HomeWon]:[HomeWon]], Table1[[GameIsOver]:[GameIsOver]],1,Table1[[HomeTeam]:[HomeTeam]],$A32, Table1[[AwayTeam]:[AwayTeam]], F$1),0), "-", TEXT(SUMIFS(Table1[[HomeWon]:[HomeWon]], Table1[[GameIsOver]:[GameIsOver]],1,Table1[[AwayTeam]:[AwayTeam]],$A32, Table1[[HomeTeam]:[HomeTeam]], F$1, Table1[[ActualResult]:[ActualResult]], "REG") + SUMIFS(Table1[[AwayWon]:[AwayWon]], Table1[[GameIsOver]:[GameIsOver]],1,Table1[[HomeTeam]:[HomeTeam]],$A32, Table1[[AwayTeam]:[AwayTeam]], F$1, Table1[[ActualResult]:[ActualResult]], "REG"),0), "-", TEXT(SUMIFS(Table1[[HomeWon]:[HomeWon]], Table1[[GameIsOver]:[GameIsOver]],1,Table1[[AwayTeam]:[AwayTeam]],$A32, Table1[[HomeTeam]:[HomeTeam]], F$1, Table1[[ActualResult]:[ActualResult]], "OT") + SUMIFS(Table1[[AwayWon]:[AwayWon]], Table1[[GameIsOver]:[GameIsOver]],1,Table1[[HomeTeam]:[HomeTeam]],$A32, Table1[[AwayTeam]:[AwayTeam]], F$1, Table1[[ActualResult]:[ActualResult]], "OT") + SUMIFS(Table1[[HomeWon]:[HomeWon]], Table1[[GameIsOver]:[GameIsOver]],1,Table1[[AwayTeam]:[AwayTeam]],$A32, Table1[[HomeTeam]:[HomeTeam]], F$1, Table1[[ActualResult]:[ActualResult]], "SO") + SUMIFS(Table1[[AwayWon]:[AwayWon]], Table1[[GameIsOver]:[GameIsOver]],1,Table1[[HomeTeam]:[HomeTeam]],$A32, Table1[[AwayTeam]:[AwayTeam]], F$1, Table1[[ActualResult]:[ActualResult]], "SO"),0))</f>
        <v>0-0-0</v>
      </c>
      <c r="G32" s="57" t="str">
        <f>_xlfn.CONCAT(TEXT(SUMIFS(Table1[[AwayWon]:[AwayWon]], Table1[[GameIsOver]:[GameIsOver]],1,Table1[[AwayTeam]:[AwayTeam]],$A32, Table1[[HomeTeam]:[HomeTeam]], G$1) + SUMIFS(Table1[[HomeWon]:[HomeWon]], Table1[[GameIsOver]:[GameIsOver]],1,Table1[[HomeTeam]:[HomeTeam]],$A32, Table1[[AwayTeam]:[AwayTeam]], G$1),0), "-", TEXT(SUMIFS(Table1[[HomeWon]:[HomeWon]], Table1[[GameIsOver]:[GameIsOver]],1,Table1[[AwayTeam]:[AwayTeam]],$A32, Table1[[HomeTeam]:[HomeTeam]], G$1, Table1[[ActualResult]:[ActualResult]], "REG") + SUMIFS(Table1[[AwayWon]:[AwayWon]], Table1[[GameIsOver]:[GameIsOver]],1,Table1[[HomeTeam]:[HomeTeam]],$A32, Table1[[AwayTeam]:[AwayTeam]], G$1, Table1[[ActualResult]:[ActualResult]], "REG"),0), "-", TEXT(SUMIFS(Table1[[HomeWon]:[HomeWon]], Table1[[GameIsOver]:[GameIsOver]],1,Table1[[AwayTeam]:[AwayTeam]],$A32, Table1[[HomeTeam]:[HomeTeam]], G$1, Table1[[ActualResult]:[ActualResult]], "OT") + SUMIFS(Table1[[AwayWon]:[AwayWon]], Table1[[GameIsOver]:[GameIsOver]],1,Table1[[HomeTeam]:[HomeTeam]],$A32, Table1[[AwayTeam]:[AwayTeam]], G$1, Table1[[ActualResult]:[ActualResult]], "OT") + SUMIFS(Table1[[HomeWon]:[HomeWon]], Table1[[GameIsOver]:[GameIsOver]],1,Table1[[AwayTeam]:[AwayTeam]],$A32, Table1[[HomeTeam]:[HomeTeam]], G$1, Table1[[ActualResult]:[ActualResult]], "SO") + SUMIFS(Table1[[AwayWon]:[AwayWon]], Table1[[GameIsOver]:[GameIsOver]],1,Table1[[HomeTeam]:[HomeTeam]],$A32, Table1[[AwayTeam]:[AwayTeam]], G$1, Table1[[ActualResult]:[ActualResult]], "SO"),0))</f>
        <v>0-0-0</v>
      </c>
      <c r="H32" s="57" t="str">
        <f>_xlfn.CONCAT(TEXT(SUMIFS(Table1[[AwayWon]:[AwayWon]], Table1[[GameIsOver]:[GameIsOver]],1,Table1[[AwayTeam]:[AwayTeam]],$A32, Table1[[HomeTeam]:[HomeTeam]], H$1) + SUMIFS(Table1[[HomeWon]:[HomeWon]], Table1[[GameIsOver]:[GameIsOver]],1,Table1[[HomeTeam]:[HomeTeam]],$A32, Table1[[AwayTeam]:[AwayTeam]], H$1),0), "-", TEXT(SUMIFS(Table1[[HomeWon]:[HomeWon]], Table1[[GameIsOver]:[GameIsOver]],1,Table1[[AwayTeam]:[AwayTeam]],$A32, Table1[[HomeTeam]:[HomeTeam]], H$1, Table1[[ActualResult]:[ActualResult]], "REG") + SUMIFS(Table1[[AwayWon]:[AwayWon]], Table1[[GameIsOver]:[GameIsOver]],1,Table1[[HomeTeam]:[HomeTeam]],$A32, Table1[[AwayTeam]:[AwayTeam]], H$1, Table1[[ActualResult]:[ActualResult]], "REG"),0), "-", TEXT(SUMIFS(Table1[[HomeWon]:[HomeWon]], Table1[[GameIsOver]:[GameIsOver]],1,Table1[[AwayTeam]:[AwayTeam]],$A32, Table1[[HomeTeam]:[HomeTeam]], H$1, Table1[[ActualResult]:[ActualResult]], "OT") + SUMIFS(Table1[[AwayWon]:[AwayWon]], Table1[[GameIsOver]:[GameIsOver]],1,Table1[[HomeTeam]:[HomeTeam]],$A32, Table1[[AwayTeam]:[AwayTeam]], H$1, Table1[[ActualResult]:[ActualResult]], "OT") + SUMIFS(Table1[[HomeWon]:[HomeWon]], Table1[[GameIsOver]:[GameIsOver]],1,Table1[[AwayTeam]:[AwayTeam]],$A32, Table1[[HomeTeam]:[HomeTeam]], H$1, Table1[[ActualResult]:[ActualResult]], "SO") + SUMIFS(Table1[[AwayWon]:[AwayWon]], Table1[[GameIsOver]:[GameIsOver]],1,Table1[[HomeTeam]:[HomeTeam]],$A32, Table1[[AwayTeam]:[AwayTeam]], H$1, Table1[[ActualResult]:[ActualResult]], "SO"),0))</f>
        <v>0-0-0</v>
      </c>
      <c r="I32" s="59" t="str">
        <f>_xlfn.CONCAT(TEXT(SUMIFS(Table1[[AwayWon]:[AwayWon]], Table1[[GameIsOver]:[GameIsOver]],1,Table1[[AwayTeam]:[AwayTeam]],$A32, Table1[[HomeTeam]:[HomeTeam]], I$1) + SUMIFS(Table1[[HomeWon]:[HomeWon]], Table1[[GameIsOver]:[GameIsOver]],1,Table1[[HomeTeam]:[HomeTeam]],$A32, Table1[[AwayTeam]:[AwayTeam]], I$1),0), "-", TEXT(SUMIFS(Table1[[HomeWon]:[HomeWon]], Table1[[GameIsOver]:[GameIsOver]],1,Table1[[AwayTeam]:[AwayTeam]],$A32, Table1[[HomeTeam]:[HomeTeam]], I$1, Table1[[ActualResult]:[ActualResult]], "REG") + SUMIFS(Table1[[AwayWon]:[AwayWon]], Table1[[GameIsOver]:[GameIsOver]],1,Table1[[HomeTeam]:[HomeTeam]],$A32, Table1[[AwayTeam]:[AwayTeam]], I$1, Table1[[ActualResult]:[ActualResult]], "REG"),0), "-", TEXT(SUMIFS(Table1[[HomeWon]:[HomeWon]], Table1[[GameIsOver]:[GameIsOver]],1,Table1[[AwayTeam]:[AwayTeam]],$A32, Table1[[HomeTeam]:[HomeTeam]], I$1, Table1[[ActualResult]:[ActualResult]], "OT") + SUMIFS(Table1[[AwayWon]:[AwayWon]], Table1[[GameIsOver]:[GameIsOver]],1,Table1[[HomeTeam]:[HomeTeam]],$A32, Table1[[AwayTeam]:[AwayTeam]], I$1, Table1[[ActualResult]:[ActualResult]], "OT") + SUMIFS(Table1[[HomeWon]:[HomeWon]], Table1[[GameIsOver]:[GameIsOver]],1,Table1[[AwayTeam]:[AwayTeam]],$A32, Table1[[HomeTeam]:[HomeTeam]], I$1, Table1[[ActualResult]:[ActualResult]], "SO") + SUMIFS(Table1[[AwayWon]:[AwayWon]], Table1[[GameIsOver]:[GameIsOver]],1,Table1[[HomeTeam]:[HomeTeam]],$A32, Table1[[AwayTeam]:[AwayTeam]], I$1, Table1[[ActualResult]:[ActualResult]], "SO"),0))</f>
        <v>0-0-0</v>
      </c>
      <c r="J32" s="57" t="str">
        <f>_xlfn.CONCAT(TEXT(SUMIFS(Table1[[AwayWon]:[AwayWon]], Table1[[GameIsOver]:[GameIsOver]],1,Table1[[AwayTeam]:[AwayTeam]],$A32, Table1[[HomeTeam]:[HomeTeam]], J$1) + SUMIFS(Table1[[HomeWon]:[HomeWon]], Table1[[GameIsOver]:[GameIsOver]],1,Table1[[HomeTeam]:[HomeTeam]],$A32, Table1[[AwayTeam]:[AwayTeam]], J$1),0), "-", TEXT(SUMIFS(Table1[[HomeWon]:[HomeWon]], Table1[[GameIsOver]:[GameIsOver]],1,Table1[[AwayTeam]:[AwayTeam]],$A32, Table1[[HomeTeam]:[HomeTeam]], J$1, Table1[[ActualResult]:[ActualResult]], "REG") + SUMIFS(Table1[[AwayWon]:[AwayWon]], Table1[[GameIsOver]:[GameIsOver]],1,Table1[[HomeTeam]:[HomeTeam]],$A32, Table1[[AwayTeam]:[AwayTeam]], J$1, Table1[[ActualResult]:[ActualResult]], "REG"),0), "-", TEXT(SUMIFS(Table1[[HomeWon]:[HomeWon]], Table1[[GameIsOver]:[GameIsOver]],1,Table1[[AwayTeam]:[AwayTeam]],$A32, Table1[[HomeTeam]:[HomeTeam]], J$1, Table1[[ActualResult]:[ActualResult]], "OT") + SUMIFS(Table1[[AwayWon]:[AwayWon]], Table1[[GameIsOver]:[GameIsOver]],1,Table1[[HomeTeam]:[HomeTeam]],$A32, Table1[[AwayTeam]:[AwayTeam]], J$1, Table1[[ActualResult]:[ActualResult]], "OT") + SUMIFS(Table1[[HomeWon]:[HomeWon]], Table1[[GameIsOver]:[GameIsOver]],1,Table1[[AwayTeam]:[AwayTeam]],$A32, Table1[[HomeTeam]:[HomeTeam]], J$1, Table1[[ActualResult]:[ActualResult]], "SO") + SUMIFS(Table1[[AwayWon]:[AwayWon]], Table1[[GameIsOver]:[GameIsOver]],1,Table1[[HomeTeam]:[HomeTeam]],$A32, Table1[[AwayTeam]:[AwayTeam]], J$1, Table1[[ActualResult]:[ActualResult]], "SO"),0))</f>
        <v>0-0-0</v>
      </c>
      <c r="K32" s="57" t="str">
        <f>_xlfn.CONCAT(TEXT(SUMIFS(Table1[[AwayWon]:[AwayWon]], Table1[[GameIsOver]:[GameIsOver]],1,Table1[[AwayTeam]:[AwayTeam]],$A32, Table1[[HomeTeam]:[HomeTeam]], K$1) + SUMIFS(Table1[[HomeWon]:[HomeWon]], Table1[[GameIsOver]:[GameIsOver]],1,Table1[[HomeTeam]:[HomeTeam]],$A32, Table1[[AwayTeam]:[AwayTeam]], K$1),0), "-", TEXT(SUMIFS(Table1[[HomeWon]:[HomeWon]], Table1[[GameIsOver]:[GameIsOver]],1,Table1[[AwayTeam]:[AwayTeam]],$A32, Table1[[HomeTeam]:[HomeTeam]], K$1, Table1[[ActualResult]:[ActualResult]], "REG") + SUMIFS(Table1[[AwayWon]:[AwayWon]], Table1[[GameIsOver]:[GameIsOver]],1,Table1[[HomeTeam]:[HomeTeam]],$A32, Table1[[AwayTeam]:[AwayTeam]], K$1, Table1[[ActualResult]:[ActualResult]], "REG"),0), "-", TEXT(SUMIFS(Table1[[HomeWon]:[HomeWon]], Table1[[GameIsOver]:[GameIsOver]],1,Table1[[AwayTeam]:[AwayTeam]],$A32, Table1[[HomeTeam]:[HomeTeam]], K$1, Table1[[ActualResult]:[ActualResult]], "OT") + SUMIFS(Table1[[AwayWon]:[AwayWon]], Table1[[GameIsOver]:[GameIsOver]],1,Table1[[HomeTeam]:[HomeTeam]],$A32, Table1[[AwayTeam]:[AwayTeam]], K$1, Table1[[ActualResult]:[ActualResult]], "OT") + SUMIFS(Table1[[HomeWon]:[HomeWon]], Table1[[GameIsOver]:[GameIsOver]],1,Table1[[AwayTeam]:[AwayTeam]],$A32, Table1[[HomeTeam]:[HomeTeam]], K$1, Table1[[ActualResult]:[ActualResult]], "SO") + SUMIFS(Table1[[AwayWon]:[AwayWon]], Table1[[GameIsOver]:[GameIsOver]],1,Table1[[HomeTeam]:[HomeTeam]],$A32, Table1[[AwayTeam]:[AwayTeam]], K$1, Table1[[ActualResult]:[ActualResult]], "SO"),0))</f>
        <v>0-0-0</v>
      </c>
      <c r="L32" s="57" t="str">
        <f>_xlfn.CONCAT(TEXT(SUMIFS(Table1[[AwayWon]:[AwayWon]], Table1[[GameIsOver]:[GameIsOver]],1,Table1[[AwayTeam]:[AwayTeam]],$A32, Table1[[HomeTeam]:[HomeTeam]], L$1) + SUMIFS(Table1[[HomeWon]:[HomeWon]], Table1[[GameIsOver]:[GameIsOver]],1,Table1[[HomeTeam]:[HomeTeam]],$A32, Table1[[AwayTeam]:[AwayTeam]], L$1),0), "-", TEXT(SUMIFS(Table1[[HomeWon]:[HomeWon]], Table1[[GameIsOver]:[GameIsOver]],1,Table1[[AwayTeam]:[AwayTeam]],$A32, Table1[[HomeTeam]:[HomeTeam]], L$1, Table1[[ActualResult]:[ActualResult]], "REG") + SUMIFS(Table1[[AwayWon]:[AwayWon]], Table1[[GameIsOver]:[GameIsOver]],1,Table1[[HomeTeam]:[HomeTeam]],$A32, Table1[[AwayTeam]:[AwayTeam]], L$1, Table1[[ActualResult]:[ActualResult]], "REG"),0), "-", TEXT(SUMIFS(Table1[[HomeWon]:[HomeWon]], Table1[[GameIsOver]:[GameIsOver]],1,Table1[[AwayTeam]:[AwayTeam]],$A32, Table1[[HomeTeam]:[HomeTeam]], L$1, Table1[[ActualResult]:[ActualResult]], "OT") + SUMIFS(Table1[[AwayWon]:[AwayWon]], Table1[[GameIsOver]:[GameIsOver]],1,Table1[[HomeTeam]:[HomeTeam]],$A32, Table1[[AwayTeam]:[AwayTeam]], L$1, Table1[[ActualResult]:[ActualResult]], "OT") + SUMIFS(Table1[[HomeWon]:[HomeWon]], Table1[[GameIsOver]:[GameIsOver]],1,Table1[[AwayTeam]:[AwayTeam]],$A32, Table1[[HomeTeam]:[HomeTeam]], L$1, Table1[[ActualResult]:[ActualResult]], "SO") + SUMIFS(Table1[[AwayWon]:[AwayWon]], Table1[[GameIsOver]:[GameIsOver]],1,Table1[[HomeTeam]:[HomeTeam]],$A32, Table1[[AwayTeam]:[AwayTeam]], L$1, Table1[[ActualResult]:[ActualResult]], "SO"),0))</f>
        <v>0-0-0</v>
      </c>
      <c r="M32" s="57" t="str">
        <f>_xlfn.CONCAT(TEXT(SUMIFS(Table1[[AwayWon]:[AwayWon]], Table1[[GameIsOver]:[GameIsOver]],1,Table1[[AwayTeam]:[AwayTeam]],$A32, Table1[[HomeTeam]:[HomeTeam]], M$1) + SUMIFS(Table1[[HomeWon]:[HomeWon]], Table1[[GameIsOver]:[GameIsOver]],1,Table1[[HomeTeam]:[HomeTeam]],$A32, Table1[[AwayTeam]:[AwayTeam]], M$1),0), "-", TEXT(SUMIFS(Table1[[HomeWon]:[HomeWon]], Table1[[GameIsOver]:[GameIsOver]],1,Table1[[AwayTeam]:[AwayTeam]],$A32, Table1[[HomeTeam]:[HomeTeam]], M$1, Table1[[ActualResult]:[ActualResult]], "REG") + SUMIFS(Table1[[AwayWon]:[AwayWon]], Table1[[GameIsOver]:[GameIsOver]],1,Table1[[HomeTeam]:[HomeTeam]],$A32, Table1[[AwayTeam]:[AwayTeam]], M$1, Table1[[ActualResult]:[ActualResult]], "REG"),0), "-", TEXT(SUMIFS(Table1[[HomeWon]:[HomeWon]], Table1[[GameIsOver]:[GameIsOver]],1,Table1[[AwayTeam]:[AwayTeam]],$A32, Table1[[HomeTeam]:[HomeTeam]], M$1, Table1[[ActualResult]:[ActualResult]], "OT") + SUMIFS(Table1[[AwayWon]:[AwayWon]], Table1[[GameIsOver]:[GameIsOver]],1,Table1[[HomeTeam]:[HomeTeam]],$A32, Table1[[AwayTeam]:[AwayTeam]], M$1, Table1[[ActualResult]:[ActualResult]], "OT") + SUMIFS(Table1[[HomeWon]:[HomeWon]], Table1[[GameIsOver]:[GameIsOver]],1,Table1[[AwayTeam]:[AwayTeam]],$A32, Table1[[HomeTeam]:[HomeTeam]], M$1, Table1[[ActualResult]:[ActualResult]], "SO") + SUMIFS(Table1[[AwayWon]:[AwayWon]], Table1[[GameIsOver]:[GameIsOver]],1,Table1[[HomeTeam]:[HomeTeam]],$A32, Table1[[AwayTeam]:[AwayTeam]], M$1, Table1[[ActualResult]:[ActualResult]], "SO"),0))</f>
        <v>0-0-0</v>
      </c>
      <c r="N32" s="57" t="str">
        <f>_xlfn.CONCAT(TEXT(SUMIFS(Table1[[AwayWon]:[AwayWon]], Table1[[GameIsOver]:[GameIsOver]],1,Table1[[AwayTeam]:[AwayTeam]],$A32, Table1[[HomeTeam]:[HomeTeam]], N$1) + SUMIFS(Table1[[HomeWon]:[HomeWon]], Table1[[GameIsOver]:[GameIsOver]],1,Table1[[HomeTeam]:[HomeTeam]],$A32, Table1[[AwayTeam]:[AwayTeam]], N$1),0), "-", TEXT(SUMIFS(Table1[[HomeWon]:[HomeWon]], Table1[[GameIsOver]:[GameIsOver]],1,Table1[[AwayTeam]:[AwayTeam]],$A32, Table1[[HomeTeam]:[HomeTeam]], N$1, Table1[[ActualResult]:[ActualResult]], "REG") + SUMIFS(Table1[[AwayWon]:[AwayWon]], Table1[[GameIsOver]:[GameIsOver]],1,Table1[[HomeTeam]:[HomeTeam]],$A32, Table1[[AwayTeam]:[AwayTeam]], N$1, Table1[[ActualResult]:[ActualResult]], "REG"),0), "-", TEXT(SUMIFS(Table1[[HomeWon]:[HomeWon]], Table1[[GameIsOver]:[GameIsOver]],1,Table1[[AwayTeam]:[AwayTeam]],$A32, Table1[[HomeTeam]:[HomeTeam]], N$1, Table1[[ActualResult]:[ActualResult]], "OT") + SUMIFS(Table1[[AwayWon]:[AwayWon]], Table1[[GameIsOver]:[GameIsOver]],1,Table1[[HomeTeam]:[HomeTeam]],$A32, Table1[[AwayTeam]:[AwayTeam]], N$1, Table1[[ActualResult]:[ActualResult]], "OT") + SUMIFS(Table1[[HomeWon]:[HomeWon]], Table1[[GameIsOver]:[GameIsOver]],1,Table1[[AwayTeam]:[AwayTeam]],$A32, Table1[[HomeTeam]:[HomeTeam]], N$1, Table1[[ActualResult]:[ActualResult]], "SO") + SUMIFS(Table1[[AwayWon]:[AwayWon]], Table1[[GameIsOver]:[GameIsOver]],1,Table1[[HomeTeam]:[HomeTeam]],$A32, Table1[[AwayTeam]:[AwayTeam]], N$1, Table1[[ActualResult]:[ActualResult]], "SO"),0))</f>
        <v>0-0-0</v>
      </c>
      <c r="O32" s="57" t="str">
        <f>_xlfn.CONCAT(TEXT(SUMIFS(Table1[[AwayWon]:[AwayWon]], Table1[[GameIsOver]:[GameIsOver]],1,Table1[[AwayTeam]:[AwayTeam]],$A32, Table1[[HomeTeam]:[HomeTeam]], O$1) + SUMIFS(Table1[[HomeWon]:[HomeWon]], Table1[[GameIsOver]:[GameIsOver]],1,Table1[[HomeTeam]:[HomeTeam]],$A32, Table1[[AwayTeam]:[AwayTeam]], O$1),0), "-", TEXT(SUMIFS(Table1[[HomeWon]:[HomeWon]], Table1[[GameIsOver]:[GameIsOver]],1,Table1[[AwayTeam]:[AwayTeam]],$A32, Table1[[HomeTeam]:[HomeTeam]], O$1, Table1[[ActualResult]:[ActualResult]], "REG") + SUMIFS(Table1[[AwayWon]:[AwayWon]], Table1[[GameIsOver]:[GameIsOver]],1,Table1[[HomeTeam]:[HomeTeam]],$A32, Table1[[AwayTeam]:[AwayTeam]], O$1, Table1[[ActualResult]:[ActualResult]], "REG"),0), "-", TEXT(SUMIFS(Table1[[HomeWon]:[HomeWon]], Table1[[GameIsOver]:[GameIsOver]],1,Table1[[AwayTeam]:[AwayTeam]],$A32, Table1[[HomeTeam]:[HomeTeam]], O$1, Table1[[ActualResult]:[ActualResult]], "OT") + SUMIFS(Table1[[AwayWon]:[AwayWon]], Table1[[GameIsOver]:[GameIsOver]],1,Table1[[HomeTeam]:[HomeTeam]],$A32, Table1[[AwayTeam]:[AwayTeam]], O$1, Table1[[ActualResult]:[ActualResult]], "OT") + SUMIFS(Table1[[HomeWon]:[HomeWon]], Table1[[GameIsOver]:[GameIsOver]],1,Table1[[AwayTeam]:[AwayTeam]],$A32, Table1[[HomeTeam]:[HomeTeam]], O$1, Table1[[ActualResult]:[ActualResult]], "SO") + SUMIFS(Table1[[AwayWon]:[AwayWon]], Table1[[GameIsOver]:[GameIsOver]],1,Table1[[HomeTeam]:[HomeTeam]],$A32, Table1[[AwayTeam]:[AwayTeam]], O$1, Table1[[ActualResult]:[ActualResult]], "SO"),0))</f>
        <v>0-0-0</v>
      </c>
      <c r="P32" s="57" t="str">
        <f>_xlfn.CONCAT(TEXT(SUMIFS(Table1[[AwayWon]:[AwayWon]], Table1[[GameIsOver]:[GameIsOver]],1,Table1[[AwayTeam]:[AwayTeam]],$A32, Table1[[HomeTeam]:[HomeTeam]], P$1) + SUMIFS(Table1[[HomeWon]:[HomeWon]], Table1[[GameIsOver]:[GameIsOver]],1,Table1[[HomeTeam]:[HomeTeam]],$A32, Table1[[AwayTeam]:[AwayTeam]], P$1),0), "-", TEXT(SUMIFS(Table1[[HomeWon]:[HomeWon]], Table1[[GameIsOver]:[GameIsOver]],1,Table1[[AwayTeam]:[AwayTeam]],$A32, Table1[[HomeTeam]:[HomeTeam]], P$1, Table1[[ActualResult]:[ActualResult]], "REG") + SUMIFS(Table1[[AwayWon]:[AwayWon]], Table1[[GameIsOver]:[GameIsOver]],1,Table1[[HomeTeam]:[HomeTeam]],$A32, Table1[[AwayTeam]:[AwayTeam]], P$1, Table1[[ActualResult]:[ActualResult]], "REG"),0), "-", TEXT(SUMIFS(Table1[[HomeWon]:[HomeWon]], Table1[[GameIsOver]:[GameIsOver]],1,Table1[[AwayTeam]:[AwayTeam]],$A32, Table1[[HomeTeam]:[HomeTeam]], P$1, Table1[[ActualResult]:[ActualResult]], "OT") + SUMIFS(Table1[[AwayWon]:[AwayWon]], Table1[[GameIsOver]:[GameIsOver]],1,Table1[[HomeTeam]:[HomeTeam]],$A32, Table1[[AwayTeam]:[AwayTeam]], P$1, Table1[[ActualResult]:[ActualResult]], "OT") + SUMIFS(Table1[[HomeWon]:[HomeWon]], Table1[[GameIsOver]:[GameIsOver]],1,Table1[[AwayTeam]:[AwayTeam]],$A32, Table1[[HomeTeam]:[HomeTeam]], P$1, Table1[[ActualResult]:[ActualResult]], "SO") + SUMIFS(Table1[[AwayWon]:[AwayWon]], Table1[[GameIsOver]:[GameIsOver]],1,Table1[[HomeTeam]:[HomeTeam]],$A32, Table1[[AwayTeam]:[AwayTeam]], P$1, Table1[[ActualResult]:[ActualResult]], "SO"),0))</f>
        <v>0-0-0</v>
      </c>
      <c r="Q32" s="59" t="str">
        <f>_xlfn.CONCAT(TEXT(SUMIFS(Table1[[AwayWon]:[AwayWon]], Table1[[GameIsOver]:[GameIsOver]],1,Table1[[AwayTeam]:[AwayTeam]],$A32, Table1[[HomeTeam]:[HomeTeam]], Q$1) + SUMIFS(Table1[[HomeWon]:[HomeWon]], Table1[[GameIsOver]:[GameIsOver]],1,Table1[[HomeTeam]:[HomeTeam]],$A32, Table1[[AwayTeam]:[AwayTeam]], Q$1),0), "-", TEXT(SUMIFS(Table1[[HomeWon]:[HomeWon]], Table1[[GameIsOver]:[GameIsOver]],1,Table1[[AwayTeam]:[AwayTeam]],$A32, Table1[[HomeTeam]:[HomeTeam]], Q$1, Table1[[ActualResult]:[ActualResult]], "REG") + SUMIFS(Table1[[AwayWon]:[AwayWon]], Table1[[GameIsOver]:[GameIsOver]],1,Table1[[HomeTeam]:[HomeTeam]],$A32, Table1[[AwayTeam]:[AwayTeam]], Q$1, Table1[[ActualResult]:[ActualResult]], "REG"),0), "-", TEXT(SUMIFS(Table1[[HomeWon]:[HomeWon]], Table1[[GameIsOver]:[GameIsOver]],1,Table1[[AwayTeam]:[AwayTeam]],$A32, Table1[[HomeTeam]:[HomeTeam]], Q$1, Table1[[ActualResult]:[ActualResult]], "OT") + SUMIFS(Table1[[AwayWon]:[AwayWon]], Table1[[GameIsOver]:[GameIsOver]],1,Table1[[HomeTeam]:[HomeTeam]],$A32, Table1[[AwayTeam]:[AwayTeam]], Q$1, Table1[[ActualResult]:[ActualResult]], "OT") + SUMIFS(Table1[[HomeWon]:[HomeWon]], Table1[[GameIsOver]:[GameIsOver]],1,Table1[[AwayTeam]:[AwayTeam]],$A32, Table1[[HomeTeam]:[HomeTeam]], Q$1, Table1[[ActualResult]:[ActualResult]], "SO") + SUMIFS(Table1[[AwayWon]:[AwayWon]], Table1[[GameIsOver]:[GameIsOver]],1,Table1[[HomeTeam]:[HomeTeam]],$A32, Table1[[AwayTeam]:[AwayTeam]], Q$1, Table1[[ActualResult]:[ActualResult]], "SO"),0))</f>
        <v>0-0-0</v>
      </c>
      <c r="R32" s="57" t="str">
        <f>_xlfn.CONCAT(TEXT(SUMIFS(Table1[[AwayWon]:[AwayWon]], Table1[[GameIsOver]:[GameIsOver]],1,Table1[[AwayTeam]:[AwayTeam]],$A32, Table1[[HomeTeam]:[HomeTeam]], R$1) + SUMIFS(Table1[[HomeWon]:[HomeWon]], Table1[[GameIsOver]:[GameIsOver]],1,Table1[[HomeTeam]:[HomeTeam]],$A32, Table1[[AwayTeam]:[AwayTeam]], R$1),0), "-", TEXT(SUMIFS(Table1[[HomeWon]:[HomeWon]], Table1[[GameIsOver]:[GameIsOver]],1,Table1[[AwayTeam]:[AwayTeam]],$A32, Table1[[HomeTeam]:[HomeTeam]], R$1, Table1[[ActualResult]:[ActualResult]], "REG") + SUMIFS(Table1[[AwayWon]:[AwayWon]], Table1[[GameIsOver]:[GameIsOver]],1,Table1[[HomeTeam]:[HomeTeam]],$A32, Table1[[AwayTeam]:[AwayTeam]], R$1, Table1[[ActualResult]:[ActualResult]], "REG"),0), "-", TEXT(SUMIFS(Table1[[HomeWon]:[HomeWon]], Table1[[GameIsOver]:[GameIsOver]],1,Table1[[AwayTeam]:[AwayTeam]],$A32, Table1[[HomeTeam]:[HomeTeam]], R$1, Table1[[ActualResult]:[ActualResult]], "OT") + SUMIFS(Table1[[AwayWon]:[AwayWon]], Table1[[GameIsOver]:[GameIsOver]],1,Table1[[HomeTeam]:[HomeTeam]],$A32, Table1[[AwayTeam]:[AwayTeam]], R$1, Table1[[ActualResult]:[ActualResult]], "OT") + SUMIFS(Table1[[HomeWon]:[HomeWon]], Table1[[GameIsOver]:[GameIsOver]],1,Table1[[AwayTeam]:[AwayTeam]],$A32, Table1[[HomeTeam]:[HomeTeam]], R$1, Table1[[ActualResult]:[ActualResult]], "SO") + SUMIFS(Table1[[AwayWon]:[AwayWon]], Table1[[GameIsOver]:[GameIsOver]],1,Table1[[HomeTeam]:[HomeTeam]],$A32, Table1[[AwayTeam]:[AwayTeam]], R$1, Table1[[ActualResult]:[ActualResult]], "SO"),0))</f>
        <v>0-0-0</v>
      </c>
      <c r="S32" s="57" t="str">
        <f>_xlfn.CONCAT(TEXT(SUMIFS(Table1[[AwayWon]:[AwayWon]], Table1[[GameIsOver]:[GameIsOver]],1,Table1[[AwayTeam]:[AwayTeam]],$A32, Table1[[HomeTeam]:[HomeTeam]], S$1) + SUMIFS(Table1[[HomeWon]:[HomeWon]], Table1[[GameIsOver]:[GameIsOver]],1,Table1[[HomeTeam]:[HomeTeam]],$A32, Table1[[AwayTeam]:[AwayTeam]], S$1),0), "-", TEXT(SUMIFS(Table1[[HomeWon]:[HomeWon]], Table1[[GameIsOver]:[GameIsOver]],1,Table1[[AwayTeam]:[AwayTeam]],$A32, Table1[[HomeTeam]:[HomeTeam]], S$1, Table1[[ActualResult]:[ActualResult]], "REG") + SUMIFS(Table1[[AwayWon]:[AwayWon]], Table1[[GameIsOver]:[GameIsOver]],1,Table1[[HomeTeam]:[HomeTeam]],$A32, Table1[[AwayTeam]:[AwayTeam]], S$1, Table1[[ActualResult]:[ActualResult]], "REG"),0), "-", TEXT(SUMIFS(Table1[[HomeWon]:[HomeWon]], Table1[[GameIsOver]:[GameIsOver]],1,Table1[[AwayTeam]:[AwayTeam]],$A32, Table1[[HomeTeam]:[HomeTeam]], S$1, Table1[[ActualResult]:[ActualResult]], "OT") + SUMIFS(Table1[[AwayWon]:[AwayWon]], Table1[[GameIsOver]:[GameIsOver]],1,Table1[[HomeTeam]:[HomeTeam]],$A32, Table1[[AwayTeam]:[AwayTeam]], S$1, Table1[[ActualResult]:[ActualResult]], "OT") + SUMIFS(Table1[[HomeWon]:[HomeWon]], Table1[[GameIsOver]:[GameIsOver]],1,Table1[[AwayTeam]:[AwayTeam]],$A32, Table1[[HomeTeam]:[HomeTeam]], S$1, Table1[[ActualResult]:[ActualResult]], "SO") + SUMIFS(Table1[[AwayWon]:[AwayWon]], Table1[[GameIsOver]:[GameIsOver]],1,Table1[[HomeTeam]:[HomeTeam]],$A32, Table1[[AwayTeam]:[AwayTeam]], S$1, Table1[[ActualResult]:[ActualResult]], "SO"),0))</f>
        <v>0-0-0</v>
      </c>
      <c r="T32" s="57" t="str">
        <f>_xlfn.CONCAT(TEXT(SUMIFS(Table1[[AwayWon]:[AwayWon]], Table1[[GameIsOver]:[GameIsOver]],1,Table1[[AwayTeam]:[AwayTeam]],$A32, Table1[[HomeTeam]:[HomeTeam]], T$1) + SUMIFS(Table1[[HomeWon]:[HomeWon]], Table1[[GameIsOver]:[GameIsOver]],1,Table1[[HomeTeam]:[HomeTeam]],$A32, Table1[[AwayTeam]:[AwayTeam]], T$1),0), "-", TEXT(SUMIFS(Table1[[HomeWon]:[HomeWon]], Table1[[GameIsOver]:[GameIsOver]],1,Table1[[AwayTeam]:[AwayTeam]],$A32, Table1[[HomeTeam]:[HomeTeam]], T$1, Table1[[ActualResult]:[ActualResult]], "REG") + SUMIFS(Table1[[AwayWon]:[AwayWon]], Table1[[GameIsOver]:[GameIsOver]],1,Table1[[HomeTeam]:[HomeTeam]],$A32, Table1[[AwayTeam]:[AwayTeam]], T$1, Table1[[ActualResult]:[ActualResult]], "REG"),0), "-", TEXT(SUMIFS(Table1[[HomeWon]:[HomeWon]], Table1[[GameIsOver]:[GameIsOver]],1,Table1[[AwayTeam]:[AwayTeam]],$A32, Table1[[HomeTeam]:[HomeTeam]], T$1, Table1[[ActualResult]:[ActualResult]], "OT") + SUMIFS(Table1[[AwayWon]:[AwayWon]], Table1[[GameIsOver]:[GameIsOver]],1,Table1[[HomeTeam]:[HomeTeam]],$A32, Table1[[AwayTeam]:[AwayTeam]], T$1, Table1[[ActualResult]:[ActualResult]], "OT") + SUMIFS(Table1[[HomeWon]:[HomeWon]], Table1[[GameIsOver]:[GameIsOver]],1,Table1[[AwayTeam]:[AwayTeam]],$A32, Table1[[HomeTeam]:[HomeTeam]], T$1, Table1[[ActualResult]:[ActualResult]], "SO") + SUMIFS(Table1[[AwayWon]:[AwayWon]], Table1[[GameIsOver]:[GameIsOver]],1,Table1[[HomeTeam]:[HomeTeam]],$A32, Table1[[AwayTeam]:[AwayTeam]], T$1, Table1[[ActualResult]:[ActualResult]], "SO"),0))</f>
        <v>0-0-0</v>
      </c>
      <c r="U32" s="57" t="str">
        <f>_xlfn.CONCAT(TEXT(SUMIFS(Table1[[AwayWon]:[AwayWon]], Table1[[GameIsOver]:[GameIsOver]],1,Table1[[AwayTeam]:[AwayTeam]],$A32, Table1[[HomeTeam]:[HomeTeam]], U$1) + SUMIFS(Table1[[HomeWon]:[HomeWon]], Table1[[GameIsOver]:[GameIsOver]],1,Table1[[HomeTeam]:[HomeTeam]],$A32, Table1[[AwayTeam]:[AwayTeam]], U$1),0), "-", TEXT(SUMIFS(Table1[[HomeWon]:[HomeWon]], Table1[[GameIsOver]:[GameIsOver]],1,Table1[[AwayTeam]:[AwayTeam]],$A32, Table1[[HomeTeam]:[HomeTeam]], U$1, Table1[[ActualResult]:[ActualResult]], "REG") + SUMIFS(Table1[[AwayWon]:[AwayWon]], Table1[[GameIsOver]:[GameIsOver]],1,Table1[[HomeTeam]:[HomeTeam]],$A32, Table1[[AwayTeam]:[AwayTeam]], U$1, Table1[[ActualResult]:[ActualResult]], "REG"),0), "-", TEXT(SUMIFS(Table1[[HomeWon]:[HomeWon]], Table1[[GameIsOver]:[GameIsOver]],1,Table1[[AwayTeam]:[AwayTeam]],$A32, Table1[[HomeTeam]:[HomeTeam]], U$1, Table1[[ActualResult]:[ActualResult]], "OT") + SUMIFS(Table1[[AwayWon]:[AwayWon]], Table1[[GameIsOver]:[GameIsOver]],1,Table1[[HomeTeam]:[HomeTeam]],$A32, Table1[[AwayTeam]:[AwayTeam]], U$1, Table1[[ActualResult]:[ActualResult]], "OT") + SUMIFS(Table1[[HomeWon]:[HomeWon]], Table1[[GameIsOver]:[GameIsOver]],1,Table1[[AwayTeam]:[AwayTeam]],$A32, Table1[[HomeTeam]:[HomeTeam]], U$1, Table1[[ActualResult]:[ActualResult]], "SO") + SUMIFS(Table1[[AwayWon]:[AwayWon]], Table1[[GameIsOver]:[GameIsOver]],1,Table1[[HomeTeam]:[HomeTeam]],$A32, Table1[[AwayTeam]:[AwayTeam]], U$1, Table1[[ActualResult]:[ActualResult]], "SO"),0))</f>
        <v>0-0-0</v>
      </c>
      <c r="V32" s="57" t="str">
        <f>_xlfn.CONCAT(TEXT(SUMIFS(Table1[[AwayWon]:[AwayWon]], Table1[[GameIsOver]:[GameIsOver]],1,Table1[[AwayTeam]:[AwayTeam]],$A32, Table1[[HomeTeam]:[HomeTeam]], V$1) + SUMIFS(Table1[[HomeWon]:[HomeWon]], Table1[[GameIsOver]:[GameIsOver]],1,Table1[[HomeTeam]:[HomeTeam]],$A32, Table1[[AwayTeam]:[AwayTeam]], V$1),0), "-", TEXT(SUMIFS(Table1[[HomeWon]:[HomeWon]], Table1[[GameIsOver]:[GameIsOver]],1,Table1[[AwayTeam]:[AwayTeam]],$A32, Table1[[HomeTeam]:[HomeTeam]], V$1, Table1[[ActualResult]:[ActualResult]], "REG") + SUMIFS(Table1[[AwayWon]:[AwayWon]], Table1[[GameIsOver]:[GameIsOver]],1,Table1[[HomeTeam]:[HomeTeam]],$A32, Table1[[AwayTeam]:[AwayTeam]], V$1, Table1[[ActualResult]:[ActualResult]], "REG"),0), "-", TEXT(SUMIFS(Table1[[HomeWon]:[HomeWon]], Table1[[GameIsOver]:[GameIsOver]],1,Table1[[AwayTeam]:[AwayTeam]],$A32, Table1[[HomeTeam]:[HomeTeam]], V$1, Table1[[ActualResult]:[ActualResult]], "OT") + SUMIFS(Table1[[AwayWon]:[AwayWon]], Table1[[GameIsOver]:[GameIsOver]],1,Table1[[HomeTeam]:[HomeTeam]],$A32, Table1[[AwayTeam]:[AwayTeam]], V$1, Table1[[ActualResult]:[ActualResult]], "OT") + SUMIFS(Table1[[HomeWon]:[HomeWon]], Table1[[GameIsOver]:[GameIsOver]],1,Table1[[AwayTeam]:[AwayTeam]],$A32, Table1[[HomeTeam]:[HomeTeam]], V$1, Table1[[ActualResult]:[ActualResult]], "SO") + SUMIFS(Table1[[AwayWon]:[AwayWon]], Table1[[GameIsOver]:[GameIsOver]],1,Table1[[HomeTeam]:[HomeTeam]],$A32, Table1[[AwayTeam]:[AwayTeam]], V$1, Table1[[ActualResult]:[ActualResult]], "SO"),0))</f>
        <v>1-0-0</v>
      </c>
      <c r="W32" s="57" t="str">
        <f>_xlfn.CONCAT(TEXT(SUMIFS(Table1[[AwayWon]:[AwayWon]], Table1[[GameIsOver]:[GameIsOver]],1,Table1[[AwayTeam]:[AwayTeam]],$A32, Table1[[HomeTeam]:[HomeTeam]], W$1) + SUMIFS(Table1[[HomeWon]:[HomeWon]], Table1[[GameIsOver]:[GameIsOver]],1,Table1[[HomeTeam]:[HomeTeam]],$A32, Table1[[AwayTeam]:[AwayTeam]], W$1),0), "-", TEXT(SUMIFS(Table1[[HomeWon]:[HomeWon]], Table1[[GameIsOver]:[GameIsOver]],1,Table1[[AwayTeam]:[AwayTeam]],$A32, Table1[[HomeTeam]:[HomeTeam]], W$1, Table1[[ActualResult]:[ActualResult]], "REG") + SUMIFS(Table1[[AwayWon]:[AwayWon]], Table1[[GameIsOver]:[GameIsOver]],1,Table1[[HomeTeam]:[HomeTeam]],$A32, Table1[[AwayTeam]:[AwayTeam]], W$1, Table1[[ActualResult]:[ActualResult]], "REG"),0), "-", TEXT(SUMIFS(Table1[[HomeWon]:[HomeWon]], Table1[[GameIsOver]:[GameIsOver]],1,Table1[[AwayTeam]:[AwayTeam]],$A32, Table1[[HomeTeam]:[HomeTeam]], W$1, Table1[[ActualResult]:[ActualResult]], "OT") + SUMIFS(Table1[[AwayWon]:[AwayWon]], Table1[[GameIsOver]:[GameIsOver]],1,Table1[[HomeTeam]:[HomeTeam]],$A32, Table1[[AwayTeam]:[AwayTeam]], W$1, Table1[[ActualResult]:[ActualResult]], "OT") + SUMIFS(Table1[[HomeWon]:[HomeWon]], Table1[[GameIsOver]:[GameIsOver]],1,Table1[[AwayTeam]:[AwayTeam]],$A32, Table1[[HomeTeam]:[HomeTeam]], W$1, Table1[[ActualResult]:[ActualResult]], "SO") + SUMIFS(Table1[[AwayWon]:[AwayWon]], Table1[[GameIsOver]:[GameIsOver]],1,Table1[[HomeTeam]:[HomeTeam]],$A32, Table1[[AwayTeam]:[AwayTeam]], W$1, Table1[[ActualResult]:[ActualResult]], "SO"),0))</f>
        <v>0-0-0</v>
      </c>
      <c r="X32" s="57" t="str">
        <f>_xlfn.CONCAT(TEXT(SUMIFS(Table1[[AwayWon]:[AwayWon]], Table1[[GameIsOver]:[GameIsOver]],1,Table1[[AwayTeam]:[AwayTeam]],$A32, Table1[[HomeTeam]:[HomeTeam]], X$1) + SUMIFS(Table1[[HomeWon]:[HomeWon]], Table1[[GameIsOver]:[GameIsOver]],1,Table1[[HomeTeam]:[HomeTeam]],$A32, Table1[[AwayTeam]:[AwayTeam]], X$1),0), "-", TEXT(SUMIFS(Table1[[HomeWon]:[HomeWon]], Table1[[GameIsOver]:[GameIsOver]],1,Table1[[AwayTeam]:[AwayTeam]],$A32, Table1[[HomeTeam]:[HomeTeam]], X$1, Table1[[ActualResult]:[ActualResult]], "REG") + SUMIFS(Table1[[AwayWon]:[AwayWon]], Table1[[GameIsOver]:[GameIsOver]],1,Table1[[HomeTeam]:[HomeTeam]],$A32, Table1[[AwayTeam]:[AwayTeam]], X$1, Table1[[ActualResult]:[ActualResult]], "REG"),0), "-", TEXT(SUMIFS(Table1[[HomeWon]:[HomeWon]], Table1[[GameIsOver]:[GameIsOver]],1,Table1[[AwayTeam]:[AwayTeam]],$A32, Table1[[HomeTeam]:[HomeTeam]], X$1, Table1[[ActualResult]:[ActualResult]], "OT") + SUMIFS(Table1[[AwayWon]:[AwayWon]], Table1[[GameIsOver]:[GameIsOver]],1,Table1[[HomeTeam]:[HomeTeam]],$A32, Table1[[AwayTeam]:[AwayTeam]], X$1, Table1[[ActualResult]:[ActualResult]], "OT") + SUMIFS(Table1[[HomeWon]:[HomeWon]], Table1[[GameIsOver]:[GameIsOver]],1,Table1[[AwayTeam]:[AwayTeam]],$A32, Table1[[HomeTeam]:[HomeTeam]], X$1, Table1[[ActualResult]:[ActualResult]], "SO") + SUMIFS(Table1[[AwayWon]:[AwayWon]], Table1[[GameIsOver]:[GameIsOver]],1,Table1[[HomeTeam]:[HomeTeam]],$A32, Table1[[AwayTeam]:[AwayTeam]], X$1, Table1[[ActualResult]:[ActualResult]], "SO"),0))</f>
        <v>0-0-0</v>
      </c>
      <c r="Y32" s="59" t="str">
        <f>_xlfn.CONCAT(TEXT(SUMIFS(Table1[[AwayWon]:[AwayWon]], Table1[[GameIsOver]:[GameIsOver]],1,Table1[[AwayTeam]:[AwayTeam]],$A32, Table1[[HomeTeam]:[HomeTeam]], Y$1) + SUMIFS(Table1[[HomeWon]:[HomeWon]], Table1[[GameIsOver]:[GameIsOver]],1,Table1[[HomeTeam]:[HomeTeam]],$A32, Table1[[AwayTeam]:[AwayTeam]], Y$1),0), "-", TEXT(SUMIFS(Table1[[HomeWon]:[HomeWon]], Table1[[GameIsOver]:[GameIsOver]],1,Table1[[AwayTeam]:[AwayTeam]],$A32, Table1[[HomeTeam]:[HomeTeam]], Y$1, Table1[[ActualResult]:[ActualResult]], "REG") + SUMIFS(Table1[[AwayWon]:[AwayWon]], Table1[[GameIsOver]:[GameIsOver]],1,Table1[[HomeTeam]:[HomeTeam]],$A32, Table1[[AwayTeam]:[AwayTeam]], Y$1, Table1[[ActualResult]:[ActualResult]], "REG"),0), "-", TEXT(SUMIFS(Table1[[HomeWon]:[HomeWon]], Table1[[GameIsOver]:[GameIsOver]],1,Table1[[AwayTeam]:[AwayTeam]],$A32, Table1[[HomeTeam]:[HomeTeam]], Y$1, Table1[[ActualResult]:[ActualResult]], "OT") + SUMIFS(Table1[[AwayWon]:[AwayWon]], Table1[[GameIsOver]:[GameIsOver]],1,Table1[[HomeTeam]:[HomeTeam]],$A32, Table1[[AwayTeam]:[AwayTeam]], Y$1, Table1[[ActualResult]:[ActualResult]], "OT") + SUMIFS(Table1[[HomeWon]:[HomeWon]], Table1[[GameIsOver]:[GameIsOver]],1,Table1[[AwayTeam]:[AwayTeam]],$A32, Table1[[HomeTeam]:[HomeTeam]], Y$1, Table1[[ActualResult]:[ActualResult]], "SO") + SUMIFS(Table1[[AwayWon]:[AwayWon]], Table1[[GameIsOver]:[GameIsOver]],1,Table1[[HomeTeam]:[HomeTeam]],$A32, Table1[[AwayTeam]:[AwayTeam]], Y$1, Table1[[ActualResult]:[ActualResult]], "SO"),0))</f>
        <v>0-0-0</v>
      </c>
      <c r="Z32" s="57" t="str">
        <f>_xlfn.CONCAT(TEXT(SUMIFS(Table1[[AwayWon]:[AwayWon]], Table1[[GameIsOver]:[GameIsOver]],1,Table1[[AwayTeam]:[AwayTeam]],$A32, Table1[[HomeTeam]:[HomeTeam]], Z$1) + SUMIFS(Table1[[HomeWon]:[HomeWon]], Table1[[GameIsOver]:[GameIsOver]],1,Table1[[HomeTeam]:[HomeTeam]],$A32, Table1[[AwayTeam]:[AwayTeam]], Z$1),0), "-", TEXT(SUMIFS(Table1[[HomeWon]:[HomeWon]], Table1[[GameIsOver]:[GameIsOver]],1,Table1[[AwayTeam]:[AwayTeam]],$A32, Table1[[HomeTeam]:[HomeTeam]], Z$1, Table1[[ActualResult]:[ActualResult]], "REG") + SUMIFS(Table1[[AwayWon]:[AwayWon]], Table1[[GameIsOver]:[GameIsOver]],1,Table1[[HomeTeam]:[HomeTeam]],$A32, Table1[[AwayTeam]:[AwayTeam]], Z$1, Table1[[ActualResult]:[ActualResult]], "REG"),0), "-", TEXT(SUMIFS(Table1[[HomeWon]:[HomeWon]], Table1[[GameIsOver]:[GameIsOver]],1,Table1[[AwayTeam]:[AwayTeam]],$A32, Table1[[HomeTeam]:[HomeTeam]], Z$1, Table1[[ActualResult]:[ActualResult]], "OT") + SUMIFS(Table1[[AwayWon]:[AwayWon]], Table1[[GameIsOver]:[GameIsOver]],1,Table1[[HomeTeam]:[HomeTeam]],$A32, Table1[[AwayTeam]:[AwayTeam]], Z$1, Table1[[ActualResult]:[ActualResult]], "OT") + SUMIFS(Table1[[HomeWon]:[HomeWon]], Table1[[GameIsOver]:[GameIsOver]],1,Table1[[AwayTeam]:[AwayTeam]],$A32, Table1[[HomeTeam]:[HomeTeam]], Z$1, Table1[[ActualResult]:[ActualResult]], "SO") + SUMIFS(Table1[[AwayWon]:[AwayWon]], Table1[[GameIsOver]:[GameIsOver]],1,Table1[[HomeTeam]:[HomeTeam]],$A32, Table1[[AwayTeam]:[AwayTeam]], Z$1, Table1[[ActualResult]:[ActualResult]], "SO"),0))</f>
        <v>0-0-0</v>
      </c>
      <c r="AA32" s="57" t="str">
        <f>_xlfn.CONCAT(TEXT(SUMIFS(Table1[[AwayWon]:[AwayWon]], Table1[[GameIsOver]:[GameIsOver]],1,Table1[[AwayTeam]:[AwayTeam]],$A32, Table1[[HomeTeam]:[HomeTeam]], AA$1) + SUMIFS(Table1[[HomeWon]:[HomeWon]], Table1[[GameIsOver]:[GameIsOver]],1,Table1[[HomeTeam]:[HomeTeam]],$A32, Table1[[AwayTeam]:[AwayTeam]], AA$1),0), "-", TEXT(SUMIFS(Table1[[HomeWon]:[HomeWon]], Table1[[GameIsOver]:[GameIsOver]],1,Table1[[AwayTeam]:[AwayTeam]],$A32, Table1[[HomeTeam]:[HomeTeam]], AA$1, Table1[[ActualResult]:[ActualResult]], "REG") + SUMIFS(Table1[[AwayWon]:[AwayWon]], Table1[[GameIsOver]:[GameIsOver]],1,Table1[[HomeTeam]:[HomeTeam]],$A32, Table1[[AwayTeam]:[AwayTeam]], AA$1, Table1[[ActualResult]:[ActualResult]], "REG"),0), "-", TEXT(SUMIFS(Table1[[HomeWon]:[HomeWon]], Table1[[GameIsOver]:[GameIsOver]],1,Table1[[AwayTeam]:[AwayTeam]],$A32, Table1[[HomeTeam]:[HomeTeam]], AA$1, Table1[[ActualResult]:[ActualResult]], "OT") + SUMIFS(Table1[[AwayWon]:[AwayWon]], Table1[[GameIsOver]:[GameIsOver]],1,Table1[[HomeTeam]:[HomeTeam]],$A32, Table1[[AwayTeam]:[AwayTeam]], AA$1, Table1[[ActualResult]:[ActualResult]], "OT") + SUMIFS(Table1[[HomeWon]:[HomeWon]], Table1[[GameIsOver]:[GameIsOver]],1,Table1[[AwayTeam]:[AwayTeam]],$A32, Table1[[HomeTeam]:[HomeTeam]], AA$1, Table1[[ActualResult]:[ActualResult]], "SO") + SUMIFS(Table1[[AwayWon]:[AwayWon]], Table1[[GameIsOver]:[GameIsOver]],1,Table1[[HomeTeam]:[HomeTeam]],$A32, Table1[[AwayTeam]:[AwayTeam]], AA$1, Table1[[ActualResult]:[ActualResult]], "SO"),0))</f>
        <v>0-0-0</v>
      </c>
      <c r="AB32" s="57" t="str">
        <f>_xlfn.CONCAT(TEXT(SUMIFS(Table1[[AwayWon]:[AwayWon]], Table1[[GameIsOver]:[GameIsOver]],1,Table1[[AwayTeam]:[AwayTeam]],$A32, Table1[[HomeTeam]:[HomeTeam]], AB$1) + SUMIFS(Table1[[HomeWon]:[HomeWon]], Table1[[GameIsOver]:[GameIsOver]],1,Table1[[HomeTeam]:[HomeTeam]],$A32, Table1[[AwayTeam]:[AwayTeam]], AB$1),0), "-", TEXT(SUMIFS(Table1[[HomeWon]:[HomeWon]], Table1[[GameIsOver]:[GameIsOver]],1,Table1[[AwayTeam]:[AwayTeam]],$A32, Table1[[HomeTeam]:[HomeTeam]], AB$1, Table1[[ActualResult]:[ActualResult]], "REG") + SUMIFS(Table1[[AwayWon]:[AwayWon]], Table1[[GameIsOver]:[GameIsOver]],1,Table1[[HomeTeam]:[HomeTeam]],$A32, Table1[[AwayTeam]:[AwayTeam]], AB$1, Table1[[ActualResult]:[ActualResult]], "REG"),0), "-", TEXT(SUMIFS(Table1[[HomeWon]:[HomeWon]], Table1[[GameIsOver]:[GameIsOver]],1,Table1[[AwayTeam]:[AwayTeam]],$A32, Table1[[HomeTeam]:[HomeTeam]], AB$1, Table1[[ActualResult]:[ActualResult]], "OT") + SUMIFS(Table1[[AwayWon]:[AwayWon]], Table1[[GameIsOver]:[GameIsOver]],1,Table1[[HomeTeam]:[HomeTeam]],$A32, Table1[[AwayTeam]:[AwayTeam]], AB$1, Table1[[ActualResult]:[ActualResult]], "OT") + SUMIFS(Table1[[HomeWon]:[HomeWon]], Table1[[GameIsOver]:[GameIsOver]],1,Table1[[AwayTeam]:[AwayTeam]],$A32, Table1[[HomeTeam]:[HomeTeam]], AB$1, Table1[[ActualResult]:[ActualResult]], "SO") + SUMIFS(Table1[[AwayWon]:[AwayWon]], Table1[[GameIsOver]:[GameIsOver]],1,Table1[[HomeTeam]:[HomeTeam]],$A32, Table1[[AwayTeam]:[AwayTeam]], AB$1, Table1[[ActualResult]:[ActualResult]], "SO"),0))</f>
        <v>0-0-0</v>
      </c>
      <c r="AC32" s="57" t="str">
        <f>_xlfn.CONCAT(TEXT(SUMIFS(Table1[[AwayWon]:[AwayWon]], Table1[[GameIsOver]:[GameIsOver]],1,Table1[[AwayTeam]:[AwayTeam]],$A32, Table1[[HomeTeam]:[HomeTeam]], AC$1) + SUMIFS(Table1[[HomeWon]:[HomeWon]], Table1[[GameIsOver]:[GameIsOver]],1,Table1[[HomeTeam]:[HomeTeam]],$A32, Table1[[AwayTeam]:[AwayTeam]], AC$1),0), "-", TEXT(SUMIFS(Table1[[HomeWon]:[HomeWon]], Table1[[GameIsOver]:[GameIsOver]],1,Table1[[AwayTeam]:[AwayTeam]],$A32, Table1[[HomeTeam]:[HomeTeam]], AC$1, Table1[[ActualResult]:[ActualResult]], "REG") + SUMIFS(Table1[[AwayWon]:[AwayWon]], Table1[[GameIsOver]:[GameIsOver]],1,Table1[[HomeTeam]:[HomeTeam]],$A32, Table1[[AwayTeam]:[AwayTeam]], AC$1, Table1[[ActualResult]:[ActualResult]], "REG"),0), "-", TEXT(SUMIFS(Table1[[HomeWon]:[HomeWon]], Table1[[GameIsOver]:[GameIsOver]],1,Table1[[AwayTeam]:[AwayTeam]],$A32, Table1[[HomeTeam]:[HomeTeam]], AC$1, Table1[[ActualResult]:[ActualResult]], "OT") + SUMIFS(Table1[[AwayWon]:[AwayWon]], Table1[[GameIsOver]:[GameIsOver]],1,Table1[[HomeTeam]:[HomeTeam]],$A32, Table1[[AwayTeam]:[AwayTeam]], AC$1, Table1[[ActualResult]:[ActualResult]], "OT") + SUMIFS(Table1[[HomeWon]:[HomeWon]], Table1[[GameIsOver]:[GameIsOver]],1,Table1[[AwayTeam]:[AwayTeam]],$A32, Table1[[HomeTeam]:[HomeTeam]], AC$1, Table1[[ActualResult]:[ActualResult]], "SO") + SUMIFS(Table1[[AwayWon]:[AwayWon]], Table1[[GameIsOver]:[GameIsOver]],1,Table1[[HomeTeam]:[HomeTeam]],$A32, Table1[[AwayTeam]:[AwayTeam]], AC$1, Table1[[ActualResult]:[ActualResult]], "SO"),0))</f>
        <v>0-0-0</v>
      </c>
      <c r="AD32" s="57" t="str">
        <f>_xlfn.CONCAT(TEXT(SUMIFS(Table1[[AwayWon]:[AwayWon]], Table1[[GameIsOver]:[GameIsOver]],1,Table1[[AwayTeam]:[AwayTeam]],$A32, Table1[[HomeTeam]:[HomeTeam]], AD$1) + SUMIFS(Table1[[HomeWon]:[HomeWon]], Table1[[GameIsOver]:[GameIsOver]],1,Table1[[HomeTeam]:[HomeTeam]],$A32, Table1[[AwayTeam]:[AwayTeam]], AD$1),0), "-", TEXT(SUMIFS(Table1[[HomeWon]:[HomeWon]], Table1[[GameIsOver]:[GameIsOver]],1,Table1[[AwayTeam]:[AwayTeam]],$A32, Table1[[HomeTeam]:[HomeTeam]], AD$1, Table1[[ActualResult]:[ActualResult]], "REG") + SUMIFS(Table1[[AwayWon]:[AwayWon]], Table1[[GameIsOver]:[GameIsOver]],1,Table1[[HomeTeam]:[HomeTeam]],$A32, Table1[[AwayTeam]:[AwayTeam]], AD$1, Table1[[ActualResult]:[ActualResult]], "REG"),0), "-", TEXT(SUMIFS(Table1[[HomeWon]:[HomeWon]], Table1[[GameIsOver]:[GameIsOver]],1,Table1[[AwayTeam]:[AwayTeam]],$A32, Table1[[HomeTeam]:[HomeTeam]], AD$1, Table1[[ActualResult]:[ActualResult]], "OT") + SUMIFS(Table1[[AwayWon]:[AwayWon]], Table1[[GameIsOver]:[GameIsOver]],1,Table1[[HomeTeam]:[HomeTeam]],$A32, Table1[[AwayTeam]:[AwayTeam]], AD$1, Table1[[ActualResult]:[ActualResult]], "OT") + SUMIFS(Table1[[HomeWon]:[HomeWon]], Table1[[GameIsOver]:[GameIsOver]],1,Table1[[AwayTeam]:[AwayTeam]],$A32, Table1[[HomeTeam]:[HomeTeam]], AD$1, Table1[[ActualResult]:[ActualResult]], "SO") + SUMIFS(Table1[[AwayWon]:[AwayWon]], Table1[[GameIsOver]:[GameIsOver]],1,Table1[[HomeTeam]:[HomeTeam]],$A32, Table1[[AwayTeam]:[AwayTeam]], AD$1, Table1[[ActualResult]:[ActualResult]], "SO"),0))</f>
        <v>0-0-0</v>
      </c>
      <c r="AE32" s="57" t="str">
        <f>_xlfn.CONCAT(TEXT(SUMIFS(Table1[[AwayWon]:[AwayWon]], Table1[[GameIsOver]:[GameIsOver]],1,Table1[[AwayTeam]:[AwayTeam]],$A32, Table1[[HomeTeam]:[HomeTeam]], AE$1) + SUMIFS(Table1[[HomeWon]:[HomeWon]], Table1[[GameIsOver]:[GameIsOver]],1,Table1[[HomeTeam]:[HomeTeam]],$A32, Table1[[AwayTeam]:[AwayTeam]], AE$1),0), "-", TEXT(SUMIFS(Table1[[HomeWon]:[HomeWon]], Table1[[GameIsOver]:[GameIsOver]],1,Table1[[AwayTeam]:[AwayTeam]],$A32, Table1[[HomeTeam]:[HomeTeam]], AE$1, Table1[[ActualResult]:[ActualResult]], "REG") + SUMIFS(Table1[[AwayWon]:[AwayWon]], Table1[[GameIsOver]:[GameIsOver]],1,Table1[[HomeTeam]:[HomeTeam]],$A32, Table1[[AwayTeam]:[AwayTeam]], AE$1, Table1[[ActualResult]:[ActualResult]], "REG"),0), "-", TEXT(SUMIFS(Table1[[HomeWon]:[HomeWon]], Table1[[GameIsOver]:[GameIsOver]],1,Table1[[AwayTeam]:[AwayTeam]],$A32, Table1[[HomeTeam]:[HomeTeam]], AE$1, Table1[[ActualResult]:[ActualResult]], "OT") + SUMIFS(Table1[[AwayWon]:[AwayWon]], Table1[[GameIsOver]:[GameIsOver]],1,Table1[[HomeTeam]:[HomeTeam]],$A32, Table1[[AwayTeam]:[AwayTeam]], AE$1, Table1[[ActualResult]:[ActualResult]], "OT") + SUMIFS(Table1[[HomeWon]:[HomeWon]], Table1[[GameIsOver]:[GameIsOver]],1,Table1[[AwayTeam]:[AwayTeam]],$A32, Table1[[HomeTeam]:[HomeTeam]], AE$1, Table1[[ActualResult]:[ActualResult]], "SO") + SUMIFS(Table1[[AwayWon]:[AwayWon]], Table1[[GameIsOver]:[GameIsOver]],1,Table1[[HomeTeam]:[HomeTeam]],$A32, Table1[[AwayTeam]:[AwayTeam]], AE$1, Table1[[ActualResult]:[ActualResult]], "SO"),0))</f>
        <v>0-0-0</v>
      </c>
      <c r="AF32" s="57" t="str">
        <f>_xlfn.CONCAT(TEXT(SUMIFS(Table1[[AwayWon]:[AwayWon]], Table1[[GameIsOver]:[GameIsOver]],1,Table1[[AwayTeam]:[AwayTeam]],$A32, Table1[[HomeTeam]:[HomeTeam]], AF$1) + SUMIFS(Table1[[HomeWon]:[HomeWon]], Table1[[GameIsOver]:[GameIsOver]],1,Table1[[HomeTeam]:[HomeTeam]],$A32, Table1[[AwayTeam]:[AwayTeam]], AF$1),0), "-", TEXT(SUMIFS(Table1[[HomeWon]:[HomeWon]], Table1[[GameIsOver]:[GameIsOver]],1,Table1[[AwayTeam]:[AwayTeam]],$A32, Table1[[HomeTeam]:[HomeTeam]], AF$1, Table1[[ActualResult]:[ActualResult]], "REG") + SUMIFS(Table1[[AwayWon]:[AwayWon]], Table1[[GameIsOver]:[GameIsOver]],1,Table1[[HomeTeam]:[HomeTeam]],$A32, Table1[[AwayTeam]:[AwayTeam]], AF$1, Table1[[ActualResult]:[ActualResult]], "REG"),0), "-", TEXT(SUMIFS(Table1[[HomeWon]:[HomeWon]], Table1[[GameIsOver]:[GameIsOver]],1,Table1[[AwayTeam]:[AwayTeam]],$A32, Table1[[HomeTeam]:[HomeTeam]], AF$1, Table1[[ActualResult]:[ActualResult]], "OT") + SUMIFS(Table1[[AwayWon]:[AwayWon]], Table1[[GameIsOver]:[GameIsOver]],1,Table1[[HomeTeam]:[HomeTeam]],$A32, Table1[[AwayTeam]:[AwayTeam]], AF$1, Table1[[ActualResult]:[ActualResult]], "OT") + SUMIFS(Table1[[HomeWon]:[HomeWon]], Table1[[GameIsOver]:[GameIsOver]],1,Table1[[AwayTeam]:[AwayTeam]],$A32, Table1[[HomeTeam]:[HomeTeam]], AF$1, Table1[[ActualResult]:[ActualResult]], "SO") + SUMIFS(Table1[[AwayWon]:[AwayWon]], Table1[[GameIsOver]:[GameIsOver]],1,Table1[[HomeTeam]:[HomeTeam]],$A32, Table1[[AwayTeam]:[AwayTeam]], AF$1, Table1[[ActualResult]:[ActualResult]], "SO"),0))</f>
        <v>0-0-0</v>
      </c>
      <c r="AG32" s="57" t="str">
        <f>_xlfn.CONCAT(TEXT(SUMIFS(Table1[[AwayWon]:[AwayWon]], Table1[[GameIsOver]:[GameIsOver]],1,Table1[[AwayTeam]:[AwayTeam]],$A32, Table1[[HomeTeam]:[HomeTeam]], AG$1) + SUMIFS(Table1[[HomeWon]:[HomeWon]], Table1[[GameIsOver]:[GameIsOver]],1,Table1[[HomeTeam]:[HomeTeam]],$A32, Table1[[AwayTeam]:[AwayTeam]], AG$1),0), "-", TEXT(SUMIFS(Table1[[HomeWon]:[HomeWon]], Table1[[GameIsOver]:[GameIsOver]],1,Table1[[AwayTeam]:[AwayTeam]],$A32, Table1[[HomeTeam]:[HomeTeam]], AG$1, Table1[[ActualResult]:[ActualResult]], "REG") + SUMIFS(Table1[[AwayWon]:[AwayWon]], Table1[[GameIsOver]:[GameIsOver]],1,Table1[[HomeTeam]:[HomeTeam]],$A32, Table1[[AwayTeam]:[AwayTeam]], AG$1, Table1[[ActualResult]:[ActualResult]], "REG"),0), "-", TEXT(SUMIFS(Table1[[HomeWon]:[HomeWon]], Table1[[GameIsOver]:[GameIsOver]],1,Table1[[AwayTeam]:[AwayTeam]],$A32, Table1[[HomeTeam]:[HomeTeam]], AG$1, Table1[[ActualResult]:[ActualResult]], "OT") + SUMIFS(Table1[[AwayWon]:[AwayWon]], Table1[[GameIsOver]:[GameIsOver]],1,Table1[[HomeTeam]:[HomeTeam]],$A32, Table1[[AwayTeam]:[AwayTeam]], AG$1, Table1[[ActualResult]:[ActualResult]], "OT") + SUMIFS(Table1[[HomeWon]:[HomeWon]], Table1[[GameIsOver]:[GameIsOver]],1,Table1[[AwayTeam]:[AwayTeam]],$A32, Table1[[HomeTeam]:[HomeTeam]], AG$1, Table1[[ActualResult]:[ActualResult]], "SO") + SUMIFS(Table1[[AwayWon]:[AwayWon]], Table1[[GameIsOver]:[GameIsOver]],1,Table1[[HomeTeam]:[HomeTeam]],$A32, Table1[[AwayTeam]:[AwayTeam]], AG$1, Table1[[ActualResult]:[ActualResult]], "SO"),0))</f>
        <v>0-0-0</v>
      </c>
    </row>
    <row r="33" spans="1:39" x14ac:dyDescent="0.25">
      <c r="A33" s="28" t="s">
        <v>24</v>
      </c>
      <c r="B33" s="57" t="str">
        <f>_xlfn.CONCAT(TEXT(SUMIFS(Table1[[AwayWon]:[AwayWon]], Table1[[GameIsOver]:[GameIsOver]],1,Table1[[AwayTeam]:[AwayTeam]],$A33, Table1[[HomeTeam]:[HomeTeam]], B$1) + SUMIFS(Table1[[HomeWon]:[HomeWon]], Table1[[GameIsOver]:[GameIsOver]],1,Table1[[HomeTeam]:[HomeTeam]],$A33, Table1[[AwayTeam]:[AwayTeam]], B$1),0), "-", TEXT(SUMIFS(Table1[[HomeWon]:[HomeWon]], Table1[[GameIsOver]:[GameIsOver]],1,Table1[[AwayTeam]:[AwayTeam]],$A33, Table1[[HomeTeam]:[HomeTeam]], B$1, Table1[[ActualResult]:[ActualResult]], "REG") + SUMIFS(Table1[[AwayWon]:[AwayWon]], Table1[[GameIsOver]:[GameIsOver]],1,Table1[[HomeTeam]:[HomeTeam]],$A33, Table1[[AwayTeam]:[AwayTeam]], B$1, Table1[[ActualResult]:[ActualResult]], "REG"),0), "-", TEXT(SUMIFS(Table1[[HomeWon]:[HomeWon]], Table1[[GameIsOver]:[GameIsOver]],1,Table1[[AwayTeam]:[AwayTeam]],$A33, Table1[[HomeTeam]:[HomeTeam]], B$1, Table1[[ActualResult]:[ActualResult]], "OT") + SUMIFS(Table1[[AwayWon]:[AwayWon]], Table1[[GameIsOver]:[GameIsOver]],1,Table1[[HomeTeam]:[HomeTeam]],$A33, Table1[[AwayTeam]:[AwayTeam]], B$1, Table1[[ActualResult]:[ActualResult]], "OT") + SUMIFS(Table1[[HomeWon]:[HomeWon]], Table1[[GameIsOver]:[GameIsOver]],1,Table1[[AwayTeam]:[AwayTeam]],$A33, Table1[[HomeTeam]:[HomeTeam]], B$1, Table1[[ActualResult]:[ActualResult]], "SO") + SUMIFS(Table1[[AwayWon]:[AwayWon]], Table1[[GameIsOver]:[GameIsOver]],1,Table1[[HomeTeam]:[HomeTeam]],$A33, Table1[[AwayTeam]:[AwayTeam]], B$1, Table1[[ActualResult]:[ActualResult]], "SO"),0))</f>
        <v>0-0-0</v>
      </c>
      <c r="C33" s="57" t="str">
        <f>_xlfn.CONCAT(TEXT(SUMIFS(Table1[[AwayWon]:[AwayWon]], Table1[[GameIsOver]:[GameIsOver]],1,Table1[[AwayTeam]:[AwayTeam]],$A33, Table1[[HomeTeam]:[HomeTeam]], C$1) + SUMIFS(Table1[[HomeWon]:[HomeWon]], Table1[[GameIsOver]:[GameIsOver]],1,Table1[[HomeTeam]:[HomeTeam]],$A33, Table1[[AwayTeam]:[AwayTeam]], C$1),0), "-", TEXT(SUMIFS(Table1[[HomeWon]:[HomeWon]], Table1[[GameIsOver]:[GameIsOver]],1,Table1[[AwayTeam]:[AwayTeam]],$A33, Table1[[HomeTeam]:[HomeTeam]], C$1, Table1[[ActualResult]:[ActualResult]], "REG") + SUMIFS(Table1[[AwayWon]:[AwayWon]], Table1[[GameIsOver]:[GameIsOver]],1,Table1[[HomeTeam]:[HomeTeam]],$A33, Table1[[AwayTeam]:[AwayTeam]], C$1, Table1[[ActualResult]:[ActualResult]], "REG"),0), "-", TEXT(SUMIFS(Table1[[HomeWon]:[HomeWon]], Table1[[GameIsOver]:[GameIsOver]],1,Table1[[AwayTeam]:[AwayTeam]],$A33, Table1[[HomeTeam]:[HomeTeam]], C$1, Table1[[ActualResult]:[ActualResult]], "OT") + SUMIFS(Table1[[AwayWon]:[AwayWon]], Table1[[GameIsOver]:[GameIsOver]],1,Table1[[HomeTeam]:[HomeTeam]],$A33, Table1[[AwayTeam]:[AwayTeam]], C$1, Table1[[ActualResult]:[ActualResult]], "OT") + SUMIFS(Table1[[HomeWon]:[HomeWon]], Table1[[GameIsOver]:[GameIsOver]],1,Table1[[AwayTeam]:[AwayTeam]],$A33, Table1[[HomeTeam]:[HomeTeam]], C$1, Table1[[ActualResult]:[ActualResult]], "SO") + SUMIFS(Table1[[AwayWon]:[AwayWon]], Table1[[GameIsOver]:[GameIsOver]],1,Table1[[HomeTeam]:[HomeTeam]],$A33, Table1[[AwayTeam]:[AwayTeam]], C$1, Table1[[ActualResult]:[ActualResult]], "SO"),0))</f>
        <v>0-0-0</v>
      </c>
      <c r="D33" s="57" t="str">
        <f>_xlfn.CONCAT(TEXT(SUMIFS(Table1[[AwayWon]:[AwayWon]], Table1[[GameIsOver]:[GameIsOver]],1,Table1[[AwayTeam]:[AwayTeam]],$A33, Table1[[HomeTeam]:[HomeTeam]], D$1) + SUMIFS(Table1[[HomeWon]:[HomeWon]], Table1[[GameIsOver]:[GameIsOver]],1,Table1[[HomeTeam]:[HomeTeam]],$A33, Table1[[AwayTeam]:[AwayTeam]], D$1),0), "-", TEXT(SUMIFS(Table1[[HomeWon]:[HomeWon]], Table1[[GameIsOver]:[GameIsOver]],1,Table1[[AwayTeam]:[AwayTeam]],$A33, Table1[[HomeTeam]:[HomeTeam]], D$1, Table1[[ActualResult]:[ActualResult]], "REG") + SUMIFS(Table1[[AwayWon]:[AwayWon]], Table1[[GameIsOver]:[GameIsOver]],1,Table1[[HomeTeam]:[HomeTeam]],$A33, Table1[[AwayTeam]:[AwayTeam]], D$1, Table1[[ActualResult]:[ActualResult]], "REG"),0), "-", TEXT(SUMIFS(Table1[[HomeWon]:[HomeWon]], Table1[[GameIsOver]:[GameIsOver]],1,Table1[[AwayTeam]:[AwayTeam]],$A33, Table1[[HomeTeam]:[HomeTeam]], D$1, Table1[[ActualResult]:[ActualResult]], "OT") + SUMIFS(Table1[[AwayWon]:[AwayWon]], Table1[[GameIsOver]:[GameIsOver]],1,Table1[[HomeTeam]:[HomeTeam]],$A33, Table1[[AwayTeam]:[AwayTeam]], D$1, Table1[[ActualResult]:[ActualResult]], "OT") + SUMIFS(Table1[[HomeWon]:[HomeWon]], Table1[[GameIsOver]:[GameIsOver]],1,Table1[[AwayTeam]:[AwayTeam]],$A33, Table1[[HomeTeam]:[HomeTeam]], D$1, Table1[[ActualResult]:[ActualResult]], "SO") + SUMIFS(Table1[[AwayWon]:[AwayWon]], Table1[[GameIsOver]:[GameIsOver]],1,Table1[[HomeTeam]:[HomeTeam]],$A33, Table1[[AwayTeam]:[AwayTeam]], D$1, Table1[[ActualResult]:[ActualResult]], "SO"),0))</f>
        <v>0-0-0</v>
      </c>
      <c r="E33" s="57" t="str">
        <f>_xlfn.CONCAT(TEXT(SUMIFS(Table1[[AwayWon]:[AwayWon]], Table1[[GameIsOver]:[GameIsOver]],1,Table1[[AwayTeam]:[AwayTeam]],$A33, Table1[[HomeTeam]:[HomeTeam]], E$1) + SUMIFS(Table1[[HomeWon]:[HomeWon]], Table1[[GameIsOver]:[GameIsOver]],1,Table1[[HomeTeam]:[HomeTeam]],$A33, Table1[[AwayTeam]:[AwayTeam]], E$1),0), "-", TEXT(SUMIFS(Table1[[HomeWon]:[HomeWon]], Table1[[GameIsOver]:[GameIsOver]],1,Table1[[AwayTeam]:[AwayTeam]],$A33, Table1[[HomeTeam]:[HomeTeam]], E$1, Table1[[ActualResult]:[ActualResult]], "REG") + SUMIFS(Table1[[AwayWon]:[AwayWon]], Table1[[GameIsOver]:[GameIsOver]],1,Table1[[HomeTeam]:[HomeTeam]],$A33, Table1[[AwayTeam]:[AwayTeam]], E$1, Table1[[ActualResult]:[ActualResult]], "REG"),0), "-", TEXT(SUMIFS(Table1[[HomeWon]:[HomeWon]], Table1[[GameIsOver]:[GameIsOver]],1,Table1[[AwayTeam]:[AwayTeam]],$A33, Table1[[HomeTeam]:[HomeTeam]], E$1, Table1[[ActualResult]:[ActualResult]], "OT") + SUMIFS(Table1[[AwayWon]:[AwayWon]], Table1[[GameIsOver]:[GameIsOver]],1,Table1[[HomeTeam]:[HomeTeam]],$A33, Table1[[AwayTeam]:[AwayTeam]], E$1, Table1[[ActualResult]:[ActualResult]], "OT") + SUMIFS(Table1[[HomeWon]:[HomeWon]], Table1[[GameIsOver]:[GameIsOver]],1,Table1[[AwayTeam]:[AwayTeam]],$A33, Table1[[HomeTeam]:[HomeTeam]], E$1, Table1[[ActualResult]:[ActualResult]], "SO") + SUMIFS(Table1[[AwayWon]:[AwayWon]], Table1[[GameIsOver]:[GameIsOver]],1,Table1[[HomeTeam]:[HomeTeam]],$A33, Table1[[AwayTeam]:[AwayTeam]], E$1, Table1[[ActualResult]:[ActualResult]], "SO"),0))</f>
        <v>0-0-0</v>
      </c>
      <c r="F33" s="57" t="str">
        <f>_xlfn.CONCAT(TEXT(SUMIFS(Table1[[AwayWon]:[AwayWon]], Table1[[GameIsOver]:[GameIsOver]],1,Table1[[AwayTeam]:[AwayTeam]],$A33, Table1[[HomeTeam]:[HomeTeam]], F$1) + SUMIFS(Table1[[HomeWon]:[HomeWon]], Table1[[GameIsOver]:[GameIsOver]],1,Table1[[HomeTeam]:[HomeTeam]],$A33, Table1[[AwayTeam]:[AwayTeam]], F$1),0), "-", TEXT(SUMIFS(Table1[[HomeWon]:[HomeWon]], Table1[[GameIsOver]:[GameIsOver]],1,Table1[[AwayTeam]:[AwayTeam]],$A33, Table1[[HomeTeam]:[HomeTeam]], F$1, Table1[[ActualResult]:[ActualResult]], "REG") + SUMIFS(Table1[[AwayWon]:[AwayWon]], Table1[[GameIsOver]:[GameIsOver]],1,Table1[[HomeTeam]:[HomeTeam]],$A33, Table1[[AwayTeam]:[AwayTeam]], F$1, Table1[[ActualResult]:[ActualResult]], "REG"),0), "-", TEXT(SUMIFS(Table1[[HomeWon]:[HomeWon]], Table1[[GameIsOver]:[GameIsOver]],1,Table1[[AwayTeam]:[AwayTeam]],$A33, Table1[[HomeTeam]:[HomeTeam]], F$1, Table1[[ActualResult]:[ActualResult]], "OT") + SUMIFS(Table1[[AwayWon]:[AwayWon]], Table1[[GameIsOver]:[GameIsOver]],1,Table1[[HomeTeam]:[HomeTeam]],$A33, Table1[[AwayTeam]:[AwayTeam]], F$1, Table1[[ActualResult]:[ActualResult]], "OT") + SUMIFS(Table1[[HomeWon]:[HomeWon]], Table1[[GameIsOver]:[GameIsOver]],1,Table1[[AwayTeam]:[AwayTeam]],$A33, Table1[[HomeTeam]:[HomeTeam]], F$1, Table1[[ActualResult]:[ActualResult]], "SO") + SUMIFS(Table1[[AwayWon]:[AwayWon]], Table1[[GameIsOver]:[GameIsOver]],1,Table1[[HomeTeam]:[HomeTeam]],$A33, Table1[[AwayTeam]:[AwayTeam]], F$1, Table1[[ActualResult]:[ActualResult]], "SO"),0))</f>
        <v>0-0-0</v>
      </c>
      <c r="G33" s="57" t="str">
        <f>_xlfn.CONCAT(TEXT(SUMIFS(Table1[[AwayWon]:[AwayWon]], Table1[[GameIsOver]:[GameIsOver]],1,Table1[[AwayTeam]:[AwayTeam]],$A33, Table1[[HomeTeam]:[HomeTeam]], G$1) + SUMIFS(Table1[[HomeWon]:[HomeWon]], Table1[[GameIsOver]:[GameIsOver]],1,Table1[[HomeTeam]:[HomeTeam]],$A33, Table1[[AwayTeam]:[AwayTeam]], G$1),0), "-", TEXT(SUMIFS(Table1[[HomeWon]:[HomeWon]], Table1[[GameIsOver]:[GameIsOver]],1,Table1[[AwayTeam]:[AwayTeam]],$A33, Table1[[HomeTeam]:[HomeTeam]], G$1, Table1[[ActualResult]:[ActualResult]], "REG") + SUMIFS(Table1[[AwayWon]:[AwayWon]], Table1[[GameIsOver]:[GameIsOver]],1,Table1[[HomeTeam]:[HomeTeam]],$A33, Table1[[AwayTeam]:[AwayTeam]], G$1, Table1[[ActualResult]:[ActualResult]], "REG"),0), "-", TEXT(SUMIFS(Table1[[HomeWon]:[HomeWon]], Table1[[GameIsOver]:[GameIsOver]],1,Table1[[AwayTeam]:[AwayTeam]],$A33, Table1[[HomeTeam]:[HomeTeam]], G$1, Table1[[ActualResult]:[ActualResult]], "OT") + SUMIFS(Table1[[AwayWon]:[AwayWon]], Table1[[GameIsOver]:[GameIsOver]],1,Table1[[HomeTeam]:[HomeTeam]],$A33, Table1[[AwayTeam]:[AwayTeam]], G$1, Table1[[ActualResult]:[ActualResult]], "OT") + SUMIFS(Table1[[HomeWon]:[HomeWon]], Table1[[GameIsOver]:[GameIsOver]],1,Table1[[AwayTeam]:[AwayTeam]],$A33, Table1[[HomeTeam]:[HomeTeam]], G$1, Table1[[ActualResult]:[ActualResult]], "SO") + SUMIFS(Table1[[AwayWon]:[AwayWon]], Table1[[GameIsOver]:[GameIsOver]],1,Table1[[HomeTeam]:[HomeTeam]],$A33, Table1[[AwayTeam]:[AwayTeam]], G$1, Table1[[ActualResult]:[ActualResult]], "SO"),0))</f>
        <v>0-0-0</v>
      </c>
      <c r="H33" s="57" t="str">
        <f>_xlfn.CONCAT(TEXT(SUMIFS(Table1[[AwayWon]:[AwayWon]], Table1[[GameIsOver]:[GameIsOver]],1,Table1[[AwayTeam]:[AwayTeam]],$A33, Table1[[HomeTeam]:[HomeTeam]], H$1) + SUMIFS(Table1[[HomeWon]:[HomeWon]], Table1[[GameIsOver]:[GameIsOver]],1,Table1[[HomeTeam]:[HomeTeam]],$A33, Table1[[AwayTeam]:[AwayTeam]], H$1),0), "-", TEXT(SUMIFS(Table1[[HomeWon]:[HomeWon]], Table1[[GameIsOver]:[GameIsOver]],1,Table1[[AwayTeam]:[AwayTeam]],$A33, Table1[[HomeTeam]:[HomeTeam]], H$1, Table1[[ActualResult]:[ActualResult]], "REG") + SUMIFS(Table1[[AwayWon]:[AwayWon]], Table1[[GameIsOver]:[GameIsOver]],1,Table1[[HomeTeam]:[HomeTeam]],$A33, Table1[[AwayTeam]:[AwayTeam]], H$1, Table1[[ActualResult]:[ActualResult]], "REG"),0), "-", TEXT(SUMIFS(Table1[[HomeWon]:[HomeWon]], Table1[[GameIsOver]:[GameIsOver]],1,Table1[[AwayTeam]:[AwayTeam]],$A33, Table1[[HomeTeam]:[HomeTeam]], H$1, Table1[[ActualResult]:[ActualResult]], "OT") + SUMIFS(Table1[[AwayWon]:[AwayWon]], Table1[[GameIsOver]:[GameIsOver]],1,Table1[[HomeTeam]:[HomeTeam]],$A33, Table1[[AwayTeam]:[AwayTeam]], H$1, Table1[[ActualResult]:[ActualResult]], "OT") + SUMIFS(Table1[[HomeWon]:[HomeWon]], Table1[[GameIsOver]:[GameIsOver]],1,Table1[[AwayTeam]:[AwayTeam]],$A33, Table1[[HomeTeam]:[HomeTeam]], H$1, Table1[[ActualResult]:[ActualResult]], "SO") + SUMIFS(Table1[[AwayWon]:[AwayWon]], Table1[[GameIsOver]:[GameIsOver]],1,Table1[[HomeTeam]:[HomeTeam]],$A33, Table1[[AwayTeam]:[AwayTeam]], H$1, Table1[[ActualResult]:[ActualResult]], "SO"),0))</f>
        <v>0-0-0</v>
      </c>
      <c r="I33" s="59" t="str">
        <f>_xlfn.CONCAT(TEXT(SUMIFS(Table1[[AwayWon]:[AwayWon]], Table1[[GameIsOver]:[GameIsOver]],1,Table1[[AwayTeam]:[AwayTeam]],$A33, Table1[[HomeTeam]:[HomeTeam]], I$1) + SUMIFS(Table1[[HomeWon]:[HomeWon]], Table1[[GameIsOver]:[GameIsOver]],1,Table1[[HomeTeam]:[HomeTeam]],$A33, Table1[[AwayTeam]:[AwayTeam]], I$1),0), "-", TEXT(SUMIFS(Table1[[HomeWon]:[HomeWon]], Table1[[GameIsOver]:[GameIsOver]],1,Table1[[AwayTeam]:[AwayTeam]],$A33, Table1[[HomeTeam]:[HomeTeam]], I$1, Table1[[ActualResult]:[ActualResult]], "REG") + SUMIFS(Table1[[AwayWon]:[AwayWon]], Table1[[GameIsOver]:[GameIsOver]],1,Table1[[HomeTeam]:[HomeTeam]],$A33, Table1[[AwayTeam]:[AwayTeam]], I$1, Table1[[ActualResult]:[ActualResult]], "REG"),0), "-", TEXT(SUMIFS(Table1[[HomeWon]:[HomeWon]], Table1[[GameIsOver]:[GameIsOver]],1,Table1[[AwayTeam]:[AwayTeam]],$A33, Table1[[HomeTeam]:[HomeTeam]], I$1, Table1[[ActualResult]:[ActualResult]], "OT") + SUMIFS(Table1[[AwayWon]:[AwayWon]], Table1[[GameIsOver]:[GameIsOver]],1,Table1[[HomeTeam]:[HomeTeam]],$A33, Table1[[AwayTeam]:[AwayTeam]], I$1, Table1[[ActualResult]:[ActualResult]], "OT") + SUMIFS(Table1[[HomeWon]:[HomeWon]], Table1[[GameIsOver]:[GameIsOver]],1,Table1[[AwayTeam]:[AwayTeam]],$A33, Table1[[HomeTeam]:[HomeTeam]], I$1, Table1[[ActualResult]:[ActualResult]], "SO") + SUMIFS(Table1[[AwayWon]:[AwayWon]], Table1[[GameIsOver]:[GameIsOver]],1,Table1[[HomeTeam]:[HomeTeam]],$A33, Table1[[AwayTeam]:[AwayTeam]], I$1, Table1[[ActualResult]:[ActualResult]], "SO"),0))</f>
        <v>0-0-0</v>
      </c>
      <c r="J33" s="57" t="str">
        <f>_xlfn.CONCAT(TEXT(SUMIFS(Table1[[AwayWon]:[AwayWon]], Table1[[GameIsOver]:[GameIsOver]],1,Table1[[AwayTeam]:[AwayTeam]],$A33, Table1[[HomeTeam]:[HomeTeam]], J$1) + SUMIFS(Table1[[HomeWon]:[HomeWon]], Table1[[GameIsOver]:[GameIsOver]],1,Table1[[HomeTeam]:[HomeTeam]],$A33, Table1[[AwayTeam]:[AwayTeam]], J$1),0), "-", TEXT(SUMIFS(Table1[[HomeWon]:[HomeWon]], Table1[[GameIsOver]:[GameIsOver]],1,Table1[[AwayTeam]:[AwayTeam]],$A33, Table1[[HomeTeam]:[HomeTeam]], J$1, Table1[[ActualResult]:[ActualResult]], "REG") + SUMIFS(Table1[[AwayWon]:[AwayWon]], Table1[[GameIsOver]:[GameIsOver]],1,Table1[[HomeTeam]:[HomeTeam]],$A33, Table1[[AwayTeam]:[AwayTeam]], J$1, Table1[[ActualResult]:[ActualResult]], "REG"),0), "-", TEXT(SUMIFS(Table1[[HomeWon]:[HomeWon]], Table1[[GameIsOver]:[GameIsOver]],1,Table1[[AwayTeam]:[AwayTeam]],$A33, Table1[[HomeTeam]:[HomeTeam]], J$1, Table1[[ActualResult]:[ActualResult]], "OT") + SUMIFS(Table1[[AwayWon]:[AwayWon]], Table1[[GameIsOver]:[GameIsOver]],1,Table1[[HomeTeam]:[HomeTeam]],$A33, Table1[[AwayTeam]:[AwayTeam]], J$1, Table1[[ActualResult]:[ActualResult]], "OT") + SUMIFS(Table1[[HomeWon]:[HomeWon]], Table1[[GameIsOver]:[GameIsOver]],1,Table1[[AwayTeam]:[AwayTeam]],$A33, Table1[[HomeTeam]:[HomeTeam]], J$1, Table1[[ActualResult]:[ActualResult]], "SO") + SUMIFS(Table1[[AwayWon]:[AwayWon]], Table1[[GameIsOver]:[GameIsOver]],1,Table1[[HomeTeam]:[HomeTeam]],$A33, Table1[[AwayTeam]:[AwayTeam]], J$1, Table1[[ActualResult]:[ActualResult]], "SO"),0))</f>
        <v>0-0-0</v>
      </c>
      <c r="K33" s="57" t="str">
        <f>_xlfn.CONCAT(TEXT(SUMIFS(Table1[[AwayWon]:[AwayWon]], Table1[[GameIsOver]:[GameIsOver]],1,Table1[[AwayTeam]:[AwayTeam]],$A33, Table1[[HomeTeam]:[HomeTeam]], K$1) + SUMIFS(Table1[[HomeWon]:[HomeWon]], Table1[[GameIsOver]:[GameIsOver]],1,Table1[[HomeTeam]:[HomeTeam]],$A33, Table1[[AwayTeam]:[AwayTeam]], K$1),0), "-", TEXT(SUMIFS(Table1[[HomeWon]:[HomeWon]], Table1[[GameIsOver]:[GameIsOver]],1,Table1[[AwayTeam]:[AwayTeam]],$A33, Table1[[HomeTeam]:[HomeTeam]], K$1, Table1[[ActualResult]:[ActualResult]], "REG") + SUMIFS(Table1[[AwayWon]:[AwayWon]], Table1[[GameIsOver]:[GameIsOver]],1,Table1[[HomeTeam]:[HomeTeam]],$A33, Table1[[AwayTeam]:[AwayTeam]], K$1, Table1[[ActualResult]:[ActualResult]], "REG"),0), "-", TEXT(SUMIFS(Table1[[HomeWon]:[HomeWon]], Table1[[GameIsOver]:[GameIsOver]],1,Table1[[AwayTeam]:[AwayTeam]],$A33, Table1[[HomeTeam]:[HomeTeam]], K$1, Table1[[ActualResult]:[ActualResult]], "OT") + SUMIFS(Table1[[AwayWon]:[AwayWon]], Table1[[GameIsOver]:[GameIsOver]],1,Table1[[HomeTeam]:[HomeTeam]],$A33, Table1[[AwayTeam]:[AwayTeam]], K$1, Table1[[ActualResult]:[ActualResult]], "OT") + SUMIFS(Table1[[HomeWon]:[HomeWon]], Table1[[GameIsOver]:[GameIsOver]],1,Table1[[AwayTeam]:[AwayTeam]],$A33, Table1[[HomeTeam]:[HomeTeam]], K$1, Table1[[ActualResult]:[ActualResult]], "SO") + SUMIFS(Table1[[AwayWon]:[AwayWon]], Table1[[GameIsOver]:[GameIsOver]],1,Table1[[HomeTeam]:[HomeTeam]],$A33, Table1[[AwayTeam]:[AwayTeam]], K$1, Table1[[ActualResult]:[ActualResult]], "SO"),0))</f>
        <v>0-0-0</v>
      </c>
      <c r="L33" s="57" t="str">
        <f>_xlfn.CONCAT(TEXT(SUMIFS(Table1[[AwayWon]:[AwayWon]], Table1[[GameIsOver]:[GameIsOver]],1,Table1[[AwayTeam]:[AwayTeam]],$A33, Table1[[HomeTeam]:[HomeTeam]], L$1) + SUMIFS(Table1[[HomeWon]:[HomeWon]], Table1[[GameIsOver]:[GameIsOver]],1,Table1[[HomeTeam]:[HomeTeam]],$A33, Table1[[AwayTeam]:[AwayTeam]], L$1),0), "-", TEXT(SUMIFS(Table1[[HomeWon]:[HomeWon]], Table1[[GameIsOver]:[GameIsOver]],1,Table1[[AwayTeam]:[AwayTeam]],$A33, Table1[[HomeTeam]:[HomeTeam]], L$1, Table1[[ActualResult]:[ActualResult]], "REG") + SUMIFS(Table1[[AwayWon]:[AwayWon]], Table1[[GameIsOver]:[GameIsOver]],1,Table1[[HomeTeam]:[HomeTeam]],$A33, Table1[[AwayTeam]:[AwayTeam]], L$1, Table1[[ActualResult]:[ActualResult]], "REG"),0), "-", TEXT(SUMIFS(Table1[[HomeWon]:[HomeWon]], Table1[[GameIsOver]:[GameIsOver]],1,Table1[[AwayTeam]:[AwayTeam]],$A33, Table1[[HomeTeam]:[HomeTeam]], L$1, Table1[[ActualResult]:[ActualResult]], "OT") + SUMIFS(Table1[[AwayWon]:[AwayWon]], Table1[[GameIsOver]:[GameIsOver]],1,Table1[[HomeTeam]:[HomeTeam]],$A33, Table1[[AwayTeam]:[AwayTeam]], L$1, Table1[[ActualResult]:[ActualResult]], "OT") + SUMIFS(Table1[[HomeWon]:[HomeWon]], Table1[[GameIsOver]:[GameIsOver]],1,Table1[[AwayTeam]:[AwayTeam]],$A33, Table1[[HomeTeam]:[HomeTeam]], L$1, Table1[[ActualResult]:[ActualResult]], "SO") + SUMIFS(Table1[[AwayWon]:[AwayWon]], Table1[[GameIsOver]:[GameIsOver]],1,Table1[[HomeTeam]:[HomeTeam]],$A33, Table1[[AwayTeam]:[AwayTeam]], L$1, Table1[[ActualResult]:[ActualResult]], "SO"),0))</f>
        <v>0-0-0</v>
      </c>
      <c r="M33" s="57" t="str">
        <f>_xlfn.CONCAT(TEXT(SUMIFS(Table1[[AwayWon]:[AwayWon]], Table1[[GameIsOver]:[GameIsOver]],1,Table1[[AwayTeam]:[AwayTeam]],$A33, Table1[[HomeTeam]:[HomeTeam]], M$1) + SUMIFS(Table1[[HomeWon]:[HomeWon]], Table1[[GameIsOver]:[GameIsOver]],1,Table1[[HomeTeam]:[HomeTeam]],$A33, Table1[[AwayTeam]:[AwayTeam]], M$1),0), "-", TEXT(SUMIFS(Table1[[HomeWon]:[HomeWon]], Table1[[GameIsOver]:[GameIsOver]],1,Table1[[AwayTeam]:[AwayTeam]],$A33, Table1[[HomeTeam]:[HomeTeam]], M$1, Table1[[ActualResult]:[ActualResult]], "REG") + SUMIFS(Table1[[AwayWon]:[AwayWon]], Table1[[GameIsOver]:[GameIsOver]],1,Table1[[HomeTeam]:[HomeTeam]],$A33, Table1[[AwayTeam]:[AwayTeam]], M$1, Table1[[ActualResult]:[ActualResult]], "REG"),0), "-", TEXT(SUMIFS(Table1[[HomeWon]:[HomeWon]], Table1[[GameIsOver]:[GameIsOver]],1,Table1[[AwayTeam]:[AwayTeam]],$A33, Table1[[HomeTeam]:[HomeTeam]], M$1, Table1[[ActualResult]:[ActualResult]], "OT") + SUMIFS(Table1[[AwayWon]:[AwayWon]], Table1[[GameIsOver]:[GameIsOver]],1,Table1[[HomeTeam]:[HomeTeam]],$A33, Table1[[AwayTeam]:[AwayTeam]], M$1, Table1[[ActualResult]:[ActualResult]], "OT") + SUMIFS(Table1[[HomeWon]:[HomeWon]], Table1[[GameIsOver]:[GameIsOver]],1,Table1[[AwayTeam]:[AwayTeam]],$A33, Table1[[HomeTeam]:[HomeTeam]], M$1, Table1[[ActualResult]:[ActualResult]], "SO") + SUMIFS(Table1[[AwayWon]:[AwayWon]], Table1[[GameIsOver]:[GameIsOver]],1,Table1[[HomeTeam]:[HomeTeam]],$A33, Table1[[AwayTeam]:[AwayTeam]], M$1, Table1[[ActualResult]:[ActualResult]], "SO"),0))</f>
        <v>1-0-0</v>
      </c>
      <c r="N33" s="57" t="str">
        <f>_xlfn.CONCAT(TEXT(SUMIFS(Table1[[AwayWon]:[AwayWon]], Table1[[GameIsOver]:[GameIsOver]],1,Table1[[AwayTeam]:[AwayTeam]],$A33, Table1[[HomeTeam]:[HomeTeam]], N$1) + SUMIFS(Table1[[HomeWon]:[HomeWon]], Table1[[GameIsOver]:[GameIsOver]],1,Table1[[HomeTeam]:[HomeTeam]],$A33, Table1[[AwayTeam]:[AwayTeam]], N$1),0), "-", TEXT(SUMIFS(Table1[[HomeWon]:[HomeWon]], Table1[[GameIsOver]:[GameIsOver]],1,Table1[[AwayTeam]:[AwayTeam]],$A33, Table1[[HomeTeam]:[HomeTeam]], N$1, Table1[[ActualResult]:[ActualResult]], "REG") + SUMIFS(Table1[[AwayWon]:[AwayWon]], Table1[[GameIsOver]:[GameIsOver]],1,Table1[[HomeTeam]:[HomeTeam]],$A33, Table1[[AwayTeam]:[AwayTeam]], N$1, Table1[[ActualResult]:[ActualResult]], "REG"),0), "-", TEXT(SUMIFS(Table1[[HomeWon]:[HomeWon]], Table1[[GameIsOver]:[GameIsOver]],1,Table1[[AwayTeam]:[AwayTeam]],$A33, Table1[[HomeTeam]:[HomeTeam]], N$1, Table1[[ActualResult]:[ActualResult]], "OT") + SUMIFS(Table1[[AwayWon]:[AwayWon]], Table1[[GameIsOver]:[GameIsOver]],1,Table1[[HomeTeam]:[HomeTeam]],$A33, Table1[[AwayTeam]:[AwayTeam]], N$1, Table1[[ActualResult]:[ActualResult]], "OT") + SUMIFS(Table1[[HomeWon]:[HomeWon]], Table1[[GameIsOver]:[GameIsOver]],1,Table1[[AwayTeam]:[AwayTeam]],$A33, Table1[[HomeTeam]:[HomeTeam]], N$1, Table1[[ActualResult]:[ActualResult]], "SO") + SUMIFS(Table1[[AwayWon]:[AwayWon]], Table1[[GameIsOver]:[GameIsOver]],1,Table1[[HomeTeam]:[HomeTeam]],$A33, Table1[[AwayTeam]:[AwayTeam]], N$1, Table1[[ActualResult]:[ActualResult]], "SO"),0))</f>
        <v>0-0-0</v>
      </c>
      <c r="O33" s="57" t="str">
        <f>_xlfn.CONCAT(TEXT(SUMIFS(Table1[[AwayWon]:[AwayWon]], Table1[[GameIsOver]:[GameIsOver]],1,Table1[[AwayTeam]:[AwayTeam]],$A33, Table1[[HomeTeam]:[HomeTeam]], O$1) + SUMIFS(Table1[[HomeWon]:[HomeWon]], Table1[[GameIsOver]:[GameIsOver]],1,Table1[[HomeTeam]:[HomeTeam]],$A33, Table1[[AwayTeam]:[AwayTeam]], O$1),0), "-", TEXT(SUMIFS(Table1[[HomeWon]:[HomeWon]], Table1[[GameIsOver]:[GameIsOver]],1,Table1[[AwayTeam]:[AwayTeam]],$A33, Table1[[HomeTeam]:[HomeTeam]], O$1, Table1[[ActualResult]:[ActualResult]], "REG") + SUMIFS(Table1[[AwayWon]:[AwayWon]], Table1[[GameIsOver]:[GameIsOver]],1,Table1[[HomeTeam]:[HomeTeam]],$A33, Table1[[AwayTeam]:[AwayTeam]], O$1, Table1[[ActualResult]:[ActualResult]], "REG"),0), "-", TEXT(SUMIFS(Table1[[HomeWon]:[HomeWon]], Table1[[GameIsOver]:[GameIsOver]],1,Table1[[AwayTeam]:[AwayTeam]],$A33, Table1[[HomeTeam]:[HomeTeam]], O$1, Table1[[ActualResult]:[ActualResult]], "OT") + SUMIFS(Table1[[AwayWon]:[AwayWon]], Table1[[GameIsOver]:[GameIsOver]],1,Table1[[HomeTeam]:[HomeTeam]],$A33, Table1[[AwayTeam]:[AwayTeam]], O$1, Table1[[ActualResult]:[ActualResult]], "OT") + SUMIFS(Table1[[HomeWon]:[HomeWon]], Table1[[GameIsOver]:[GameIsOver]],1,Table1[[AwayTeam]:[AwayTeam]],$A33, Table1[[HomeTeam]:[HomeTeam]], O$1, Table1[[ActualResult]:[ActualResult]], "SO") + SUMIFS(Table1[[AwayWon]:[AwayWon]], Table1[[GameIsOver]:[GameIsOver]],1,Table1[[HomeTeam]:[HomeTeam]],$A33, Table1[[AwayTeam]:[AwayTeam]], O$1, Table1[[ActualResult]:[ActualResult]], "SO"),0))</f>
        <v>0-0-0</v>
      </c>
      <c r="P33" s="57" t="str">
        <f>_xlfn.CONCAT(TEXT(SUMIFS(Table1[[AwayWon]:[AwayWon]], Table1[[GameIsOver]:[GameIsOver]],1,Table1[[AwayTeam]:[AwayTeam]],$A33, Table1[[HomeTeam]:[HomeTeam]], P$1) + SUMIFS(Table1[[HomeWon]:[HomeWon]], Table1[[GameIsOver]:[GameIsOver]],1,Table1[[HomeTeam]:[HomeTeam]],$A33, Table1[[AwayTeam]:[AwayTeam]], P$1),0), "-", TEXT(SUMIFS(Table1[[HomeWon]:[HomeWon]], Table1[[GameIsOver]:[GameIsOver]],1,Table1[[AwayTeam]:[AwayTeam]],$A33, Table1[[HomeTeam]:[HomeTeam]], P$1, Table1[[ActualResult]:[ActualResult]], "REG") + SUMIFS(Table1[[AwayWon]:[AwayWon]], Table1[[GameIsOver]:[GameIsOver]],1,Table1[[HomeTeam]:[HomeTeam]],$A33, Table1[[AwayTeam]:[AwayTeam]], P$1, Table1[[ActualResult]:[ActualResult]], "REG"),0), "-", TEXT(SUMIFS(Table1[[HomeWon]:[HomeWon]], Table1[[GameIsOver]:[GameIsOver]],1,Table1[[AwayTeam]:[AwayTeam]],$A33, Table1[[HomeTeam]:[HomeTeam]], P$1, Table1[[ActualResult]:[ActualResult]], "OT") + SUMIFS(Table1[[AwayWon]:[AwayWon]], Table1[[GameIsOver]:[GameIsOver]],1,Table1[[HomeTeam]:[HomeTeam]],$A33, Table1[[AwayTeam]:[AwayTeam]], P$1, Table1[[ActualResult]:[ActualResult]], "OT") + SUMIFS(Table1[[HomeWon]:[HomeWon]], Table1[[GameIsOver]:[GameIsOver]],1,Table1[[AwayTeam]:[AwayTeam]],$A33, Table1[[HomeTeam]:[HomeTeam]], P$1, Table1[[ActualResult]:[ActualResult]], "SO") + SUMIFS(Table1[[AwayWon]:[AwayWon]], Table1[[GameIsOver]:[GameIsOver]],1,Table1[[HomeTeam]:[HomeTeam]],$A33, Table1[[AwayTeam]:[AwayTeam]], P$1, Table1[[ActualResult]:[ActualResult]], "SO"),0))</f>
        <v>0-0-0</v>
      </c>
      <c r="Q33" s="59" t="str">
        <f>_xlfn.CONCAT(TEXT(SUMIFS(Table1[[AwayWon]:[AwayWon]], Table1[[GameIsOver]:[GameIsOver]],1,Table1[[AwayTeam]:[AwayTeam]],$A33, Table1[[HomeTeam]:[HomeTeam]], Q$1) + SUMIFS(Table1[[HomeWon]:[HomeWon]], Table1[[GameIsOver]:[GameIsOver]],1,Table1[[HomeTeam]:[HomeTeam]],$A33, Table1[[AwayTeam]:[AwayTeam]], Q$1),0), "-", TEXT(SUMIFS(Table1[[HomeWon]:[HomeWon]], Table1[[GameIsOver]:[GameIsOver]],1,Table1[[AwayTeam]:[AwayTeam]],$A33, Table1[[HomeTeam]:[HomeTeam]], Q$1, Table1[[ActualResult]:[ActualResult]], "REG") + SUMIFS(Table1[[AwayWon]:[AwayWon]], Table1[[GameIsOver]:[GameIsOver]],1,Table1[[HomeTeam]:[HomeTeam]],$A33, Table1[[AwayTeam]:[AwayTeam]], Q$1, Table1[[ActualResult]:[ActualResult]], "REG"),0), "-", TEXT(SUMIFS(Table1[[HomeWon]:[HomeWon]], Table1[[GameIsOver]:[GameIsOver]],1,Table1[[AwayTeam]:[AwayTeam]],$A33, Table1[[HomeTeam]:[HomeTeam]], Q$1, Table1[[ActualResult]:[ActualResult]], "OT") + SUMIFS(Table1[[AwayWon]:[AwayWon]], Table1[[GameIsOver]:[GameIsOver]],1,Table1[[HomeTeam]:[HomeTeam]],$A33, Table1[[AwayTeam]:[AwayTeam]], Q$1, Table1[[ActualResult]:[ActualResult]], "OT") + SUMIFS(Table1[[HomeWon]:[HomeWon]], Table1[[GameIsOver]:[GameIsOver]],1,Table1[[AwayTeam]:[AwayTeam]],$A33, Table1[[HomeTeam]:[HomeTeam]], Q$1, Table1[[ActualResult]:[ActualResult]], "SO") + SUMIFS(Table1[[AwayWon]:[AwayWon]], Table1[[GameIsOver]:[GameIsOver]],1,Table1[[HomeTeam]:[HomeTeam]],$A33, Table1[[AwayTeam]:[AwayTeam]], Q$1, Table1[[ActualResult]:[ActualResult]], "SO"),0))</f>
        <v>0-0-0</v>
      </c>
      <c r="R33" s="57" t="str">
        <f>_xlfn.CONCAT(TEXT(SUMIFS(Table1[[AwayWon]:[AwayWon]], Table1[[GameIsOver]:[GameIsOver]],1,Table1[[AwayTeam]:[AwayTeam]],$A33, Table1[[HomeTeam]:[HomeTeam]], R$1) + SUMIFS(Table1[[HomeWon]:[HomeWon]], Table1[[GameIsOver]:[GameIsOver]],1,Table1[[HomeTeam]:[HomeTeam]],$A33, Table1[[AwayTeam]:[AwayTeam]], R$1),0), "-", TEXT(SUMIFS(Table1[[HomeWon]:[HomeWon]], Table1[[GameIsOver]:[GameIsOver]],1,Table1[[AwayTeam]:[AwayTeam]],$A33, Table1[[HomeTeam]:[HomeTeam]], R$1, Table1[[ActualResult]:[ActualResult]], "REG") + SUMIFS(Table1[[AwayWon]:[AwayWon]], Table1[[GameIsOver]:[GameIsOver]],1,Table1[[HomeTeam]:[HomeTeam]],$A33, Table1[[AwayTeam]:[AwayTeam]], R$1, Table1[[ActualResult]:[ActualResult]], "REG"),0), "-", TEXT(SUMIFS(Table1[[HomeWon]:[HomeWon]], Table1[[GameIsOver]:[GameIsOver]],1,Table1[[AwayTeam]:[AwayTeam]],$A33, Table1[[HomeTeam]:[HomeTeam]], R$1, Table1[[ActualResult]:[ActualResult]], "OT") + SUMIFS(Table1[[AwayWon]:[AwayWon]], Table1[[GameIsOver]:[GameIsOver]],1,Table1[[HomeTeam]:[HomeTeam]],$A33, Table1[[AwayTeam]:[AwayTeam]], R$1, Table1[[ActualResult]:[ActualResult]], "OT") + SUMIFS(Table1[[HomeWon]:[HomeWon]], Table1[[GameIsOver]:[GameIsOver]],1,Table1[[AwayTeam]:[AwayTeam]],$A33, Table1[[HomeTeam]:[HomeTeam]], R$1, Table1[[ActualResult]:[ActualResult]], "SO") + SUMIFS(Table1[[AwayWon]:[AwayWon]], Table1[[GameIsOver]:[GameIsOver]],1,Table1[[HomeTeam]:[HomeTeam]],$A33, Table1[[AwayTeam]:[AwayTeam]], R$1, Table1[[ActualResult]:[ActualResult]], "SO"),0))</f>
        <v>0-0-0</v>
      </c>
      <c r="S33" s="57" t="str">
        <f>_xlfn.CONCAT(TEXT(SUMIFS(Table1[[AwayWon]:[AwayWon]], Table1[[GameIsOver]:[GameIsOver]],1,Table1[[AwayTeam]:[AwayTeam]],$A33, Table1[[HomeTeam]:[HomeTeam]], S$1) + SUMIFS(Table1[[HomeWon]:[HomeWon]], Table1[[GameIsOver]:[GameIsOver]],1,Table1[[HomeTeam]:[HomeTeam]],$A33, Table1[[AwayTeam]:[AwayTeam]], S$1),0), "-", TEXT(SUMIFS(Table1[[HomeWon]:[HomeWon]], Table1[[GameIsOver]:[GameIsOver]],1,Table1[[AwayTeam]:[AwayTeam]],$A33, Table1[[HomeTeam]:[HomeTeam]], S$1, Table1[[ActualResult]:[ActualResult]], "REG") + SUMIFS(Table1[[AwayWon]:[AwayWon]], Table1[[GameIsOver]:[GameIsOver]],1,Table1[[HomeTeam]:[HomeTeam]],$A33, Table1[[AwayTeam]:[AwayTeam]], S$1, Table1[[ActualResult]:[ActualResult]], "REG"),0), "-", TEXT(SUMIFS(Table1[[HomeWon]:[HomeWon]], Table1[[GameIsOver]:[GameIsOver]],1,Table1[[AwayTeam]:[AwayTeam]],$A33, Table1[[HomeTeam]:[HomeTeam]], S$1, Table1[[ActualResult]:[ActualResult]], "OT") + SUMIFS(Table1[[AwayWon]:[AwayWon]], Table1[[GameIsOver]:[GameIsOver]],1,Table1[[HomeTeam]:[HomeTeam]],$A33, Table1[[AwayTeam]:[AwayTeam]], S$1, Table1[[ActualResult]:[ActualResult]], "OT") + SUMIFS(Table1[[HomeWon]:[HomeWon]], Table1[[GameIsOver]:[GameIsOver]],1,Table1[[AwayTeam]:[AwayTeam]],$A33, Table1[[HomeTeam]:[HomeTeam]], S$1, Table1[[ActualResult]:[ActualResult]], "SO") + SUMIFS(Table1[[AwayWon]:[AwayWon]], Table1[[GameIsOver]:[GameIsOver]],1,Table1[[HomeTeam]:[HomeTeam]],$A33, Table1[[AwayTeam]:[AwayTeam]], S$1, Table1[[ActualResult]:[ActualResult]], "SO"),0))</f>
        <v>0-0-0</v>
      </c>
      <c r="T33" s="57" t="str">
        <f>_xlfn.CONCAT(TEXT(SUMIFS(Table1[[AwayWon]:[AwayWon]], Table1[[GameIsOver]:[GameIsOver]],1,Table1[[AwayTeam]:[AwayTeam]],$A33, Table1[[HomeTeam]:[HomeTeam]], T$1) + SUMIFS(Table1[[HomeWon]:[HomeWon]], Table1[[GameIsOver]:[GameIsOver]],1,Table1[[HomeTeam]:[HomeTeam]],$A33, Table1[[AwayTeam]:[AwayTeam]], T$1),0), "-", TEXT(SUMIFS(Table1[[HomeWon]:[HomeWon]], Table1[[GameIsOver]:[GameIsOver]],1,Table1[[AwayTeam]:[AwayTeam]],$A33, Table1[[HomeTeam]:[HomeTeam]], T$1, Table1[[ActualResult]:[ActualResult]], "REG") + SUMIFS(Table1[[AwayWon]:[AwayWon]], Table1[[GameIsOver]:[GameIsOver]],1,Table1[[HomeTeam]:[HomeTeam]],$A33, Table1[[AwayTeam]:[AwayTeam]], T$1, Table1[[ActualResult]:[ActualResult]], "REG"),0), "-", TEXT(SUMIFS(Table1[[HomeWon]:[HomeWon]], Table1[[GameIsOver]:[GameIsOver]],1,Table1[[AwayTeam]:[AwayTeam]],$A33, Table1[[HomeTeam]:[HomeTeam]], T$1, Table1[[ActualResult]:[ActualResult]], "OT") + SUMIFS(Table1[[AwayWon]:[AwayWon]], Table1[[GameIsOver]:[GameIsOver]],1,Table1[[HomeTeam]:[HomeTeam]],$A33, Table1[[AwayTeam]:[AwayTeam]], T$1, Table1[[ActualResult]:[ActualResult]], "OT") + SUMIFS(Table1[[HomeWon]:[HomeWon]], Table1[[GameIsOver]:[GameIsOver]],1,Table1[[AwayTeam]:[AwayTeam]],$A33, Table1[[HomeTeam]:[HomeTeam]], T$1, Table1[[ActualResult]:[ActualResult]], "SO") + SUMIFS(Table1[[AwayWon]:[AwayWon]], Table1[[GameIsOver]:[GameIsOver]],1,Table1[[HomeTeam]:[HomeTeam]],$A33, Table1[[AwayTeam]:[AwayTeam]], T$1, Table1[[ActualResult]:[ActualResult]], "SO"),0))</f>
        <v>0-0-0</v>
      </c>
      <c r="U33" s="57" t="str">
        <f>_xlfn.CONCAT(TEXT(SUMIFS(Table1[[AwayWon]:[AwayWon]], Table1[[GameIsOver]:[GameIsOver]],1,Table1[[AwayTeam]:[AwayTeam]],$A33, Table1[[HomeTeam]:[HomeTeam]], U$1) + SUMIFS(Table1[[HomeWon]:[HomeWon]], Table1[[GameIsOver]:[GameIsOver]],1,Table1[[HomeTeam]:[HomeTeam]],$A33, Table1[[AwayTeam]:[AwayTeam]], U$1),0), "-", TEXT(SUMIFS(Table1[[HomeWon]:[HomeWon]], Table1[[GameIsOver]:[GameIsOver]],1,Table1[[AwayTeam]:[AwayTeam]],$A33, Table1[[HomeTeam]:[HomeTeam]], U$1, Table1[[ActualResult]:[ActualResult]], "REG") + SUMIFS(Table1[[AwayWon]:[AwayWon]], Table1[[GameIsOver]:[GameIsOver]],1,Table1[[HomeTeam]:[HomeTeam]],$A33, Table1[[AwayTeam]:[AwayTeam]], U$1, Table1[[ActualResult]:[ActualResult]], "REG"),0), "-", TEXT(SUMIFS(Table1[[HomeWon]:[HomeWon]], Table1[[GameIsOver]:[GameIsOver]],1,Table1[[AwayTeam]:[AwayTeam]],$A33, Table1[[HomeTeam]:[HomeTeam]], U$1, Table1[[ActualResult]:[ActualResult]], "OT") + SUMIFS(Table1[[AwayWon]:[AwayWon]], Table1[[GameIsOver]:[GameIsOver]],1,Table1[[HomeTeam]:[HomeTeam]],$A33, Table1[[AwayTeam]:[AwayTeam]], U$1, Table1[[ActualResult]:[ActualResult]], "OT") + SUMIFS(Table1[[HomeWon]:[HomeWon]], Table1[[GameIsOver]:[GameIsOver]],1,Table1[[AwayTeam]:[AwayTeam]],$A33, Table1[[HomeTeam]:[HomeTeam]], U$1, Table1[[ActualResult]:[ActualResult]], "SO") + SUMIFS(Table1[[AwayWon]:[AwayWon]], Table1[[GameIsOver]:[GameIsOver]],1,Table1[[HomeTeam]:[HomeTeam]],$A33, Table1[[AwayTeam]:[AwayTeam]], U$1, Table1[[ActualResult]:[ActualResult]], "SO"),0))</f>
        <v>0-0-0</v>
      </c>
      <c r="V33" s="57" t="str">
        <f>_xlfn.CONCAT(TEXT(SUMIFS(Table1[[AwayWon]:[AwayWon]], Table1[[GameIsOver]:[GameIsOver]],1,Table1[[AwayTeam]:[AwayTeam]],$A33, Table1[[HomeTeam]:[HomeTeam]], V$1) + SUMIFS(Table1[[HomeWon]:[HomeWon]], Table1[[GameIsOver]:[GameIsOver]],1,Table1[[HomeTeam]:[HomeTeam]],$A33, Table1[[AwayTeam]:[AwayTeam]], V$1),0), "-", TEXT(SUMIFS(Table1[[HomeWon]:[HomeWon]], Table1[[GameIsOver]:[GameIsOver]],1,Table1[[AwayTeam]:[AwayTeam]],$A33, Table1[[HomeTeam]:[HomeTeam]], V$1, Table1[[ActualResult]:[ActualResult]], "REG") + SUMIFS(Table1[[AwayWon]:[AwayWon]], Table1[[GameIsOver]:[GameIsOver]],1,Table1[[HomeTeam]:[HomeTeam]],$A33, Table1[[AwayTeam]:[AwayTeam]], V$1, Table1[[ActualResult]:[ActualResult]], "REG"),0), "-", TEXT(SUMIFS(Table1[[HomeWon]:[HomeWon]], Table1[[GameIsOver]:[GameIsOver]],1,Table1[[AwayTeam]:[AwayTeam]],$A33, Table1[[HomeTeam]:[HomeTeam]], V$1, Table1[[ActualResult]:[ActualResult]], "OT") + SUMIFS(Table1[[AwayWon]:[AwayWon]], Table1[[GameIsOver]:[GameIsOver]],1,Table1[[HomeTeam]:[HomeTeam]],$A33, Table1[[AwayTeam]:[AwayTeam]], V$1, Table1[[ActualResult]:[ActualResult]], "OT") + SUMIFS(Table1[[HomeWon]:[HomeWon]], Table1[[GameIsOver]:[GameIsOver]],1,Table1[[AwayTeam]:[AwayTeam]],$A33, Table1[[HomeTeam]:[HomeTeam]], V$1, Table1[[ActualResult]:[ActualResult]], "SO") + SUMIFS(Table1[[AwayWon]:[AwayWon]], Table1[[GameIsOver]:[GameIsOver]],1,Table1[[HomeTeam]:[HomeTeam]],$A33, Table1[[AwayTeam]:[AwayTeam]], V$1, Table1[[ActualResult]:[ActualResult]], "SO"),0))</f>
        <v>0-0-0</v>
      </c>
      <c r="W33" s="57" t="str">
        <f>_xlfn.CONCAT(TEXT(SUMIFS(Table1[[AwayWon]:[AwayWon]], Table1[[GameIsOver]:[GameIsOver]],1,Table1[[AwayTeam]:[AwayTeam]],$A33, Table1[[HomeTeam]:[HomeTeam]], W$1) + SUMIFS(Table1[[HomeWon]:[HomeWon]], Table1[[GameIsOver]:[GameIsOver]],1,Table1[[HomeTeam]:[HomeTeam]],$A33, Table1[[AwayTeam]:[AwayTeam]], W$1),0), "-", TEXT(SUMIFS(Table1[[HomeWon]:[HomeWon]], Table1[[GameIsOver]:[GameIsOver]],1,Table1[[AwayTeam]:[AwayTeam]],$A33, Table1[[HomeTeam]:[HomeTeam]], W$1, Table1[[ActualResult]:[ActualResult]], "REG") + SUMIFS(Table1[[AwayWon]:[AwayWon]], Table1[[GameIsOver]:[GameIsOver]],1,Table1[[HomeTeam]:[HomeTeam]],$A33, Table1[[AwayTeam]:[AwayTeam]], W$1, Table1[[ActualResult]:[ActualResult]], "REG"),0), "-", TEXT(SUMIFS(Table1[[HomeWon]:[HomeWon]], Table1[[GameIsOver]:[GameIsOver]],1,Table1[[AwayTeam]:[AwayTeam]],$A33, Table1[[HomeTeam]:[HomeTeam]], W$1, Table1[[ActualResult]:[ActualResult]], "OT") + SUMIFS(Table1[[AwayWon]:[AwayWon]], Table1[[GameIsOver]:[GameIsOver]],1,Table1[[HomeTeam]:[HomeTeam]],$A33, Table1[[AwayTeam]:[AwayTeam]], W$1, Table1[[ActualResult]:[ActualResult]], "OT") + SUMIFS(Table1[[HomeWon]:[HomeWon]], Table1[[GameIsOver]:[GameIsOver]],1,Table1[[AwayTeam]:[AwayTeam]],$A33, Table1[[HomeTeam]:[HomeTeam]], W$1, Table1[[ActualResult]:[ActualResult]], "SO") + SUMIFS(Table1[[AwayWon]:[AwayWon]], Table1[[GameIsOver]:[GameIsOver]],1,Table1[[HomeTeam]:[HomeTeam]],$A33, Table1[[AwayTeam]:[AwayTeam]], W$1, Table1[[ActualResult]:[ActualResult]], "SO"),0))</f>
        <v>0-0-0</v>
      </c>
      <c r="X33" s="57" t="str">
        <f>_xlfn.CONCAT(TEXT(SUMIFS(Table1[[AwayWon]:[AwayWon]], Table1[[GameIsOver]:[GameIsOver]],1,Table1[[AwayTeam]:[AwayTeam]],$A33, Table1[[HomeTeam]:[HomeTeam]], X$1) + SUMIFS(Table1[[HomeWon]:[HomeWon]], Table1[[GameIsOver]:[GameIsOver]],1,Table1[[HomeTeam]:[HomeTeam]],$A33, Table1[[AwayTeam]:[AwayTeam]], X$1),0), "-", TEXT(SUMIFS(Table1[[HomeWon]:[HomeWon]], Table1[[GameIsOver]:[GameIsOver]],1,Table1[[AwayTeam]:[AwayTeam]],$A33, Table1[[HomeTeam]:[HomeTeam]], X$1, Table1[[ActualResult]:[ActualResult]], "REG") + SUMIFS(Table1[[AwayWon]:[AwayWon]], Table1[[GameIsOver]:[GameIsOver]],1,Table1[[HomeTeam]:[HomeTeam]],$A33, Table1[[AwayTeam]:[AwayTeam]], X$1, Table1[[ActualResult]:[ActualResult]], "REG"),0), "-", TEXT(SUMIFS(Table1[[HomeWon]:[HomeWon]], Table1[[GameIsOver]:[GameIsOver]],1,Table1[[AwayTeam]:[AwayTeam]],$A33, Table1[[HomeTeam]:[HomeTeam]], X$1, Table1[[ActualResult]:[ActualResult]], "OT") + SUMIFS(Table1[[AwayWon]:[AwayWon]], Table1[[GameIsOver]:[GameIsOver]],1,Table1[[HomeTeam]:[HomeTeam]],$A33, Table1[[AwayTeam]:[AwayTeam]], X$1, Table1[[ActualResult]:[ActualResult]], "OT") + SUMIFS(Table1[[HomeWon]:[HomeWon]], Table1[[GameIsOver]:[GameIsOver]],1,Table1[[AwayTeam]:[AwayTeam]],$A33, Table1[[HomeTeam]:[HomeTeam]], X$1, Table1[[ActualResult]:[ActualResult]], "SO") + SUMIFS(Table1[[AwayWon]:[AwayWon]], Table1[[GameIsOver]:[GameIsOver]],1,Table1[[HomeTeam]:[HomeTeam]],$A33, Table1[[AwayTeam]:[AwayTeam]], X$1, Table1[[ActualResult]:[ActualResult]], "SO"),0))</f>
        <v>0-0-0</v>
      </c>
      <c r="Y33" s="59" t="str">
        <f>_xlfn.CONCAT(TEXT(SUMIFS(Table1[[AwayWon]:[AwayWon]], Table1[[GameIsOver]:[GameIsOver]],1,Table1[[AwayTeam]:[AwayTeam]],$A33, Table1[[HomeTeam]:[HomeTeam]], Y$1) + SUMIFS(Table1[[HomeWon]:[HomeWon]], Table1[[GameIsOver]:[GameIsOver]],1,Table1[[HomeTeam]:[HomeTeam]],$A33, Table1[[AwayTeam]:[AwayTeam]], Y$1),0), "-", TEXT(SUMIFS(Table1[[HomeWon]:[HomeWon]], Table1[[GameIsOver]:[GameIsOver]],1,Table1[[AwayTeam]:[AwayTeam]],$A33, Table1[[HomeTeam]:[HomeTeam]], Y$1, Table1[[ActualResult]:[ActualResult]], "REG") + SUMIFS(Table1[[AwayWon]:[AwayWon]], Table1[[GameIsOver]:[GameIsOver]],1,Table1[[HomeTeam]:[HomeTeam]],$A33, Table1[[AwayTeam]:[AwayTeam]], Y$1, Table1[[ActualResult]:[ActualResult]], "REG"),0), "-", TEXT(SUMIFS(Table1[[HomeWon]:[HomeWon]], Table1[[GameIsOver]:[GameIsOver]],1,Table1[[AwayTeam]:[AwayTeam]],$A33, Table1[[HomeTeam]:[HomeTeam]], Y$1, Table1[[ActualResult]:[ActualResult]], "OT") + SUMIFS(Table1[[AwayWon]:[AwayWon]], Table1[[GameIsOver]:[GameIsOver]],1,Table1[[HomeTeam]:[HomeTeam]],$A33, Table1[[AwayTeam]:[AwayTeam]], Y$1, Table1[[ActualResult]:[ActualResult]], "OT") + SUMIFS(Table1[[HomeWon]:[HomeWon]], Table1[[GameIsOver]:[GameIsOver]],1,Table1[[AwayTeam]:[AwayTeam]],$A33, Table1[[HomeTeam]:[HomeTeam]], Y$1, Table1[[ActualResult]:[ActualResult]], "SO") + SUMIFS(Table1[[AwayWon]:[AwayWon]], Table1[[GameIsOver]:[GameIsOver]],1,Table1[[HomeTeam]:[HomeTeam]],$A33, Table1[[AwayTeam]:[AwayTeam]], Y$1, Table1[[ActualResult]:[ActualResult]], "SO"),0))</f>
        <v>0-0-0</v>
      </c>
      <c r="Z33" s="57" t="str">
        <f>_xlfn.CONCAT(TEXT(SUMIFS(Table1[[AwayWon]:[AwayWon]], Table1[[GameIsOver]:[GameIsOver]],1,Table1[[AwayTeam]:[AwayTeam]],$A33, Table1[[HomeTeam]:[HomeTeam]], Z$1) + SUMIFS(Table1[[HomeWon]:[HomeWon]], Table1[[GameIsOver]:[GameIsOver]],1,Table1[[HomeTeam]:[HomeTeam]],$A33, Table1[[AwayTeam]:[AwayTeam]], Z$1),0), "-", TEXT(SUMIFS(Table1[[HomeWon]:[HomeWon]], Table1[[GameIsOver]:[GameIsOver]],1,Table1[[AwayTeam]:[AwayTeam]],$A33, Table1[[HomeTeam]:[HomeTeam]], Z$1, Table1[[ActualResult]:[ActualResult]], "REG") + SUMIFS(Table1[[AwayWon]:[AwayWon]], Table1[[GameIsOver]:[GameIsOver]],1,Table1[[HomeTeam]:[HomeTeam]],$A33, Table1[[AwayTeam]:[AwayTeam]], Z$1, Table1[[ActualResult]:[ActualResult]], "REG"),0), "-", TEXT(SUMIFS(Table1[[HomeWon]:[HomeWon]], Table1[[GameIsOver]:[GameIsOver]],1,Table1[[AwayTeam]:[AwayTeam]],$A33, Table1[[HomeTeam]:[HomeTeam]], Z$1, Table1[[ActualResult]:[ActualResult]], "OT") + SUMIFS(Table1[[AwayWon]:[AwayWon]], Table1[[GameIsOver]:[GameIsOver]],1,Table1[[HomeTeam]:[HomeTeam]],$A33, Table1[[AwayTeam]:[AwayTeam]], Z$1, Table1[[ActualResult]:[ActualResult]], "OT") + SUMIFS(Table1[[HomeWon]:[HomeWon]], Table1[[GameIsOver]:[GameIsOver]],1,Table1[[AwayTeam]:[AwayTeam]],$A33, Table1[[HomeTeam]:[HomeTeam]], Z$1, Table1[[ActualResult]:[ActualResult]], "SO") + SUMIFS(Table1[[AwayWon]:[AwayWon]], Table1[[GameIsOver]:[GameIsOver]],1,Table1[[HomeTeam]:[HomeTeam]],$A33, Table1[[AwayTeam]:[AwayTeam]], Z$1, Table1[[ActualResult]:[ActualResult]], "SO"),0))</f>
        <v>0-0-0</v>
      </c>
      <c r="AA33" s="57" t="str">
        <f>_xlfn.CONCAT(TEXT(SUMIFS(Table1[[AwayWon]:[AwayWon]], Table1[[GameIsOver]:[GameIsOver]],1,Table1[[AwayTeam]:[AwayTeam]],$A33, Table1[[HomeTeam]:[HomeTeam]], AA$1) + SUMIFS(Table1[[HomeWon]:[HomeWon]], Table1[[GameIsOver]:[GameIsOver]],1,Table1[[HomeTeam]:[HomeTeam]],$A33, Table1[[AwayTeam]:[AwayTeam]], AA$1),0), "-", TEXT(SUMIFS(Table1[[HomeWon]:[HomeWon]], Table1[[GameIsOver]:[GameIsOver]],1,Table1[[AwayTeam]:[AwayTeam]],$A33, Table1[[HomeTeam]:[HomeTeam]], AA$1, Table1[[ActualResult]:[ActualResult]], "REG") + SUMIFS(Table1[[AwayWon]:[AwayWon]], Table1[[GameIsOver]:[GameIsOver]],1,Table1[[HomeTeam]:[HomeTeam]],$A33, Table1[[AwayTeam]:[AwayTeam]], AA$1, Table1[[ActualResult]:[ActualResult]], "REG"),0), "-", TEXT(SUMIFS(Table1[[HomeWon]:[HomeWon]], Table1[[GameIsOver]:[GameIsOver]],1,Table1[[AwayTeam]:[AwayTeam]],$A33, Table1[[HomeTeam]:[HomeTeam]], AA$1, Table1[[ActualResult]:[ActualResult]], "OT") + SUMIFS(Table1[[AwayWon]:[AwayWon]], Table1[[GameIsOver]:[GameIsOver]],1,Table1[[HomeTeam]:[HomeTeam]],$A33, Table1[[AwayTeam]:[AwayTeam]], AA$1, Table1[[ActualResult]:[ActualResult]], "OT") + SUMIFS(Table1[[HomeWon]:[HomeWon]], Table1[[GameIsOver]:[GameIsOver]],1,Table1[[AwayTeam]:[AwayTeam]],$A33, Table1[[HomeTeam]:[HomeTeam]], AA$1, Table1[[ActualResult]:[ActualResult]], "SO") + SUMIFS(Table1[[AwayWon]:[AwayWon]], Table1[[GameIsOver]:[GameIsOver]],1,Table1[[HomeTeam]:[HomeTeam]],$A33, Table1[[AwayTeam]:[AwayTeam]], AA$1, Table1[[ActualResult]:[ActualResult]], "SO"),0))</f>
        <v>0-0-0</v>
      </c>
      <c r="AB33" s="57" t="str">
        <f>_xlfn.CONCAT(TEXT(SUMIFS(Table1[[AwayWon]:[AwayWon]], Table1[[GameIsOver]:[GameIsOver]],1,Table1[[AwayTeam]:[AwayTeam]],$A33, Table1[[HomeTeam]:[HomeTeam]], AB$1) + SUMIFS(Table1[[HomeWon]:[HomeWon]], Table1[[GameIsOver]:[GameIsOver]],1,Table1[[HomeTeam]:[HomeTeam]],$A33, Table1[[AwayTeam]:[AwayTeam]], AB$1),0), "-", TEXT(SUMIFS(Table1[[HomeWon]:[HomeWon]], Table1[[GameIsOver]:[GameIsOver]],1,Table1[[AwayTeam]:[AwayTeam]],$A33, Table1[[HomeTeam]:[HomeTeam]], AB$1, Table1[[ActualResult]:[ActualResult]], "REG") + SUMIFS(Table1[[AwayWon]:[AwayWon]], Table1[[GameIsOver]:[GameIsOver]],1,Table1[[HomeTeam]:[HomeTeam]],$A33, Table1[[AwayTeam]:[AwayTeam]], AB$1, Table1[[ActualResult]:[ActualResult]], "REG"),0), "-", TEXT(SUMIFS(Table1[[HomeWon]:[HomeWon]], Table1[[GameIsOver]:[GameIsOver]],1,Table1[[AwayTeam]:[AwayTeam]],$A33, Table1[[HomeTeam]:[HomeTeam]], AB$1, Table1[[ActualResult]:[ActualResult]], "OT") + SUMIFS(Table1[[AwayWon]:[AwayWon]], Table1[[GameIsOver]:[GameIsOver]],1,Table1[[HomeTeam]:[HomeTeam]],$A33, Table1[[AwayTeam]:[AwayTeam]], AB$1, Table1[[ActualResult]:[ActualResult]], "OT") + SUMIFS(Table1[[HomeWon]:[HomeWon]], Table1[[GameIsOver]:[GameIsOver]],1,Table1[[AwayTeam]:[AwayTeam]],$A33, Table1[[HomeTeam]:[HomeTeam]], AB$1, Table1[[ActualResult]:[ActualResult]], "SO") + SUMIFS(Table1[[AwayWon]:[AwayWon]], Table1[[GameIsOver]:[GameIsOver]],1,Table1[[HomeTeam]:[HomeTeam]],$A33, Table1[[AwayTeam]:[AwayTeam]], AB$1, Table1[[ActualResult]:[ActualResult]], "SO"),0))</f>
        <v>0-0-0</v>
      </c>
      <c r="AC33" s="57" t="str">
        <f>_xlfn.CONCAT(TEXT(SUMIFS(Table1[[AwayWon]:[AwayWon]], Table1[[GameIsOver]:[GameIsOver]],1,Table1[[AwayTeam]:[AwayTeam]],$A33, Table1[[HomeTeam]:[HomeTeam]], AC$1) + SUMIFS(Table1[[HomeWon]:[HomeWon]], Table1[[GameIsOver]:[GameIsOver]],1,Table1[[HomeTeam]:[HomeTeam]],$A33, Table1[[AwayTeam]:[AwayTeam]], AC$1),0), "-", TEXT(SUMIFS(Table1[[HomeWon]:[HomeWon]], Table1[[GameIsOver]:[GameIsOver]],1,Table1[[AwayTeam]:[AwayTeam]],$A33, Table1[[HomeTeam]:[HomeTeam]], AC$1, Table1[[ActualResult]:[ActualResult]], "REG") + SUMIFS(Table1[[AwayWon]:[AwayWon]], Table1[[GameIsOver]:[GameIsOver]],1,Table1[[HomeTeam]:[HomeTeam]],$A33, Table1[[AwayTeam]:[AwayTeam]], AC$1, Table1[[ActualResult]:[ActualResult]], "REG"),0), "-", TEXT(SUMIFS(Table1[[HomeWon]:[HomeWon]], Table1[[GameIsOver]:[GameIsOver]],1,Table1[[AwayTeam]:[AwayTeam]],$A33, Table1[[HomeTeam]:[HomeTeam]], AC$1, Table1[[ActualResult]:[ActualResult]], "OT") + SUMIFS(Table1[[AwayWon]:[AwayWon]], Table1[[GameIsOver]:[GameIsOver]],1,Table1[[HomeTeam]:[HomeTeam]],$A33, Table1[[AwayTeam]:[AwayTeam]], AC$1, Table1[[ActualResult]:[ActualResult]], "OT") + SUMIFS(Table1[[HomeWon]:[HomeWon]], Table1[[GameIsOver]:[GameIsOver]],1,Table1[[AwayTeam]:[AwayTeam]],$A33, Table1[[HomeTeam]:[HomeTeam]], AC$1, Table1[[ActualResult]:[ActualResult]], "SO") + SUMIFS(Table1[[AwayWon]:[AwayWon]], Table1[[GameIsOver]:[GameIsOver]],1,Table1[[HomeTeam]:[HomeTeam]],$A33, Table1[[AwayTeam]:[AwayTeam]], AC$1, Table1[[ActualResult]:[ActualResult]], "SO"),0))</f>
        <v>0-0-0</v>
      </c>
      <c r="AD33" s="57" t="str">
        <f>_xlfn.CONCAT(TEXT(SUMIFS(Table1[[AwayWon]:[AwayWon]], Table1[[GameIsOver]:[GameIsOver]],1,Table1[[AwayTeam]:[AwayTeam]],$A33, Table1[[HomeTeam]:[HomeTeam]], AD$1) + SUMIFS(Table1[[HomeWon]:[HomeWon]], Table1[[GameIsOver]:[GameIsOver]],1,Table1[[HomeTeam]:[HomeTeam]],$A33, Table1[[AwayTeam]:[AwayTeam]], AD$1),0), "-", TEXT(SUMIFS(Table1[[HomeWon]:[HomeWon]], Table1[[GameIsOver]:[GameIsOver]],1,Table1[[AwayTeam]:[AwayTeam]],$A33, Table1[[HomeTeam]:[HomeTeam]], AD$1, Table1[[ActualResult]:[ActualResult]], "REG") + SUMIFS(Table1[[AwayWon]:[AwayWon]], Table1[[GameIsOver]:[GameIsOver]],1,Table1[[HomeTeam]:[HomeTeam]],$A33, Table1[[AwayTeam]:[AwayTeam]], AD$1, Table1[[ActualResult]:[ActualResult]], "REG"),0), "-", TEXT(SUMIFS(Table1[[HomeWon]:[HomeWon]], Table1[[GameIsOver]:[GameIsOver]],1,Table1[[AwayTeam]:[AwayTeam]],$A33, Table1[[HomeTeam]:[HomeTeam]], AD$1, Table1[[ActualResult]:[ActualResult]], "OT") + SUMIFS(Table1[[AwayWon]:[AwayWon]], Table1[[GameIsOver]:[GameIsOver]],1,Table1[[HomeTeam]:[HomeTeam]],$A33, Table1[[AwayTeam]:[AwayTeam]], AD$1, Table1[[ActualResult]:[ActualResult]], "OT") + SUMIFS(Table1[[HomeWon]:[HomeWon]], Table1[[GameIsOver]:[GameIsOver]],1,Table1[[AwayTeam]:[AwayTeam]],$A33, Table1[[HomeTeam]:[HomeTeam]], AD$1, Table1[[ActualResult]:[ActualResult]], "SO") + SUMIFS(Table1[[AwayWon]:[AwayWon]], Table1[[GameIsOver]:[GameIsOver]],1,Table1[[HomeTeam]:[HomeTeam]],$A33, Table1[[AwayTeam]:[AwayTeam]], AD$1, Table1[[ActualResult]:[ActualResult]], "SO"),0))</f>
        <v>0-0-0</v>
      </c>
      <c r="AE33" s="57" t="str">
        <f>_xlfn.CONCAT(TEXT(SUMIFS(Table1[[AwayWon]:[AwayWon]], Table1[[GameIsOver]:[GameIsOver]],1,Table1[[AwayTeam]:[AwayTeam]],$A33, Table1[[HomeTeam]:[HomeTeam]], AE$1) + SUMIFS(Table1[[HomeWon]:[HomeWon]], Table1[[GameIsOver]:[GameIsOver]],1,Table1[[HomeTeam]:[HomeTeam]],$A33, Table1[[AwayTeam]:[AwayTeam]], AE$1),0), "-", TEXT(SUMIFS(Table1[[HomeWon]:[HomeWon]], Table1[[GameIsOver]:[GameIsOver]],1,Table1[[AwayTeam]:[AwayTeam]],$A33, Table1[[HomeTeam]:[HomeTeam]], AE$1, Table1[[ActualResult]:[ActualResult]], "REG") + SUMIFS(Table1[[AwayWon]:[AwayWon]], Table1[[GameIsOver]:[GameIsOver]],1,Table1[[HomeTeam]:[HomeTeam]],$A33, Table1[[AwayTeam]:[AwayTeam]], AE$1, Table1[[ActualResult]:[ActualResult]], "REG"),0), "-", TEXT(SUMIFS(Table1[[HomeWon]:[HomeWon]], Table1[[GameIsOver]:[GameIsOver]],1,Table1[[AwayTeam]:[AwayTeam]],$A33, Table1[[HomeTeam]:[HomeTeam]], AE$1, Table1[[ActualResult]:[ActualResult]], "OT") + SUMIFS(Table1[[AwayWon]:[AwayWon]], Table1[[GameIsOver]:[GameIsOver]],1,Table1[[HomeTeam]:[HomeTeam]],$A33, Table1[[AwayTeam]:[AwayTeam]], AE$1, Table1[[ActualResult]:[ActualResult]], "OT") + SUMIFS(Table1[[HomeWon]:[HomeWon]], Table1[[GameIsOver]:[GameIsOver]],1,Table1[[AwayTeam]:[AwayTeam]],$A33, Table1[[HomeTeam]:[HomeTeam]], AE$1, Table1[[ActualResult]:[ActualResult]], "SO") + SUMIFS(Table1[[AwayWon]:[AwayWon]], Table1[[GameIsOver]:[GameIsOver]],1,Table1[[HomeTeam]:[HomeTeam]],$A33, Table1[[AwayTeam]:[AwayTeam]], AE$1, Table1[[ActualResult]:[ActualResult]], "SO"),0))</f>
        <v>0-0-0</v>
      </c>
      <c r="AF33" s="57" t="str">
        <f>_xlfn.CONCAT(TEXT(SUMIFS(Table1[[AwayWon]:[AwayWon]], Table1[[GameIsOver]:[GameIsOver]],1,Table1[[AwayTeam]:[AwayTeam]],$A33, Table1[[HomeTeam]:[HomeTeam]], AF$1) + SUMIFS(Table1[[HomeWon]:[HomeWon]], Table1[[GameIsOver]:[GameIsOver]],1,Table1[[HomeTeam]:[HomeTeam]],$A33, Table1[[AwayTeam]:[AwayTeam]], AF$1),0), "-", TEXT(SUMIFS(Table1[[HomeWon]:[HomeWon]], Table1[[GameIsOver]:[GameIsOver]],1,Table1[[AwayTeam]:[AwayTeam]],$A33, Table1[[HomeTeam]:[HomeTeam]], AF$1, Table1[[ActualResult]:[ActualResult]], "REG") + SUMIFS(Table1[[AwayWon]:[AwayWon]], Table1[[GameIsOver]:[GameIsOver]],1,Table1[[HomeTeam]:[HomeTeam]],$A33, Table1[[AwayTeam]:[AwayTeam]], AF$1, Table1[[ActualResult]:[ActualResult]], "REG"),0), "-", TEXT(SUMIFS(Table1[[HomeWon]:[HomeWon]], Table1[[GameIsOver]:[GameIsOver]],1,Table1[[AwayTeam]:[AwayTeam]],$A33, Table1[[HomeTeam]:[HomeTeam]], AF$1, Table1[[ActualResult]:[ActualResult]], "OT") + SUMIFS(Table1[[AwayWon]:[AwayWon]], Table1[[GameIsOver]:[GameIsOver]],1,Table1[[HomeTeam]:[HomeTeam]],$A33, Table1[[AwayTeam]:[AwayTeam]], AF$1, Table1[[ActualResult]:[ActualResult]], "OT") + SUMIFS(Table1[[HomeWon]:[HomeWon]], Table1[[GameIsOver]:[GameIsOver]],1,Table1[[AwayTeam]:[AwayTeam]],$A33, Table1[[HomeTeam]:[HomeTeam]], AF$1, Table1[[ActualResult]:[ActualResult]], "SO") + SUMIFS(Table1[[AwayWon]:[AwayWon]], Table1[[GameIsOver]:[GameIsOver]],1,Table1[[HomeTeam]:[HomeTeam]],$A33, Table1[[AwayTeam]:[AwayTeam]], AF$1, Table1[[ActualResult]:[ActualResult]], "SO"),0))</f>
        <v>0-0-0</v>
      </c>
      <c r="AG33" s="57" t="str">
        <f>_xlfn.CONCAT(TEXT(SUMIFS(Table1[[AwayWon]:[AwayWon]], Table1[[GameIsOver]:[GameIsOver]],1,Table1[[AwayTeam]:[AwayTeam]],$A33, Table1[[HomeTeam]:[HomeTeam]], AG$1) + SUMIFS(Table1[[HomeWon]:[HomeWon]], Table1[[GameIsOver]:[GameIsOver]],1,Table1[[HomeTeam]:[HomeTeam]],$A33, Table1[[AwayTeam]:[AwayTeam]], AG$1),0), "-", TEXT(SUMIFS(Table1[[HomeWon]:[HomeWon]], Table1[[GameIsOver]:[GameIsOver]],1,Table1[[AwayTeam]:[AwayTeam]],$A33, Table1[[HomeTeam]:[HomeTeam]], AG$1, Table1[[ActualResult]:[ActualResult]], "REG") + SUMIFS(Table1[[AwayWon]:[AwayWon]], Table1[[GameIsOver]:[GameIsOver]],1,Table1[[HomeTeam]:[HomeTeam]],$A33, Table1[[AwayTeam]:[AwayTeam]], AG$1, Table1[[ActualResult]:[ActualResult]], "REG"),0), "-", TEXT(SUMIFS(Table1[[HomeWon]:[HomeWon]], Table1[[GameIsOver]:[GameIsOver]],1,Table1[[AwayTeam]:[AwayTeam]],$A33, Table1[[HomeTeam]:[HomeTeam]], AG$1, Table1[[ActualResult]:[ActualResult]], "OT") + SUMIFS(Table1[[AwayWon]:[AwayWon]], Table1[[GameIsOver]:[GameIsOver]],1,Table1[[HomeTeam]:[HomeTeam]],$A33, Table1[[AwayTeam]:[AwayTeam]], AG$1, Table1[[ActualResult]:[ActualResult]], "OT") + SUMIFS(Table1[[HomeWon]:[HomeWon]], Table1[[GameIsOver]:[GameIsOver]],1,Table1[[AwayTeam]:[AwayTeam]],$A33, Table1[[HomeTeam]:[HomeTeam]], AG$1, Table1[[ActualResult]:[ActualResult]], "SO") + SUMIFS(Table1[[AwayWon]:[AwayWon]], Table1[[GameIsOver]:[GameIsOver]],1,Table1[[HomeTeam]:[HomeTeam]],$A33, Table1[[AwayTeam]:[AwayTeam]], AG$1, Table1[[ActualResult]:[ActualResult]], "SO"),0))</f>
        <v>0-0-0</v>
      </c>
    </row>
    <row r="34" spans="1:39" x14ac:dyDescent="0.25">
      <c r="AC34" s="64"/>
    </row>
    <row r="35" spans="1:39" x14ac:dyDescent="0.25">
      <c r="AC35" s="64"/>
      <c r="AD35" s="64"/>
    </row>
    <row r="36" spans="1:39" ht="15.75" thickBot="1" x14ac:dyDescent="0.3">
      <c r="A36" s="29"/>
      <c r="B36" s="45" t="s">
        <v>36</v>
      </c>
      <c r="C36" s="45" t="s">
        <v>39</v>
      </c>
      <c r="D36" s="45" t="s">
        <v>45</v>
      </c>
      <c r="E36" s="45" t="s">
        <v>46</v>
      </c>
      <c r="F36" s="45" t="s">
        <v>56</v>
      </c>
      <c r="G36" s="45" t="s">
        <v>55</v>
      </c>
      <c r="H36" s="45" t="s">
        <v>23</v>
      </c>
      <c r="I36" s="46" t="s">
        <v>25</v>
      </c>
      <c r="J36" s="45" t="s">
        <v>16</v>
      </c>
      <c r="K36" s="45" t="s">
        <v>41</v>
      </c>
      <c r="L36" s="45" t="s">
        <v>43</v>
      </c>
      <c r="M36" s="45" t="s">
        <v>22</v>
      </c>
      <c r="N36" s="45" t="s">
        <v>48</v>
      </c>
      <c r="O36" s="45" t="s">
        <v>61</v>
      </c>
      <c r="P36" s="45" t="s">
        <v>58</v>
      </c>
      <c r="Q36" s="47" t="s">
        <v>60</v>
      </c>
      <c r="R36" s="45" t="s">
        <v>40</v>
      </c>
      <c r="S36" s="45" t="s">
        <v>42</v>
      </c>
      <c r="T36" s="45" t="s">
        <v>49</v>
      </c>
      <c r="U36" s="45" t="s">
        <v>50</v>
      </c>
      <c r="V36" s="45" t="s">
        <v>51</v>
      </c>
      <c r="W36" s="45" t="s">
        <v>53</v>
      </c>
      <c r="X36" s="45" t="s">
        <v>54</v>
      </c>
      <c r="Y36" s="46" t="s">
        <v>59</v>
      </c>
      <c r="Z36" s="45" t="s">
        <v>37</v>
      </c>
      <c r="AA36" s="45" t="s">
        <v>38</v>
      </c>
      <c r="AB36" s="45" t="s">
        <v>44</v>
      </c>
      <c r="AC36" s="45" t="s">
        <v>17</v>
      </c>
      <c r="AD36" s="45" t="s">
        <v>47</v>
      </c>
      <c r="AE36" s="45" t="s">
        <v>52</v>
      </c>
      <c r="AF36" s="45" t="s">
        <v>57</v>
      </c>
      <c r="AG36" s="46" t="s">
        <v>24</v>
      </c>
      <c r="AH36" s="49" t="s">
        <v>91</v>
      </c>
      <c r="AI36" s="49" t="s">
        <v>92</v>
      </c>
      <c r="AJ36" s="46" t="s">
        <v>93</v>
      </c>
      <c r="AK36" s="46" t="s">
        <v>94</v>
      </c>
      <c r="AL36" s="46" t="s">
        <v>95</v>
      </c>
      <c r="AM36" s="46" t="s">
        <v>96</v>
      </c>
    </row>
    <row r="37" spans="1:39" ht="15.75" thickTop="1" x14ac:dyDescent="0.25">
      <c r="A37" s="28" t="s">
        <v>36</v>
      </c>
      <c r="B37" s="50" t="str">
        <f>IFERROR(((2 * (SUMIFS(Table1[[AwayWon]:[AwayWon]], Table1[[GameIsOver]:[GameIsOver]], 1, Table1[[AwayTeam]:[AwayTeam]], $A37, Table1[[HomeTeam]:[HomeTeam]], B$36) + SUMIFS(Table1[[HomeWon]:[HomeWon]], Table1[[GameIsOver]:[GameIsOver]], 1, Table1[[HomeTeam]:[HomeTeam]], $A37, Table1[[AwayTeam]:[AwayTeam]], B$36))) + (SUMIFS(Table1[[HomeWon]:[HomeWon]], Table1[[GameIsOver]:[GameIsOver]], 1, Table1[[AwayTeam]:[AwayTeam]], $A37, Table1[[HomeTeam]:[HomeTeam]],  B$36, Table1[[ActualResult]:[ActualResult]], "OT") + SUMIFS(Table1[[AwayWon]:[AwayWon]], Table1[[GameIsOver]:[GameIsOver]], 1, Table1[[HomeTeam]:[HomeTeam]], $A37, Table1[[AwayTeam]:[AwayTeam]], B$36, Table1[[ActualResult]:[ActualResult]], "OT") + SUMIFS(Table1[[HomeWon]:[HomeWon]], Table1[[GameIsOver]:[GameIsOver]], 1, Table1[[AwayTeam]:[AwayTeam]], $A37, Table1[[HomeTeam]:[HomeTeam]], B$36, Table1[[ActualResult]:[ActualResult]], "SO") + SUMIFS(Table1[[AwayWon]:[AwayWon]], Table1[[GameIsOver]:[GameIsOver]], 1, Table1[[HomeTeam]:[HomeTeam]], $A37, Table1[[AwayTeam]:[AwayTeam]], B$36, Table1[[ActualResult]:[ActualResult]], "SO")))/ (2*((COUNTIFS(Table1[[GameIsOver]:[GameIsOver]],1,Table1[[AwayTeam]:[AwayTeam]],$A37, Table1[[HomeTeam]:[HomeTeam]], B$36)))+( COUNTIFS(Table1[[GameIsOver]:[GameIsOver]],1,Table1[[AwayTeam]:[AwayTeam]],B$36, Table1[[HomeTeam]:[HomeTeam]],$A37))), "")</f>
        <v/>
      </c>
      <c r="C37" s="50">
        <f>IFERROR(((2 * (SUMIFS(Table1[[AwayWon]:[AwayWon]], Table1[[GameIsOver]:[GameIsOver]], 1, Table1[[AwayTeam]:[AwayTeam]], $A37, Table1[[HomeTeam]:[HomeTeam]], C$36) + SUMIFS(Table1[[HomeWon]:[HomeWon]], Table1[[GameIsOver]:[GameIsOver]], 1, Table1[[HomeTeam]:[HomeTeam]], $A37, Table1[[AwayTeam]:[AwayTeam]], C$36))) + (SUMIFS(Table1[[HomeWon]:[HomeWon]], Table1[[GameIsOver]:[GameIsOver]], 1, Table1[[AwayTeam]:[AwayTeam]], $A37, Table1[[HomeTeam]:[HomeTeam]],  C$36, Table1[[ActualResult]:[ActualResult]], "OT") + SUMIFS(Table1[[AwayWon]:[AwayWon]], Table1[[GameIsOver]:[GameIsOver]], 1, Table1[[HomeTeam]:[HomeTeam]], $A37, Table1[[AwayTeam]:[AwayTeam]], C$36, Table1[[ActualResult]:[ActualResult]], "OT") + SUMIFS(Table1[[HomeWon]:[HomeWon]], Table1[[GameIsOver]:[GameIsOver]], 1, Table1[[AwayTeam]:[AwayTeam]], $A37, Table1[[HomeTeam]:[HomeTeam]], C$36, Table1[[ActualResult]:[ActualResult]], "SO") + SUMIFS(Table1[[AwayWon]:[AwayWon]], Table1[[GameIsOver]:[GameIsOver]], 1, Table1[[HomeTeam]:[HomeTeam]], $A37, Table1[[AwayTeam]:[AwayTeam]], C$36, Table1[[ActualResult]:[ActualResult]], "SO")))/ (2*((COUNTIFS(Table1[[GameIsOver]:[GameIsOver]],1,Table1[[AwayTeam]:[AwayTeam]],$A37, Table1[[HomeTeam]:[HomeTeam]], C$36)))+( COUNTIFS(Table1[[GameIsOver]:[GameIsOver]],1,Table1[[AwayTeam]:[AwayTeam]],C$36, Table1[[HomeTeam]:[HomeTeam]],$A37))), "")</f>
        <v>2</v>
      </c>
      <c r="D37" s="50" t="str">
        <f>IFERROR(((2 * (SUMIFS(Table1[[AwayWon]:[AwayWon]], Table1[[GameIsOver]:[GameIsOver]], 1, Table1[[AwayTeam]:[AwayTeam]], $A37, Table1[[HomeTeam]:[HomeTeam]], D$36) + SUMIFS(Table1[[HomeWon]:[HomeWon]], Table1[[GameIsOver]:[GameIsOver]], 1, Table1[[HomeTeam]:[HomeTeam]], $A37, Table1[[AwayTeam]:[AwayTeam]], D$36))) + (SUMIFS(Table1[[HomeWon]:[HomeWon]], Table1[[GameIsOver]:[GameIsOver]], 1, Table1[[AwayTeam]:[AwayTeam]], $A37, Table1[[HomeTeam]:[HomeTeam]],  D$36, Table1[[ActualResult]:[ActualResult]], "OT") + SUMIFS(Table1[[AwayWon]:[AwayWon]], Table1[[GameIsOver]:[GameIsOver]], 1, Table1[[HomeTeam]:[HomeTeam]], $A37, Table1[[AwayTeam]:[AwayTeam]], D$36, Table1[[ActualResult]:[ActualResult]], "OT") + SUMIFS(Table1[[HomeWon]:[HomeWon]], Table1[[GameIsOver]:[GameIsOver]], 1, Table1[[AwayTeam]:[AwayTeam]], $A37, Table1[[HomeTeam]:[HomeTeam]], D$36, Table1[[ActualResult]:[ActualResult]], "SO") + SUMIFS(Table1[[AwayWon]:[AwayWon]], Table1[[GameIsOver]:[GameIsOver]], 1, Table1[[HomeTeam]:[HomeTeam]], $A37, Table1[[AwayTeam]:[AwayTeam]], D$36, Table1[[ActualResult]:[ActualResult]], "SO")))/ (2*((COUNTIFS(Table1[[GameIsOver]:[GameIsOver]],1,Table1[[AwayTeam]:[AwayTeam]],$A37, Table1[[HomeTeam]:[HomeTeam]], D$36)))+( COUNTIFS(Table1[[GameIsOver]:[GameIsOver]],1,Table1[[AwayTeam]:[AwayTeam]],D$36, Table1[[HomeTeam]:[HomeTeam]],$A37))), "")</f>
        <v/>
      </c>
      <c r="E37" s="50" t="str">
        <f>IFERROR(((2 * (SUMIFS(Table1[[AwayWon]:[AwayWon]], Table1[[GameIsOver]:[GameIsOver]], 1, Table1[[AwayTeam]:[AwayTeam]], $A37, Table1[[HomeTeam]:[HomeTeam]], E$36) + SUMIFS(Table1[[HomeWon]:[HomeWon]], Table1[[GameIsOver]:[GameIsOver]], 1, Table1[[HomeTeam]:[HomeTeam]], $A37, Table1[[AwayTeam]:[AwayTeam]], E$36))) + (SUMIFS(Table1[[HomeWon]:[HomeWon]], Table1[[GameIsOver]:[GameIsOver]], 1, Table1[[AwayTeam]:[AwayTeam]], $A37, Table1[[HomeTeam]:[HomeTeam]],  E$36, Table1[[ActualResult]:[ActualResult]], "OT") + SUMIFS(Table1[[AwayWon]:[AwayWon]], Table1[[GameIsOver]:[GameIsOver]], 1, Table1[[HomeTeam]:[HomeTeam]], $A37, Table1[[AwayTeam]:[AwayTeam]], E$36, Table1[[ActualResult]:[ActualResult]], "OT") + SUMIFS(Table1[[HomeWon]:[HomeWon]], Table1[[GameIsOver]:[GameIsOver]], 1, Table1[[AwayTeam]:[AwayTeam]], $A37, Table1[[HomeTeam]:[HomeTeam]], E$36, Table1[[ActualResult]:[ActualResult]], "SO") + SUMIFS(Table1[[AwayWon]:[AwayWon]], Table1[[GameIsOver]:[GameIsOver]], 1, Table1[[HomeTeam]:[HomeTeam]], $A37, Table1[[AwayTeam]:[AwayTeam]], E$36, Table1[[ActualResult]:[ActualResult]], "SO")))/ (2*((COUNTIFS(Table1[[GameIsOver]:[GameIsOver]],1,Table1[[AwayTeam]:[AwayTeam]],$A37, Table1[[HomeTeam]:[HomeTeam]], E$36)))+( COUNTIFS(Table1[[GameIsOver]:[GameIsOver]],1,Table1[[AwayTeam]:[AwayTeam]],E$36, Table1[[HomeTeam]:[HomeTeam]],$A37))), "")</f>
        <v/>
      </c>
      <c r="F37" s="50" t="str">
        <f>IFERROR(((2 * (SUMIFS(Table1[[AwayWon]:[AwayWon]], Table1[[GameIsOver]:[GameIsOver]], 1, Table1[[AwayTeam]:[AwayTeam]], $A37, Table1[[HomeTeam]:[HomeTeam]], F$36) + SUMIFS(Table1[[HomeWon]:[HomeWon]], Table1[[GameIsOver]:[GameIsOver]], 1, Table1[[HomeTeam]:[HomeTeam]], $A37, Table1[[AwayTeam]:[AwayTeam]], F$36))) + (SUMIFS(Table1[[HomeWon]:[HomeWon]], Table1[[GameIsOver]:[GameIsOver]], 1, Table1[[AwayTeam]:[AwayTeam]], $A37, Table1[[HomeTeam]:[HomeTeam]],  F$36, Table1[[ActualResult]:[ActualResult]], "OT") + SUMIFS(Table1[[AwayWon]:[AwayWon]], Table1[[GameIsOver]:[GameIsOver]], 1, Table1[[HomeTeam]:[HomeTeam]], $A37, Table1[[AwayTeam]:[AwayTeam]], F$36, Table1[[ActualResult]:[ActualResult]], "OT") + SUMIFS(Table1[[HomeWon]:[HomeWon]], Table1[[GameIsOver]:[GameIsOver]], 1, Table1[[AwayTeam]:[AwayTeam]], $A37, Table1[[HomeTeam]:[HomeTeam]], F$36, Table1[[ActualResult]:[ActualResult]], "SO") + SUMIFS(Table1[[AwayWon]:[AwayWon]], Table1[[GameIsOver]:[GameIsOver]], 1, Table1[[HomeTeam]:[HomeTeam]], $A37, Table1[[AwayTeam]:[AwayTeam]], F$36, Table1[[ActualResult]:[ActualResult]], "SO")))/ (2*((COUNTIFS(Table1[[GameIsOver]:[GameIsOver]],1,Table1[[AwayTeam]:[AwayTeam]],$A37, Table1[[HomeTeam]:[HomeTeam]], F$36)))+( COUNTIFS(Table1[[GameIsOver]:[GameIsOver]],1,Table1[[AwayTeam]:[AwayTeam]],F$36, Table1[[HomeTeam]:[HomeTeam]],$A37))), "")</f>
        <v/>
      </c>
      <c r="G37" s="50" t="str">
        <f>IFERROR(((2 * (SUMIFS(Table1[[AwayWon]:[AwayWon]], Table1[[GameIsOver]:[GameIsOver]], 1, Table1[[AwayTeam]:[AwayTeam]], $A37, Table1[[HomeTeam]:[HomeTeam]], G$36) + SUMIFS(Table1[[HomeWon]:[HomeWon]], Table1[[GameIsOver]:[GameIsOver]], 1, Table1[[HomeTeam]:[HomeTeam]], $A37, Table1[[AwayTeam]:[AwayTeam]], G$36))) + (SUMIFS(Table1[[HomeWon]:[HomeWon]], Table1[[GameIsOver]:[GameIsOver]], 1, Table1[[AwayTeam]:[AwayTeam]], $A37, Table1[[HomeTeam]:[HomeTeam]],  G$36, Table1[[ActualResult]:[ActualResult]], "OT") + SUMIFS(Table1[[AwayWon]:[AwayWon]], Table1[[GameIsOver]:[GameIsOver]], 1, Table1[[HomeTeam]:[HomeTeam]], $A37, Table1[[AwayTeam]:[AwayTeam]], G$36, Table1[[ActualResult]:[ActualResult]], "OT") + SUMIFS(Table1[[HomeWon]:[HomeWon]], Table1[[GameIsOver]:[GameIsOver]], 1, Table1[[AwayTeam]:[AwayTeam]], $A37, Table1[[HomeTeam]:[HomeTeam]], G$36, Table1[[ActualResult]:[ActualResult]], "SO") + SUMIFS(Table1[[AwayWon]:[AwayWon]], Table1[[GameIsOver]:[GameIsOver]], 1, Table1[[HomeTeam]:[HomeTeam]], $A37, Table1[[AwayTeam]:[AwayTeam]], G$36, Table1[[ActualResult]:[ActualResult]], "SO")))/ (2*((COUNTIFS(Table1[[GameIsOver]:[GameIsOver]],1,Table1[[AwayTeam]:[AwayTeam]],$A37, Table1[[HomeTeam]:[HomeTeam]], G$36)))+( COUNTIFS(Table1[[GameIsOver]:[GameIsOver]],1,Table1[[AwayTeam]:[AwayTeam]],G$36, Table1[[HomeTeam]:[HomeTeam]],$A37))), "")</f>
        <v/>
      </c>
      <c r="H37" s="50" t="str">
        <f>IFERROR(((2 * (SUMIFS(Table1[[AwayWon]:[AwayWon]], Table1[[GameIsOver]:[GameIsOver]], 1, Table1[[AwayTeam]:[AwayTeam]], $A37, Table1[[HomeTeam]:[HomeTeam]], H$36) + SUMIFS(Table1[[HomeWon]:[HomeWon]], Table1[[GameIsOver]:[GameIsOver]], 1, Table1[[HomeTeam]:[HomeTeam]], $A37, Table1[[AwayTeam]:[AwayTeam]], H$36))) + (SUMIFS(Table1[[HomeWon]:[HomeWon]], Table1[[GameIsOver]:[GameIsOver]], 1, Table1[[AwayTeam]:[AwayTeam]], $A37, Table1[[HomeTeam]:[HomeTeam]],  H$36, Table1[[ActualResult]:[ActualResult]], "OT") + SUMIFS(Table1[[AwayWon]:[AwayWon]], Table1[[GameIsOver]:[GameIsOver]], 1, Table1[[HomeTeam]:[HomeTeam]], $A37, Table1[[AwayTeam]:[AwayTeam]], H$36, Table1[[ActualResult]:[ActualResult]], "OT") + SUMIFS(Table1[[HomeWon]:[HomeWon]], Table1[[GameIsOver]:[GameIsOver]], 1, Table1[[AwayTeam]:[AwayTeam]], $A37, Table1[[HomeTeam]:[HomeTeam]], H$36, Table1[[ActualResult]:[ActualResult]], "SO") + SUMIFS(Table1[[AwayWon]:[AwayWon]], Table1[[GameIsOver]:[GameIsOver]], 1, Table1[[HomeTeam]:[HomeTeam]], $A37, Table1[[AwayTeam]:[AwayTeam]], H$36, Table1[[ActualResult]:[ActualResult]], "SO")))/ (2*((COUNTIFS(Table1[[GameIsOver]:[GameIsOver]],1,Table1[[AwayTeam]:[AwayTeam]],$A37, Table1[[HomeTeam]:[HomeTeam]], H$36)))+( COUNTIFS(Table1[[GameIsOver]:[GameIsOver]],1,Table1[[AwayTeam]:[AwayTeam]],H$36, Table1[[HomeTeam]:[HomeTeam]],$A37))), "")</f>
        <v/>
      </c>
      <c r="I37" s="65" t="str">
        <f>IFERROR(((2 * (SUMIFS(Table1[[AwayWon]:[AwayWon]], Table1[[GameIsOver]:[GameIsOver]], 1, Table1[[AwayTeam]:[AwayTeam]], $A37, Table1[[HomeTeam]:[HomeTeam]], I$36) + SUMIFS(Table1[[HomeWon]:[HomeWon]], Table1[[GameIsOver]:[GameIsOver]], 1, Table1[[HomeTeam]:[HomeTeam]], $A37, Table1[[AwayTeam]:[AwayTeam]], I$36))) + (SUMIFS(Table1[[HomeWon]:[HomeWon]], Table1[[GameIsOver]:[GameIsOver]], 1, Table1[[AwayTeam]:[AwayTeam]], $A37, Table1[[HomeTeam]:[HomeTeam]],  I$36, Table1[[ActualResult]:[ActualResult]], "OT") + SUMIFS(Table1[[AwayWon]:[AwayWon]], Table1[[GameIsOver]:[GameIsOver]], 1, Table1[[HomeTeam]:[HomeTeam]], $A37, Table1[[AwayTeam]:[AwayTeam]], I$36, Table1[[ActualResult]:[ActualResult]], "OT") + SUMIFS(Table1[[HomeWon]:[HomeWon]], Table1[[GameIsOver]:[GameIsOver]], 1, Table1[[AwayTeam]:[AwayTeam]], $A37, Table1[[HomeTeam]:[HomeTeam]], I$36, Table1[[ActualResult]:[ActualResult]], "SO") + SUMIFS(Table1[[AwayWon]:[AwayWon]], Table1[[GameIsOver]:[GameIsOver]], 1, Table1[[HomeTeam]:[HomeTeam]], $A37, Table1[[AwayTeam]:[AwayTeam]], I$36, Table1[[ActualResult]:[ActualResult]], "SO")))/ (2*((COUNTIFS(Table1[[GameIsOver]:[GameIsOver]],1,Table1[[AwayTeam]:[AwayTeam]],$A37, Table1[[HomeTeam]:[HomeTeam]], I$36)))+( COUNTIFS(Table1[[GameIsOver]:[GameIsOver]],1,Table1[[AwayTeam]:[AwayTeam]],I$36, Table1[[HomeTeam]:[HomeTeam]],$A37))), "")</f>
        <v/>
      </c>
      <c r="J37" s="50" t="str">
        <f>IFERROR(((2 * (SUMIFS(Table1[[AwayWon]:[AwayWon]], Table1[[GameIsOver]:[GameIsOver]], 1, Table1[[AwayTeam]:[AwayTeam]], $A37, Table1[[HomeTeam]:[HomeTeam]], J$36) + SUMIFS(Table1[[HomeWon]:[HomeWon]], Table1[[GameIsOver]:[GameIsOver]], 1, Table1[[HomeTeam]:[HomeTeam]], $A37, Table1[[AwayTeam]:[AwayTeam]], J$36))) + (SUMIFS(Table1[[HomeWon]:[HomeWon]], Table1[[GameIsOver]:[GameIsOver]], 1, Table1[[AwayTeam]:[AwayTeam]], $A37, Table1[[HomeTeam]:[HomeTeam]],  J$36, Table1[[ActualResult]:[ActualResult]], "OT") + SUMIFS(Table1[[AwayWon]:[AwayWon]], Table1[[GameIsOver]:[GameIsOver]], 1, Table1[[HomeTeam]:[HomeTeam]], $A37, Table1[[AwayTeam]:[AwayTeam]], J$36, Table1[[ActualResult]:[ActualResult]], "OT") + SUMIFS(Table1[[HomeWon]:[HomeWon]], Table1[[GameIsOver]:[GameIsOver]], 1, Table1[[AwayTeam]:[AwayTeam]], $A37, Table1[[HomeTeam]:[HomeTeam]], J$36, Table1[[ActualResult]:[ActualResult]], "SO") + SUMIFS(Table1[[AwayWon]:[AwayWon]], Table1[[GameIsOver]:[GameIsOver]], 1, Table1[[HomeTeam]:[HomeTeam]], $A37, Table1[[AwayTeam]:[AwayTeam]], J$36, Table1[[ActualResult]:[ActualResult]], "SO")))/ (2*((COUNTIFS(Table1[[GameIsOver]:[GameIsOver]],1,Table1[[AwayTeam]:[AwayTeam]],$A37, Table1[[HomeTeam]:[HomeTeam]], J$36)))+( COUNTIFS(Table1[[GameIsOver]:[GameIsOver]],1,Table1[[AwayTeam]:[AwayTeam]],J$36, Table1[[HomeTeam]:[HomeTeam]],$A37))), "")</f>
        <v/>
      </c>
      <c r="K37" s="50" t="str">
        <f>IFERROR(((2 * (SUMIFS(Table1[[AwayWon]:[AwayWon]], Table1[[GameIsOver]:[GameIsOver]], 1, Table1[[AwayTeam]:[AwayTeam]], $A37, Table1[[HomeTeam]:[HomeTeam]], K$36) + SUMIFS(Table1[[HomeWon]:[HomeWon]], Table1[[GameIsOver]:[GameIsOver]], 1, Table1[[HomeTeam]:[HomeTeam]], $A37, Table1[[AwayTeam]:[AwayTeam]], K$36))) + (SUMIFS(Table1[[HomeWon]:[HomeWon]], Table1[[GameIsOver]:[GameIsOver]], 1, Table1[[AwayTeam]:[AwayTeam]], $A37, Table1[[HomeTeam]:[HomeTeam]],  K$36, Table1[[ActualResult]:[ActualResult]], "OT") + SUMIFS(Table1[[AwayWon]:[AwayWon]], Table1[[GameIsOver]:[GameIsOver]], 1, Table1[[HomeTeam]:[HomeTeam]], $A37, Table1[[AwayTeam]:[AwayTeam]], K$36, Table1[[ActualResult]:[ActualResult]], "OT") + SUMIFS(Table1[[HomeWon]:[HomeWon]], Table1[[GameIsOver]:[GameIsOver]], 1, Table1[[AwayTeam]:[AwayTeam]], $A37, Table1[[HomeTeam]:[HomeTeam]], K$36, Table1[[ActualResult]:[ActualResult]], "SO") + SUMIFS(Table1[[AwayWon]:[AwayWon]], Table1[[GameIsOver]:[GameIsOver]], 1, Table1[[HomeTeam]:[HomeTeam]], $A37, Table1[[AwayTeam]:[AwayTeam]], K$36, Table1[[ActualResult]:[ActualResult]], "SO")))/ (2*((COUNTIFS(Table1[[GameIsOver]:[GameIsOver]],1,Table1[[AwayTeam]:[AwayTeam]],$A37, Table1[[HomeTeam]:[HomeTeam]], K$36)))+( COUNTIFS(Table1[[GameIsOver]:[GameIsOver]],1,Table1[[AwayTeam]:[AwayTeam]],K$36, Table1[[HomeTeam]:[HomeTeam]],$A37))), "")</f>
        <v/>
      </c>
      <c r="L37" s="50" t="str">
        <f>IFERROR(((2 * (SUMIFS(Table1[[AwayWon]:[AwayWon]], Table1[[GameIsOver]:[GameIsOver]], 1, Table1[[AwayTeam]:[AwayTeam]], $A37, Table1[[HomeTeam]:[HomeTeam]], L$36) + SUMIFS(Table1[[HomeWon]:[HomeWon]], Table1[[GameIsOver]:[GameIsOver]], 1, Table1[[HomeTeam]:[HomeTeam]], $A37, Table1[[AwayTeam]:[AwayTeam]], L$36))) + (SUMIFS(Table1[[HomeWon]:[HomeWon]], Table1[[GameIsOver]:[GameIsOver]], 1, Table1[[AwayTeam]:[AwayTeam]], $A37, Table1[[HomeTeam]:[HomeTeam]],  L$36, Table1[[ActualResult]:[ActualResult]], "OT") + SUMIFS(Table1[[AwayWon]:[AwayWon]], Table1[[GameIsOver]:[GameIsOver]], 1, Table1[[HomeTeam]:[HomeTeam]], $A37, Table1[[AwayTeam]:[AwayTeam]], L$36, Table1[[ActualResult]:[ActualResult]], "OT") + SUMIFS(Table1[[HomeWon]:[HomeWon]], Table1[[GameIsOver]:[GameIsOver]], 1, Table1[[AwayTeam]:[AwayTeam]], $A37, Table1[[HomeTeam]:[HomeTeam]], L$36, Table1[[ActualResult]:[ActualResult]], "SO") + SUMIFS(Table1[[AwayWon]:[AwayWon]], Table1[[GameIsOver]:[GameIsOver]], 1, Table1[[HomeTeam]:[HomeTeam]], $A37, Table1[[AwayTeam]:[AwayTeam]], L$36, Table1[[ActualResult]:[ActualResult]], "SO")))/ (2*((COUNTIFS(Table1[[GameIsOver]:[GameIsOver]],1,Table1[[AwayTeam]:[AwayTeam]],$A37, Table1[[HomeTeam]:[HomeTeam]], L$36)))+( COUNTIFS(Table1[[GameIsOver]:[GameIsOver]],1,Table1[[AwayTeam]:[AwayTeam]],L$36, Table1[[HomeTeam]:[HomeTeam]],$A37))), "")</f>
        <v/>
      </c>
      <c r="M37" s="50" t="str">
        <f>IFERROR(((2 * (SUMIFS(Table1[[AwayWon]:[AwayWon]], Table1[[GameIsOver]:[GameIsOver]], 1, Table1[[AwayTeam]:[AwayTeam]], $A37, Table1[[HomeTeam]:[HomeTeam]], M$36) + SUMIFS(Table1[[HomeWon]:[HomeWon]], Table1[[GameIsOver]:[GameIsOver]], 1, Table1[[HomeTeam]:[HomeTeam]], $A37, Table1[[AwayTeam]:[AwayTeam]], M$36))) + (SUMIFS(Table1[[HomeWon]:[HomeWon]], Table1[[GameIsOver]:[GameIsOver]], 1, Table1[[AwayTeam]:[AwayTeam]], $A37, Table1[[HomeTeam]:[HomeTeam]],  M$36, Table1[[ActualResult]:[ActualResult]], "OT") + SUMIFS(Table1[[AwayWon]:[AwayWon]], Table1[[GameIsOver]:[GameIsOver]], 1, Table1[[HomeTeam]:[HomeTeam]], $A37, Table1[[AwayTeam]:[AwayTeam]], M$36, Table1[[ActualResult]:[ActualResult]], "OT") + SUMIFS(Table1[[HomeWon]:[HomeWon]], Table1[[GameIsOver]:[GameIsOver]], 1, Table1[[AwayTeam]:[AwayTeam]], $A37, Table1[[HomeTeam]:[HomeTeam]], M$36, Table1[[ActualResult]:[ActualResult]], "SO") + SUMIFS(Table1[[AwayWon]:[AwayWon]], Table1[[GameIsOver]:[GameIsOver]], 1, Table1[[HomeTeam]:[HomeTeam]], $A37, Table1[[AwayTeam]:[AwayTeam]], M$36, Table1[[ActualResult]:[ActualResult]], "SO")))/ (2*((COUNTIFS(Table1[[GameIsOver]:[GameIsOver]],1,Table1[[AwayTeam]:[AwayTeam]],$A37, Table1[[HomeTeam]:[HomeTeam]], M$36)))+( COUNTIFS(Table1[[GameIsOver]:[GameIsOver]],1,Table1[[AwayTeam]:[AwayTeam]],M$36, Table1[[HomeTeam]:[HomeTeam]],$A37))), "")</f>
        <v/>
      </c>
      <c r="N37" s="50" t="str">
        <f>IFERROR(((2 * (SUMIFS(Table1[[AwayWon]:[AwayWon]], Table1[[GameIsOver]:[GameIsOver]], 1, Table1[[AwayTeam]:[AwayTeam]], $A37, Table1[[HomeTeam]:[HomeTeam]], N$36) + SUMIFS(Table1[[HomeWon]:[HomeWon]], Table1[[GameIsOver]:[GameIsOver]], 1, Table1[[HomeTeam]:[HomeTeam]], $A37, Table1[[AwayTeam]:[AwayTeam]], N$36))) + (SUMIFS(Table1[[HomeWon]:[HomeWon]], Table1[[GameIsOver]:[GameIsOver]], 1, Table1[[AwayTeam]:[AwayTeam]], $A37, Table1[[HomeTeam]:[HomeTeam]],  N$36, Table1[[ActualResult]:[ActualResult]], "OT") + SUMIFS(Table1[[AwayWon]:[AwayWon]], Table1[[GameIsOver]:[GameIsOver]], 1, Table1[[HomeTeam]:[HomeTeam]], $A37, Table1[[AwayTeam]:[AwayTeam]], N$36, Table1[[ActualResult]:[ActualResult]], "OT") + SUMIFS(Table1[[HomeWon]:[HomeWon]], Table1[[GameIsOver]:[GameIsOver]], 1, Table1[[AwayTeam]:[AwayTeam]], $A37, Table1[[HomeTeam]:[HomeTeam]], N$36, Table1[[ActualResult]:[ActualResult]], "SO") + SUMIFS(Table1[[AwayWon]:[AwayWon]], Table1[[GameIsOver]:[GameIsOver]], 1, Table1[[HomeTeam]:[HomeTeam]], $A37, Table1[[AwayTeam]:[AwayTeam]], N$36, Table1[[ActualResult]:[ActualResult]], "SO")))/ (2*((COUNTIFS(Table1[[GameIsOver]:[GameIsOver]],1,Table1[[AwayTeam]:[AwayTeam]],$A37, Table1[[HomeTeam]:[HomeTeam]], N$36)))+( COUNTIFS(Table1[[GameIsOver]:[GameIsOver]],1,Table1[[AwayTeam]:[AwayTeam]],N$36, Table1[[HomeTeam]:[HomeTeam]],$A37))), "")</f>
        <v/>
      </c>
      <c r="O37" s="50" t="str">
        <f>IFERROR(((2 * (SUMIFS(Table1[[AwayWon]:[AwayWon]], Table1[[GameIsOver]:[GameIsOver]], 1, Table1[[AwayTeam]:[AwayTeam]], $A37, Table1[[HomeTeam]:[HomeTeam]], O$36) + SUMIFS(Table1[[HomeWon]:[HomeWon]], Table1[[GameIsOver]:[GameIsOver]], 1, Table1[[HomeTeam]:[HomeTeam]], $A37, Table1[[AwayTeam]:[AwayTeam]], O$36))) + (SUMIFS(Table1[[HomeWon]:[HomeWon]], Table1[[GameIsOver]:[GameIsOver]], 1, Table1[[AwayTeam]:[AwayTeam]], $A37, Table1[[HomeTeam]:[HomeTeam]],  O$36, Table1[[ActualResult]:[ActualResult]], "OT") + SUMIFS(Table1[[AwayWon]:[AwayWon]], Table1[[GameIsOver]:[GameIsOver]], 1, Table1[[HomeTeam]:[HomeTeam]], $A37, Table1[[AwayTeam]:[AwayTeam]], O$36, Table1[[ActualResult]:[ActualResult]], "OT") + SUMIFS(Table1[[HomeWon]:[HomeWon]], Table1[[GameIsOver]:[GameIsOver]], 1, Table1[[AwayTeam]:[AwayTeam]], $A37, Table1[[HomeTeam]:[HomeTeam]], O$36, Table1[[ActualResult]:[ActualResult]], "SO") + SUMIFS(Table1[[AwayWon]:[AwayWon]], Table1[[GameIsOver]:[GameIsOver]], 1, Table1[[HomeTeam]:[HomeTeam]], $A37, Table1[[AwayTeam]:[AwayTeam]], O$36, Table1[[ActualResult]:[ActualResult]], "SO")))/ (2*((COUNTIFS(Table1[[GameIsOver]:[GameIsOver]],1,Table1[[AwayTeam]:[AwayTeam]],$A37, Table1[[HomeTeam]:[HomeTeam]], O$36)))+( COUNTIFS(Table1[[GameIsOver]:[GameIsOver]],1,Table1[[AwayTeam]:[AwayTeam]],O$36, Table1[[HomeTeam]:[HomeTeam]],$A37))), "")</f>
        <v/>
      </c>
      <c r="P37" s="50" t="str">
        <f>IFERROR(((2 * (SUMIFS(Table1[[AwayWon]:[AwayWon]], Table1[[GameIsOver]:[GameIsOver]], 1, Table1[[AwayTeam]:[AwayTeam]], $A37, Table1[[HomeTeam]:[HomeTeam]], P$36) + SUMIFS(Table1[[HomeWon]:[HomeWon]], Table1[[GameIsOver]:[GameIsOver]], 1, Table1[[HomeTeam]:[HomeTeam]], $A37, Table1[[AwayTeam]:[AwayTeam]], P$36))) + (SUMIFS(Table1[[HomeWon]:[HomeWon]], Table1[[GameIsOver]:[GameIsOver]], 1, Table1[[AwayTeam]:[AwayTeam]], $A37, Table1[[HomeTeam]:[HomeTeam]],  P$36, Table1[[ActualResult]:[ActualResult]], "OT") + SUMIFS(Table1[[AwayWon]:[AwayWon]], Table1[[GameIsOver]:[GameIsOver]], 1, Table1[[HomeTeam]:[HomeTeam]], $A37, Table1[[AwayTeam]:[AwayTeam]], P$36, Table1[[ActualResult]:[ActualResult]], "OT") + SUMIFS(Table1[[HomeWon]:[HomeWon]], Table1[[GameIsOver]:[GameIsOver]], 1, Table1[[AwayTeam]:[AwayTeam]], $A37, Table1[[HomeTeam]:[HomeTeam]], P$36, Table1[[ActualResult]:[ActualResult]], "SO") + SUMIFS(Table1[[AwayWon]:[AwayWon]], Table1[[GameIsOver]:[GameIsOver]], 1, Table1[[HomeTeam]:[HomeTeam]], $A37, Table1[[AwayTeam]:[AwayTeam]], P$36, Table1[[ActualResult]:[ActualResult]], "SO")))/ (2*((COUNTIFS(Table1[[GameIsOver]:[GameIsOver]],1,Table1[[AwayTeam]:[AwayTeam]],$A37, Table1[[HomeTeam]:[HomeTeam]], P$36)))+( COUNTIFS(Table1[[GameIsOver]:[GameIsOver]],1,Table1[[AwayTeam]:[AwayTeam]],P$36, Table1[[HomeTeam]:[HomeTeam]],$A37))), "")</f>
        <v/>
      </c>
      <c r="Q37" s="65" t="str">
        <f>IFERROR(((2 * (SUMIFS(Table1[[AwayWon]:[AwayWon]], Table1[[GameIsOver]:[GameIsOver]], 1, Table1[[AwayTeam]:[AwayTeam]], $A37, Table1[[HomeTeam]:[HomeTeam]], Q$36) + SUMIFS(Table1[[HomeWon]:[HomeWon]], Table1[[GameIsOver]:[GameIsOver]], 1, Table1[[HomeTeam]:[HomeTeam]], $A37, Table1[[AwayTeam]:[AwayTeam]], Q$36))) + (SUMIFS(Table1[[HomeWon]:[HomeWon]], Table1[[GameIsOver]:[GameIsOver]], 1, Table1[[AwayTeam]:[AwayTeam]], $A37, Table1[[HomeTeam]:[HomeTeam]],  Q$36, Table1[[ActualResult]:[ActualResult]], "OT") + SUMIFS(Table1[[AwayWon]:[AwayWon]], Table1[[GameIsOver]:[GameIsOver]], 1, Table1[[HomeTeam]:[HomeTeam]], $A37, Table1[[AwayTeam]:[AwayTeam]], Q$36, Table1[[ActualResult]:[ActualResult]], "OT") + SUMIFS(Table1[[HomeWon]:[HomeWon]], Table1[[GameIsOver]:[GameIsOver]], 1, Table1[[AwayTeam]:[AwayTeam]], $A37, Table1[[HomeTeam]:[HomeTeam]], Q$36, Table1[[ActualResult]:[ActualResult]], "SO") + SUMIFS(Table1[[AwayWon]:[AwayWon]], Table1[[GameIsOver]:[GameIsOver]], 1, Table1[[HomeTeam]:[HomeTeam]], $A37, Table1[[AwayTeam]:[AwayTeam]], Q$36, Table1[[ActualResult]:[ActualResult]], "SO")))/ (2*((COUNTIFS(Table1[[GameIsOver]:[GameIsOver]],1,Table1[[AwayTeam]:[AwayTeam]],$A37, Table1[[HomeTeam]:[HomeTeam]], Q$36)))+( COUNTIFS(Table1[[GameIsOver]:[GameIsOver]],1,Table1[[AwayTeam]:[AwayTeam]],Q$36, Table1[[HomeTeam]:[HomeTeam]],$A37))), "")</f>
        <v/>
      </c>
      <c r="R37" s="50" t="str">
        <f>IFERROR(((2 * (SUMIFS(Table1[[AwayWon]:[AwayWon]], Table1[[GameIsOver]:[GameIsOver]], 1, Table1[[AwayTeam]:[AwayTeam]], $A37, Table1[[HomeTeam]:[HomeTeam]], R$36) + SUMIFS(Table1[[HomeWon]:[HomeWon]], Table1[[GameIsOver]:[GameIsOver]], 1, Table1[[HomeTeam]:[HomeTeam]], $A37, Table1[[AwayTeam]:[AwayTeam]], R$36))) + (SUMIFS(Table1[[HomeWon]:[HomeWon]], Table1[[GameIsOver]:[GameIsOver]], 1, Table1[[AwayTeam]:[AwayTeam]], $A37, Table1[[HomeTeam]:[HomeTeam]],  R$36, Table1[[ActualResult]:[ActualResult]], "OT") + SUMIFS(Table1[[AwayWon]:[AwayWon]], Table1[[GameIsOver]:[GameIsOver]], 1, Table1[[HomeTeam]:[HomeTeam]], $A37, Table1[[AwayTeam]:[AwayTeam]], R$36, Table1[[ActualResult]:[ActualResult]], "OT") + SUMIFS(Table1[[HomeWon]:[HomeWon]], Table1[[GameIsOver]:[GameIsOver]], 1, Table1[[AwayTeam]:[AwayTeam]], $A37, Table1[[HomeTeam]:[HomeTeam]], R$36, Table1[[ActualResult]:[ActualResult]], "SO") + SUMIFS(Table1[[AwayWon]:[AwayWon]], Table1[[GameIsOver]:[GameIsOver]], 1, Table1[[HomeTeam]:[HomeTeam]], $A37, Table1[[AwayTeam]:[AwayTeam]], R$36, Table1[[ActualResult]:[ActualResult]], "SO")))/ (2*((COUNTIFS(Table1[[GameIsOver]:[GameIsOver]],1,Table1[[AwayTeam]:[AwayTeam]],$A37, Table1[[HomeTeam]:[HomeTeam]], R$36)))+( COUNTIFS(Table1[[GameIsOver]:[GameIsOver]],1,Table1[[AwayTeam]:[AwayTeam]],R$36, Table1[[HomeTeam]:[HomeTeam]],$A37))), "")</f>
        <v/>
      </c>
      <c r="S37" s="50" t="str">
        <f>IFERROR(((2 * (SUMIFS(Table1[[AwayWon]:[AwayWon]], Table1[[GameIsOver]:[GameIsOver]], 1, Table1[[AwayTeam]:[AwayTeam]], $A37, Table1[[HomeTeam]:[HomeTeam]], S$36) + SUMIFS(Table1[[HomeWon]:[HomeWon]], Table1[[GameIsOver]:[GameIsOver]], 1, Table1[[HomeTeam]:[HomeTeam]], $A37, Table1[[AwayTeam]:[AwayTeam]], S$36))) + (SUMIFS(Table1[[HomeWon]:[HomeWon]], Table1[[GameIsOver]:[GameIsOver]], 1, Table1[[AwayTeam]:[AwayTeam]], $A37, Table1[[HomeTeam]:[HomeTeam]],  S$36, Table1[[ActualResult]:[ActualResult]], "OT") + SUMIFS(Table1[[AwayWon]:[AwayWon]], Table1[[GameIsOver]:[GameIsOver]], 1, Table1[[HomeTeam]:[HomeTeam]], $A37, Table1[[AwayTeam]:[AwayTeam]], S$36, Table1[[ActualResult]:[ActualResult]], "OT") + SUMIFS(Table1[[HomeWon]:[HomeWon]], Table1[[GameIsOver]:[GameIsOver]], 1, Table1[[AwayTeam]:[AwayTeam]], $A37, Table1[[HomeTeam]:[HomeTeam]], S$36, Table1[[ActualResult]:[ActualResult]], "SO") + SUMIFS(Table1[[AwayWon]:[AwayWon]], Table1[[GameIsOver]:[GameIsOver]], 1, Table1[[HomeTeam]:[HomeTeam]], $A37, Table1[[AwayTeam]:[AwayTeam]], S$36, Table1[[ActualResult]:[ActualResult]], "SO")))/ (2*((COUNTIFS(Table1[[GameIsOver]:[GameIsOver]],1,Table1[[AwayTeam]:[AwayTeam]],$A37, Table1[[HomeTeam]:[HomeTeam]], S$36)))+( COUNTIFS(Table1[[GameIsOver]:[GameIsOver]],1,Table1[[AwayTeam]:[AwayTeam]],S$36, Table1[[HomeTeam]:[HomeTeam]],$A37))), "")</f>
        <v/>
      </c>
      <c r="T37" s="50" t="str">
        <f>IFERROR(((2 * (SUMIFS(Table1[[AwayWon]:[AwayWon]], Table1[[GameIsOver]:[GameIsOver]], 1, Table1[[AwayTeam]:[AwayTeam]], $A37, Table1[[HomeTeam]:[HomeTeam]], T$36) + SUMIFS(Table1[[HomeWon]:[HomeWon]], Table1[[GameIsOver]:[GameIsOver]], 1, Table1[[HomeTeam]:[HomeTeam]], $A37, Table1[[AwayTeam]:[AwayTeam]], T$36))) + (SUMIFS(Table1[[HomeWon]:[HomeWon]], Table1[[GameIsOver]:[GameIsOver]], 1, Table1[[AwayTeam]:[AwayTeam]], $A37, Table1[[HomeTeam]:[HomeTeam]],  T$36, Table1[[ActualResult]:[ActualResult]], "OT") + SUMIFS(Table1[[AwayWon]:[AwayWon]], Table1[[GameIsOver]:[GameIsOver]], 1, Table1[[HomeTeam]:[HomeTeam]], $A37, Table1[[AwayTeam]:[AwayTeam]], T$36, Table1[[ActualResult]:[ActualResult]], "OT") + SUMIFS(Table1[[HomeWon]:[HomeWon]], Table1[[GameIsOver]:[GameIsOver]], 1, Table1[[AwayTeam]:[AwayTeam]], $A37, Table1[[HomeTeam]:[HomeTeam]], T$36, Table1[[ActualResult]:[ActualResult]], "SO") + SUMIFS(Table1[[AwayWon]:[AwayWon]], Table1[[GameIsOver]:[GameIsOver]], 1, Table1[[HomeTeam]:[HomeTeam]], $A37, Table1[[AwayTeam]:[AwayTeam]], T$36, Table1[[ActualResult]:[ActualResult]], "SO")))/ (2*((COUNTIFS(Table1[[GameIsOver]:[GameIsOver]],1,Table1[[AwayTeam]:[AwayTeam]],$A37, Table1[[HomeTeam]:[HomeTeam]], T$36)))+( COUNTIFS(Table1[[GameIsOver]:[GameIsOver]],1,Table1[[AwayTeam]:[AwayTeam]],T$36, Table1[[HomeTeam]:[HomeTeam]],$A37))), "")</f>
        <v/>
      </c>
      <c r="U37" s="50" t="str">
        <f>IFERROR(((2 * (SUMIFS(Table1[[AwayWon]:[AwayWon]], Table1[[GameIsOver]:[GameIsOver]], 1, Table1[[AwayTeam]:[AwayTeam]], $A37, Table1[[HomeTeam]:[HomeTeam]], U$36) + SUMIFS(Table1[[HomeWon]:[HomeWon]], Table1[[GameIsOver]:[GameIsOver]], 1, Table1[[HomeTeam]:[HomeTeam]], $A37, Table1[[AwayTeam]:[AwayTeam]], U$36))) + (SUMIFS(Table1[[HomeWon]:[HomeWon]], Table1[[GameIsOver]:[GameIsOver]], 1, Table1[[AwayTeam]:[AwayTeam]], $A37, Table1[[HomeTeam]:[HomeTeam]],  U$36, Table1[[ActualResult]:[ActualResult]], "OT") + SUMIFS(Table1[[AwayWon]:[AwayWon]], Table1[[GameIsOver]:[GameIsOver]], 1, Table1[[HomeTeam]:[HomeTeam]], $A37, Table1[[AwayTeam]:[AwayTeam]], U$36, Table1[[ActualResult]:[ActualResult]], "OT") + SUMIFS(Table1[[HomeWon]:[HomeWon]], Table1[[GameIsOver]:[GameIsOver]], 1, Table1[[AwayTeam]:[AwayTeam]], $A37, Table1[[HomeTeam]:[HomeTeam]], U$36, Table1[[ActualResult]:[ActualResult]], "SO") + SUMIFS(Table1[[AwayWon]:[AwayWon]], Table1[[GameIsOver]:[GameIsOver]], 1, Table1[[HomeTeam]:[HomeTeam]], $A37, Table1[[AwayTeam]:[AwayTeam]], U$36, Table1[[ActualResult]:[ActualResult]], "SO")))/ (2*((COUNTIFS(Table1[[GameIsOver]:[GameIsOver]],1,Table1[[AwayTeam]:[AwayTeam]],$A37, Table1[[HomeTeam]:[HomeTeam]], U$36)))+( COUNTIFS(Table1[[GameIsOver]:[GameIsOver]],1,Table1[[AwayTeam]:[AwayTeam]],U$36, Table1[[HomeTeam]:[HomeTeam]],$A37))), "")</f>
        <v/>
      </c>
      <c r="V37" s="50" t="str">
        <f>IFERROR(((2 * (SUMIFS(Table1[[AwayWon]:[AwayWon]], Table1[[GameIsOver]:[GameIsOver]], 1, Table1[[AwayTeam]:[AwayTeam]], $A37, Table1[[HomeTeam]:[HomeTeam]], V$36) + SUMIFS(Table1[[HomeWon]:[HomeWon]], Table1[[GameIsOver]:[GameIsOver]], 1, Table1[[HomeTeam]:[HomeTeam]], $A37, Table1[[AwayTeam]:[AwayTeam]], V$36))) + (SUMIFS(Table1[[HomeWon]:[HomeWon]], Table1[[GameIsOver]:[GameIsOver]], 1, Table1[[AwayTeam]:[AwayTeam]], $A37, Table1[[HomeTeam]:[HomeTeam]],  V$36, Table1[[ActualResult]:[ActualResult]], "OT") + SUMIFS(Table1[[AwayWon]:[AwayWon]], Table1[[GameIsOver]:[GameIsOver]], 1, Table1[[HomeTeam]:[HomeTeam]], $A37, Table1[[AwayTeam]:[AwayTeam]], V$36, Table1[[ActualResult]:[ActualResult]], "OT") + SUMIFS(Table1[[HomeWon]:[HomeWon]], Table1[[GameIsOver]:[GameIsOver]], 1, Table1[[AwayTeam]:[AwayTeam]], $A37, Table1[[HomeTeam]:[HomeTeam]], V$36, Table1[[ActualResult]:[ActualResult]], "SO") + SUMIFS(Table1[[AwayWon]:[AwayWon]], Table1[[GameIsOver]:[GameIsOver]], 1, Table1[[HomeTeam]:[HomeTeam]], $A37, Table1[[AwayTeam]:[AwayTeam]], V$36, Table1[[ActualResult]:[ActualResult]], "SO")))/ (2*((COUNTIFS(Table1[[GameIsOver]:[GameIsOver]],1,Table1[[AwayTeam]:[AwayTeam]],$A37, Table1[[HomeTeam]:[HomeTeam]], V$36)))+( COUNTIFS(Table1[[GameIsOver]:[GameIsOver]],1,Table1[[AwayTeam]:[AwayTeam]],V$36, Table1[[HomeTeam]:[HomeTeam]],$A37))), "")</f>
        <v/>
      </c>
      <c r="W37" s="50" t="str">
        <f>IFERROR(((2 * (SUMIFS(Table1[[AwayWon]:[AwayWon]], Table1[[GameIsOver]:[GameIsOver]], 1, Table1[[AwayTeam]:[AwayTeam]], $A37, Table1[[HomeTeam]:[HomeTeam]], W$36) + SUMIFS(Table1[[HomeWon]:[HomeWon]], Table1[[GameIsOver]:[GameIsOver]], 1, Table1[[HomeTeam]:[HomeTeam]], $A37, Table1[[AwayTeam]:[AwayTeam]], W$36))) + (SUMIFS(Table1[[HomeWon]:[HomeWon]], Table1[[GameIsOver]:[GameIsOver]], 1, Table1[[AwayTeam]:[AwayTeam]], $A37, Table1[[HomeTeam]:[HomeTeam]],  W$36, Table1[[ActualResult]:[ActualResult]], "OT") + SUMIFS(Table1[[AwayWon]:[AwayWon]], Table1[[GameIsOver]:[GameIsOver]], 1, Table1[[HomeTeam]:[HomeTeam]], $A37, Table1[[AwayTeam]:[AwayTeam]], W$36, Table1[[ActualResult]:[ActualResult]], "OT") + SUMIFS(Table1[[HomeWon]:[HomeWon]], Table1[[GameIsOver]:[GameIsOver]], 1, Table1[[AwayTeam]:[AwayTeam]], $A37, Table1[[HomeTeam]:[HomeTeam]], W$36, Table1[[ActualResult]:[ActualResult]], "SO") + SUMIFS(Table1[[AwayWon]:[AwayWon]], Table1[[GameIsOver]:[GameIsOver]], 1, Table1[[HomeTeam]:[HomeTeam]], $A37, Table1[[AwayTeam]:[AwayTeam]], W$36, Table1[[ActualResult]:[ActualResult]], "SO")))/ (2*((COUNTIFS(Table1[[GameIsOver]:[GameIsOver]],1,Table1[[AwayTeam]:[AwayTeam]],$A37, Table1[[HomeTeam]:[HomeTeam]], W$36)))+( COUNTIFS(Table1[[GameIsOver]:[GameIsOver]],1,Table1[[AwayTeam]:[AwayTeam]],W$36, Table1[[HomeTeam]:[HomeTeam]],$A37))), "")</f>
        <v/>
      </c>
      <c r="X37" s="50" t="str">
        <f>IFERROR(((2 * (SUMIFS(Table1[[AwayWon]:[AwayWon]], Table1[[GameIsOver]:[GameIsOver]], 1, Table1[[AwayTeam]:[AwayTeam]], $A37, Table1[[HomeTeam]:[HomeTeam]], X$36) + SUMIFS(Table1[[HomeWon]:[HomeWon]], Table1[[GameIsOver]:[GameIsOver]], 1, Table1[[HomeTeam]:[HomeTeam]], $A37, Table1[[AwayTeam]:[AwayTeam]], X$36))) + (SUMIFS(Table1[[HomeWon]:[HomeWon]], Table1[[GameIsOver]:[GameIsOver]], 1, Table1[[AwayTeam]:[AwayTeam]], $A37, Table1[[HomeTeam]:[HomeTeam]],  X$36, Table1[[ActualResult]:[ActualResult]], "OT") + SUMIFS(Table1[[AwayWon]:[AwayWon]], Table1[[GameIsOver]:[GameIsOver]], 1, Table1[[HomeTeam]:[HomeTeam]], $A37, Table1[[AwayTeam]:[AwayTeam]], X$36, Table1[[ActualResult]:[ActualResult]], "OT") + SUMIFS(Table1[[HomeWon]:[HomeWon]], Table1[[GameIsOver]:[GameIsOver]], 1, Table1[[AwayTeam]:[AwayTeam]], $A37, Table1[[HomeTeam]:[HomeTeam]], X$36, Table1[[ActualResult]:[ActualResult]], "SO") + SUMIFS(Table1[[AwayWon]:[AwayWon]], Table1[[GameIsOver]:[GameIsOver]], 1, Table1[[HomeTeam]:[HomeTeam]], $A37, Table1[[AwayTeam]:[AwayTeam]], X$36, Table1[[ActualResult]:[ActualResult]], "SO")))/ (2*((COUNTIFS(Table1[[GameIsOver]:[GameIsOver]],1,Table1[[AwayTeam]:[AwayTeam]],$A37, Table1[[HomeTeam]:[HomeTeam]], X$36)))+( COUNTIFS(Table1[[GameIsOver]:[GameIsOver]],1,Table1[[AwayTeam]:[AwayTeam]],X$36, Table1[[HomeTeam]:[HomeTeam]],$A37))), "")</f>
        <v/>
      </c>
      <c r="Y37" s="65" t="str">
        <f>IFERROR(((2 * (SUMIFS(Table1[[AwayWon]:[AwayWon]], Table1[[GameIsOver]:[GameIsOver]], 1, Table1[[AwayTeam]:[AwayTeam]], $A37, Table1[[HomeTeam]:[HomeTeam]], Y$36) + SUMIFS(Table1[[HomeWon]:[HomeWon]], Table1[[GameIsOver]:[GameIsOver]], 1, Table1[[HomeTeam]:[HomeTeam]], $A37, Table1[[AwayTeam]:[AwayTeam]], Y$36))) + (SUMIFS(Table1[[HomeWon]:[HomeWon]], Table1[[GameIsOver]:[GameIsOver]], 1, Table1[[AwayTeam]:[AwayTeam]], $A37, Table1[[HomeTeam]:[HomeTeam]],  Y$36, Table1[[ActualResult]:[ActualResult]], "OT") + SUMIFS(Table1[[AwayWon]:[AwayWon]], Table1[[GameIsOver]:[GameIsOver]], 1, Table1[[HomeTeam]:[HomeTeam]], $A37, Table1[[AwayTeam]:[AwayTeam]], Y$36, Table1[[ActualResult]:[ActualResult]], "OT") + SUMIFS(Table1[[HomeWon]:[HomeWon]], Table1[[GameIsOver]:[GameIsOver]], 1, Table1[[AwayTeam]:[AwayTeam]], $A37, Table1[[HomeTeam]:[HomeTeam]], Y$36, Table1[[ActualResult]:[ActualResult]], "SO") + SUMIFS(Table1[[AwayWon]:[AwayWon]], Table1[[GameIsOver]:[GameIsOver]], 1, Table1[[HomeTeam]:[HomeTeam]], $A37, Table1[[AwayTeam]:[AwayTeam]], Y$36, Table1[[ActualResult]:[ActualResult]], "SO")))/ (2*((COUNTIFS(Table1[[GameIsOver]:[GameIsOver]],1,Table1[[AwayTeam]:[AwayTeam]],$A37, Table1[[HomeTeam]:[HomeTeam]], Y$36)))+( COUNTIFS(Table1[[GameIsOver]:[GameIsOver]],1,Table1[[AwayTeam]:[AwayTeam]],Y$36, Table1[[HomeTeam]:[HomeTeam]],$A37))), "")</f>
        <v/>
      </c>
      <c r="Z37" s="50" t="str">
        <f>IFERROR(((2 * (SUMIFS(Table1[[AwayWon]:[AwayWon]], Table1[[GameIsOver]:[GameIsOver]], 1, Table1[[AwayTeam]:[AwayTeam]], $A37, Table1[[HomeTeam]:[HomeTeam]], Z$36) + SUMIFS(Table1[[HomeWon]:[HomeWon]], Table1[[GameIsOver]:[GameIsOver]], 1, Table1[[HomeTeam]:[HomeTeam]], $A37, Table1[[AwayTeam]:[AwayTeam]], Z$36))) + (SUMIFS(Table1[[HomeWon]:[HomeWon]], Table1[[GameIsOver]:[GameIsOver]], 1, Table1[[AwayTeam]:[AwayTeam]], $A37, Table1[[HomeTeam]:[HomeTeam]],  Z$36, Table1[[ActualResult]:[ActualResult]], "OT") + SUMIFS(Table1[[AwayWon]:[AwayWon]], Table1[[GameIsOver]:[GameIsOver]], 1, Table1[[HomeTeam]:[HomeTeam]], $A37, Table1[[AwayTeam]:[AwayTeam]], Z$36, Table1[[ActualResult]:[ActualResult]], "OT") + SUMIFS(Table1[[HomeWon]:[HomeWon]], Table1[[GameIsOver]:[GameIsOver]], 1, Table1[[AwayTeam]:[AwayTeam]], $A37, Table1[[HomeTeam]:[HomeTeam]], Z$36, Table1[[ActualResult]:[ActualResult]], "SO") + SUMIFS(Table1[[AwayWon]:[AwayWon]], Table1[[GameIsOver]:[GameIsOver]], 1, Table1[[HomeTeam]:[HomeTeam]], $A37, Table1[[AwayTeam]:[AwayTeam]], Z$36, Table1[[ActualResult]:[ActualResult]], "SO")))/ (2*((COUNTIFS(Table1[[GameIsOver]:[GameIsOver]],1,Table1[[AwayTeam]:[AwayTeam]],$A37, Table1[[HomeTeam]:[HomeTeam]], Z$36)))+( COUNTIFS(Table1[[GameIsOver]:[GameIsOver]],1,Table1[[AwayTeam]:[AwayTeam]],Z$36, Table1[[HomeTeam]:[HomeTeam]],$A37))), "")</f>
        <v/>
      </c>
      <c r="AA37" s="50" t="str">
        <f>IFERROR(((2 * (SUMIFS(Table1[[AwayWon]:[AwayWon]], Table1[[GameIsOver]:[GameIsOver]], 1, Table1[[AwayTeam]:[AwayTeam]], $A37, Table1[[HomeTeam]:[HomeTeam]], AA$36) + SUMIFS(Table1[[HomeWon]:[HomeWon]], Table1[[GameIsOver]:[GameIsOver]], 1, Table1[[HomeTeam]:[HomeTeam]], $A37, Table1[[AwayTeam]:[AwayTeam]], AA$36))) + (SUMIFS(Table1[[HomeWon]:[HomeWon]], Table1[[GameIsOver]:[GameIsOver]], 1, Table1[[AwayTeam]:[AwayTeam]], $A37, Table1[[HomeTeam]:[HomeTeam]],  AA$36, Table1[[ActualResult]:[ActualResult]], "OT") + SUMIFS(Table1[[AwayWon]:[AwayWon]], Table1[[GameIsOver]:[GameIsOver]], 1, Table1[[HomeTeam]:[HomeTeam]], $A37, Table1[[AwayTeam]:[AwayTeam]], AA$36, Table1[[ActualResult]:[ActualResult]], "OT") + SUMIFS(Table1[[HomeWon]:[HomeWon]], Table1[[GameIsOver]:[GameIsOver]], 1, Table1[[AwayTeam]:[AwayTeam]], $A37, Table1[[HomeTeam]:[HomeTeam]], AA$36, Table1[[ActualResult]:[ActualResult]], "SO") + SUMIFS(Table1[[AwayWon]:[AwayWon]], Table1[[GameIsOver]:[GameIsOver]], 1, Table1[[HomeTeam]:[HomeTeam]], $A37, Table1[[AwayTeam]:[AwayTeam]], AA$36, Table1[[ActualResult]:[ActualResult]], "SO")))/ (2*((COUNTIFS(Table1[[GameIsOver]:[GameIsOver]],1,Table1[[AwayTeam]:[AwayTeam]],$A37, Table1[[HomeTeam]:[HomeTeam]], AA$36)))+( COUNTIFS(Table1[[GameIsOver]:[GameIsOver]],1,Table1[[AwayTeam]:[AwayTeam]],AA$36, Table1[[HomeTeam]:[HomeTeam]],$A37))), "")</f>
        <v/>
      </c>
      <c r="AB37" s="50" t="str">
        <f>IFERROR(((2 * (SUMIFS(Table1[[AwayWon]:[AwayWon]], Table1[[GameIsOver]:[GameIsOver]], 1, Table1[[AwayTeam]:[AwayTeam]], $A37, Table1[[HomeTeam]:[HomeTeam]], AB$36) + SUMIFS(Table1[[HomeWon]:[HomeWon]], Table1[[GameIsOver]:[GameIsOver]], 1, Table1[[HomeTeam]:[HomeTeam]], $A37, Table1[[AwayTeam]:[AwayTeam]], AB$36))) + (SUMIFS(Table1[[HomeWon]:[HomeWon]], Table1[[GameIsOver]:[GameIsOver]], 1, Table1[[AwayTeam]:[AwayTeam]], $A37, Table1[[HomeTeam]:[HomeTeam]],  AB$36, Table1[[ActualResult]:[ActualResult]], "OT") + SUMIFS(Table1[[AwayWon]:[AwayWon]], Table1[[GameIsOver]:[GameIsOver]], 1, Table1[[HomeTeam]:[HomeTeam]], $A37, Table1[[AwayTeam]:[AwayTeam]], AB$36, Table1[[ActualResult]:[ActualResult]], "OT") + SUMIFS(Table1[[HomeWon]:[HomeWon]], Table1[[GameIsOver]:[GameIsOver]], 1, Table1[[AwayTeam]:[AwayTeam]], $A37, Table1[[HomeTeam]:[HomeTeam]], AB$36, Table1[[ActualResult]:[ActualResult]], "SO") + SUMIFS(Table1[[AwayWon]:[AwayWon]], Table1[[GameIsOver]:[GameIsOver]], 1, Table1[[HomeTeam]:[HomeTeam]], $A37, Table1[[AwayTeam]:[AwayTeam]], AB$36, Table1[[ActualResult]:[ActualResult]], "SO")))/ (2*((COUNTIFS(Table1[[GameIsOver]:[GameIsOver]],1,Table1[[AwayTeam]:[AwayTeam]],$A37, Table1[[HomeTeam]:[HomeTeam]], AB$36)))+( COUNTIFS(Table1[[GameIsOver]:[GameIsOver]],1,Table1[[AwayTeam]:[AwayTeam]],AB$36, Table1[[HomeTeam]:[HomeTeam]],$A37))), "")</f>
        <v/>
      </c>
      <c r="AC37" s="50" t="str">
        <f>IFERROR(((2 * (SUMIFS(Table1[[AwayWon]:[AwayWon]], Table1[[GameIsOver]:[GameIsOver]], 1, Table1[[AwayTeam]:[AwayTeam]], $A37, Table1[[HomeTeam]:[HomeTeam]], AC$36) + SUMIFS(Table1[[HomeWon]:[HomeWon]], Table1[[GameIsOver]:[GameIsOver]], 1, Table1[[HomeTeam]:[HomeTeam]], $A37, Table1[[AwayTeam]:[AwayTeam]], AC$36))) + (SUMIFS(Table1[[HomeWon]:[HomeWon]], Table1[[GameIsOver]:[GameIsOver]], 1, Table1[[AwayTeam]:[AwayTeam]], $A37, Table1[[HomeTeam]:[HomeTeam]],  AC$36, Table1[[ActualResult]:[ActualResult]], "OT") + SUMIFS(Table1[[AwayWon]:[AwayWon]], Table1[[GameIsOver]:[GameIsOver]], 1, Table1[[HomeTeam]:[HomeTeam]], $A37, Table1[[AwayTeam]:[AwayTeam]], AC$36, Table1[[ActualResult]:[ActualResult]], "OT") + SUMIFS(Table1[[HomeWon]:[HomeWon]], Table1[[GameIsOver]:[GameIsOver]], 1, Table1[[AwayTeam]:[AwayTeam]], $A37, Table1[[HomeTeam]:[HomeTeam]], AC$36, Table1[[ActualResult]:[ActualResult]], "SO") + SUMIFS(Table1[[AwayWon]:[AwayWon]], Table1[[GameIsOver]:[GameIsOver]], 1, Table1[[HomeTeam]:[HomeTeam]], $A37, Table1[[AwayTeam]:[AwayTeam]], AC$36, Table1[[ActualResult]:[ActualResult]], "SO")))/ (2*((COUNTIFS(Table1[[GameIsOver]:[GameIsOver]],1,Table1[[AwayTeam]:[AwayTeam]],$A37, Table1[[HomeTeam]:[HomeTeam]], AC$36)))+( COUNTIFS(Table1[[GameIsOver]:[GameIsOver]],1,Table1[[AwayTeam]:[AwayTeam]],AC$36, Table1[[HomeTeam]:[HomeTeam]],$A37))), "")</f>
        <v/>
      </c>
      <c r="AD37" s="50" t="str">
        <f>IFERROR(((2 * (SUMIFS(Table1[[AwayWon]:[AwayWon]], Table1[[GameIsOver]:[GameIsOver]], 1, Table1[[AwayTeam]:[AwayTeam]], $A37, Table1[[HomeTeam]:[HomeTeam]], AD$36) + SUMIFS(Table1[[HomeWon]:[HomeWon]], Table1[[GameIsOver]:[GameIsOver]], 1, Table1[[HomeTeam]:[HomeTeam]], $A37, Table1[[AwayTeam]:[AwayTeam]], AD$36))) + (SUMIFS(Table1[[HomeWon]:[HomeWon]], Table1[[GameIsOver]:[GameIsOver]], 1, Table1[[AwayTeam]:[AwayTeam]], $A37, Table1[[HomeTeam]:[HomeTeam]],  AD$36, Table1[[ActualResult]:[ActualResult]], "OT") + SUMIFS(Table1[[AwayWon]:[AwayWon]], Table1[[GameIsOver]:[GameIsOver]], 1, Table1[[HomeTeam]:[HomeTeam]], $A37, Table1[[AwayTeam]:[AwayTeam]], AD$36, Table1[[ActualResult]:[ActualResult]], "OT") + SUMIFS(Table1[[HomeWon]:[HomeWon]], Table1[[GameIsOver]:[GameIsOver]], 1, Table1[[AwayTeam]:[AwayTeam]], $A37, Table1[[HomeTeam]:[HomeTeam]], AD$36, Table1[[ActualResult]:[ActualResult]], "SO") + SUMIFS(Table1[[AwayWon]:[AwayWon]], Table1[[GameIsOver]:[GameIsOver]], 1, Table1[[HomeTeam]:[HomeTeam]], $A37, Table1[[AwayTeam]:[AwayTeam]], AD$36, Table1[[ActualResult]:[ActualResult]], "SO")))/ (2*((COUNTIFS(Table1[[GameIsOver]:[GameIsOver]],1,Table1[[AwayTeam]:[AwayTeam]],$A37, Table1[[HomeTeam]:[HomeTeam]], AD$36)))+( COUNTIFS(Table1[[GameIsOver]:[GameIsOver]],1,Table1[[AwayTeam]:[AwayTeam]],AD$36, Table1[[HomeTeam]:[HomeTeam]],$A37))), "")</f>
        <v/>
      </c>
      <c r="AE37" s="50" t="str">
        <f>IFERROR(((2 * (SUMIFS(Table1[[AwayWon]:[AwayWon]], Table1[[GameIsOver]:[GameIsOver]], 1, Table1[[AwayTeam]:[AwayTeam]], $A37, Table1[[HomeTeam]:[HomeTeam]], AE$36) + SUMIFS(Table1[[HomeWon]:[HomeWon]], Table1[[GameIsOver]:[GameIsOver]], 1, Table1[[HomeTeam]:[HomeTeam]], $A37, Table1[[AwayTeam]:[AwayTeam]], AE$36))) + (SUMIFS(Table1[[HomeWon]:[HomeWon]], Table1[[GameIsOver]:[GameIsOver]], 1, Table1[[AwayTeam]:[AwayTeam]], $A37, Table1[[HomeTeam]:[HomeTeam]],  AE$36, Table1[[ActualResult]:[ActualResult]], "OT") + SUMIFS(Table1[[AwayWon]:[AwayWon]], Table1[[GameIsOver]:[GameIsOver]], 1, Table1[[HomeTeam]:[HomeTeam]], $A37, Table1[[AwayTeam]:[AwayTeam]], AE$36, Table1[[ActualResult]:[ActualResult]], "OT") + SUMIFS(Table1[[HomeWon]:[HomeWon]], Table1[[GameIsOver]:[GameIsOver]], 1, Table1[[AwayTeam]:[AwayTeam]], $A37, Table1[[HomeTeam]:[HomeTeam]], AE$36, Table1[[ActualResult]:[ActualResult]], "SO") + SUMIFS(Table1[[AwayWon]:[AwayWon]], Table1[[GameIsOver]:[GameIsOver]], 1, Table1[[HomeTeam]:[HomeTeam]], $A37, Table1[[AwayTeam]:[AwayTeam]], AE$36, Table1[[ActualResult]:[ActualResult]], "SO")))/ (2*((COUNTIFS(Table1[[GameIsOver]:[GameIsOver]],1,Table1[[AwayTeam]:[AwayTeam]],$A37, Table1[[HomeTeam]:[HomeTeam]], AE$36)))+( COUNTIFS(Table1[[GameIsOver]:[GameIsOver]],1,Table1[[AwayTeam]:[AwayTeam]],AE$36, Table1[[HomeTeam]:[HomeTeam]],$A37))), "")</f>
        <v/>
      </c>
      <c r="AF37" s="50" t="str">
        <f>IFERROR(((2 * (SUMIFS(Table1[[AwayWon]:[AwayWon]], Table1[[GameIsOver]:[GameIsOver]], 1, Table1[[AwayTeam]:[AwayTeam]], $A37, Table1[[HomeTeam]:[HomeTeam]], AF$36) + SUMIFS(Table1[[HomeWon]:[HomeWon]], Table1[[GameIsOver]:[GameIsOver]], 1, Table1[[HomeTeam]:[HomeTeam]], $A37, Table1[[AwayTeam]:[AwayTeam]], AF$36))) + (SUMIFS(Table1[[HomeWon]:[HomeWon]], Table1[[GameIsOver]:[GameIsOver]], 1, Table1[[AwayTeam]:[AwayTeam]], $A37, Table1[[HomeTeam]:[HomeTeam]],  AF$36, Table1[[ActualResult]:[ActualResult]], "OT") + SUMIFS(Table1[[AwayWon]:[AwayWon]], Table1[[GameIsOver]:[GameIsOver]], 1, Table1[[HomeTeam]:[HomeTeam]], $A37, Table1[[AwayTeam]:[AwayTeam]], AF$36, Table1[[ActualResult]:[ActualResult]], "OT") + SUMIFS(Table1[[HomeWon]:[HomeWon]], Table1[[GameIsOver]:[GameIsOver]], 1, Table1[[AwayTeam]:[AwayTeam]], $A37, Table1[[HomeTeam]:[HomeTeam]], AF$36, Table1[[ActualResult]:[ActualResult]], "SO") + SUMIFS(Table1[[AwayWon]:[AwayWon]], Table1[[GameIsOver]:[GameIsOver]], 1, Table1[[HomeTeam]:[HomeTeam]], $A37, Table1[[AwayTeam]:[AwayTeam]], AF$36, Table1[[ActualResult]:[ActualResult]], "SO")))/ (2*((COUNTIFS(Table1[[GameIsOver]:[GameIsOver]],1,Table1[[AwayTeam]:[AwayTeam]],$A37, Table1[[HomeTeam]:[HomeTeam]], AF$36)))+( COUNTIFS(Table1[[GameIsOver]:[GameIsOver]],1,Table1[[AwayTeam]:[AwayTeam]],AF$36, Table1[[HomeTeam]:[HomeTeam]],$A37))), "")</f>
        <v/>
      </c>
      <c r="AG37" s="50" t="str">
        <f>IFERROR(((2 * (SUMIFS(Table1[[AwayWon]:[AwayWon]], Table1[[GameIsOver]:[GameIsOver]], 1, Table1[[AwayTeam]:[AwayTeam]], $A37, Table1[[HomeTeam]:[HomeTeam]], AG$36) + SUMIFS(Table1[[HomeWon]:[HomeWon]], Table1[[GameIsOver]:[GameIsOver]], 1, Table1[[HomeTeam]:[HomeTeam]], $A37, Table1[[AwayTeam]:[AwayTeam]], AG$36))) + (SUMIFS(Table1[[HomeWon]:[HomeWon]], Table1[[GameIsOver]:[GameIsOver]], 1, Table1[[AwayTeam]:[AwayTeam]], $A37, Table1[[HomeTeam]:[HomeTeam]],  AG$36, Table1[[ActualResult]:[ActualResult]], "OT") + SUMIFS(Table1[[AwayWon]:[AwayWon]], Table1[[GameIsOver]:[GameIsOver]], 1, Table1[[HomeTeam]:[HomeTeam]], $A37, Table1[[AwayTeam]:[AwayTeam]], AG$36, Table1[[ActualResult]:[ActualResult]], "OT") + SUMIFS(Table1[[HomeWon]:[HomeWon]], Table1[[GameIsOver]:[GameIsOver]], 1, Table1[[AwayTeam]:[AwayTeam]], $A37, Table1[[HomeTeam]:[HomeTeam]], AG$36, Table1[[ActualResult]:[ActualResult]], "SO") + SUMIFS(Table1[[AwayWon]:[AwayWon]], Table1[[GameIsOver]:[GameIsOver]], 1, Table1[[HomeTeam]:[HomeTeam]], $A37, Table1[[AwayTeam]:[AwayTeam]], AG$36, Table1[[ActualResult]:[ActualResult]], "SO")))/ (2*((COUNTIFS(Table1[[GameIsOver]:[GameIsOver]],1,Table1[[AwayTeam]:[AwayTeam]],$A37, Table1[[HomeTeam]:[HomeTeam]], AG$36)))+( COUNTIFS(Table1[[GameIsOver]:[GameIsOver]],1,Table1[[AwayTeam]:[AwayTeam]],AG$36, Table1[[HomeTeam]:[HomeTeam]],$A37))), "")</f>
        <v/>
      </c>
      <c r="AH37" s="51" t="e">
        <f>AVERAGE($R37:$AG37)</f>
        <v>#DIV/0!</v>
      </c>
      <c r="AI37" s="51">
        <f>AVERAGE($B37:$Q37)</f>
        <v>2</v>
      </c>
      <c r="AJ37" s="52" t="e">
        <f>AVERAGE($Z37:$AG37)</f>
        <v>#DIV/0!</v>
      </c>
      <c r="AK37" s="52" t="e">
        <f>AVERAGE($R37:$Y37)</f>
        <v>#DIV/0!</v>
      </c>
      <c r="AL37" s="52" t="e">
        <f>AVERAGE($J37:$Q37)</f>
        <v>#DIV/0!</v>
      </c>
      <c r="AM37" s="52">
        <f>AVERAGE($B37:$I37)</f>
        <v>2</v>
      </c>
    </row>
    <row r="38" spans="1:39" x14ac:dyDescent="0.25">
      <c r="A38" s="28" t="s">
        <v>39</v>
      </c>
      <c r="B38" s="50">
        <f>IFERROR(((2 * (SUMIFS(Table1[[AwayWon]:[AwayWon]], Table1[[GameIsOver]:[GameIsOver]], 1, Table1[[AwayTeam]:[AwayTeam]], $A38, Table1[[HomeTeam]:[HomeTeam]], B$36) + SUMIFS(Table1[[HomeWon]:[HomeWon]], Table1[[GameIsOver]:[GameIsOver]], 1, Table1[[HomeTeam]:[HomeTeam]], $A38, Table1[[AwayTeam]:[AwayTeam]], B$36))) + (SUMIFS(Table1[[HomeWon]:[HomeWon]], Table1[[GameIsOver]:[GameIsOver]], 1, Table1[[AwayTeam]:[AwayTeam]], $A38, Table1[[HomeTeam]:[HomeTeam]],  B$36, Table1[[ActualResult]:[ActualResult]], "OT") + SUMIFS(Table1[[AwayWon]:[AwayWon]], Table1[[GameIsOver]:[GameIsOver]], 1, Table1[[HomeTeam]:[HomeTeam]], $A38, Table1[[AwayTeam]:[AwayTeam]], B$36, Table1[[ActualResult]:[ActualResult]], "OT") + SUMIFS(Table1[[HomeWon]:[HomeWon]], Table1[[GameIsOver]:[GameIsOver]], 1, Table1[[AwayTeam]:[AwayTeam]], $A38, Table1[[HomeTeam]:[HomeTeam]], B$36, Table1[[ActualResult]:[ActualResult]], "SO") + SUMIFS(Table1[[AwayWon]:[AwayWon]], Table1[[GameIsOver]:[GameIsOver]], 1, Table1[[HomeTeam]:[HomeTeam]], $A38, Table1[[AwayTeam]:[AwayTeam]], B$36, Table1[[ActualResult]:[ActualResult]], "SO")))/ (2*((COUNTIFS(Table1[[GameIsOver]:[GameIsOver]],1,Table1[[AwayTeam]:[AwayTeam]],$A38, Table1[[HomeTeam]:[HomeTeam]], B$36)))+( COUNTIFS(Table1[[GameIsOver]:[GameIsOver]],1,Table1[[AwayTeam]:[AwayTeam]],B$36, Table1[[HomeTeam]:[HomeTeam]],$A38))), "")</f>
        <v>0.5</v>
      </c>
      <c r="C38" s="50" t="str">
        <f>IFERROR(((2 * (SUMIFS(Table1[[AwayWon]:[AwayWon]], Table1[[GameIsOver]:[GameIsOver]], 1, Table1[[AwayTeam]:[AwayTeam]], $A38, Table1[[HomeTeam]:[HomeTeam]], C$36) + SUMIFS(Table1[[HomeWon]:[HomeWon]], Table1[[GameIsOver]:[GameIsOver]], 1, Table1[[HomeTeam]:[HomeTeam]], $A38, Table1[[AwayTeam]:[AwayTeam]], C$36))) + (SUMIFS(Table1[[HomeWon]:[HomeWon]], Table1[[GameIsOver]:[GameIsOver]], 1, Table1[[AwayTeam]:[AwayTeam]], $A38, Table1[[HomeTeam]:[HomeTeam]],  C$36, Table1[[ActualResult]:[ActualResult]], "OT") + SUMIFS(Table1[[AwayWon]:[AwayWon]], Table1[[GameIsOver]:[GameIsOver]], 1, Table1[[HomeTeam]:[HomeTeam]], $A38, Table1[[AwayTeam]:[AwayTeam]], C$36, Table1[[ActualResult]:[ActualResult]], "OT") + SUMIFS(Table1[[HomeWon]:[HomeWon]], Table1[[GameIsOver]:[GameIsOver]], 1, Table1[[AwayTeam]:[AwayTeam]], $A38, Table1[[HomeTeam]:[HomeTeam]], C$36, Table1[[ActualResult]:[ActualResult]], "SO") + SUMIFS(Table1[[AwayWon]:[AwayWon]], Table1[[GameIsOver]:[GameIsOver]], 1, Table1[[HomeTeam]:[HomeTeam]], $A38, Table1[[AwayTeam]:[AwayTeam]], C$36, Table1[[ActualResult]:[ActualResult]], "SO")))/ (2*((COUNTIFS(Table1[[GameIsOver]:[GameIsOver]],1,Table1[[AwayTeam]:[AwayTeam]],$A38, Table1[[HomeTeam]:[HomeTeam]], C$36)))+( COUNTIFS(Table1[[GameIsOver]:[GameIsOver]],1,Table1[[AwayTeam]:[AwayTeam]],C$36, Table1[[HomeTeam]:[HomeTeam]],$A38))), "")</f>
        <v/>
      </c>
      <c r="D38" s="50" t="str">
        <f>IFERROR(((2 * (SUMIFS(Table1[[AwayWon]:[AwayWon]], Table1[[GameIsOver]:[GameIsOver]], 1, Table1[[AwayTeam]:[AwayTeam]], $A38, Table1[[HomeTeam]:[HomeTeam]], D$36) + SUMIFS(Table1[[HomeWon]:[HomeWon]], Table1[[GameIsOver]:[GameIsOver]], 1, Table1[[HomeTeam]:[HomeTeam]], $A38, Table1[[AwayTeam]:[AwayTeam]], D$36))) + (SUMIFS(Table1[[HomeWon]:[HomeWon]], Table1[[GameIsOver]:[GameIsOver]], 1, Table1[[AwayTeam]:[AwayTeam]], $A38, Table1[[HomeTeam]:[HomeTeam]],  D$36, Table1[[ActualResult]:[ActualResult]], "OT") + SUMIFS(Table1[[AwayWon]:[AwayWon]], Table1[[GameIsOver]:[GameIsOver]], 1, Table1[[HomeTeam]:[HomeTeam]], $A38, Table1[[AwayTeam]:[AwayTeam]], D$36, Table1[[ActualResult]:[ActualResult]], "OT") + SUMIFS(Table1[[HomeWon]:[HomeWon]], Table1[[GameIsOver]:[GameIsOver]], 1, Table1[[AwayTeam]:[AwayTeam]], $A38, Table1[[HomeTeam]:[HomeTeam]], D$36, Table1[[ActualResult]:[ActualResult]], "SO") + SUMIFS(Table1[[AwayWon]:[AwayWon]], Table1[[GameIsOver]:[GameIsOver]], 1, Table1[[HomeTeam]:[HomeTeam]], $A38, Table1[[AwayTeam]:[AwayTeam]], D$36, Table1[[ActualResult]:[ActualResult]], "SO")))/ (2*((COUNTIFS(Table1[[GameIsOver]:[GameIsOver]],1,Table1[[AwayTeam]:[AwayTeam]],$A38, Table1[[HomeTeam]:[HomeTeam]], D$36)))+( COUNTIFS(Table1[[GameIsOver]:[GameIsOver]],1,Table1[[AwayTeam]:[AwayTeam]],D$36, Table1[[HomeTeam]:[HomeTeam]],$A38))), "")</f>
        <v/>
      </c>
      <c r="E38" s="50" t="str">
        <f>IFERROR(((2 * (SUMIFS(Table1[[AwayWon]:[AwayWon]], Table1[[GameIsOver]:[GameIsOver]], 1, Table1[[AwayTeam]:[AwayTeam]], $A38, Table1[[HomeTeam]:[HomeTeam]], E$36) + SUMIFS(Table1[[HomeWon]:[HomeWon]], Table1[[GameIsOver]:[GameIsOver]], 1, Table1[[HomeTeam]:[HomeTeam]], $A38, Table1[[AwayTeam]:[AwayTeam]], E$36))) + (SUMIFS(Table1[[HomeWon]:[HomeWon]], Table1[[GameIsOver]:[GameIsOver]], 1, Table1[[AwayTeam]:[AwayTeam]], $A38, Table1[[HomeTeam]:[HomeTeam]],  E$36, Table1[[ActualResult]:[ActualResult]], "OT") + SUMIFS(Table1[[AwayWon]:[AwayWon]], Table1[[GameIsOver]:[GameIsOver]], 1, Table1[[HomeTeam]:[HomeTeam]], $A38, Table1[[AwayTeam]:[AwayTeam]], E$36, Table1[[ActualResult]:[ActualResult]], "OT") + SUMIFS(Table1[[HomeWon]:[HomeWon]], Table1[[GameIsOver]:[GameIsOver]], 1, Table1[[AwayTeam]:[AwayTeam]], $A38, Table1[[HomeTeam]:[HomeTeam]], E$36, Table1[[ActualResult]:[ActualResult]], "SO") + SUMIFS(Table1[[AwayWon]:[AwayWon]], Table1[[GameIsOver]:[GameIsOver]], 1, Table1[[HomeTeam]:[HomeTeam]], $A38, Table1[[AwayTeam]:[AwayTeam]], E$36, Table1[[ActualResult]:[ActualResult]], "SO")))/ (2*((COUNTIFS(Table1[[GameIsOver]:[GameIsOver]],1,Table1[[AwayTeam]:[AwayTeam]],$A38, Table1[[HomeTeam]:[HomeTeam]], E$36)))+( COUNTIFS(Table1[[GameIsOver]:[GameIsOver]],1,Table1[[AwayTeam]:[AwayTeam]],E$36, Table1[[HomeTeam]:[HomeTeam]],$A38))), "")</f>
        <v/>
      </c>
      <c r="F38" s="50" t="str">
        <f>IFERROR(((2 * (SUMIFS(Table1[[AwayWon]:[AwayWon]], Table1[[GameIsOver]:[GameIsOver]], 1, Table1[[AwayTeam]:[AwayTeam]], $A38, Table1[[HomeTeam]:[HomeTeam]], F$36) + SUMIFS(Table1[[HomeWon]:[HomeWon]], Table1[[GameIsOver]:[GameIsOver]], 1, Table1[[HomeTeam]:[HomeTeam]], $A38, Table1[[AwayTeam]:[AwayTeam]], F$36))) + (SUMIFS(Table1[[HomeWon]:[HomeWon]], Table1[[GameIsOver]:[GameIsOver]], 1, Table1[[AwayTeam]:[AwayTeam]], $A38, Table1[[HomeTeam]:[HomeTeam]],  F$36, Table1[[ActualResult]:[ActualResult]], "OT") + SUMIFS(Table1[[AwayWon]:[AwayWon]], Table1[[GameIsOver]:[GameIsOver]], 1, Table1[[HomeTeam]:[HomeTeam]], $A38, Table1[[AwayTeam]:[AwayTeam]], F$36, Table1[[ActualResult]:[ActualResult]], "OT") + SUMIFS(Table1[[HomeWon]:[HomeWon]], Table1[[GameIsOver]:[GameIsOver]], 1, Table1[[AwayTeam]:[AwayTeam]], $A38, Table1[[HomeTeam]:[HomeTeam]], F$36, Table1[[ActualResult]:[ActualResult]], "SO") + SUMIFS(Table1[[AwayWon]:[AwayWon]], Table1[[GameIsOver]:[GameIsOver]], 1, Table1[[HomeTeam]:[HomeTeam]], $A38, Table1[[AwayTeam]:[AwayTeam]], F$36, Table1[[ActualResult]:[ActualResult]], "SO")))/ (2*((COUNTIFS(Table1[[GameIsOver]:[GameIsOver]],1,Table1[[AwayTeam]:[AwayTeam]],$A38, Table1[[HomeTeam]:[HomeTeam]], F$36)))+( COUNTIFS(Table1[[GameIsOver]:[GameIsOver]],1,Table1[[AwayTeam]:[AwayTeam]],F$36, Table1[[HomeTeam]:[HomeTeam]],$A38))), "")</f>
        <v/>
      </c>
      <c r="G38" s="50" t="str">
        <f>IFERROR(((2 * (SUMIFS(Table1[[AwayWon]:[AwayWon]], Table1[[GameIsOver]:[GameIsOver]], 1, Table1[[AwayTeam]:[AwayTeam]], $A38, Table1[[HomeTeam]:[HomeTeam]], G$36) + SUMIFS(Table1[[HomeWon]:[HomeWon]], Table1[[GameIsOver]:[GameIsOver]], 1, Table1[[HomeTeam]:[HomeTeam]], $A38, Table1[[AwayTeam]:[AwayTeam]], G$36))) + (SUMIFS(Table1[[HomeWon]:[HomeWon]], Table1[[GameIsOver]:[GameIsOver]], 1, Table1[[AwayTeam]:[AwayTeam]], $A38, Table1[[HomeTeam]:[HomeTeam]],  G$36, Table1[[ActualResult]:[ActualResult]], "OT") + SUMIFS(Table1[[AwayWon]:[AwayWon]], Table1[[GameIsOver]:[GameIsOver]], 1, Table1[[HomeTeam]:[HomeTeam]], $A38, Table1[[AwayTeam]:[AwayTeam]], G$36, Table1[[ActualResult]:[ActualResult]], "OT") + SUMIFS(Table1[[HomeWon]:[HomeWon]], Table1[[GameIsOver]:[GameIsOver]], 1, Table1[[AwayTeam]:[AwayTeam]], $A38, Table1[[HomeTeam]:[HomeTeam]], G$36, Table1[[ActualResult]:[ActualResult]], "SO") + SUMIFS(Table1[[AwayWon]:[AwayWon]], Table1[[GameIsOver]:[GameIsOver]], 1, Table1[[HomeTeam]:[HomeTeam]], $A38, Table1[[AwayTeam]:[AwayTeam]], G$36, Table1[[ActualResult]:[ActualResult]], "SO")))/ (2*((COUNTIFS(Table1[[GameIsOver]:[GameIsOver]],1,Table1[[AwayTeam]:[AwayTeam]],$A38, Table1[[HomeTeam]:[HomeTeam]], G$36)))+( COUNTIFS(Table1[[GameIsOver]:[GameIsOver]],1,Table1[[AwayTeam]:[AwayTeam]],G$36, Table1[[HomeTeam]:[HomeTeam]],$A38))), "")</f>
        <v/>
      </c>
      <c r="H38" s="50" t="str">
        <f>IFERROR(((2 * (SUMIFS(Table1[[AwayWon]:[AwayWon]], Table1[[GameIsOver]:[GameIsOver]], 1, Table1[[AwayTeam]:[AwayTeam]], $A38, Table1[[HomeTeam]:[HomeTeam]], H$36) + SUMIFS(Table1[[HomeWon]:[HomeWon]], Table1[[GameIsOver]:[GameIsOver]], 1, Table1[[HomeTeam]:[HomeTeam]], $A38, Table1[[AwayTeam]:[AwayTeam]], H$36))) + (SUMIFS(Table1[[HomeWon]:[HomeWon]], Table1[[GameIsOver]:[GameIsOver]], 1, Table1[[AwayTeam]:[AwayTeam]], $A38, Table1[[HomeTeam]:[HomeTeam]],  H$36, Table1[[ActualResult]:[ActualResult]], "OT") + SUMIFS(Table1[[AwayWon]:[AwayWon]], Table1[[GameIsOver]:[GameIsOver]], 1, Table1[[HomeTeam]:[HomeTeam]], $A38, Table1[[AwayTeam]:[AwayTeam]], H$36, Table1[[ActualResult]:[ActualResult]], "OT") + SUMIFS(Table1[[HomeWon]:[HomeWon]], Table1[[GameIsOver]:[GameIsOver]], 1, Table1[[AwayTeam]:[AwayTeam]], $A38, Table1[[HomeTeam]:[HomeTeam]], H$36, Table1[[ActualResult]:[ActualResult]], "SO") + SUMIFS(Table1[[AwayWon]:[AwayWon]], Table1[[GameIsOver]:[GameIsOver]], 1, Table1[[HomeTeam]:[HomeTeam]], $A38, Table1[[AwayTeam]:[AwayTeam]], H$36, Table1[[ActualResult]:[ActualResult]], "SO")))/ (2*((COUNTIFS(Table1[[GameIsOver]:[GameIsOver]],1,Table1[[AwayTeam]:[AwayTeam]],$A38, Table1[[HomeTeam]:[HomeTeam]], H$36)))+( COUNTIFS(Table1[[GameIsOver]:[GameIsOver]],1,Table1[[AwayTeam]:[AwayTeam]],H$36, Table1[[HomeTeam]:[HomeTeam]],$A38))), "")</f>
        <v/>
      </c>
      <c r="I38" s="52" t="str">
        <f>IFERROR(((2 * (SUMIFS(Table1[[AwayWon]:[AwayWon]], Table1[[GameIsOver]:[GameIsOver]], 1, Table1[[AwayTeam]:[AwayTeam]], $A38, Table1[[HomeTeam]:[HomeTeam]], I$36) + SUMIFS(Table1[[HomeWon]:[HomeWon]], Table1[[GameIsOver]:[GameIsOver]], 1, Table1[[HomeTeam]:[HomeTeam]], $A38, Table1[[AwayTeam]:[AwayTeam]], I$36))) + (SUMIFS(Table1[[HomeWon]:[HomeWon]], Table1[[GameIsOver]:[GameIsOver]], 1, Table1[[AwayTeam]:[AwayTeam]], $A38, Table1[[HomeTeam]:[HomeTeam]],  I$36, Table1[[ActualResult]:[ActualResult]], "OT") + SUMIFS(Table1[[AwayWon]:[AwayWon]], Table1[[GameIsOver]:[GameIsOver]], 1, Table1[[HomeTeam]:[HomeTeam]], $A38, Table1[[AwayTeam]:[AwayTeam]], I$36, Table1[[ActualResult]:[ActualResult]], "OT") + SUMIFS(Table1[[HomeWon]:[HomeWon]], Table1[[GameIsOver]:[GameIsOver]], 1, Table1[[AwayTeam]:[AwayTeam]], $A38, Table1[[HomeTeam]:[HomeTeam]], I$36, Table1[[ActualResult]:[ActualResult]], "SO") + SUMIFS(Table1[[AwayWon]:[AwayWon]], Table1[[GameIsOver]:[GameIsOver]], 1, Table1[[HomeTeam]:[HomeTeam]], $A38, Table1[[AwayTeam]:[AwayTeam]], I$36, Table1[[ActualResult]:[ActualResult]], "SO")))/ (2*((COUNTIFS(Table1[[GameIsOver]:[GameIsOver]],1,Table1[[AwayTeam]:[AwayTeam]],$A38, Table1[[HomeTeam]:[HomeTeam]], I$36)))+( COUNTIFS(Table1[[GameIsOver]:[GameIsOver]],1,Table1[[AwayTeam]:[AwayTeam]],I$36, Table1[[HomeTeam]:[HomeTeam]],$A38))), "")</f>
        <v/>
      </c>
      <c r="J38" s="50" t="str">
        <f>IFERROR(((2 * (SUMIFS(Table1[[AwayWon]:[AwayWon]], Table1[[GameIsOver]:[GameIsOver]], 1, Table1[[AwayTeam]:[AwayTeam]], $A38, Table1[[HomeTeam]:[HomeTeam]], J$36) + SUMIFS(Table1[[HomeWon]:[HomeWon]], Table1[[GameIsOver]:[GameIsOver]], 1, Table1[[HomeTeam]:[HomeTeam]], $A38, Table1[[AwayTeam]:[AwayTeam]], J$36))) + (SUMIFS(Table1[[HomeWon]:[HomeWon]], Table1[[GameIsOver]:[GameIsOver]], 1, Table1[[AwayTeam]:[AwayTeam]], $A38, Table1[[HomeTeam]:[HomeTeam]],  J$36, Table1[[ActualResult]:[ActualResult]], "OT") + SUMIFS(Table1[[AwayWon]:[AwayWon]], Table1[[GameIsOver]:[GameIsOver]], 1, Table1[[HomeTeam]:[HomeTeam]], $A38, Table1[[AwayTeam]:[AwayTeam]], J$36, Table1[[ActualResult]:[ActualResult]], "OT") + SUMIFS(Table1[[HomeWon]:[HomeWon]], Table1[[GameIsOver]:[GameIsOver]], 1, Table1[[AwayTeam]:[AwayTeam]], $A38, Table1[[HomeTeam]:[HomeTeam]], J$36, Table1[[ActualResult]:[ActualResult]], "SO") + SUMIFS(Table1[[AwayWon]:[AwayWon]], Table1[[GameIsOver]:[GameIsOver]], 1, Table1[[HomeTeam]:[HomeTeam]], $A38, Table1[[AwayTeam]:[AwayTeam]], J$36, Table1[[ActualResult]:[ActualResult]], "SO")))/ (2*((COUNTIFS(Table1[[GameIsOver]:[GameIsOver]],1,Table1[[AwayTeam]:[AwayTeam]],$A38, Table1[[HomeTeam]:[HomeTeam]], J$36)))+( COUNTIFS(Table1[[GameIsOver]:[GameIsOver]],1,Table1[[AwayTeam]:[AwayTeam]],J$36, Table1[[HomeTeam]:[HomeTeam]],$A38))), "")</f>
        <v/>
      </c>
      <c r="K38" s="50" t="str">
        <f>IFERROR(((2 * (SUMIFS(Table1[[AwayWon]:[AwayWon]], Table1[[GameIsOver]:[GameIsOver]], 1, Table1[[AwayTeam]:[AwayTeam]], $A38, Table1[[HomeTeam]:[HomeTeam]], K$36) + SUMIFS(Table1[[HomeWon]:[HomeWon]], Table1[[GameIsOver]:[GameIsOver]], 1, Table1[[HomeTeam]:[HomeTeam]], $A38, Table1[[AwayTeam]:[AwayTeam]], K$36))) + (SUMIFS(Table1[[HomeWon]:[HomeWon]], Table1[[GameIsOver]:[GameIsOver]], 1, Table1[[AwayTeam]:[AwayTeam]], $A38, Table1[[HomeTeam]:[HomeTeam]],  K$36, Table1[[ActualResult]:[ActualResult]], "OT") + SUMIFS(Table1[[AwayWon]:[AwayWon]], Table1[[GameIsOver]:[GameIsOver]], 1, Table1[[HomeTeam]:[HomeTeam]], $A38, Table1[[AwayTeam]:[AwayTeam]], K$36, Table1[[ActualResult]:[ActualResult]], "OT") + SUMIFS(Table1[[HomeWon]:[HomeWon]], Table1[[GameIsOver]:[GameIsOver]], 1, Table1[[AwayTeam]:[AwayTeam]], $A38, Table1[[HomeTeam]:[HomeTeam]], K$36, Table1[[ActualResult]:[ActualResult]], "SO") + SUMIFS(Table1[[AwayWon]:[AwayWon]], Table1[[GameIsOver]:[GameIsOver]], 1, Table1[[HomeTeam]:[HomeTeam]], $A38, Table1[[AwayTeam]:[AwayTeam]], K$36, Table1[[ActualResult]:[ActualResult]], "SO")))/ (2*((COUNTIFS(Table1[[GameIsOver]:[GameIsOver]],1,Table1[[AwayTeam]:[AwayTeam]],$A38, Table1[[HomeTeam]:[HomeTeam]], K$36)))+( COUNTIFS(Table1[[GameIsOver]:[GameIsOver]],1,Table1[[AwayTeam]:[AwayTeam]],K$36, Table1[[HomeTeam]:[HomeTeam]],$A38))), "")</f>
        <v/>
      </c>
      <c r="L38" s="50" t="str">
        <f>IFERROR(((2 * (SUMIFS(Table1[[AwayWon]:[AwayWon]], Table1[[GameIsOver]:[GameIsOver]], 1, Table1[[AwayTeam]:[AwayTeam]], $A38, Table1[[HomeTeam]:[HomeTeam]], L$36) + SUMIFS(Table1[[HomeWon]:[HomeWon]], Table1[[GameIsOver]:[GameIsOver]], 1, Table1[[HomeTeam]:[HomeTeam]], $A38, Table1[[AwayTeam]:[AwayTeam]], L$36))) + (SUMIFS(Table1[[HomeWon]:[HomeWon]], Table1[[GameIsOver]:[GameIsOver]], 1, Table1[[AwayTeam]:[AwayTeam]], $A38, Table1[[HomeTeam]:[HomeTeam]],  L$36, Table1[[ActualResult]:[ActualResult]], "OT") + SUMIFS(Table1[[AwayWon]:[AwayWon]], Table1[[GameIsOver]:[GameIsOver]], 1, Table1[[HomeTeam]:[HomeTeam]], $A38, Table1[[AwayTeam]:[AwayTeam]], L$36, Table1[[ActualResult]:[ActualResult]], "OT") + SUMIFS(Table1[[HomeWon]:[HomeWon]], Table1[[GameIsOver]:[GameIsOver]], 1, Table1[[AwayTeam]:[AwayTeam]], $A38, Table1[[HomeTeam]:[HomeTeam]], L$36, Table1[[ActualResult]:[ActualResult]], "SO") + SUMIFS(Table1[[AwayWon]:[AwayWon]], Table1[[GameIsOver]:[GameIsOver]], 1, Table1[[HomeTeam]:[HomeTeam]], $A38, Table1[[AwayTeam]:[AwayTeam]], L$36, Table1[[ActualResult]:[ActualResult]], "SO")))/ (2*((COUNTIFS(Table1[[GameIsOver]:[GameIsOver]],1,Table1[[AwayTeam]:[AwayTeam]],$A38, Table1[[HomeTeam]:[HomeTeam]], L$36)))+( COUNTIFS(Table1[[GameIsOver]:[GameIsOver]],1,Table1[[AwayTeam]:[AwayTeam]],L$36, Table1[[HomeTeam]:[HomeTeam]],$A38))), "")</f>
        <v/>
      </c>
      <c r="M38" s="50" t="str">
        <f>IFERROR(((2 * (SUMIFS(Table1[[AwayWon]:[AwayWon]], Table1[[GameIsOver]:[GameIsOver]], 1, Table1[[AwayTeam]:[AwayTeam]], $A38, Table1[[HomeTeam]:[HomeTeam]], M$36) + SUMIFS(Table1[[HomeWon]:[HomeWon]], Table1[[GameIsOver]:[GameIsOver]], 1, Table1[[HomeTeam]:[HomeTeam]], $A38, Table1[[AwayTeam]:[AwayTeam]], M$36))) + (SUMIFS(Table1[[HomeWon]:[HomeWon]], Table1[[GameIsOver]:[GameIsOver]], 1, Table1[[AwayTeam]:[AwayTeam]], $A38, Table1[[HomeTeam]:[HomeTeam]],  M$36, Table1[[ActualResult]:[ActualResult]], "OT") + SUMIFS(Table1[[AwayWon]:[AwayWon]], Table1[[GameIsOver]:[GameIsOver]], 1, Table1[[HomeTeam]:[HomeTeam]], $A38, Table1[[AwayTeam]:[AwayTeam]], M$36, Table1[[ActualResult]:[ActualResult]], "OT") + SUMIFS(Table1[[HomeWon]:[HomeWon]], Table1[[GameIsOver]:[GameIsOver]], 1, Table1[[AwayTeam]:[AwayTeam]], $A38, Table1[[HomeTeam]:[HomeTeam]], M$36, Table1[[ActualResult]:[ActualResult]], "SO") + SUMIFS(Table1[[AwayWon]:[AwayWon]], Table1[[GameIsOver]:[GameIsOver]], 1, Table1[[HomeTeam]:[HomeTeam]], $A38, Table1[[AwayTeam]:[AwayTeam]], M$36, Table1[[ActualResult]:[ActualResult]], "SO")))/ (2*((COUNTIFS(Table1[[GameIsOver]:[GameIsOver]],1,Table1[[AwayTeam]:[AwayTeam]],$A38, Table1[[HomeTeam]:[HomeTeam]], M$36)))+( COUNTIFS(Table1[[GameIsOver]:[GameIsOver]],1,Table1[[AwayTeam]:[AwayTeam]],M$36, Table1[[HomeTeam]:[HomeTeam]],$A38))), "")</f>
        <v/>
      </c>
      <c r="N38" s="50" t="str">
        <f>IFERROR(((2 * (SUMIFS(Table1[[AwayWon]:[AwayWon]], Table1[[GameIsOver]:[GameIsOver]], 1, Table1[[AwayTeam]:[AwayTeam]], $A38, Table1[[HomeTeam]:[HomeTeam]], N$36) + SUMIFS(Table1[[HomeWon]:[HomeWon]], Table1[[GameIsOver]:[GameIsOver]], 1, Table1[[HomeTeam]:[HomeTeam]], $A38, Table1[[AwayTeam]:[AwayTeam]], N$36))) + (SUMIFS(Table1[[HomeWon]:[HomeWon]], Table1[[GameIsOver]:[GameIsOver]], 1, Table1[[AwayTeam]:[AwayTeam]], $A38, Table1[[HomeTeam]:[HomeTeam]],  N$36, Table1[[ActualResult]:[ActualResult]], "OT") + SUMIFS(Table1[[AwayWon]:[AwayWon]], Table1[[GameIsOver]:[GameIsOver]], 1, Table1[[HomeTeam]:[HomeTeam]], $A38, Table1[[AwayTeam]:[AwayTeam]], N$36, Table1[[ActualResult]:[ActualResult]], "OT") + SUMIFS(Table1[[HomeWon]:[HomeWon]], Table1[[GameIsOver]:[GameIsOver]], 1, Table1[[AwayTeam]:[AwayTeam]], $A38, Table1[[HomeTeam]:[HomeTeam]], N$36, Table1[[ActualResult]:[ActualResult]], "SO") + SUMIFS(Table1[[AwayWon]:[AwayWon]], Table1[[GameIsOver]:[GameIsOver]], 1, Table1[[HomeTeam]:[HomeTeam]], $A38, Table1[[AwayTeam]:[AwayTeam]], N$36, Table1[[ActualResult]:[ActualResult]], "SO")))/ (2*((COUNTIFS(Table1[[GameIsOver]:[GameIsOver]],1,Table1[[AwayTeam]:[AwayTeam]],$A38, Table1[[HomeTeam]:[HomeTeam]], N$36)))+( COUNTIFS(Table1[[GameIsOver]:[GameIsOver]],1,Table1[[AwayTeam]:[AwayTeam]],N$36, Table1[[HomeTeam]:[HomeTeam]],$A38))), "")</f>
        <v/>
      </c>
      <c r="O38" s="50" t="str">
        <f>IFERROR(((2 * (SUMIFS(Table1[[AwayWon]:[AwayWon]], Table1[[GameIsOver]:[GameIsOver]], 1, Table1[[AwayTeam]:[AwayTeam]], $A38, Table1[[HomeTeam]:[HomeTeam]], O$36) + SUMIFS(Table1[[HomeWon]:[HomeWon]], Table1[[GameIsOver]:[GameIsOver]], 1, Table1[[HomeTeam]:[HomeTeam]], $A38, Table1[[AwayTeam]:[AwayTeam]], O$36))) + (SUMIFS(Table1[[HomeWon]:[HomeWon]], Table1[[GameIsOver]:[GameIsOver]], 1, Table1[[AwayTeam]:[AwayTeam]], $A38, Table1[[HomeTeam]:[HomeTeam]],  O$36, Table1[[ActualResult]:[ActualResult]], "OT") + SUMIFS(Table1[[AwayWon]:[AwayWon]], Table1[[GameIsOver]:[GameIsOver]], 1, Table1[[HomeTeam]:[HomeTeam]], $A38, Table1[[AwayTeam]:[AwayTeam]], O$36, Table1[[ActualResult]:[ActualResult]], "OT") + SUMIFS(Table1[[HomeWon]:[HomeWon]], Table1[[GameIsOver]:[GameIsOver]], 1, Table1[[AwayTeam]:[AwayTeam]], $A38, Table1[[HomeTeam]:[HomeTeam]], O$36, Table1[[ActualResult]:[ActualResult]], "SO") + SUMIFS(Table1[[AwayWon]:[AwayWon]], Table1[[GameIsOver]:[GameIsOver]], 1, Table1[[HomeTeam]:[HomeTeam]], $A38, Table1[[AwayTeam]:[AwayTeam]], O$36, Table1[[ActualResult]:[ActualResult]], "SO")))/ (2*((COUNTIFS(Table1[[GameIsOver]:[GameIsOver]],1,Table1[[AwayTeam]:[AwayTeam]],$A38, Table1[[HomeTeam]:[HomeTeam]], O$36)))+( COUNTIFS(Table1[[GameIsOver]:[GameIsOver]],1,Table1[[AwayTeam]:[AwayTeam]],O$36, Table1[[HomeTeam]:[HomeTeam]],$A38))), "")</f>
        <v/>
      </c>
      <c r="P38" s="50" t="str">
        <f>IFERROR(((2 * (SUMIFS(Table1[[AwayWon]:[AwayWon]], Table1[[GameIsOver]:[GameIsOver]], 1, Table1[[AwayTeam]:[AwayTeam]], $A38, Table1[[HomeTeam]:[HomeTeam]], P$36) + SUMIFS(Table1[[HomeWon]:[HomeWon]], Table1[[GameIsOver]:[GameIsOver]], 1, Table1[[HomeTeam]:[HomeTeam]], $A38, Table1[[AwayTeam]:[AwayTeam]], P$36))) + (SUMIFS(Table1[[HomeWon]:[HomeWon]], Table1[[GameIsOver]:[GameIsOver]], 1, Table1[[AwayTeam]:[AwayTeam]], $A38, Table1[[HomeTeam]:[HomeTeam]],  P$36, Table1[[ActualResult]:[ActualResult]], "OT") + SUMIFS(Table1[[AwayWon]:[AwayWon]], Table1[[GameIsOver]:[GameIsOver]], 1, Table1[[HomeTeam]:[HomeTeam]], $A38, Table1[[AwayTeam]:[AwayTeam]], P$36, Table1[[ActualResult]:[ActualResult]], "OT") + SUMIFS(Table1[[HomeWon]:[HomeWon]], Table1[[GameIsOver]:[GameIsOver]], 1, Table1[[AwayTeam]:[AwayTeam]], $A38, Table1[[HomeTeam]:[HomeTeam]], P$36, Table1[[ActualResult]:[ActualResult]], "SO") + SUMIFS(Table1[[AwayWon]:[AwayWon]], Table1[[GameIsOver]:[GameIsOver]], 1, Table1[[HomeTeam]:[HomeTeam]], $A38, Table1[[AwayTeam]:[AwayTeam]], P$36, Table1[[ActualResult]:[ActualResult]], "SO")))/ (2*((COUNTIFS(Table1[[GameIsOver]:[GameIsOver]],1,Table1[[AwayTeam]:[AwayTeam]],$A38, Table1[[HomeTeam]:[HomeTeam]], P$36)))+( COUNTIFS(Table1[[GameIsOver]:[GameIsOver]],1,Table1[[AwayTeam]:[AwayTeam]],P$36, Table1[[HomeTeam]:[HomeTeam]],$A38))), "")</f>
        <v/>
      </c>
      <c r="Q38" s="52">
        <f>IFERROR(((2 * (SUMIFS(Table1[[AwayWon]:[AwayWon]], Table1[[GameIsOver]:[GameIsOver]], 1, Table1[[AwayTeam]:[AwayTeam]], $A38, Table1[[HomeTeam]:[HomeTeam]], Q$36) + SUMIFS(Table1[[HomeWon]:[HomeWon]], Table1[[GameIsOver]:[GameIsOver]], 1, Table1[[HomeTeam]:[HomeTeam]], $A38, Table1[[AwayTeam]:[AwayTeam]], Q$36))) + (SUMIFS(Table1[[HomeWon]:[HomeWon]], Table1[[GameIsOver]:[GameIsOver]], 1, Table1[[AwayTeam]:[AwayTeam]], $A38, Table1[[HomeTeam]:[HomeTeam]],  Q$36, Table1[[ActualResult]:[ActualResult]], "OT") + SUMIFS(Table1[[AwayWon]:[AwayWon]], Table1[[GameIsOver]:[GameIsOver]], 1, Table1[[HomeTeam]:[HomeTeam]], $A38, Table1[[AwayTeam]:[AwayTeam]], Q$36, Table1[[ActualResult]:[ActualResult]], "OT") + SUMIFS(Table1[[HomeWon]:[HomeWon]], Table1[[GameIsOver]:[GameIsOver]], 1, Table1[[AwayTeam]:[AwayTeam]], $A38, Table1[[HomeTeam]:[HomeTeam]], Q$36, Table1[[ActualResult]:[ActualResult]], "SO") + SUMIFS(Table1[[AwayWon]:[AwayWon]], Table1[[GameIsOver]:[GameIsOver]], 1, Table1[[HomeTeam]:[HomeTeam]], $A38, Table1[[AwayTeam]:[AwayTeam]], Q$36, Table1[[ActualResult]:[ActualResult]], "SO")))/ (2*((COUNTIFS(Table1[[GameIsOver]:[GameIsOver]],1,Table1[[AwayTeam]:[AwayTeam]],$A38, Table1[[HomeTeam]:[HomeTeam]], Q$36)))+( COUNTIFS(Table1[[GameIsOver]:[GameIsOver]],1,Table1[[AwayTeam]:[AwayTeam]],Q$36, Table1[[HomeTeam]:[HomeTeam]],$A38))), "")</f>
        <v>1</v>
      </c>
      <c r="R38" s="50" t="str">
        <f>IFERROR(((2 * (SUMIFS(Table1[[AwayWon]:[AwayWon]], Table1[[GameIsOver]:[GameIsOver]], 1, Table1[[AwayTeam]:[AwayTeam]], $A38, Table1[[HomeTeam]:[HomeTeam]], R$36) + SUMIFS(Table1[[HomeWon]:[HomeWon]], Table1[[GameIsOver]:[GameIsOver]], 1, Table1[[HomeTeam]:[HomeTeam]], $A38, Table1[[AwayTeam]:[AwayTeam]], R$36))) + (SUMIFS(Table1[[HomeWon]:[HomeWon]], Table1[[GameIsOver]:[GameIsOver]], 1, Table1[[AwayTeam]:[AwayTeam]], $A38, Table1[[HomeTeam]:[HomeTeam]],  R$36, Table1[[ActualResult]:[ActualResult]], "OT") + SUMIFS(Table1[[AwayWon]:[AwayWon]], Table1[[GameIsOver]:[GameIsOver]], 1, Table1[[HomeTeam]:[HomeTeam]], $A38, Table1[[AwayTeam]:[AwayTeam]], R$36, Table1[[ActualResult]:[ActualResult]], "OT") + SUMIFS(Table1[[HomeWon]:[HomeWon]], Table1[[GameIsOver]:[GameIsOver]], 1, Table1[[AwayTeam]:[AwayTeam]], $A38, Table1[[HomeTeam]:[HomeTeam]], R$36, Table1[[ActualResult]:[ActualResult]], "SO") + SUMIFS(Table1[[AwayWon]:[AwayWon]], Table1[[GameIsOver]:[GameIsOver]], 1, Table1[[HomeTeam]:[HomeTeam]], $A38, Table1[[AwayTeam]:[AwayTeam]], R$36, Table1[[ActualResult]:[ActualResult]], "SO")))/ (2*((COUNTIFS(Table1[[GameIsOver]:[GameIsOver]],1,Table1[[AwayTeam]:[AwayTeam]],$A38, Table1[[HomeTeam]:[HomeTeam]], R$36)))+( COUNTIFS(Table1[[GameIsOver]:[GameIsOver]],1,Table1[[AwayTeam]:[AwayTeam]],R$36, Table1[[HomeTeam]:[HomeTeam]],$A38))), "")</f>
        <v/>
      </c>
      <c r="S38" s="50" t="str">
        <f>IFERROR(((2 * (SUMIFS(Table1[[AwayWon]:[AwayWon]], Table1[[GameIsOver]:[GameIsOver]], 1, Table1[[AwayTeam]:[AwayTeam]], $A38, Table1[[HomeTeam]:[HomeTeam]], S$36) + SUMIFS(Table1[[HomeWon]:[HomeWon]], Table1[[GameIsOver]:[GameIsOver]], 1, Table1[[HomeTeam]:[HomeTeam]], $A38, Table1[[AwayTeam]:[AwayTeam]], S$36))) + (SUMIFS(Table1[[HomeWon]:[HomeWon]], Table1[[GameIsOver]:[GameIsOver]], 1, Table1[[AwayTeam]:[AwayTeam]], $A38, Table1[[HomeTeam]:[HomeTeam]],  S$36, Table1[[ActualResult]:[ActualResult]], "OT") + SUMIFS(Table1[[AwayWon]:[AwayWon]], Table1[[GameIsOver]:[GameIsOver]], 1, Table1[[HomeTeam]:[HomeTeam]], $A38, Table1[[AwayTeam]:[AwayTeam]], S$36, Table1[[ActualResult]:[ActualResult]], "OT") + SUMIFS(Table1[[HomeWon]:[HomeWon]], Table1[[GameIsOver]:[GameIsOver]], 1, Table1[[AwayTeam]:[AwayTeam]], $A38, Table1[[HomeTeam]:[HomeTeam]], S$36, Table1[[ActualResult]:[ActualResult]], "SO") + SUMIFS(Table1[[AwayWon]:[AwayWon]], Table1[[GameIsOver]:[GameIsOver]], 1, Table1[[HomeTeam]:[HomeTeam]], $A38, Table1[[AwayTeam]:[AwayTeam]], S$36, Table1[[ActualResult]:[ActualResult]], "SO")))/ (2*((COUNTIFS(Table1[[GameIsOver]:[GameIsOver]],1,Table1[[AwayTeam]:[AwayTeam]],$A38, Table1[[HomeTeam]:[HomeTeam]], S$36)))+( COUNTIFS(Table1[[GameIsOver]:[GameIsOver]],1,Table1[[AwayTeam]:[AwayTeam]],S$36, Table1[[HomeTeam]:[HomeTeam]],$A38))), "")</f>
        <v/>
      </c>
      <c r="T38" s="50" t="str">
        <f>IFERROR(((2 * (SUMIFS(Table1[[AwayWon]:[AwayWon]], Table1[[GameIsOver]:[GameIsOver]], 1, Table1[[AwayTeam]:[AwayTeam]], $A38, Table1[[HomeTeam]:[HomeTeam]], T$36) + SUMIFS(Table1[[HomeWon]:[HomeWon]], Table1[[GameIsOver]:[GameIsOver]], 1, Table1[[HomeTeam]:[HomeTeam]], $A38, Table1[[AwayTeam]:[AwayTeam]], T$36))) + (SUMIFS(Table1[[HomeWon]:[HomeWon]], Table1[[GameIsOver]:[GameIsOver]], 1, Table1[[AwayTeam]:[AwayTeam]], $A38, Table1[[HomeTeam]:[HomeTeam]],  T$36, Table1[[ActualResult]:[ActualResult]], "OT") + SUMIFS(Table1[[AwayWon]:[AwayWon]], Table1[[GameIsOver]:[GameIsOver]], 1, Table1[[HomeTeam]:[HomeTeam]], $A38, Table1[[AwayTeam]:[AwayTeam]], T$36, Table1[[ActualResult]:[ActualResult]], "OT") + SUMIFS(Table1[[HomeWon]:[HomeWon]], Table1[[GameIsOver]:[GameIsOver]], 1, Table1[[AwayTeam]:[AwayTeam]], $A38, Table1[[HomeTeam]:[HomeTeam]], T$36, Table1[[ActualResult]:[ActualResult]], "SO") + SUMIFS(Table1[[AwayWon]:[AwayWon]], Table1[[GameIsOver]:[GameIsOver]], 1, Table1[[HomeTeam]:[HomeTeam]], $A38, Table1[[AwayTeam]:[AwayTeam]], T$36, Table1[[ActualResult]:[ActualResult]], "SO")))/ (2*((COUNTIFS(Table1[[GameIsOver]:[GameIsOver]],1,Table1[[AwayTeam]:[AwayTeam]],$A38, Table1[[HomeTeam]:[HomeTeam]], T$36)))+( COUNTIFS(Table1[[GameIsOver]:[GameIsOver]],1,Table1[[AwayTeam]:[AwayTeam]],T$36, Table1[[HomeTeam]:[HomeTeam]],$A38))), "")</f>
        <v/>
      </c>
      <c r="U38" s="50" t="str">
        <f>IFERROR(((2 * (SUMIFS(Table1[[AwayWon]:[AwayWon]], Table1[[GameIsOver]:[GameIsOver]], 1, Table1[[AwayTeam]:[AwayTeam]], $A38, Table1[[HomeTeam]:[HomeTeam]], U$36) + SUMIFS(Table1[[HomeWon]:[HomeWon]], Table1[[GameIsOver]:[GameIsOver]], 1, Table1[[HomeTeam]:[HomeTeam]], $A38, Table1[[AwayTeam]:[AwayTeam]], U$36))) + (SUMIFS(Table1[[HomeWon]:[HomeWon]], Table1[[GameIsOver]:[GameIsOver]], 1, Table1[[AwayTeam]:[AwayTeam]], $A38, Table1[[HomeTeam]:[HomeTeam]],  U$36, Table1[[ActualResult]:[ActualResult]], "OT") + SUMIFS(Table1[[AwayWon]:[AwayWon]], Table1[[GameIsOver]:[GameIsOver]], 1, Table1[[HomeTeam]:[HomeTeam]], $A38, Table1[[AwayTeam]:[AwayTeam]], U$36, Table1[[ActualResult]:[ActualResult]], "OT") + SUMIFS(Table1[[HomeWon]:[HomeWon]], Table1[[GameIsOver]:[GameIsOver]], 1, Table1[[AwayTeam]:[AwayTeam]], $A38, Table1[[HomeTeam]:[HomeTeam]], U$36, Table1[[ActualResult]:[ActualResult]], "SO") + SUMIFS(Table1[[AwayWon]:[AwayWon]], Table1[[GameIsOver]:[GameIsOver]], 1, Table1[[HomeTeam]:[HomeTeam]], $A38, Table1[[AwayTeam]:[AwayTeam]], U$36, Table1[[ActualResult]:[ActualResult]], "SO")))/ (2*((COUNTIFS(Table1[[GameIsOver]:[GameIsOver]],1,Table1[[AwayTeam]:[AwayTeam]],$A38, Table1[[HomeTeam]:[HomeTeam]], U$36)))+( COUNTIFS(Table1[[GameIsOver]:[GameIsOver]],1,Table1[[AwayTeam]:[AwayTeam]],U$36, Table1[[HomeTeam]:[HomeTeam]],$A38))), "")</f>
        <v/>
      </c>
      <c r="V38" s="50" t="str">
        <f>IFERROR(((2 * (SUMIFS(Table1[[AwayWon]:[AwayWon]], Table1[[GameIsOver]:[GameIsOver]], 1, Table1[[AwayTeam]:[AwayTeam]], $A38, Table1[[HomeTeam]:[HomeTeam]], V$36) + SUMIFS(Table1[[HomeWon]:[HomeWon]], Table1[[GameIsOver]:[GameIsOver]], 1, Table1[[HomeTeam]:[HomeTeam]], $A38, Table1[[AwayTeam]:[AwayTeam]], V$36))) + (SUMIFS(Table1[[HomeWon]:[HomeWon]], Table1[[GameIsOver]:[GameIsOver]], 1, Table1[[AwayTeam]:[AwayTeam]], $A38, Table1[[HomeTeam]:[HomeTeam]],  V$36, Table1[[ActualResult]:[ActualResult]], "OT") + SUMIFS(Table1[[AwayWon]:[AwayWon]], Table1[[GameIsOver]:[GameIsOver]], 1, Table1[[HomeTeam]:[HomeTeam]], $A38, Table1[[AwayTeam]:[AwayTeam]], V$36, Table1[[ActualResult]:[ActualResult]], "OT") + SUMIFS(Table1[[HomeWon]:[HomeWon]], Table1[[GameIsOver]:[GameIsOver]], 1, Table1[[AwayTeam]:[AwayTeam]], $A38, Table1[[HomeTeam]:[HomeTeam]], V$36, Table1[[ActualResult]:[ActualResult]], "SO") + SUMIFS(Table1[[AwayWon]:[AwayWon]], Table1[[GameIsOver]:[GameIsOver]], 1, Table1[[HomeTeam]:[HomeTeam]], $A38, Table1[[AwayTeam]:[AwayTeam]], V$36, Table1[[ActualResult]:[ActualResult]], "SO")))/ (2*((COUNTIFS(Table1[[GameIsOver]:[GameIsOver]],1,Table1[[AwayTeam]:[AwayTeam]],$A38, Table1[[HomeTeam]:[HomeTeam]], V$36)))+( COUNTIFS(Table1[[GameIsOver]:[GameIsOver]],1,Table1[[AwayTeam]:[AwayTeam]],V$36, Table1[[HomeTeam]:[HomeTeam]],$A38))), "")</f>
        <v/>
      </c>
      <c r="W38" s="50" t="str">
        <f>IFERROR(((2 * (SUMIFS(Table1[[AwayWon]:[AwayWon]], Table1[[GameIsOver]:[GameIsOver]], 1, Table1[[AwayTeam]:[AwayTeam]], $A38, Table1[[HomeTeam]:[HomeTeam]], W$36) + SUMIFS(Table1[[HomeWon]:[HomeWon]], Table1[[GameIsOver]:[GameIsOver]], 1, Table1[[HomeTeam]:[HomeTeam]], $A38, Table1[[AwayTeam]:[AwayTeam]], W$36))) + (SUMIFS(Table1[[HomeWon]:[HomeWon]], Table1[[GameIsOver]:[GameIsOver]], 1, Table1[[AwayTeam]:[AwayTeam]], $A38, Table1[[HomeTeam]:[HomeTeam]],  W$36, Table1[[ActualResult]:[ActualResult]], "OT") + SUMIFS(Table1[[AwayWon]:[AwayWon]], Table1[[GameIsOver]:[GameIsOver]], 1, Table1[[HomeTeam]:[HomeTeam]], $A38, Table1[[AwayTeam]:[AwayTeam]], W$36, Table1[[ActualResult]:[ActualResult]], "OT") + SUMIFS(Table1[[HomeWon]:[HomeWon]], Table1[[GameIsOver]:[GameIsOver]], 1, Table1[[AwayTeam]:[AwayTeam]], $A38, Table1[[HomeTeam]:[HomeTeam]], W$36, Table1[[ActualResult]:[ActualResult]], "SO") + SUMIFS(Table1[[AwayWon]:[AwayWon]], Table1[[GameIsOver]:[GameIsOver]], 1, Table1[[HomeTeam]:[HomeTeam]], $A38, Table1[[AwayTeam]:[AwayTeam]], W$36, Table1[[ActualResult]:[ActualResult]], "SO")))/ (2*((COUNTIFS(Table1[[GameIsOver]:[GameIsOver]],1,Table1[[AwayTeam]:[AwayTeam]],$A38, Table1[[HomeTeam]:[HomeTeam]], W$36)))+( COUNTIFS(Table1[[GameIsOver]:[GameIsOver]],1,Table1[[AwayTeam]:[AwayTeam]],W$36, Table1[[HomeTeam]:[HomeTeam]],$A38))), "")</f>
        <v/>
      </c>
      <c r="X38" s="50" t="str">
        <f>IFERROR(((2 * (SUMIFS(Table1[[AwayWon]:[AwayWon]], Table1[[GameIsOver]:[GameIsOver]], 1, Table1[[AwayTeam]:[AwayTeam]], $A38, Table1[[HomeTeam]:[HomeTeam]], X$36) + SUMIFS(Table1[[HomeWon]:[HomeWon]], Table1[[GameIsOver]:[GameIsOver]], 1, Table1[[HomeTeam]:[HomeTeam]], $A38, Table1[[AwayTeam]:[AwayTeam]], X$36))) + (SUMIFS(Table1[[HomeWon]:[HomeWon]], Table1[[GameIsOver]:[GameIsOver]], 1, Table1[[AwayTeam]:[AwayTeam]], $A38, Table1[[HomeTeam]:[HomeTeam]],  X$36, Table1[[ActualResult]:[ActualResult]], "OT") + SUMIFS(Table1[[AwayWon]:[AwayWon]], Table1[[GameIsOver]:[GameIsOver]], 1, Table1[[HomeTeam]:[HomeTeam]], $A38, Table1[[AwayTeam]:[AwayTeam]], X$36, Table1[[ActualResult]:[ActualResult]], "OT") + SUMIFS(Table1[[HomeWon]:[HomeWon]], Table1[[GameIsOver]:[GameIsOver]], 1, Table1[[AwayTeam]:[AwayTeam]], $A38, Table1[[HomeTeam]:[HomeTeam]], X$36, Table1[[ActualResult]:[ActualResult]], "SO") + SUMIFS(Table1[[AwayWon]:[AwayWon]], Table1[[GameIsOver]:[GameIsOver]], 1, Table1[[HomeTeam]:[HomeTeam]], $A38, Table1[[AwayTeam]:[AwayTeam]], X$36, Table1[[ActualResult]:[ActualResult]], "SO")))/ (2*((COUNTIFS(Table1[[GameIsOver]:[GameIsOver]],1,Table1[[AwayTeam]:[AwayTeam]],$A38, Table1[[HomeTeam]:[HomeTeam]], X$36)))+( COUNTIFS(Table1[[GameIsOver]:[GameIsOver]],1,Table1[[AwayTeam]:[AwayTeam]],X$36, Table1[[HomeTeam]:[HomeTeam]],$A38))), "")</f>
        <v/>
      </c>
      <c r="Y38" s="52" t="str">
        <f>IFERROR(((2 * (SUMIFS(Table1[[AwayWon]:[AwayWon]], Table1[[GameIsOver]:[GameIsOver]], 1, Table1[[AwayTeam]:[AwayTeam]], $A38, Table1[[HomeTeam]:[HomeTeam]], Y$36) + SUMIFS(Table1[[HomeWon]:[HomeWon]], Table1[[GameIsOver]:[GameIsOver]], 1, Table1[[HomeTeam]:[HomeTeam]], $A38, Table1[[AwayTeam]:[AwayTeam]], Y$36))) + (SUMIFS(Table1[[HomeWon]:[HomeWon]], Table1[[GameIsOver]:[GameIsOver]], 1, Table1[[AwayTeam]:[AwayTeam]], $A38, Table1[[HomeTeam]:[HomeTeam]],  Y$36, Table1[[ActualResult]:[ActualResult]], "OT") + SUMIFS(Table1[[AwayWon]:[AwayWon]], Table1[[GameIsOver]:[GameIsOver]], 1, Table1[[HomeTeam]:[HomeTeam]], $A38, Table1[[AwayTeam]:[AwayTeam]], Y$36, Table1[[ActualResult]:[ActualResult]], "OT") + SUMIFS(Table1[[HomeWon]:[HomeWon]], Table1[[GameIsOver]:[GameIsOver]], 1, Table1[[AwayTeam]:[AwayTeam]], $A38, Table1[[HomeTeam]:[HomeTeam]], Y$36, Table1[[ActualResult]:[ActualResult]], "SO") + SUMIFS(Table1[[AwayWon]:[AwayWon]], Table1[[GameIsOver]:[GameIsOver]], 1, Table1[[HomeTeam]:[HomeTeam]], $A38, Table1[[AwayTeam]:[AwayTeam]], Y$36, Table1[[ActualResult]:[ActualResult]], "SO")))/ (2*((COUNTIFS(Table1[[GameIsOver]:[GameIsOver]],1,Table1[[AwayTeam]:[AwayTeam]],$A38, Table1[[HomeTeam]:[HomeTeam]], Y$36)))+( COUNTIFS(Table1[[GameIsOver]:[GameIsOver]],1,Table1[[AwayTeam]:[AwayTeam]],Y$36, Table1[[HomeTeam]:[HomeTeam]],$A38))), "")</f>
        <v/>
      </c>
      <c r="Z38" s="50" t="str">
        <f>IFERROR(((2 * (SUMIFS(Table1[[AwayWon]:[AwayWon]], Table1[[GameIsOver]:[GameIsOver]], 1, Table1[[AwayTeam]:[AwayTeam]], $A38, Table1[[HomeTeam]:[HomeTeam]], Z$36) + SUMIFS(Table1[[HomeWon]:[HomeWon]], Table1[[GameIsOver]:[GameIsOver]], 1, Table1[[HomeTeam]:[HomeTeam]], $A38, Table1[[AwayTeam]:[AwayTeam]], Z$36))) + (SUMIFS(Table1[[HomeWon]:[HomeWon]], Table1[[GameIsOver]:[GameIsOver]], 1, Table1[[AwayTeam]:[AwayTeam]], $A38, Table1[[HomeTeam]:[HomeTeam]],  Z$36, Table1[[ActualResult]:[ActualResult]], "OT") + SUMIFS(Table1[[AwayWon]:[AwayWon]], Table1[[GameIsOver]:[GameIsOver]], 1, Table1[[HomeTeam]:[HomeTeam]], $A38, Table1[[AwayTeam]:[AwayTeam]], Z$36, Table1[[ActualResult]:[ActualResult]], "OT") + SUMIFS(Table1[[HomeWon]:[HomeWon]], Table1[[GameIsOver]:[GameIsOver]], 1, Table1[[AwayTeam]:[AwayTeam]], $A38, Table1[[HomeTeam]:[HomeTeam]], Z$36, Table1[[ActualResult]:[ActualResult]], "SO") + SUMIFS(Table1[[AwayWon]:[AwayWon]], Table1[[GameIsOver]:[GameIsOver]], 1, Table1[[HomeTeam]:[HomeTeam]], $A38, Table1[[AwayTeam]:[AwayTeam]], Z$36, Table1[[ActualResult]:[ActualResult]], "SO")))/ (2*((COUNTIFS(Table1[[GameIsOver]:[GameIsOver]],1,Table1[[AwayTeam]:[AwayTeam]],$A38, Table1[[HomeTeam]:[HomeTeam]], Z$36)))+( COUNTIFS(Table1[[GameIsOver]:[GameIsOver]],1,Table1[[AwayTeam]:[AwayTeam]],Z$36, Table1[[HomeTeam]:[HomeTeam]],$A38))), "")</f>
        <v/>
      </c>
      <c r="AA38" s="50">
        <f>IFERROR(((2 * (SUMIFS(Table1[[AwayWon]:[AwayWon]], Table1[[GameIsOver]:[GameIsOver]], 1, Table1[[AwayTeam]:[AwayTeam]], $A38, Table1[[HomeTeam]:[HomeTeam]], AA$36) + SUMIFS(Table1[[HomeWon]:[HomeWon]], Table1[[GameIsOver]:[GameIsOver]], 1, Table1[[HomeTeam]:[HomeTeam]], $A38, Table1[[AwayTeam]:[AwayTeam]], AA$36))) + (SUMIFS(Table1[[HomeWon]:[HomeWon]], Table1[[GameIsOver]:[GameIsOver]], 1, Table1[[AwayTeam]:[AwayTeam]], $A38, Table1[[HomeTeam]:[HomeTeam]],  AA$36, Table1[[ActualResult]:[ActualResult]], "OT") + SUMIFS(Table1[[AwayWon]:[AwayWon]], Table1[[GameIsOver]:[GameIsOver]], 1, Table1[[HomeTeam]:[HomeTeam]], $A38, Table1[[AwayTeam]:[AwayTeam]], AA$36, Table1[[ActualResult]:[ActualResult]], "OT") + SUMIFS(Table1[[HomeWon]:[HomeWon]], Table1[[GameIsOver]:[GameIsOver]], 1, Table1[[AwayTeam]:[AwayTeam]], $A38, Table1[[HomeTeam]:[HomeTeam]], AA$36, Table1[[ActualResult]:[ActualResult]], "SO") + SUMIFS(Table1[[AwayWon]:[AwayWon]], Table1[[GameIsOver]:[GameIsOver]], 1, Table1[[HomeTeam]:[HomeTeam]], $A38, Table1[[AwayTeam]:[AwayTeam]], AA$36, Table1[[ActualResult]:[ActualResult]], "SO")))/ (2*((COUNTIFS(Table1[[GameIsOver]:[GameIsOver]],1,Table1[[AwayTeam]:[AwayTeam]],$A38, Table1[[HomeTeam]:[HomeTeam]], AA$36)))+( COUNTIFS(Table1[[GameIsOver]:[GameIsOver]],1,Table1[[AwayTeam]:[AwayTeam]],AA$36, Table1[[HomeTeam]:[HomeTeam]],$A38))), "")</f>
        <v>0.5</v>
      </c>
      <c r="AB38" s="50" t="str">
        <f>IFERROR(((2 * (SUMIFS(Table1[[AwayWon]:[AwayWon]], Table1[[GameIsOver]:[GameIsOver]], 1, Table1[[AwayTeam]:[AwayTeam]], $A38, Table1[[HomeTeam]:[HomeTeam]], AB$36) + SUMIFS(Table1[[HomeWon]:[HomeWon]], Table1[[GameIsOver]:[GameIsOver]], 1, Table1[[HomeTeam]:[HomeTeam]], $A38, Table1[[AwayTeam]:[AwayTeam]], AB$36))) + (SUMIFS(Table1[[HomeWon]:[HomeWon]], Table1[[GameIsOver]:[GameIsOver]], 1, Table1[[AwayTeam]:[AwayTeam]], $A38, Table1[[HomeTeam]:[HomeTeam]],  AB$36, Table1[[ActualResult]:[ActualResult]], "OT") + SUMIFS(Table1[[AwayWon]:[AwayWon]], Table1[[GameIsOver]:[GameIsOver]], 1, Table1[[HomeTeam]:[HomeTeam]], $A38, Table1[[AwayTeam]:[AwayTeam]], AB$36, Table1[[ActualResult]:[ActualResult]], "OT") + SUMIFS(Table1[[HomeWon]:[HomeWon]], Table1[[GameIsOver]:[GameIsOver]], 1, Table1[[AwayTeam]:[AwayTeam]], $A38, Table1[[HomeTeam]:[HomeTeam]], AB$36, Table1[[ActualResult]:[ActualResult]], "SO") + SUMIFS(Table1[[AwayWon]:[AwayWon]], Table1[[GameIsOver]:[GameIsOver]], 1, Table1[[HomeTeam]:[HomeTeam]], $A38, Table1[[AwayTeam]:[AwayTeam]], AB$36, Table1[[ActualResult]:[ActualResult]], "SO")))/ (2*((COUNTIFS(Table1[[GameIsOver]:[GameIsOver]],1,Table1[[AwayTeam]:[AwayTeam]],$A38, Table1[[HomeTeam]:[HomeTeam]], AB$36)))+( COUNTIFS(Table1[[GameIsOver]:[GameIsOver]],1,Table1[[AwayTeam]:[AwayTeam]],AB$36, Table1[[HomeTeam]:[HomeTeam]],$A38))), "")</f>
        <v/>
      </c>
      <c r="AC38" s="50" t="str">
        <f>IFERROR(((2 * (SUMIFS(Table1[[AwayWon]:[AwayWon]], Table1[[GameIsOver]:[GameIsOver]], 1, Table1[[AwayTeam]:[AwayTeam]], $A38, Table1[[HomeTeam]:[HomeTeam]], AC$36) + SUMIFS(Table1[[HomeWon]:[HomeWon]], Table1[[GameIsOver]:[GameIsOver]], 1, Table1[[HomeTeam]:[HomeTeam]], $A38, Table1[[AwayTeam]:[AwayTeam]], AC$36))) + (SUMIFS(Table1[[HomeWon]:[HomeWon]], Table1[[GameIsOver]:[GameIsOver]], 1, Table1[[AwayTeam]:[AwayTeam]], $A38, Table1[[HomeTeam]:[HomeTeam]],  AC$36, Table1[[ActualResult]:[ActualResult]], "OT") + SUMIFS(Table1[[AwayWon]:[AwayWon]], Table1[[GameIsOver]:[GameIsOver]], 1, Table1[[HomeTeam]:[HomeTeam]], $A38, Table1[[AwayTeam]:[AwayTeam]], AC$36, Table1[[ActualResult]:[ActualResult]], "OT") + SUMIFS(Table1[[HomeWon]:[HomeWon]], Table1[[GameIsOver]:[GameIsOver]], 1, Table1[[AwayTeam]:[AwayTeam]], $A38, Table1[[HomeTeam]:[HomeTeam]], AC$36, Table1[[ActualResult]:[ActualResult]], "SO") + SUMIFS(Table1[[AwayWon]:[AwayWon]], Table1[[GameIsOver]:[GameIsOver]], 1, Table1[[HomeTeam]:[HomeTeam]], $A38, Table1[[AwayTeam]:[AwayTeam]], AC$36, Table1[[ActualResult]:[ActualResult]], "SO")))/ (2*((COUNTIFS(Table1[[GameIsOver]:[GameIsOver]],1,Table1[[AwayTeam]:[AwayTeam]],$A38, Table1[[HomeTeam]:[HomeTeam]], AC$36)))+( COUNTIFS(Table1[[GameIsOver]:[GameIsOver]],1,Table1[[AwayTeam]:[AwayTeam]],AC$36, Table1[[HomeTeam]:[HomeTeam]],$A38))), "")</f>
        <v/>
      </c>
      <c r="AD38" s="50" t="str">
        <f>IFERROR(((2 * (SUMIFS(Table1[[AwayWon]:[AwayWon]], Table1[[GameIsOver]:[GameIsOver]], 1, Table1[[AwayTeam]:[AwayTeam]], $A38, Table1[[HomeTeam]:[HomeTeam]], AD$36) + SUMIFS(Table1[[HomeWon]:[HomeWon]], Table1[[GameIsOver]:[GameIsOver]], 1, Table1[[HomeTeam]:[HomeTeam]], $A38, Table1[[AwayTeam]:[AwayTeam]], AD$36))) + (SUMIFS(Table1[[HomeWon]:[HomeWon]], Table1[[GameIsOver]:[GameIsOver]], 1, Table1[[AwayTeam]:[AwayTeam]], $A38, Table1[[HomeTeam]:[HomeTeam]],  AD$36, Table1[[ActualResult]:[ActualResult]], "OT") + SUMIFS(Table1[[AwayWon]:[AwayWon]], Table1[[GameIsOver]:[GameIsOver]], 1, Table1[[HomeTeam]:[HomeTeam]], $A38, Table1[[AwayTeam]:[AwayTeam]], AD$36, Table1[[ActualResult]:[ActualResult]], "OT") + SUMIFS(Table1[[HomeWon]:[HomeWon]], Table1[[GameIsOver]:[GameIsOver]], 1, Table1[[AwayTeam]:[AwayTeam]], $A38, Table1[[HomeTeam]:[HomeTeam]], AD$36, Table1[[ActualResult]:[ActualResult]], "SO") + SUMIFS(Table1[[AwayWon]:[AwayWon]], Table1[[GameIsOver]:[GameIsOver]], 1, Table1[[HomeTeam]:[HomeTeam]], $A38, Table1[[AwayTeam]:[AwayTeam]], AD$36, Table1[[ActualResult]:[ActualResult]], "SO")))/ (2*((COUNTIFS(Table1[[GameIsOver]:[GameIsOver]],1,Table1[[AwayTeam]:[AwayTeam]],$A38, Table1[[HomeTeam]:[HomeTeam]], AD$36)))+( COUNTIFS(Table1[[GameIsOver]:[GameIsOver]],1,Table1[[AwayTeam]:[AwayTeam]],AD$36, Table1[[HomeTeam]:[HomeTeam]],$A38))), "")</f>
        <v/>
      </c>
      <c r="AE38" s="50">
        <f>IFERROR(((2 * (SUMIFS(Table1[[AwayWon]:[AwayWon]], Table1[[GameIsOver]:[GameIsOver]], 1, Table1[[AwayTeam]:[AwayTeam]], $A38, Table1[[HomeTeam]:[HomeTeam]], AE$36) + SUMIFS(Table1[[HomeWon]:[HomeWon]], Table1[[GameIsOver]:[GameIsOver]], 1, Table1[[HomeTeam]:[HomeTeam]], $A38, Table1[[AwayTeam]:[AwayTeam]], AE$36))) + (SUMIFS(Table1[[HomeWon]:[HomeWon]], Table1[[GameIsOver]:[GameIsOver]], 1, Table1[[AwayTeam]:[AwayTeam]], $A38, Table1[[HomeTeam]:[HomeTeam]],  AE$36, Table1[[ActualResult]:[ActualResult]], "OT") + SUMIFS(Table1[[AwayWon]:[AwayWon]], Table1[[GameIsOver]:[GameIsOver]], 1, Table1[[HomeTeam]:[HomeTeam]], $A38, Table1[[AwayTeam]:[AwayTeam]], AE$36, Table1[[ActualResult]:[ActualResult]], "OT") + SUMIFS(Table1[[HomeWon]:[HomeWon]], Table1[[GameIsOver]:[GameIsOver]], 1, Table1[[AwayTeam]:[AwayTeam]], $A38, Table1[[HomeTeam]:[HomeTeam]], AE$36, Table1[[ActualResult]:[ActualResult]], "SO") + SUMIFS(Table1[[AwayWon]:[AwayWon]], Table1[[GameIsOver]:[GameIsOver]], 1, Table1[[HomeTeam]:[HomeTeam]], $A38, Table1[[AwayTeam]:[AwayTeam]], AE$36, Table1[[ActualResult]:[ActualResult]], "SO")))/ (2*((COUNTIFS(Table1[[GameIsOver]:[GameIsOver]],1,Table1[[AwayTeam]:[AwayTeam]],$A38, Table1[[HomeTeam]:[HomeTeam]], AE$36)))+( COUNTIFS(Table1[[GameIsOver]:[GameIsOver]],1,Table1[[AwayTeam]:[AwayTeam]],AE$36, Table1[[HomeTeam]:[HomeTeam]],$A38))), "")</f>
        <v>2</v>
      </c>
      <c r="AF38" s="50" t="str">
        <f>IFERROR(((2 * (SUMIFS(Table1[[AwayWon]:[AwayWon]], Table1[[GameIsOver]:[GameIsOver]], 1, Table1[[AwayTeam]:[AwayTeam]], $A38, Table1[[HomeTeam]:[HomeTeam]], AF$36) + SUMIFS(Table1[[HomeWon]:[HomeWon]], Table1[[GameIsOver]:[GameIsOver]], 1, Table1[[HomeTeam]:[HomeTeam]], $A38, Table1[[AwayTeam]:[AwayTeam]], AF$36))) + (SUMIFS(Table1[[HomeWon]:[HomeWon]], Table1[[GameIsOver]:[GameIsOver]], 1, Table1[[AwayTeam]:[AwayTeam]], $A38, Table1[[HomeTeam]:[HomeTeam]],  AF$36, Table1[[ActualResult]:[ActualResult]], "OT") + SUMIFS(Table1[[AwayWon]:[AwayWon]], Table1[[GameIsOver]:[GameIsOver]], 1, Table1[[HomeTeam]:[HomeTeam]], $A38, Table1[[AwayTeam]:[AwayTeam]], AF$36, Table1[[ActualResult]:[ActualResult]], "OT") + SUMIFS(Table1[[HomeWon]:[HomeWon]], Table1[[GameIsOver]:[GameIsOver]], 1, Table1[[AwayTeam]:[AwayTeam]], $A38, Table1[[HomeTeam]:[HomeTeam]], AF$36, Table1[[ActualResult]:[ActualResult]], "SO") + SUMIFS(Table1[[AwayWon]:[AwayWon]], Table1[[GameIsOver]:[GameIsOver]], 1, Table1[[HomeTeam]:[HomeTeam]], $A38, Table1[[AwayTeam]:[AwayTeam]], AF$36, Table1[[ActualResult]:[ActualResult]], "SO")))/ (2*((COUNTIFS(Table1[[GameIsOver]:[GameIsOver]],1,Table1[[AwayTeam]:[AwayTeam]],$A38, Table1[[HomeTeam]:[HomeTeam]], AF$36)))+( COUNTIFS(Table1[[GameIsOver]:[GameIsOver]],1,Table1[[AwayTeam]:[AwayTeam]],AF$36, Table1[[HomeTeam]:[HomeTeam]],$A38))), "")</f>
        <v/>
      </c>
      <c r="AG38" s="50" t="str">
        <f>IFERROR(((2 * (SUMIFS(Table1[[AwayWon]:[AwayWon]], Table1[[GameIsOver]:[GameIsOver]], 1, Table1[[AwayTeam]:[AwayTeam]], $A38, Table1[[HomeTeam]:[HomeTeam]], AG$36) + SUMIFS(Table1[[HomeWon]:[HomeWon]], Table1[[GameIsOver]:[GameIsOver]], 1, Table1[[HomeTeam]:[HomeTeam]], $A38, Table1[[AwayTeam]:[AwayTeam]], AG$36))) + (SUMIFS(Table1[[HomeWon]:[HomeWon]], Table1[[GameIsOver]:[GameIsOver]], 1, Table1[[AwayTeam]:[AwayTeam]], $A38, Table1[[HomeTeam]:[HomeTeam]],  AG$36, Table1[[ActualResult]:[ActualResult]], "OT") + SUMIFS(Table1[[AwayWon]:[AwayWon]], Table1[[GameIsOver]:[GameIsOver]], 1, Table1[[HomeTeam]:[HomeTeam]], $A38, Table1[[AwayTeam]:[AwayTeam]], AG$36, Table1[[ActualResult]:[ActualResult]], "OT") + SUMIFS(Table1[[HomeWon]:[HomeWon]], Table1[[GameIsOver]:[GameIsOver]], 1, Table1[[AwayTeam]:[AwayTeam]], $A38, Table1[[HomeTeam]:[HomeTeam]], AG$36, Table1[[ActualResult]:[ActualResult]], "SO") + SUMIFS(Table1[[AwayWon]:[AwayWon]], Table1[[GameIsOver]:[GameIsOver]], 1, Table1[[HomeTeam]:[HomeTeam]], $A38, Table1[[AwayTeam]:[AwayTeam]], AG$36, Table1[[ActualResult]:[ActualResult]], "SO")))/ (2*((COUNTIFS(Table1[[GameIsOver]:[GameIsOver]],1,Table1[[AwayTeam]:[AwayTeam]],$A38, Table1[[HomeTeam]:[HomeTeam]], AG$36)))+( COUNTIFS(Table1[[GameIsOver]:[GameIsOver]],1,Table1[[AwayTeam]:[AwayTeam]],AG$36, Table1[[HomeTeam]:[HomeTeam]],$A38))), "")</f>
        <v/>
      </c>
      <c r="AH38" s="51">
        <f t="shared" ref="AH38:AH68" si="0">AVERAGE($R38:$AG38)</f>
        <v>1.25</v>
      </c>
      <c r="AI38" s="51">
        <f t="shared" ref="AI38:AI68" si="1">AVERAGE($B38:$Q38)</f>
        <v>0.75</v>
      </c>
      <c r="AJ38" s="52">
        <f t="shared" ref="AJ38:AJ68" si="2">AVERAGE($Z38:$AG38)</f>
        <v>1.25</v>
      </c>
      <c r="AK38" s="52" t="e">
        <f t="shared" ref="AK38:AK68" si="3">AVERAGE($R38:$Y38)</f>
        <v>#DIV/0!</v>
      </c>
      <c r="AL38" s="52">
        <f t="shared" ref="AL38:AL68" si="4">AVERAGE($J38:$Q38)</f>
        <v>1</v>
      </c>
      <c r="AM38" s="52">
        <f t="shared" ref="AM38:AM68" si="5">AVERAGE($B38:$I38)</f>
        <v>0.5</v>
      </c>
    </row>
    <row r="39" spans="1:39" x14ac:dyDescent="0.25">
      <c r="A39" s="28" t="s">
        <v>45</v>
      </c>
      <c r="B39" s="50" t="str">
        <f>IFERROR(((2 * (SUMIFS(Table1[[AwayWon]:[AwayWon]], Table1[[GameIsOver]:[GameIsOver]], 1, Table1[[AwayTeam]:[AwayTeam]], $A39, Table1[[HomeTeam]:[HomeTeam]], B$36) + SUMIFS(Table1[[HomeWon]:[HomeWon]], Table1[[GameIsOver]:[GameIsOver]], 1, Table1[[HomeTeam]:[HomeTeam]], $A39, Table1[[AwayTeam]:[AwayTeam]], B$36))) + (SUMIFS(Table1[[HomeWon]:[HomeWon]], Table1[[GameIsOver]:[GameIsOver]], 1, Table1[[AwayTeam]:[AwayTeam]], $A39, Table1[[HomeTeam]:[HomeTeam]],  B$36, Table1[[ActualResult]:[ActualResult]], "OT") + SUMIFS(Table1[[AwayWon]:[AwayWon]], Table1[[GameIsOver]:[GameIsOver]], 1, Table1[[HomeTeam]:[HomeTeam]], $A39, Table1[[AwayTeam]:[AwayTeam]], B$36, Table1[[ActualResult]:[ActualResult]], "OT") + SUMIFS(Table1[[HomeWon]:[HomeWon]], Table1[[GameIsOver]:[GameIsOver]], 1, Table1[[AwayTeam]:[AwayTeam]], $A39, Table1[[HomeTeam]:[HomeTeam]], B$36, Table1[[ActualResult]:[ActualResult]], "SO") + SUMIFS(Table1[[AwayWon]:[AwayWon]], Table1[[GameIsOver]:[GameIsOver]], 1, Table1[[HomeTeam]:[HomeTeam]], $A39, Table1[[AwayTeam]:[AwayTeam]], B$36, Table1[[ActualResult]:[ActualResult]], "SO")))/ (2*((COUNTIFS(Table1[[GameIsOver]:[GameIsOver]],1,Table1[[AwayTeam]:[AwayTeam]],$A39, Table1[[HomeTeam]:[HomeTeam]], B$36)))+( COUNTIFS(Table1[[GameIsOver]:[GameIsOver]],1,Table1[[AwayTeam]:[AwayTeam]],B$36, Table1[[HomeTeam]:[HomeTeam]],$A39))), "")</f>
        <v/>
      </c>
      <c r="C39" s="50" t="str">
        <f>IFERROR(((2 * (SUMIFS(Table1[[AwayWon]:[AwayWon]], Table1[[GameIsOver]:[GameIsOver]], 1, Table1[[AwayTeam]:[AwayTeam]], $A39, Table1[[HomeTeam]:[HomeTeam]], C$36) + SUMIFS(Table1[[HomeWon]:[HomeWon]], Table1[[GameIsOver]:[GameIsOver]], 1, Table1[[HomeTeam]:[HomeTeam]], $A39, Table1[[AwayTeam]:[AwayTeam]], C$36))) + (SUMIFS(Table1[[HomeWon]:[HomeWon]], Table1[[GameIsOver]:[GameIsOver]], 1, Table1[[AwayTeam]:[AwayTeam]], $A39, Table1[[HomeTeam]:[HomeTeam]],  C$36, Table1[[ActualResult]:[ActualResult]], "OT") + SUMIFS(Table1[[AwayWon]:[AwayWon]], Table1[[GameIsOver]:[GameIsOver]], 1, Table1[[HomeTeam]:[HomeTeam]], $A39, Table1[[AwayTeam]:[AwayTeam]], C$36, Table1[[ActualResult]:[ActualResult]], "OT") + SUMIFS(Table1[[HomeWon]:[HomeWon]], Table1[[GameIsOver]:[GameIsOver]], 1, Table1[[AwayTeam]:[AwayTeam]], $A39, Table1[[HomeTeam]:[HomeTeam]], C$36, Table1[[ActualResult]:[ActualResult]], "SO") + SUMIFS(Table1[[AwayWon]:[AwayWon]], Table1[[GameIsOver]:[GameIsOver]], 1, Table1[[HomeTeam]:[HomeTeam]], $A39, Table1[[AwayTeam]:[AwayTeam]], C$36, Table1[[ActualResult]:[ActualResult]], "SO")))/ (2*((COUNTIFS(Table1[[GameIsOver]:[GameIsOver]],1,Table1[[AwayTeam]:[AwayTeam]],$A39, Table1[[HomeTeam]:[HomeTeam]], C$36)))+( COUNTIFS(Table1[[GameIsOver]:[GameIsOver]],1,Table1[[AwayTeam]:[AwayTeam]],C$36, Table1[[HomeTeam]:[HomeTeam]],$A39))), "")</f>
        <v/>
      </c>
      <c r="D39" s="50" t="str">
        <f>IFERROR(((2 * (SUMIFS(Table1[[AwayWon]:[AwayWon]], Table1[[GameIsOver]:[GameIsOver]], 1, Table1[[AwayTeam]:[AwayTeam]], $A39, Table1[[HomeTeam]:[HomeTeam]], D$36) + SUMIFS(Table1[[HomeWon]:[HomeWon]], Table1[[GameIsOver]:[GameIsOver]], 1, Table1[[HomeTeam]:[HomeTeam]], $A39, Table1[[AwayTeam]:[AwayTeam]], D$36))) + (SUMIFS(Table1[[HomeWon]:[HomeWon]], Table1[[GameIsOver]:[GameIsOver]], 1, Table1[[AwayTeam]:[AwayTeam]], $A39, Table1[[HomeTeam]:[HomeTeam]],  D$36, Table1[[ActualResult]:[ActualResult]], "OT") + SUMIFS(Table1[[AwayWon]:[AwayWon]], Table1[[GameIsOver]:[GameIsOver]], 1, Table1[[HomeTeam]:[HomeTeam]], $A39, Table1[[AwayTeam]:[AwayTeam]], D$36, Table1[[ActualResult]:[ActualResult]], "OT") + SUMIFS(Table1[[HomeWon]:[HomeWon]], Table1[[GameIsOver]:[GameIsOver]], 1, Table1[[AwayTeam]:[AwayTeam]], $A39, Table1[[HomeTeam]:[HomeTeam]], D$36, Table1[[ActualResult]:[ActualResult]], "SO") + SUMIFS(Table1[[AwayWon]:[AwayWon]], Table1[[GameIsOver]:[GameIsOver]], 1, Table1[[HomeTeam]:[HomeTeam]], $A39, Table1[[AwayTeam]:[AwayTeam]], D$36, Table1[[ActualResult]:[ActualResult]], "SO")))/ (2*((COUNTIFS(Table1[[GameIsOver]:[GameIsOver]],1,Table1[[AwayTeam]:[AwayTeam]],$A39, Table1[[HomeTeam]:[HomeTeam]], D$36)))+( COUNTIFS(Table1[[GameIsOver]:[GameIsOver]],1,Table1[[AwayTeam]:[AwayTeam]],D$36, Table1[[HomeTeam]:[HomeTeam]],$A39))), "")</f>
        <v/>
      </c>
      <c r="E39" s="50" t="str">
        <f>IFERROR(((2 * (SUMIFS(Table1[[AwayWon]:[AwayWon]], Table1[[GameIsOver]:[GameIsOver]], 1, Table1[[AwayTeam]:[AwayTeam]], $A39, Table1[[HomeTeam]:[HomeTeam]], E$36) + SUMIFS(Table1[[HomeWon]:[HomeWon]], Table1[[GameIsOver]:[GameIsOver]], 1, Table1[[HomeTeam]:[HomeTeam]], $A39, Table1[[AwayTeam]:[AwayTeam]], E$36))) + (SUMIFS(Table1[[HomeWon]:[HomeWon]], Table1[[GameIsOver]:[GameIsOver]], 1, Table1[[AwayTeam]:[AwayTeam]], $A39, Table1[[HomeTeam]:[HomeTeam]],  E$36, Table1[[ActualResult]:[ActualResult]], "OT") + SUMIFS(Table1[[AwayWon]:[AwayWon]], Table1[[GameIsOver]:[GameIsOver]], 1, Table1[[HomeTeam]:[HomeTeam]], $A39, Table1[[AwayTeam]:[AwayTeam]], E$36, Table1[[ActualResult]:[ActualResult]], "OT") + SUMIFS(Table1[[HomeWon]:[HomeWon]], Table1[[GameIsOver]:[GameIsOver]], 1, Table1[[AwayTeam]:[AwayTeam]], $A39, Table1[[HomeTeam]:[HomeTeam]], E$36, Table1[[ActualResult]:[ActualResult]], "SO") + SUMIFS(Table1[[AwayWon]:[AwayWon]], Table1[[GameIsOver]:[GameIsOver]], 1, Table1[[HomeTeam]:[HomeTeam]], $A39, Table1[[AwayTeam]:[AwayTeam]], E$36, Table1[[ActualResult]:[ActualResult]], "SO")))/ (2*((COUNTIFS(Table1[[GameIsOver]:[GameIsOver]],1,Table1[[AwayTeam]:[AwayTeam]],$A39, Table1[[HomeTeam]:[HomeTeam]], E$36)))+( COUNTIFS(Table1[[GameIsOver]:[GameIsOver]],1,Table1[[AwayTeam]:[AwayTeam]],E$36, Table1[[HomeTeam]:[HomeTeam]],$A39))), "")</f>
        <v/>
      </c>
      <c r="F39" s="50" t="str">
        <f>IFERROR(((2 * (SUMIFS(Table1[[AwayWon]:[AwayWon]], Table1[[GameIsOver]:[GameIsOver]], 1, Table1[[AwayTeam]:[AwayTeam]], $A39, Table1[[HomeTeam]:[HomeTeam]], F$36) + SUMIFS(Table1[[HomeWon]:[HomeWon]], Table1[[GameIsOver]:[GameIsOver]], 1, Table1[[HomeTeam]:[HomeTeam]], $A39, Table1[[AwayTeam]:[AwayTeam]], F$36))) + (SUMIFS(Table1[[HomeWon]:[HomeWon]], Table1[[GameIsOver]:[GameIsOver]], 1, Table1[[AwayTeam]:[AwayTeam]], $A39, Table1[[HomeTeam]:[HomeTeam]],  F$36, Table1[[ActualResult]:[ActualResult]], "OT") + SUMIFS(Table1[[AwayWon]:[AwayWon]], Table1[[GameIsOver]:[GameIsOver]], 1, Table1[[HomeTeam]:[HomeTeam]], $A39, Table1[[AwayTeam]:[AwayTeam]], F$36, Table1[[ActualResult]:[ActualResult]], "OT") + SUMIFS(Table1[[HomeWon]:[HomeWon]], Table1[[GameIsOver]:[GameIsOver]], 1, Table1[[AwayTeam]:[AwayTeam]], $A39, Table1[[HomeTeam]:[HomeTeam]], F$36, Table1[[ActualResult]:[ActualResult]], "SO") + SUMIFS(Table1[[AwayWon]:[AwayWon]], Table1[[GameIsOver]:[GameIsOver]], 1, Table1[[HomeTeam]:[HomeTeam]], $A39, Table1[[AwayTeam]:[AwayTeam]], F$36, Table1[[ActualResult]:[ActualResult]], "SO")))/ (2*((COUNTIFS(Table1[[GameIsOver]:[GameIsOver]],1,Table1[[AwayTeam]:[AwayTeam]],$A39, Table1[[HomeTeam]:[HomeTeam]], F$36)))+( COUNTIFS(Table1[[GameIsOver]:[GameIsOver]],1,Table1[[AwayTeam]:[AwayTeam]],F$36, Table1[[HomeTeam]:[HomeTeam]],$A39))), "")</f>
        <v/>
      </c>
      <c r="G39" s="50" t="str">
        <f>IFERROR(((2 * (SUMIFS(Table1[[AwayWon]:[AwayWon]], Table1[[GameIsOver]:[GameIsOver]], 1, Table1[[AwayTeam]:[AwayTeam]], $A39, Table1[[HomeTeam]:[HomeTeam]], G$36) + SUMIFS(Table1[[HomeWon]:[HomeWon]], Table1[[GameIsOver]:[GameIsOver]], 1, Table1[[HomeTeam]:[HomeTeam]], $A39, Table1[[AwayTeam]:[AwayTeam]], G$36))) + (SUMIFS(Table1[[HomeWon]:[HomeWon]], Table1[[GameIsOver]:[GameIsOver]], 1, Table1[[AwayTeam]:[AwayTeam]], $A39, Table1[[HomeTeam]:[HomeTeam]],  G$36, Table1[[ActualResult]:[ActualResult]], "OT") + SUMIFS(Table1[[AwayWon]:[AwayWon]], Table1[[GameIsOver]:[GameIsOver]], 1, Table1[[HomeTeam]:[HomeTeam]], $A39, Table1[[AwayTeam]:[AwayTeam]], G$36, Table1[[ActualResult]:[ActualResult]], "OT") + SUMIFS(Table1[[HomeWon]:[HomeWon]], Table1[[GameIsOver]:[GameIsOver]], 1, Table1[[AwayTeam]:[AwayTeam]], $A39, Table1[[HomeTeam]:[HomeTeam]], G$36, Table1[[ActualResult]:[ActualResult]], "SO") + SUMIFS(Table1[[AwayWon]:[AwayWon]], Table1[[GameIsOver]:[GameIsOver]], 1, Table1[[HomeTeam]:[HomeTeam]], $A39, Table1[[AwayTeam]:[AwayTeam]], G$36, Table1[[ActualResult]:[ActualResult]], "SO")))/ (2*((COUNTIFS(Table1[[GameIsOver]:[GameIsOver]],1,Table1[[AwayTeam]:[AwayTeam]],$A39, Table1[[HomeTeam]:[HomeTeam]], G$36)))+( COUNTIFS(Table1[[GameIsOver]:[GameIsOver]],1,Table1[[AwayTeam]:[AwayTeam]],G$36, Table1[[HomeTeam]:[HomeTeam]],$A39))), "")</f>
        <v/>
      </c>
      <c r="H39" s="50" t="str">
        <f>IFERROR(((2 * (SUMIFS(Table1[[AwayWon]:[AwayWon]], Table1[[GameIsOver]:[GameIsOver]], 1, Table1[[AwayTeam]:[AwayTeam]], $A39, Table1[[HomeTeam]:[HomeTeam]], H$36) + SUMIFS(Table1[[HomeWon]:[HomeWon]], Table1[[GameIsOver]:[GameIsOver]], 1, Table1[[HomeTeam]:[HomeTeam]], $A39, Table1[[AwayTeam]:[AwayTeam]], H$36))) + (SUMIFS(Table1[[HomeWon]:[HomeWon]], Table1[[GameIsOver]:[GameIsOver]], 1, Table1[[AwayTeam]:[AwayTeam]], $A39, Table1[[HomeTeam]:[HomeTeam]],  H$36, Table1[[ActualResult]:[ActualResult]], "OT") + SUMIFS(Table1[[AwayWon]:[AwayWon]], Table1[[GameIsOver]:[GameIsOver]], 1, Table1[[HomeTeam]:[HomeTeam]], $A39, Table1[[AwayTeam]:[AwayTeam]], H$36, Table1[[ActualResult]:[ActualResult]], "OT") + SUMIFS(Table1[[HomeWon]:[HomeWon]], Table1[[GameIsOver]:[GameIsOver]], 1, Table1[[AwayTeam]:[AwayTeam]], $A39, Table1[[HomeTeam]:[HomeTeam]], H$36, Table1[[ActualResult]:[ActualResult]], "SO") + SUMIFS(Table1[[AwayWon]:[AwayWon]], Table1[[GameIsOver]:[GameIsOver]], 1, Table1[[HomeTeam]:[HomeTeam]], $A39, Table1[[AwayTeam]:[AwayTeam]], H$36, Table1[[ActualResult]:[ActualResult]], "SO")))/ (2*((COUNTIFS(Table1[[GameIsOver]:[GameIsOver]],1,Table1[[AwayTeam]:[AwayTeam]],$A39, Table1[[HomeTeam]:[HomeTeam]], H$36)))+( COUNTIFS(Table1[[GameIsOver]:[GameIsOver]],1,Table1[[AwayTeam]:[AwayTeam]],H$36, Table1[[HomeTeam]:[HomeTeam]],$A39))), "")</f>
        <v/>
      </c>
      <c r="I39" s="52" t="str">
        <f>IFERROR(((2 * (SUMIFS(Table1[[AwayWon]:[AwayWon]], Table1[[GameIsOver]:[GameIsOver]], 1, Table1[[AwayTeam]:[AwayTeam]], $A39, Table1[[HomeTeam]:[HomeTeam]], I$36) + SUMIFS(Table1[[HomeWon]:[HomeWon]], Table1[[GameIsOver]:[GameIsOver]], 1, Table1[[HomeTeam]:[HomeTeam]], $A39, Table1[[AwayTeam]:[AwayTeam]], I$36))) + (SUMIFS(Table1[[HomeWon]:[HomeWon]], Table1[[GameIsOver]:[GameIsOver]], 1, Table1[[AwayTeam]:[AwayTeam]], $A39, Table1[[HomeTeam]:[HomeTeam]],  I$36, Table1[[ActualResult]:[ActualResult]], "OT") + SUMIFS(Table1[[AwayWon]:[AwayWon]], Table1[[GameIsOver]:[GameIsOver]], 1, Table1[[HomeTeam]:[HomeTeam]], $A39, Table1[[AwayTeam]:[AwayTeam]], I$36, Table1[[ActualResult]:[ActualResult]], "OT") + SUMIFS(Table1[[HomeWon]:[HomeWon]], Table1[[GameIsOver]:[GameIsOver]], 1, Table1[[AwayTeam]:[AwayTeam]], $A39, Table1[[HomeTeam]:[HomeTeam]], I$36, Table1[[ActualResult]:[ActualResult]], "SO") + SUMIFS(Table1[[AwayWon]:[AwayWon]], Table1[[GameIsOver]:[GameIsOver]], 1, Table1[[HomeTeam]:[HomeTeam]], $A39, Table1[[AwayTeam]:[AwayTeam]], I$36, Table1[[ActualResult]:[ActualResult]], "SO")))/ (2*((COUNTIFS(Table1[[GameIsOver]:[GameIsOver]],1,Table1[[AwayTeam]:[AwayTeam]],$A39, Table1[[HomeTeam]:[HomeTeam]], I$36)))+( COUNTIFS(Table1[[GameIsOver]:[GameIsOver]],1,Table1[[AwayTeam]:[AwayTeam]],I$36, Table1[[HomeTeam]:[HomeTeam]],$A39))), "")</f>
        <v/>
      </c>
      <c r="J39" s="50" t="str">
        <f>IFERROR(((2 * (SUMIFS(Table1[[AwayWon]:[AwayWon]], Table1[[GameIsOver]:[GameIsOver]], 1, Table1[[AwayTeam]:[AwayTeam]], $A39, Table1[[HomeTeam]:[HomeTeam]], J$36) + SUMIFS(Table1[[HomeWon]:[HomeWon]], Table1[[GameIsOver]:[GameIsOver]], 1, Table1[[HomeTeam]:[HomeTeam]], $A39, Table1[[AwayTeam]:[AwayTeam]], J$36))) + (SUMIFS(Table1[[HomeWon]:[HomeWon]], Table1[[GameIsOver]:[GameIsOver]], 1, Table1[[AwayTeam]:[AwayTeam]], $A39, Table1[[HomeTeam]:[HomeTeam]],  J$36, Table1[[ActualResult]:[ActualResult]], "OT") + SUMIFS(Table1[[AwayWon]:[AwayWon]], Table1[[GameIsOver]:[GameIsOver]], 1, Table1[[HomeTeam]:[HomeTeam]], $A39, Table1[[AwayTeam]:[AwayTeam]], J$36, Table1[[ActualResult]:[ActualResult]], "OT") + SUMIFS(Table1[[HomeWon]:[HomeWon]], Table1[[GameIsOver]:[GameIsOver]], 1, Table1[[AwayTeam]:[AwayTeam]], $A39, Table1[[HomeTeam]:[HomeTeam]], J$36, Table1[[ActualResult]:[ActualResult]], "SO") + SUMIFS(Table1[[AwayWon]:[AwayWon]], Table1[[GameIsOver]:[GameIsOver]], 1, Table1[[HomeTeam]:[HomeTeam]], $A39, Table1[[AwayTeam]:[AwayTeam]], J$36, Table1[[ActualResult]:[ActualResult]], "SO")))/ (2*((COUNTIFS(Table1[[GameIsOver]:[GameIsOver]],1,Table1[[AwayTeam]:[AwayTeam]],$A39, Table1[[HomeTeam]:[HomeTeam]], J$36)))+( COUNTIFS(Table1[[GameIsOver]:[GameIsOver]],1,Table1[[AwayTeam]:[AwayTeam]],J$36, Table1[[HomeTeam]:[HomeTeam]],$A39))), "")</f>
        <v/>
      </c>
      <c r="K39" s="50" t="str">
        <f>IFERROR(((2 * (SUMIFS(Table1[[AwayWon]:[AwayWon]], Table1[[GameIsOver]:[GameIsOver]], 1, Table1[[AwayTeam]:[AwayTeam]], $A39, Table1[[HomeTeam]:[HomeTeam]], K$36) + SUMIFS(Table1[[HomeWon]:[HomeWon]], Table1[[GameIsOver]:[GameIsOver]], 1, Table1[[HomeTeam]:[HomeTeam]], $A39, Table1[[AwayTeam]:[AwayTeam]], K$36))) + (SUMIFS(Table1[[HomeWon]:[HomeWon]], Table1[[GameIsOver]:[GameIsOver]], 1, Table1[[AwayTeam]:[AwayTeam]], $A39, Table1[[HomeTeam]:[HomeTeam]],  K$36, Table1[[ActualResult]:[ActualResult]], "OT") + SUMIFS(Table1[[AwayWon]:[AwayWon]], Table1[[GameIsOver]:[GameIsOver]], 1, Table1[[HomeTeam]:[HomeTeam]], $A39, Table1[[AwayTeam]:[AwayTeam]], K$36, Table1[[ActualResult]:[ActualResult]], "OT") + SUMIFS(Table1[[HomeWon]:[HomeWon]], Table1[[GameIsOver]:[GameIsOver]], 1, Table1[[AwayTeam]:[AwayTeam]], $A39, Table1[[HomeTeam]:[HomeTeam]], K$36, Table1[[ActualResult]:[ActualResult]], "SO") + SUMIFS(Table1[[AwayWon]:[AwayWon]], Table1[[GameIsOver]:[GameIsOver]], 1, Table1[[HomeTeam]:[HomeTeam]], $A39, Table1[[AwayTeam]:[AwayTeam]], K$36, Table1[[ActualResult]:[ActualResult]], "SO")))/ (2*((COUNTIFS(Table1[[GameIsOver]:[GameIsOver]],1,Table1[[AwayTeam]:[AwayTeam]],$A39, Table1[[HomeTeam]:[HomeTeam]], K$36)))+( COUNTIFS(Table1[[GameIsOver]:[GameIsOver]],1,Table1[[AwayTeam]:[AwayTeam]],K$36, Table1[[HomeTeam]:[HomeTeam]],$A39))), "")</f>
        <v/>
      </c>
      <c r="L39" s="50" t="str">
        <f>IFERROR(((2 * (SUMIFS(Table1[[AwayWon]:[AwayWon]], Table1[[GameIsOver]:[GameIsOver]], 1, Table1[[AwayTeam]:[AwayTeam]], $A39, Table1[[HomeTeam]:[HomeTeam]], L$36) + SUMIFS(Table1[[HomeWon]:[HomeWon]], Table1[[GameIsOver]:[GameIsOver]], 1, Table1[[HomeTeam]:[HomeTeam]], $A39, Table1[[AwayTeam]:[AwayTeam]], L$36))) + (SUMIFS(Table1[[HomeWon]:[HomeWon]], Table1[[GameIsOver]:[GameIsOver]], 1, Table1[[AwayTeam]:[AwayTeam]], $A39, Table1[[HomeTeam]:[HomeTeam]],  L$36, Table1[[ActualResult]:[ActualResult]], "OT") + SUMIFS(Table1[[AwayWon]:[AwayWon]], Table1[[GameIsOver]:[GameIsOver]], 1, Table1[[HomeTeam]:[HomeTeam]], $A39, Table1[[AwayTeam]:[AwayTeam]], L$36, Table1[[ActualResult]:[ActualResult]], "OT") + SUMIFS(Table1[[HomeWon]:[HomeWon]], Table1[[GameIsOver]:[GameIsOver]], 1, Table1[[AwayTeam]:[AwayTeam]], $A39, Table1[[HomeTeam]:[HomeTeam]], L$36, Table1[[ActualResult]:[ActualResult]], "SO") + SUMIFS(Table1[[AwayWon]:[AwayWon]], Table1[[GameIsOver]:[GameIsOver]], 1, Table1[[HomeTeam]:[HomeTeam]], $A39, Table1[[AwayTeam]:[AwayTeam]], L$36, Table1[[ActualResult]:[ActualResult]], "SO")))/ (2*((COUNTIFS(Table1[[GameIsOver]:[GameIsOver]],1,Table1[[AwayTeam]:[AwayTeam]],$A39, Table1[[HomeTeam]:[HomeTeam]], L$36)))+( COUNTIFS(Table1[[GameIsOver]:[GameIsOver]],1,Table1[[AwayTeam]:[AwayTeam]],L$36, Table1[[HomeTeam]:[HomeTeam]],$A39))), "")</f>
        <v/>
      </c>
      <c r="M39" s="50" t="str">
        <f>IFERROR(((2 * (SUMIFS(Table1[[AwayWon]:[AwayWon]], Table1[[GameIsOver]:[GameIsOver]], 1, Table1[[AwayTeam]:[AwayTeam]], $A39, Table1[[HomeTeam]:[HomeTeam]], M$36) + SUMIFS(Table1[[HomeWon]:[HomeWon]], Table1[[GameIsOver]:[GameIsOver]], 1, Table1[[HomeTeam]:[HomeTeam]], $A39, Table1[[AwayTeam]:[AwayTeam]], M$36))) + (SUMIFS(Table1[[HomeWon]:[HomeWon]], Table1[[GameIsOver]:[GameIsOver]], 1, Table1[[AwayTeam]:[AwayTeam]], $A39, Table1[[HomeTeam]:[HomeTeam]],  M$36, Table1[[ActualResult]:[ActualResult]], "OT") + SUMIFS(Table1[[AwayWon]:[AwayWon]], Table1[[GameIsOver]:[GameIsOver]], 1, Table1[[HomeTeam]:[HomeTeam]], $A39, Table1[[AwayTeam]:[AwayTeam]], M$36, Table1[[ActualResult]:[ActualResult]], "OT") + SUMIFS(Table1[[HomeWon]:[HomeWon]], Table1[[GameIsOver]:[GameIsOver]], 1, Table1[[AwayTeam]:[AwayTeam]], $A39, Table1[[HomeTeam]:[HomeTeam]], M$36, Table1[[ActualResult]:[ActualResult]], "SO") + SUMIFS(Table1[[AwayWon]:[AwayWon]], Table1[[GameIsOver]:[GameIsOver]], 1, Table1[[HomeTeam]:[HomeTeam]], $A39, Table1[[AwayTeam]:[AwayTeam]], M$36, Table1[[ActualResult]:[ActualResult]], "SO")))/ (2*((COUNTIFS(Table1[[GameIsOver]:[GameIsOver]],1,Table1[[AwayTeam]:[AwayTeam]],$A39, Table1[[HomeTeam]:[HomeTeam]], M$36)))+( COUNTIFS(Table1[[GameIsOver]:[GameIsOver]],1,Table1[[AwayTeam]:[AwayTeam]],M$36, Table1[[HomeTeam]:[HomeTeam]],$A39))), "")</f>
        <v/>
      </c>
      <c r="N39" s="50" t="str">
        <f>IFERROR(((2 * (SUMIFS(Table1[[AwayWon]:[AwayWon]], Table1[[GameIsOver]:[GameIsOver]], 1, Table1[[AwayTeam]:[AwayTeam]], $A39, Table1[[HomeTeam]:[HomeTeam]], N$36) + SUMIFS(Table1[[HomeWon]:[HomeWon]], Table1[[GameIsOver]:[GameIsOver]], 1, Table1[[HomeTeam]:[HomeTeam]], $A39, Table1[[AwayTeam]:[AwayTeam]], N$36))) + (SUMIFS(Table1[[HomeWon]:[HomeWon]], Table1[[GameIsOver]:[GameIsOver]], 1, Table1[[AwayTeam]:[AwayTeam]], $A39, Table1[[HomeTeam]:[HomeTeam]],  N$36, Table1[[ActualResult]:[ActualResult]], "OT") + SUMIFS(Table1[[AwayWon]:[AwayWon]], Table1[[GameIsOver]:[GameIsOver]], 1, Table1[[HomeTeam]:[HomeTeam]], $A39, Table1[[AwayTeam]:[AwayTeam]], N$36, Table1[[ActualResult]:[ActualResult]], "OT") + SUMIFS(Table1[[HomeWon]:[HomeWon]], Table1[[GameIsOver]:[GameIsOver]], 1, Table1[[AwayTeam]:[AwayTeam]], $A39, Table1[[HomeTeam]:[HomeTeam]], N$36, Table1[[ActualResult]:[ActualResult]], "SO") + SUMIFS(Table1[[AwayWon]:[AwayWon]], Table1[[GameIsOver]:[GameIsOver]], 1, Table1[[HomeTeam]:[HomeTeam]], $A39, Table1[[AwayTeam]:[AwayTeam]], N$36, Table1[[ActualResult]:[ActualResult]], "SO")))/ (2*((COUNTIFS(Table1[[GameIsOver]:[GameIsOver]],1,Table1[[AwayTeam]:[AwayTeam]],$A39, Table1[[HomeTeam]:[HomeTeam]], N$36)))+( COUNTIFS(Table1[[GameIsOver]:[GameIsOver]],1,Table1[[AwayTeam]:[AwayTeam]],N$36, Table1[[HomeTeam]:[HomeTeam]],$A39))), "")</f>
        <v/>
      </c>
      <c r="O39" s="50" t="str">
        <f>IFERROR(((2 * (SUMIFS(Table1[[AwayWon]:[AwayWon]], Table1[[GameIsOver]:[GameIsOver]], 1, Table1[[AwayTeam]:[AwayTeam]], $A39, Table1[[HomeTeam]:[HomeTeam]], O$36) + SUMIFS(Table1[[HomeWon]:[HomeWon]], Table1[[GameIsOver]:[GameIsOver]], 1, Table1[[HomeTeam]:[HomeTeam]], $A39, Table1[[AwayTeam]:[AwayTeam]], O$36))) + (SUMIFS(Table1[[HomeWon]:[HomeWon]], Table1[[GameIsOver]:[GameIsOver]], 1, Table1[[AwayTeam]:[AwayTeam]], $A39, Table1[[HomeTeam]:[HomeTeam]],  O$36, Table1[[ActualResult]:[ActualResult]], "OT") + SUMIFS(Table1[[AwayWon]:[AwayWon]], Table1[[GameIsOver]:[GameIsOver]], 1, Table1[[HomeTeam]:[HomeTeam]], $A39, Table1[[AwayTeam]:[AwayTeam]], O$36, Table1[[ActualResult]:[ActualResult]], "OT") + SUMIFS(Table1[[HomeWon]:[HomeWon]], Table1[[GameIsOver]:[GameIsOver]], 1, Table1[[AwayTeam]:[AwayTeam]], $A39, Table1[[HomeTeam]:[HomeTeam]], O$36, Table1[[ActualResult]:[ActualResult]], "SO") + SUMIFS(Table1[[AwayWon]:[AwayWon]], Table1[[GameIsOver]:[GameIsOver]], 1, Table1[[HomeTeam]:[HomeTeam]], $A39, Table1[[AwayTeam]:[AwayTeam]], O$36, Table1[[ActualResult]:[ActualResult]], "SO")))/ (2*((COUNTIFS(Table1[[GameIsOver]:[GameIsOver]],1,Table1[[AwayTeam]:[AwayTeam]],$A39, Table1[[HomeTeam]:[HomeTeam]], O$36)))+( COUNTIFS(Table1[[GameIsOver]:[GameIsOver]],1,Table1[[AwayTeam]:[AwayTeam]],O$36, Table1[[HomeTeam]:[HomeTeam]],$A39))), "")</f>
        <v/>
      </c>
      <c r="P39" s="50" t="str">
        <f>IFERROR(((2 * (SUMIFS(Table1[[AwayWon]:[AwayWon]], Table1[[GameIsOver]:[GameIsOver]], 1, Table1[[AwayTeam]:[AwayTeam]], $A39, Table1[[HomeTeam]:[HomeTeam]], P$36) + SUMIFS(Table1[[HomeWon]:[HomeWon]], Table1[[GameIsOver]:[GameIsOver]], 1, Table1[[HomeTeam]:[HomeTeam]], $A39, Table1[[AwayTeam]:[AwayTeam]], P$36))) + (SUMIFS(Table1[[HomeWon]:[HomeWon]], Table1[[GameIsOver]:[GameIsOver]], 1, Table1[[AwayTeam]:[AwayTeam]], $A39, Table1[[HomeTeam]:[HomeTeam]],  P$36, Table1[[ActualResult]:[ActualResult]], "OT") + SUMIFS(Table1[[AwayWon]:[AwayWon]], Table1[[GameIsOver]:[GameIsOver]], 1, Table1[[HomeTeam]:[HomeTeam]], $A39, Table1[[AwayTeam]:[AwayTeam]], P$36, Table1[[ActualResult]:[ActualResult]], "OT") + SUMIFS(Table1[[HomeWon]:[HomeWon]], Table1[[GameIsOver]:[GameIsOver]], 1, Table1[[AwayTeam]:[AwayTeam]], $A39, Table1[[HomeTeam]:[HomeTeam]], P$36, Table1[[ActualResult]:[ActualResult]], "SO") + SUMIFS(Table1[[AwayWon]:[AwayWon]], Table1[[GameIsOver]:[GameIsOver]], 1, Table1[[HomeTeam]:[HomeTeam]], $A39, Table1[[AwayTeam]:[AwayTeam]], P$36, Table1[[ActualResult]:[ActualResult]], "SO")))/ (2*((COUNTIFS(Table1[[GameIsOver]:[GameIsOver]],1,Table1[[AwayTeam]:[AwayTeam]],$A39, Table1[[HomeTeam]:[HomeTeam]], P$36)))+( COUNTIFS(Table1[[GameIsOver]:[GameIsOver]],1,Table1[[AwayTeam]:[AwayTeam]],P$36, Table1[[HomeTeam]:[HomeTeam]],$A39))), "")</f>
        <v/>
      </c>
      <c r="Q39" s="52" t="str">
        <f>IFERROR(((2 * (SUMIFS(Table1[[AwayWon]:[AwayWon]], Table1[[GameIsOver]:[GameIsOver]], 1, Table1[[AwayTeam]:[AwayTeam]], $A39, Table1[[HomeTeam]:[HomeTeam]], Q$36) + SUMIFS(Table1[[HomeWon]:[HomeWon]], Table1[[GameIsOver]:[GameIsOver]], 1, Table1[[HomeTeam]:[HomeTeam]], $A39, Table1[[AwayTeam]:[AwayTeam]], Q$36))) + (SUMIFS(Table1[[HomeWon]:[HomeWon]], Table1[[GameIsOver]:[GameIsOver]], 1, Table1[[AwayTeam]:[AwayTeam]], $A39, Table1[[HomeTeam]:[HomeTeam]],  Q$36, Table1[[ActualResult]:[ActualResult]], "OT") + SUMIFS(Table1[[AwayWon]:[AwayWon]], Table1[[GameIsOver]:[GameIsOver]], 1, Table1[[HomeTeam]:[HomeTeam]], $A39, Table1[[AwayTeam]:[AwayTeam]], Q$36, Table1[[ActualResult]:[ActualResult]], "OT") + SUMIFS(Table1[[HomeWon]:[HomeWon]], Table1[[GameIsOver]:[GameIsOver]], 1, Table1[[AwayTeam]:[AwayTeam]], $A39, Table1[[HomeTeam]:[HomeTeam]], Q$36, Table1[[ActualResult]:[ActualResult]], "SO") + SUMIFS(Table1[[AwayWon]:[AwayWon]], Table1[[GameIsOver]:[GameIsOver]], 1, Table1[[HomeTeam]:[HomeTeam]], $A39, Table1[[AwayTeam]:[AwayTeam]], Q$36, Table1[[ActualResult]:[ActualResult]], "SO")))/ (2*((COUNTIFS(Table1[[GameIsOver]:[GameIsOver]],1,Table1[[AwayTeam]:[AwayTeam]],$A39, Table1[[HomeTeam]:[HomeTeam]], Q$36)))+( COUNTIFS(Table1[[GameIsOver]:[GameIsOver]],1,Table1[[AwayTeam]:[AwayTeam]],Q$36, Table1[[HomeTeam]:[HomeTeam]],$A39))), "")</f>
        <v/>
      </c>
      <c r="R39" s="50" t="str">
        <f>IFERROR(((2 * (SUMIFS(Table1[[AwayWon]:[AwayWon]], Table1[[GameIsOver]:[GameIsOver]], 1, Table1[[AwayTeam]:[AwayTeam]], $A39, Table1[[HomeTeam]:[HomeTeam]], R$36) + SUMIFS(Table1[[HomeWon]:[HomeWon]], Table1[[GameIsOver]:[GameIsOver]], 1, Table1[[HomeTeam]:[HomeTeam]], $A39, Table1[[AwayTeam]:[AwayTeam]], R$36))) + (SUMIFS(Table1[[HomeWon]:[HomeWon]], Table1[[GameIsOver]:[GameIsOver]], 1, Table1[[AwayTeam]:[AwayTeam]], $A39, Table1[[HomeTeam]:[HomeTeam]],  R$36, Table1[[ActualResult]:[ActualResult]], "OT") + SUMIFS(Table1[[AwayWon]:[AwayWon]], Table1[[GameIsOver]:[GameIsOver]], 1, Table1[[HomeTeam]:[HomeTeam]], $A39, Table1[[AwayTeam]:[AwayTeam]], R$36, Table1[[ActualResult]:[ActualResult]], "OT") + SUMIFS(Table1[[HomeWon]:[HomeWon]], Table1[[GameIsOver]:[GameIsOver]], 1, Table1[[AwayTeam]:[AwayTeam]], $A39, Table1[[HomeTeam]:[HomeTeam]], R$36, Table1[[ActualResult]:[ActualResult]], "SO") + SUMIFS(Table1[[AwayWon]:[AwayWon]], Table1[[GameIsOver]:[GameIsOver]], 1, Table1[[HomeTeam]:[HomeTeam]], $A39, Table1[[AwayTeam]:[AwayTeam]], R$36, Table1[[ActualResult]:[ActualResult]], "SO")))/ (2*((COUNTIFS(Table1[[GameIsOver]:[GameIsOver]],1,Table1[[AwayTeam]:[AwayTeam]],$A39, Table1[[HomeTeam]:[HomeTeam]], R$36)))+( COUNTIFS(Table1[[GameIsOver]:[GameIsOver]],1,Table1[[AwayTeam]:[AwayTeam]],R$36, Table1[[HomeTeam]:[HomeTeam]],$A39))), "")</f>
        <v/>
      </c>
      <c r="S39" s="50" t="str">
        <f>IFERROR(((2 * (SUMIFS(Table1[[AwayWon]:[AwayWon]], Table1[[GameIsOver]:[GameIsOver]], 1, Table1[[AwayTeam]:[AwayTeam]], $A39, Table1[[HomeTeam]:[HomeTeam]], S$36) + SUMIFS(Table1[[HomeWon]:[HomeWon]], Table1[[GameIsOver]:[GameIsOver]], 1, Table1[[HomeTeam]:[HomeTeam]], $A39, Table1[[AwayTeam]:[AwayTeam]], S$36))) + (SUMIFS(Table1[[HomeWon]:[HomeWon]], Table1[[GameIsOver]:[GameIsOver]], 1, Table1[[AwayTeam]:[AwayTeam]], $A39, Table1[[HomeTeam]:[HomeTeam]],  S$36, Table1[[ActualResult]:[ActualResult]], "OT") + SUMIFS(Table1[[AwayWon]:[AwayWon]], Table1[[GameIsOver]:[GameIsOver]], 1, Table1[[HomeTeam]:[HomeTeam]], $A39, Table1[[AwayTeam]:[AwayTeam]], S$36, Table1[[ActualResult]:[ActualResult]], "OT") + SUMIFS(Table1[[HomeWon]:[HomeWon]], Table1[[GameIsOver]:[GameIsOver]], 1, Table1[[AwayTeam]:[AwayTeam]], $A39, Table1[[HomeTeam]:[HomeTeam]], S$36, Table1[[ActualResult]:[ActualResult]], "SO") + SUMIFS(Table1[[AwayWon]:[AwayWon]], Table1[[GameIsOver]:[GameIsOver]], 1, Table1[[HomeTeam]:[HomeTeam]], $A39, Table1[[AwayTeam]:[AwayTeam]], S$36, Table1[[ActualResult]:[ActualResult]], "SO")))/ (2*((COUNTIFS(Table1[[GameIsOver]:[GameIsOver]],1,Table1[[AwayTeam]:[AwayTeam]],$A39, Table1[[HomeTeam]:[HomeTeam]], S$36)))+( COUNTIFS(Table1[[GameIsOver]:[GameIsOver]],1,Table1[[AwayTeam]:[AwayTeam]],S$36, Table1[[HomeTeam]:[HomeTeam]],$A39))), "")</f>
        <v/>
      </c>
      <c r="T39" s="50" t="str">
        <f>IFERROR(((2 * (SUMIFS(Table1[[AwayWon]:[AwayWon]], Table1[[GameIsOver]:[GameIsOver]], 1, Table1[[AwayTeam]:[AwayTeam]], $A39, Table1[[HomeTeam]:[HomeTeam]], T$36) + SUMIFS(Table1[[HomeWon]:[HomeWon]], Table1[[GameIsOver]:[GameIsOver]], 1, Table1[[HomeTeam]:[HomeTeam]], $A39, Table1[[AwayTeam]:[AwayTeam]], T$36))) + (SUMIFS(Table1[[HomeWon]:[HomeWon]], Table1[[GameIsOver]:[GameIsOver]], 1, Table1[[AwayTeam]:[AwayTeam]], $A39, Table1[[HomeTeam]:[HomeTeam]],  T$36, Table1[[ActualResult]:[ActualResult]], "OT") + SUMIFS(Table1[[AwayWon]:[AwayWon]], Table1[[GameIsOver]:[GameIsOver]], 1, Table1[[HomeTeam]:[HomeTeam]], $A39, Table1[[AwayTeam]:[AwayTeam]], T$36, Table1[[ActualResult]:[ActualResult]], "OT") + SUMIFS(Table1[[HomeWon]:[HomeWon]], Table1[[GameIsOver]:[GameIsOver]], 1, Table1[[AwayTeam]:[AwayTeam]], $A39, Table1[[HomeTeam]:[HomeTeam]], T$36, Table1[[ActualResult]:[ActualResult]], "SO") + SUMIFS(Table1[[AwayWon]:[AwayWon]], Table1[[GameIsOver]:[GameIsOver]], 1, Table1[[HomeTeam]:[HomeTeam]], $A39, Table1[[AwayTeam]:[AwayTeam]], T$36, Table1[[ActualResult]:[ActualResult]], "SO")))/ (2*((COUNTIFS(Table1[[GameIsOver]:[GameIsOver]],1,Table1[[AwayTeam]:[AwayTeam]],$A39, Table1[[HomeTeam]:[HomeTeam]], T$36)))+( COUNTIFS(Table1[[GameIsOver]:[GameIsOver]],1,Table1[[AwayTeam]:[AwayTeam]],T$36, Table1[[HomeTeam]:[HomeTeam]],$A39))), "")</f>
        <v/>
      </c>
      <c r="U39" s="50" t="str">
        <f>IFERROR(((2 * (SUMIFS(Table1[[AwayWon]:[AwayWon]], Table1[[GameIsOver]:[GameIsOver]], 1, Table1[[AwayTeam]:[AwayTeam]], $A39, Table1[[HomeTeam]:[HomeTeam]], U$36) + SUMIFS(Table1[[HomeWon]:[HomeWon]], Table1[[GameIsOver]:[GameIsOver]], 1, Table1[[HomeTeam]:[HomeTeam]], $A39, Table1[[AwayTeam]:[AwayTeam]], U$36))) + (SUMIFS(Table1[[HomeWon]:[HomeWon]], Table1[[GameIsOver]:[GameIsOver]], 1, Table1[[AwayTeam]:[AwayTeam]], $A39, Table1[[HomeTeam]:[HomeTeam]],  U$36, Table1[[ActualResult]:[ActualResult]], "OT") + SUMIFS(Table1[[AwayWon]:[AwayWon]], Table1[[GameIsOver]:[GameIsOver]], 1, Table1[[HomeTeam]:[HomeTeam]], $A39, Table1[[AwayTeam]:[AwayTeam]], U$36, Table1[[ActualResult]:[ActualResult]], "OT") + SUMIFS(Table1[[HomeWon]:[HomeWon]], Table1[[GameIsOver]:[GameIsOver]], 1, Table1[[AwayTeam]:[AwayTeam]], $A39, Table1[[HomeTeam]:[HomeTeam]], U$36, Table1[[ActualResult]:[ActualResult]], "SO") + SUMIFS(Table1[[AwayWon]:[AwayWon]], Table1[[GameIsOver]:[GameIsOver]], 1, Table1[[HomeTeam]:[HomeTeam]], $A39, Table1[[AwayTeam]:[AwayTeam]], U$36, Table1[[ActualResult]:[ActualResult]], "SO")))/ (2*((COUNTIFS(Table1[[GameIsOver]:[GameIsOver]],1,Table1[[AwayTeam]:[AwayTeam]],$A39, Table1[[HomeTeam]:[HomeTeam]], U$36)))+( COUNTIFS(Table1[[GameIsOver]:[GameIsOver]],1,Table1[[AwayTeam]:[AwayTeam]],U$36, Table1[[HomeTeam]:[HomeTeam]],$A39))), "")</f>
        <v/>
      </c>
      <c r="V39" s="50" t="str">
        <f>IFERROR(((2 * (SUMIFS(Table1[[AwayWon]:[AwayWon]], Table1[[GameIsOver]:[GameIsOver]], 1, Table1[[AwayTeam]:[AwayTeam]], $A39, Table1[[HomeTeam]:[HomeTeam]], V$36) + SUMIFS(Table1[[HomeWon]:[HomeWon]], Table1[[GameIsOver]:[GameIsOver]], 1, Table1[[HomeTeam]:[HomeTeam]], $A39, Table1[[AwayTeam]:[AwayTeam]], V$36))) + (SUMIFS(Table1[[HomeWon]:[HomeWon]], Table1[[GameIsOver]:[GameIsOver]], 1, Table1[[AwayTeam]:[AwayTeam]], $A39, Table1[[HomeTeam]:[HomeTeam]],  V$36, Table1[[ActualResult]:[ActualResult]], "OT") + SUMIFS(Table1[[AwayWon]:[AwayWon]], Table1[[GameIsOver]:[GameIsOver]], 1, Table1[[HomeTeam]:[HomeTeam]], $A39, Table1[[AwayTeam]:[AwayTeam]], V$36, Table1[[ActualResult]:[ActualResult]], "OT") + SUMIFS(Table1[[HomeWon]:[HomeWon]], Table1[[GameIsOver]:[GameIsOver]], 1, Table1[[AwayTeam]:[AwayTeam]], $A39, Table1[[HomeTeam]:[HomeTeam]], V$36, Table1[[ActualResult]:[ActualResult]], "SO") + SUMIFS(Table1[[AwayWon]:[AwayWon]], Table1[[GameIsOver]:[GameIsOver]], 1, Table1[[HomeTeam]:[HomeTeam]], $A39, Table1[[AwayTeam]:[AwayTeam]], V$36, Table1[[ActualResult]:[ActualResult]], "SO")))/ (2*((COUNTIFS(Table1[[GameIsOver]:[GameIsOver]],1,Table1[[AwayTeam]:[AwayTeam]],$A39, Table1[[HomeTeam]:[HomeTeam]], V$36)))+( COUNTIFS(Table1[[GameIsOver]:[GameIsOver]],1,Table1[[AwayTeam]:[AwayTeam]],V$36, Table1[[HomeTeam]:[HomeTeam]],$A39))), "")</f>
        <v/>
      </c>
      <c r="W39" s="50" t="str">
        <f>IFERROR(((2 * (SUMIFS(Table1[[AwayWon]:[AwayWon]], Table1[[GameIsOver]:[GameIsOver]], 1, Table1[[AwayTeam]:[AwayTeam]], $A39, Table1[[HomeTeam]:[HomeTeam]], W$36) + SUMIFS(Table1[[HomeWon]:[HomeWon]], Table1[[GameIsOver]:[GameIsOver]], 1, Table1[[HomeTeam]:[HomeTeam]], $A39, Table1[[AwayTeam]:[AwayTeam]], W$36))) + (SUMIFS(Table1[[HomeWon]:[HomeWon]], Table1[[GameIsOver]:[GameIsOver]], 1, Table1[[AwayTeam]:[AwayTeam]], $A39, Table1[[HomeTeam]:[HomeTeam]],  W$36, Table1[[ActualResult]:[ActualResult]], "OT") + SUMIFS(Table1[[AwayWon]:[AwayWon]], Table1[[GameIsOver]:[GameIsOver]], 1, Table1[[HomeTeam]:[HomeTeam]], $A39, Table1[[AwayTeam]:[AwayTeam]], W$36, Table1[[ActualResult]:[ActualResult]], "OT") + SUMIFS(Table1[[HomeWon]:[HomeWon]], Table1[[GameIsOver]:[GameIsOver]], 1, Table1[[AwayTeam]:[AwayTeam]], $A39, Table1[[HomeTeam]:[HomeTeam]], W$36, Table1[[ActualResult]:[ActualResult]], "SO") + SUMIFS(Table1[[AwayWon]:[AwayWon]], Table1[[GameIsOver]:[GameIsOver]], 1, Table1[[HomeTeam]:[HomeTeam]], $A39, Table1[[AwayTeam]:[AwayTeam]], W$36, Table1[[ActualResult]:[ActualResult]], "SO")))/ (2*((COUNTIFS(Table1[[GameIsOver]:[GameIsOver]],1,Table1[[AwayTeam]:[AwayTeam]],$A39, Table1[[HomeTeam]:[HomeTeam]], W$36)))+( COUNTIFS(Table1[[GameIsOver]:[GameIsOver]],1,Table1[[AwayTeam]:[AwayTeam]],W$36, Table1[[HomeTeam]:[HomeTeam]],$A39))), "")</f>
        <v/>
      </c>
      <c r="X39" s="50" t="str">
        <f>IFERROR(((2 * (SUMIFS(Table1[[AwayWon]:[AwayWon]], Table1[[GameIsOver]:[GameIsOver]], 1, Table1[[AwayTeam]:[AwayTeam]], $A39, Table1[[HomeTeam]:[HomeTeam]], X$36) + SUMIFS(Table1[[HomeWon]:[HomeWon]], Table1[[GameIsOver]:[GameIsOver]], 1, Table1[[HomeTeam]:[HomeTeam]], $A39, Table1[[AwayTeam]:[AwayTeam]], X$36))) + (SUMIFS(Table1[[HomeWon]:[HomeWon]], Table1[[GameIsOver]:[GameIsOver]], 1, Table1[[AwayTeam]:[AwayTeam]], $A39, Table1[[HomeTeam]:[HomeTeam]],  X$36, Table1[[ActualResult]:[ActualResult]], "OT") + SUMIFS(Table1[[AwayWon]:[AwayWon]], Table1[[GameIsOver]:[GameIsOver]], 1, Table1[[HomeTeam]:[HomeTeam]], $A39, Table1[[AwayTeam]:[AwayTeam]], X$36, Table1[[ActualResult]:[ActualResult]], "OT") + SUMIFS(Table1[[HomeWon]:[HomeWon]], Table1[[GameIsOver]:[GameIsOver]], 1, Table1[[AwayTeam]:[AwayTeam]], $A39, Table1[[HomeTeam]:[HomeTeam]], X$36, Table1[[ActualResult]:[ActualResult]], "SO") + SUMIFS(Table1[[AwayWon]:[AwayWon]], Table1[[GameIsOver]:[GameIsOver]], 1, Table1[[HomeTeam]:[HomeTeam]], $A39, Table1[[AwayTeam]:[AwayTeam]], X$36, Table1[[ActualResult]:[ActualResult]], "SO")))/ (2*((COUNTIFS(Table1[[GameIsOver]:[GameIsOver]],1,Table1[[AwayTeam]:[AwayTeam]],$A39, Table1[[HomeTeam]:[HomeTeam]], X$36)))+( COUNTIFS(Table1[[GameIsOver]:[GameIsOver]],1,Table1[[AwayTeam]:[AwayTeam]],X$36, Table1[[HomeTeam]:[HomeTeam]],$A39))), "")</f>
        <v/>
      </c>
      <c r="Y39" s="52" t="str">
        <f>IFERROR(((2 * (SUMIFS(Table1[[AwayWon]:[AwayWon]], Table1[[GameIsOver]:[GameIsOver]], 1, Table1[[AwayTeam]:[AwayTeam]], $A39, Table1[[HomeTeam]:[HomeTeam]], Y$36) + SUMIFS(Table1[[HomeWon]:[HomeWon]], Table1[[GameIsOver]:[GameIsOver]], 1, Table1[[HomeTeam]:[HomeTeam]], $A39, Table1[[AwayTeam]:[AwayTeam]], Y$36))) + (SUMIFS(Table1[[HomeWon]:[HomeWon]], Table1[[GameIsOver]:[GameIsOver]], 1, Table1[[AwayTeam]:[AwayTeam]], $A39, Table1[[HomeTeam]:[HomeTeam]],  Y$36, Table1[[ActualResult]:[ActualResult]], "OT") + SUMIFS(Table1[[AwayWon]:[AwayWon]], Table1[[GameIsOver]:[GameIsOver]], 1, Table1[[HomeTeam]:[HomeTeam]], $A39, Table1[[AwayTeam]:[AwayTeam]], Y$36, Table1[[ActualResult]:[ActualResult]], "OT") + SUMIFS(Table1[[HomeWon]:[HomeWon]], Table1[[GameIsOver]:[GameIsOver]], 1, Table1[[AwayTeam]:[AwayTeam]], $A39, Table1[[HomeTeam]:[HomeTeam]], Y$36, Table1[[ActualResult]:[ActualResult]], "SO") + SUMIFS(Table1[[AwayWon]:[AwayWon]], Table1[[GameIsOver]:[GameIsOver]], 1, Table1[[HomeTeam]:[HomeTeam]], $A39, Table1[[AwayTeam]:[AwayTeam]], Y$36, Table1[[ActualResult]:[ActualResult]], "SO")))/ (2*((COUNTIFS(Table1[[GameIsOver]:[GameIsOver]],1,Table1[[AwayTeam]:[AwayTeam]],$A39, Table1[[HomeTeam]:[HomeTeam]], Y$36)))+( COUNTIFS(Table1[[GameIsOver]:[GameIsOver]],1,Table1[[AwayTeam]:[AwayTeam]],Y$36, Table1[[HomeTeam]:[HomeTeam]],$A39))), "")</f>
        <v/>
      </c>
      <c r="Z39" s="50" t="str">
        <f>IFERROR(((2 * (SUMIFS(Table1[[AwayWon]:[AwayWon]], Table1[[GameIsOver]:[GameIsOver]], 1, Table1[[AwayTeam]:[AwayTeam]], $A39, Table1[[HomeTeam]:[HomeTeam]], Z$36) + SUMIFS(Table1[[HomeWon]:[HomeWon]], Table1[[GameIsOver]:[GameIsOver]], 1, Table1[[HomeTeam]:[HomeTeam]], $A39, Table1[[AwayTeam]:[AwayTeam]], Z$36))) + (SUMIFS(Table1[[HomeWon]:[HomeWon]], Table1[[GameIsOver]:[GameIsOver]], 1, Table1[[AwayTeam]:[AwayTeam]], $A39, Table1[[HomeTeam]:[HomeTeam]],  Z$36, Table1[[ActualResult]:[ActualResult]], "OT") + SUMIFS(Table1[[AwayWon]:[AwayWon]], Table1[[GameIsOver]:[GameIsOver]], 1, Table1[[HomeTeam]:[HomeTeam]], $A39, Table1[[AwayTeam]:[AwayTeam]], Z$36, Table1[[ActualResult]:[ActualResult]], "OT") + SUMIFS(Table1[[HomeWon]:[HomeWon]], Table1[[GameIsOver]:[GameIsOver]], 1, Table1[[AwayTeam]:[AwayTeam]], $A39, Table1[[HomeTeam]:[HomeTeam]], Z$36, Table1[[ActualResult]:[ActualResult]], "SO") + SUMIFS(Table1[[AwayWon]:[AwayWon]], Table1[[GameIsOver]:[GameIsOver]], 1, Table1[[HomeTeam]:[HomeTeam]], $A39, Table1[[AwayTeam]:[AwayTeam]], Z$36, Table1[[ActualResult]:[ActualResult]], "SO")))/ (2*((COUNTIFS(Table1[[GameIsOver]:[GameIsOver]],1,Table1[[AwayTeam]:[AwayTeam]],$A39, Table1[[HomeTeam]:[HomeTeam]], Z$36)))+( COUNTIFS(Table1[[GameIsOver]:[GameIsOver]],1,Table1[[AwayTeam]:[AwayTeam]],Z$36, Table1[[HomeTeam]:[HomeTeam]],$A39))), "")</f>
        <v/>
      </c>
      <c r="AA39" s="50" t="str">
        <f>IFERROR(((2 * (SUMIFS(Table1[[AwayWon]:[AwayWon]], Table1[[GameIsOver]:[GameIsOver]], 1, Table1[[AwayTeam]:[AwayTeam]], $A39, Table1[[HomeTeam]:[HomeTeam]], AA$36) + SUMIFS(Table1[[HomeWon]:[HomeWon]], Table1[[GameIsOver]:[GameIsOver]], 1, Table1[[HomeTeam]:[HomeTeam]], $A39, Table1[[AwayTeam]:[AwayTeam]], AA$36))) + (SUMIFS(Table1[[HomeWon]:[HomeWon]], Table1[[GameIsOver]:[GameIsOver]], 1, Table1[[AwayTeam]:[AwayTeam]], $A39, Table1[[HomeTeam]:[HomeTeam]],  AA$36, Table1[[ActualResult]:[ActualResult]], "OT") + SUMIFS(Table1[[AwayWon]:[AwayWon]], Table1[[GameIsOver]:[GameIsOver]], 1, Table1[[HomeTeam]:[HomeTeam]], $A39, Table1[[AwayTeam]:[AwayTeam]], AA$36, Table1[[ActualResult]:[ActualResult]], "OT") + SUMIFS(Table1[[HomeWon]:[HomeWon]], Table1[[GameIsOver]:[GameIsOver]], 1, Table1[[AwayTeam]:[AwayTeam]], $A39, Table1[[HomeTeam]:[HomeTeam]], AA$36, Table1[[ActualResult]:[ActualResult]], "SO") + SUMIFS(Table1[[AwayWon]:[AwayWon]], Table1[[GameIsOver]:[GameIsOver]], 1, Table1[[HomeTeam]:[HomeTeam]], $A39, Table1[[AwayTeam]:[AwayTeam]], AA$36, Table1[[ActualResult]:[ActualResult]], "SO")))/ (2*((COUNTIFS(Table1[[GameIsOver]:[GameIsOver]],1,Table1[[AwayTeam]:[AwayTeam]],$A39, Table1[[HomeTeam]:[HomeTeam]], AA$36)))+( COUNTIFS(Table1[[GameIsOver]:[GameIsOver]],1,Table1[[AwayTeam]:[AwayTeam]],AA$36, Table1[[HomeTeam]:[HomeTeam]],$A39))), "")</f>
        <v/>
      </c>
      <c r="AB39" s="50" t="str">
        <f>IFERROR(((2 * (SUMIFS(Table1[[AwayWon]:[AwayWon]], Table1[[GameIsOver]:[GameIsOver]], 1, Table1[[AwayTeam]:[AwayTeam]], $A39, Table1[[HomeTeam]:[HomeTeam]], AB$36) + SUMIFS(Table1[[HomeWon]:[HomeWon]], Table1[[GameIsOver]:[GameIsOver]], 1, Table1[[HomeTeam]:[HomeTeam]], $A39, Table1[[AwayTeam]:[AwayTeam]], AB$36))) + (SUMIFS(Table1[[HomeWon]:[HomeWon]], Table1[[GameIsOver]:[GameIsOver]], 1, Table1[[AwayTeam]:[AwayTeam]], $A39, Table1[[HomeTeam]:[HomeTeam]],  AB$36, Table1[[ActualResult]:[ActualResult]], "OT") + SUMIFS(Table1[[AwayWon]:[AwayWon]], Table1[[GameIsOver]:[GameIsOver]], 1, Table1[[HomeTeam]:[HomeTeam]], $A39, Table1[[AwayTeam]:[AwayTeam]], AB$36, Table1[[ActualResult]:[ActualResult]], "OT") + SUMIFS(Table1[[HomeWon]:[HomeWon]], Table1[[GameIsOver]:[GameIsOver]], 1, Table1[[AwayTeam]:[AwayTeam]], $A39, Table1[[HomeTeam]:[HomeTeam]], AB$36, Table1[[ActualResult]:[ActualResult]], "SO") + SUMIFS(Table1[[AwayWon]:[AwayWon]], Table1[[GameIsOver]:[GameIsOver]], 1, Table1[[HomeTeam]:[HomeTeam]], $A39, Table1[[AwayTeam]:[AwayTeam]], AB$36, Table1[[ActualResult]:[ActualResult]], "SO")))/ (2*((COUNTIFS(Table1[[GameIsOver]:[GameIsOver]],1,Table1[[AwayTeam]:[AwayTeam]],$A39, Table1[[HomeTeam]:[HomeTeam]], AB$36)))+( COUNTIFS(Table1[[GameIsOver]:[GameIsOver]],1,Table1[[AwayTeam]:[AwayTeam]],AB$36, Table1[[HomeTeam]:[HomeTeam]],$A39))), "")</f>
        <v/>
      </c>
      <c r="AC39" s="50" t="str">
        <f>IFERROR(((2 * (SUMIFS(Table1[[AwayWon]:[AwayWon]], Table1[[GameIsOver]:[GameIsOver]], 1, Table1[[AwayTeam]:[AwayTeam]], $A39, Table1[[HomeTeam]:[HomeTeam]], AC$36) + SUMIFS(Table1[[HomeWon]:[HomeWon]], Table1[[GameIsOver]:[GameIsOver]], 1, Table1[[HomeTeam]:[HomeTeam]], $A39, Table1[[AwayTeam]:[AwayTeam]], AC$36))) + (SUMIFS(Table1[[HomeWon]:[HomeWon]], Table1[[GameIsOver]:[GameIsOver]], 1, Table1[[AwayTeam]:[AwayTeam]], $A39, Table1[[HomeTeam]:[HomeTeam]],  AC$36, Table1[[ActualResult]:[ActualResult]], "OT") + SUMIFS(Table1[[AwayWon]:[AwayWon]], Table1[[GameIsOver]:[GameIsOver]], 1, Table1[[HomeTeam]:[HomeTeam]], $A39, Table1[[AwayTeam]:[AwayTeam]], AC$36, Table1[[ActualResult]:[ActualResult]], "OT") + SUMIFS(Table1[[HomeWon]:[HomeWon]], Table1[[GameIsOver]:[GameIsOver]], 1, Table1[[AwayTeam]:[AwayTeam]], $A39, Table1[[HomeTeam]:[HomeTeam]], AC$36, Table1[[ActualResult]:[ActualResult]], "SO") + SUMIFS(Table1[[AwayWon]:[AwayWon]], Table1[[GameIsOver]:[GameIsOver]], 1, Table1[[HomeTeam]:[HomeTeam]], $A39, Table1[[AwayTeam]:[AwayTeam]], AC$36, Table1[[ActualResult]:[ActualResult]], "SO")))/ (2*((COUNTIFS(Table1[[GameIsOver]:[GameIsOver]],1,Table1[[AwayTeam]:[AwayTeam]],$A39, Table1[[HomeTeam]:[HomeTeam]], AC$36)))+( COUNTIFS(Table1[[GameIsOver]:[GameIsOver]],1,Table1[[AwayTeam]:[AwayTeam]],AC$36, Table1[[HomeTeam]:[HomeTeam]],$A39))), "")</f>
        <v/>
      </c>
      <c r="AD39" s="50">
        <f>IFERROR(((2 * (SUMIFS(Table1[[AwayWon]:[AwayWon]], Table1[[GameIsOver]:[GameIsOver]], 1, Table1[[AwayTeam]:[AwayTeam]], $A39, Table1[[HomeTeam]:[HomeTeam]], AD$36) + SUMIFS(Table1[[HomeWon]:[HomeWon]], Table1[[GameIsOver]:[GameIsOver]], 1, Table1[[HomeTeam]:[HomeTeam]], $A39, Table1[[AwayTeam]:[AwayTeam]], AD$36))) + (SUMIFS(Table1[[HomeWon]:[HomeWon]], Table1[[GameIsOver]:[GameIsOver]], 1, Table1[[AwayTeam]:[AwayTeam]], $A39, Table1[[HomeTeam]:[HomeTeam]],  AD$36, Table1[[ActualResult]:[ActualResult]], "OT") + SUMIFS(Table1[[AwayWon]:[AwayWon]], Table1[[GameIsOver]:[GameIsOver]], 1, Table1[[HomeTeam]:[HomeTeam]], $A39, Table1[[AwayTeam]:[AwayTeam]], AD$36, Table1[[ActualResult]:[ActualResult]], "OT") + SUMIFS(Table1[[HomeWon]:[HomeWon]], Table1[[GameIsOver]:[GameIsOver]], 1, Table1[[AwayTeam]:[AwayTeam]], $A39, Table1[[HomeTeam]:[HomeTeam]], AD$36, Table1[[ActualResult]:[ActualResult]], "SO") + SUMIFS(Table1[[AwayWon]:[AwayWon]], Table1[[GameIsOver]:[GameIsOver]], 1, Table1[[HomeTeam]:[HomeTeam]], $A39, Table1[[AwayTeam]:[AwayTeam]], AD$36, Table1[[ActualResult]:[ActualResult]], "SO")))/ (2*((COUNTIFS(Table1[[GameIsOver]:[GameIsOver]],1,Table1[[AwayTeam]:[AwayTeam]],$A39, Table1[[HomeTeam]:[HomeTeam]], AD$36)))+( COUNTIFS(Table1[[GameIsOver]:[GameIsOver]],1,Table1[[AwayTeam]:[AwayTeam]],AD$36, Table1[[HomeTeam]:[HomeTeam]],$A39))), "")</f>
        <v>2</v>
      </c>
      <c r="AE39" s="50" t="str">
        <f>IFERROR(((2 * (SUMIFS(Table1[[AwayWon]:[AwayWon]], Table1[[GameIsOver]:[GameIsOver]], 1, Table1[[AwayTeam]:[AwayTeam]], $A39, Table1[[HomeTeam]:[HomeTeam]], AE$36) + SUMIFS(Table1[[HomeWon]:[HomeWon]], Table1[[GameIsOver]:[GameIsOver]], 1, Table1[[HomeTeam]:[HomeTeam]], $A39, Table1[[AwayTeam]:[AwayTeam]], AE$36))) + (SUMIFS(Table1[[HomeWon]:[HomeWon]], Table1[[GameIsOver]:[GameIsOver]], 1, Table1[[AwayTeam]:[AwayTeam]], $A39, Table1[[HomeTeam]:[HomeTeam]],  AE$36, Table1[[ActualResult]:[ActualResult]], "OT") + SUMIFS(Table1[[AwayWon]:[AwayWon]], Table1[[GameIsOver]:[GameIsOver]], 1, Table1[[HomeTeam]:[HomeTeam]], $A39, Table1[[AwayTeam]:[AwayTeam]], AE$36, Table1[[ActualResult]:[ActualResult]], "OT") + SUMIFS(Table1[[HomeWon]:[HomeWon]], Table1[[GameIsOver]:[GameIsOver]], 1, Table1[[AwayTeam]:[AwayTeam]], $A39, Table1[[HomeTeam]:[HomeTeam]], AE$36, Table1[[ActualResult]:[ActualResult]], "SO") + SUMIFS(Table1[[AwayWon]:[AwayWon]], Table1[[GameIsOver]:[GameIsOver]], 1, Table1[[HomeTeam]:[HomeTeam]], $A39, Table1[[AwayTeam]:[AwayTeam]], AE$36, Table1[[ActualResult]:[ActualResult]], "SO")))/ (2*((COUNTIFS(Table1[[GameIsOver]:[GameIsOver]],1,Table1[[AwayTeam]:[AwayTeam]],$A39, Table1[[HomeTeam]:[HomeTeam]], AE$36)))+( COUNTIFS(Table1[[GameIsOver]:[GameIsOver]],1,Table1[[AwayTeam]:[AwayTeam]],AE$36, Table1[[HomeTeam]:[HomeTeam]],$A39))), "")</f>
        <v/>
      </c>
      <c r="AF39" s="50" t="str">
        <f>IFERROR(((2 * (SUMIFS(Table1[[AwayWon]:[AwayWon]], Table1[[GameIsOver]:[GameIsOver]], 1, Table1[[AwayTeam]:[AwayTeam]], $A39, Table1[[HomeTeam]:[HomeTeam]], AF$36) + SUMIFS(Table1[[HomeWon]:[HomeWon]], Table1[[GameIsOver]:[GameIsOver]], 1, Table1[[HomeTeam]:[HomeTeam]], $A39, Table1[[AwayTeam]:[AwayTeam]], AF$36))) + (SUMIFS(Table1[[HomeWon]:[HomeWon]], Table1[[GameIsOver]:[GameIsOver]], 1, Table1[[AwayTeam]:[AwayTeam]], $A39, Table1[[HomeTeam]:[HomeTeam]],  AF$36, Table1[[ActualResult]:[ActualResult]], "OT") + SUMIFS(Table1[[AwayWon]:[AwayWon]], Table1[[GameIsOver]:[GameIsOver]], 1, Table1[[HomeTeam]:[HomeTeam]], $A39, Table1[[AwayTeam]:[AwayTeam]], AF$36, Table1[[ActualResult]:[ActualResult]], "OT") + SUMIFS(Table1[[HomeWon]:[HomeWon]], Table1[[GameIsOver]:[GameIsOver]], 1, Table1[[AwayTeam]:[AwayTeam]], $A39, Table1[[HomeTeam]:[HomeTeam]], AF$36, Table1[[ActualResult]:[ActualResult]], "SO") + SUMIFS(Table1[[AwayWon]:[AwayWon]], Table1[[GameIsOver]:[GameIsOver]], 1, Table1[[HomeTeam]:[HomeTeam]], $A39, Table1[[AwayTeam]:[AwayTeam]], AF$36, Table1[[ActualResult]:[ActualResult]], "SO")))/ (2*((COUNTIFS(Table1[[GameIsOver]:[GameIsOver]],1,Table1[[AwayTeam]:[AwayTeam]],$A39, Table1[[HomeTeam]:[HomeTeam]], AF$36)))+( COUNTIFS(Table1[[GameIsOver]:[GameIsOver]],1,Table1[[AwayTeam]:[AwayTeam]],AF$36, Table1[[HomeTeam]:[HomeTeam]],$A39))), "")</f>
        <v/>
      </c>
      <c r="AG39" s="50" t="str">
        <f>IFERROR(((2 * (SUMIFS(Table1[[AwayWon]:[AwayWon]], Table1[[GameIsOver]:[GameIsOver]], 1, Table1[[AwayTeam]:[AwayTeam]], $A39, Table1[[HomeTeam]:[HomeTeam]], AG$36) + SUMIFS(Table1[[HomeWon]:[HomeWon]], Table1[[GameIsOver]:[GameIsOver]], 1, Table1[[HomeTeam]:[HomeTeam]], $A39, Table1[[AwayTeam]:[AwayTeam]], AG$36))) + (SUMIFS(Table1[[HomeWon]:[HomeWon]], Table1[[GameIsOver]:[GameIsOver]], 1, Table1[[AwayTeam]:[AwayTeam]], $A39, Table1[[HomeTeam]:[HomeTeam]],  AG$36, Table1[[ActualResult]:[ActualResult]], "OT") + SUMIFS(Table1[[AwayWon]:[AwayWon]], Table1[[GameIsOver]:[GameIsOver]], 1, Table1[[HomeTeam]:[HomeTeam]], $A39, Table1[[AwayTeam]:[AwayTeam]], AG$36, Table1[[ActualResult]:[ActualResult]], "OT") + SUMIFS(Table1[[HomeWon]:[HomeWon]], Table1[[GameIsOver]:[GameIsOver]], 1, Table1[[AwayTeam]:[AwayTeam]], $A39, Table1[[HomeTeam]:[HomeTeam]], AG$36, Table1[[ActualResult]:[ActualResult]], "SO") + SUMIFS(Table1[[AwayWon]:[AwayWon]], Table1[[GameIsOver]:[GameIsOver]], 1, Table1[[HomeTeam]:[HomeTeam]], $A39, Table1[[AwayTeam]:[AwayTeam]], AG$36, Table1[[ActualResult]:[ActualResult]], "SO")))/ (2*((COUNTIFS(Table1[[GameIsOver]:[GameIsOver]],1,Table1[[AwayTeam]:[AwayTeam]],$A39, Table1[[HomeTeam]:[HomeTeam]], AG$36)))+( COUNTIFS(Table1[[GameIsOver]:[GameIsOver]],1,Table1[[AwayTeam]:[AwayTeam]],AG$36, Table1[[HomeTeam]:[HomeTeam]],$A39))), "")</f>
        <v/>
      </c>
      <c r="AH39" s="51">
        <f t="shared" si="0"/>
        <v>2</v>
      </c>
      <c r="AI39" s="51" t="e">
        <f t="shared" si="1"/>
        <v>#DIV/0!</v>
      </c>
      <c r="AJ39" s="52">
        <f t="shared" si="2"/>
        <v>2</v>
      </c>
      <c r="AK39" s="52" t="e">
        <f t="shared" si="3"/>
        <v>#DIV/0!</v>
      </c>
      <c r="AL39" s="52" t="e">
        <f t="shared" si="4"/>
        <v>#DIV/0!</v>
      </c>
      <c r="AM39" s="52" t="e">
        <f t="shared" si="5"/>
        <v>#DIV/0!</v>
      </c>
    </row>
    <row r="40" spans="1:39" x14ac:dyDescent="0.25">
      <c r="A40" s="28" t="s">
        <v>46</v>
      </c>
      <c r="B40" s="50" t="str">
        <f>IFERROR(((2 * (SUMIFS(Table1[[AwayWon]:[AwayWon]], Table1[[GameIsOver]:[GameIsOver]], 1, Table1[[AwayTeam]:[AwayTeam]], $A40, Table1[[HomeTeam]:[HomeTeam]], B$36) + SUMIFS(Table1[[HomeWon]:[HomeWon]], Table1[[GameIsOver]:[GameIsOver]], 1, Table1[[HomeTeam]:[HomeTeam]], $A40, Table1[[AwayTeam]:[AwayTeam]], B$36))) + (SUMIFS(Table1[[HomeWon]:[HomeWon]], Table1[[GameIsOver]:[GameIsOver]], 1, Table1[[AwayTeam]:[AwayTeam]], $A40, Table1[[HomeTeam]:[HomeTeam]],  B$36, Table1[[ActualResult]:[ActualResult]], "OT") + SUMIFS(Table1[[AwayWon]:[AwayWon]], Table1[[GameIsOver]:[GameIsOver]], 1, Table1[[HomeTeam]:[HomeTeam]], $A40, Table1[[AwayTeam]:[AwayTeam]], B$36, Table1[[ActualResult]:[ActualResult]], "OT") + SUMIFS(Table1[[HomeWon]:[HomeWon]], Table1[[GameIsOver]:[GameIsOver]], 1, Table1[[AwayTeam]:[AwayTeam]], $A40, Table1[[HomeTeam]:[HomeTeam]], B$36, Table1[[ActualResult]:[ActualResult]], "SO") + SUMIFS(Table1[[AwayWon]:[AwayWon]], Table1[[GameIsOver]:[GameIsOver]], 1, Table1[[HomeTeam]:[HomeTeam]], $A40, Table1[[AwayTeam]:[AwayTeam]], B$36, Table1[[ActualResult]:[ActualResult]], "SO")))/ (2*((COUNTIFS(Table1[[GameIsOver]:[GameIsOver]],1,Table1[[AwayTeam]:[AwayTeam]],$A40, Table1[[HomeTeam]:[HomeTeam]], B$36)))+( COUNTIFS(Table1[[GameIsOver]:[GameIsOver]],1,Table1[[AwayTeam]:[AwayTeam]],B$36, Table1[[HomeTeam]:[HomeTeam]],$A40))), "")</f>
        <v/>
      </c>
      <c r="C40" s="50" t="str">
        <f>IFERROR(((2 * (SUMIFS(Table1[[AwayWon]:[AwayWon]], Table1[[GameIsOver]:[GameIsOver]], 1, Table1[[AwayTeam]:[AwayTeam]], $A40, Table1[[HomeTeam]:[HomeTeam]], C$36) + SUMIFS(Table1[[HomeWon]:[HomeWon]], Table1[[GameIsOver]:[GameIsOver]], 1, Table1[[HomeTeam]:[HomeTeam]], $A40, Table1[[AwayTeam]:[AwayTeam]], C$36))) + (SUMIFS(Table1[[HomeWon]:[HomeWon]], Table1[[GameIsOver]:[GameIsOver]], 1, Table1[[AwayTeam]:[AwayTeam]], $A40, Table1[[HomeTeam]:[HomeTeam]],  C$36, Table1[[ActualResult]:[ActualResult]], "OT") + SUMIFS(Table1[[AwayWon]:[AwayWon]], Table1[[GameIsOver]:[GameIsOver]], 1, Table1[[HomeTeam]:[HomeTeam]], $A40, Table1[[AwayTeam]:[AwayTeam]], C$36, Table1[[ActualResult]:[ActualResult]], "OT") + SUMIFS(Table1[[HomeWon]:[HomeWon]], Table1[[GameIsOver]:[GameIsOver]], 1, Table1[[AwayTeam]:[AwayTeam]], $A40, Table1[[HomeTeam]:[HomeTeam]], C$36, Table1[[ActualResult]:[ActualResult]], "SO") + SUMIFS(Table1[[AwayWon]:[AwayWon]], Table1[[GameIsOver]:[GameIsOver]], 1, Table1[[HomeTeam]:[HomeTeam]], $A40, Table1[[AwayTeam]:[AwayTeam]], C$36, Table1[[ActualResult]:[ActualResult]], "SO")))/ (2*((COUNTIFS(Table1[[GameIsOver]:[GameIsOver]],1,Table1[[AwayTeam]:[AwayTeam]],$A40, Table1[[HomeTeam]:[HomeTeam]], C$36)))+( COUNTIFS(Table1[[GameIsOver]:[GameIsOver]],1,Table1[[AwayTeam]:[AwayTeam]],C$36, Table1[[HomeTeam]:[HomeTeam]],$A40))), "")</f>
        <v/>
      </c>
      <c r="D40" s="50" t="str">
        <f>IFERROR(((2 * (SUMIFS(Table1[[AwayWon]:[AwayWon]], Table1[[GameIsOver]:[GameIsOver]], 1, Table1[[AwayTeam]:[AwayTeam]], $A40, Table1[[HomeTeam]:[HomeTeam]], D$36) + SUMIFS(Table1[[HomeWon]:[HomeWon]], Table1[[GameIsOver]:[GameIsOver]], 1, Table1[[HomeTeam]:[HomeTeam]], $A40, Table1[[AwayTeam]:[AwayTeam]], D$36))) + (SUMIFS(Table1[[HomeWon]:[HomeWon]], Table1[[GameIsOver]:[GameIsOver]], 1, Table1[[AwayTeam]:[AwayTeam]], $A40, Table1[[HomeTeam]:[HomeTeam]],  D$36, Table1[[ActualResult]:[ActualResult]], "OT") + SUMIFS(Table1[[AwayWon]:[AwayWon]], Table1[[GameIsOver]:[GameIsOver]], 1, Table1[[HomeTeam]:[HomeTeam]], $A40, Table1[[AwayTeam]:[AwayTeam]], D$36, Table1[[ActualResult]:[ActualResult]], "OT") + SUMIFS(Table1[[HomeWon]:[HomeWon]], Table1[[GameIsOver]:[GameIsOver]], 1, Table1[[AwayTeam]:[AwayTeam]], $A40, Table1[[HomeTeam]:[HomeTeam]], D$36, Table1[[ActualResult]:[ActualResult]], "SO") + SUMIFS(Table1[[AwayWon]:[AwayWon]], Table1[[GameIsOver]:[GameIsOver]], 1, Table1[[HomeTeam]:[HomeTeam]], $A40, Table1[[AwayTeam]:[AwayTeam]], D$36, Table1[[ActualResult]:[ActualResult]], "SO")))/ (2*((COUNTIFS(Table1[[GameIsOver]:[GameIsOver]],1,Table1[[AwayTeam]:[AwayTeam]],$A40, Table1[[HomeTeam]:[HomeTeam]], D$36)))+( COUNTIFS(Table1[[GameIsOver]:[GameIsOver]],1,Table1[[AwayTeam]:[AwayTeam]],D$36, Table1[[HomeTeam]:[HomeTeam]],$A40))), "")</f>
        <v/>
      </c>
      <c r="E40" s="50" t="str">
        <f>IFERROR(((2 * (SUMIFS(Table1[[AwayWon]:[AwayWon]], Table1[[GameIsOver]:[GameIsOver]], 1, Table1[[AwayTeam]:[AwayTeam]], $A40, Table1[[HomeTeam]:[HomeTeam]], E$36) + SUMIFS(Table1[[HomeWon]:[HomeWon]], Table1[[GameIsOver]:[GameIsOver]], 1, Table1[[HomeTeam]:[HomeTeam]], $A40, Table1[[AwayTeam]:[AwayTeam]], E$36))) + (SUMIFS(Table1[[HomeWon]:[HomeWon]], Table1[[GameIsOver]:[GameIsOver]], 1, Table1[[AwayTeam]:[AwayTeam]], $A40, Table1[[HomeTeam]:[HomeTeam]],  E$36, Table1[[ActualResult]:[ActualResult]], "OT") + SUMIFS(Table1[[AwayWon]:[AwayWon]], Table1[[GameIsOver]:[GameIsOver]], 1, Table1[[HomeTeam]:[HomeTeam]], $A40, Table1[[AwayTeam]:[AwayTeam]], E$36, Table1[[ActualResult]:[ActualResult]], "OT") + SUMIFS(Table1[[HomeWon]:[HomeWon]], Table1[[GameIsOver]:[GameIsOver]], 1, Table1[[AwayTeam]:[AwayTeam]], $A40, Table1[[HomeTeam]:[HomeTeam]], E$36, Table1[[ActualResult]:[ActualResult]], "SO") + SUMIFS(Table1[[AwayWon]:[AwayWon]], Table1[[GameIsOver]:[GameIsOver]], 1, Table1[[HomeTeam]:[HomeTeam]], $A40, Table1[[AwayTeam]:[AwayTeam]], E$36, Table1[[ActualResult]:[ActualResult]], "SO")))/ (2*((COUNTIFS(Table1[[GameIsOver]:[GameIsOver]],1,Table1[[AwayTeam]:[AwayTeam]],$A40, Table1[[HomeTeam]:[HomeTeam]], E$36)))+( COUNTIFS(Table1[[GameIsOver]:[GameIsOver]],1,Table1[[AwayTeam]:[AwayTeam]],E$36, Table1[[HomeTeam]:[HomeTeam]],$A40))), "")</f>
        <v/>
      </c>
      <c r="F40" s="50" t="str">
        <f>IFERROR(((2 * (SUMIFS(Table1[[AwayWon]:[AwayWon]], Table1[[GameIsOver]:[GameIsOver]], 1, Table1[[AwayTeam]:[AwayTeam]], $A40, Table1[[HomeTeam]:[HomeTeam]], F$36) + SUMIFS(Table1[[HomeWon]:[HomeWon]], Table1[[GameIsOver]:[GameIsOver]], 1, Table1[[HomeTeam]:[HomeTeam]], $A40, Table1[[AwayTeam]:[AwayTeam]], F$36))) + (SUMIFS(Table1[[HomeWon]:[HomeWon]], Table1[[GameIsOver]:[GameIsOver]], 1, Table1[[AwayTeam]:[AwayTeam]], $A40, Table1[[HomeTeam]:[HomeTeam]],  F$36, Table1[[ActualResult]:[ActualResult]], "OT") + SUMIFS(Table1[[AwayWon]:[AwayWon]], Table1[[GameIsOver]:[GameIsOver]], 1, Table1[[HomeTeam]:[HomeTeam]], $A40, Table1[[AwayTeam]:[AwayTeam]], F$36, Table1[[ActualResult]:[ActualResult]], "OT") + SUMIFS(Table1[[HomeWon]:[HomeWon]], Table1[[GameIsOver]:[GameIsOver]], 1, Table1[[AwayTeam]:[AwayTeam]], $A40, Table1[[HomeTeam]:[HomeTeam]], F$36, Table1[[ActualResult]:[ActualResult]], "SO") + SUMIFS(Table1[[AwayWon]:[AwayWon]], Table1[[GameIsOver]:[GameIsOver]], 1, Table1[[HomeTeam]:[HomeTeam]], $A40, Table1[[AwayTeam]:[AwayTeam]], F$36, Table1[[ActualResult]:[ActualResult]], "SO")))/ (2*((COUNTIFS(Table1[[GameIsOver]:[GameIsOver]],1,Table1[[AwayTeam]:[AwayTeam]],$A40, Table1[[HomeTeam]:[HomeTeam]], F$36)))+( COUNTIFS(Table1[[GameIsOver]:[GameIsOver]],1,Table1[[AwayTeam]:[AwayTeam]],F$36, Table1[[HomeTeam]:[HomeTeam]],$A40))), "")</f>
        <v/>
      </c>
      <c r="G40" s="50" t="str">
        <f>IFERROR(((2 * (SUMIFS(Table1[[AwayWon]:[AwayWon]], Table1[[GameIsOver]:[GameIsOver]], 1, Table1[[AwayTeam]:[AwayTeam]], $A40, Table1[[HomeTeam]:[HomeTeam]], G$36) + SUMIFS(Table1[[HomeWon]:[HomeWon]], Table1[[GameIsOver]:[GameIsOver]], 1, Table1[[HomeTeam]:[HomeTeam]], $A40, Table1[[AwayTeam]:[AwayTeam]], G$36))) + (SUMIFS(Table1[[HomeWon]:[HomeWon]], Table1[[GameIsOver]:[GameIsOver]], 1, Table1[[AwayTeam]:[AwayTeam]], $A40, Table1[[HomeTeam]:[HomeTeam]],  G$36, Table1[[ActualResult]:[ActualResult]], "OT") + SUMIFS(Table1[[AwayWon]:[AwayWon]], Table1[[GameIsOver]:[GameIsOver]], 1, Table1[[HomeTeam]:[HomeTeam]], $A40, Table1[[AwayTeam]:[AwayTeam]], G$36, Table1[[ActualResult]:[ActualResult]], "OT") + SUMIFS(Table1[[HomeWon]:[HomeWon]], Table1[[GameIsOver]:[GameIsOver]], 1, Table1[[AwayTeam]:[AwayTeam]], $A40, Table1[[HomeTeam]:[HomeTeam]], G$36, Table1[[ActualResult]:[ActualResult]], "SO") + SUMIFS(Table1[[AwayWon]:[AwayWon]], Table1[[GameIsOver]:[GameIsOver]], 1, Table1[[HomeTeam]:[HomeTeam]], $A40, Table1[[AwayTeam]:[AwayTeam]], G$36, Table1[[ActualResult]:[ActualResult]], "SO")))/ (2*((COUNTIFS(Table1[[GameIsOver]:[GameIsOver]],1,Table1[[AwayTeam]:[AwayTeam]],$A40, Table1[[HomeTeam]:[HomeTeam]], G$36)))+( COUNTIFS(Table1[[GameIsOver]:[GameIsOver]],1,Table1[[AwayTeam]:[AwayTeam]],G$36, Table1[[HomeTeam]:[HomeTeam]],$A40))), "")</f>
        <v/>
      </c>
      <c r="H40" s="50" t="str">
        <f>IFERROR(((2 * (SUMIFS(Table1[[AwayWon]:[AwayWon]], Table1[[GameIsOver]:[GameIsOver]], 1, Table1[[AwayTeam]:[AwayTeam]], $A40, Table1[[HomeTeam]:[HomeTeam]], H$36) + SUMIFS(Table1[[HomeWon]:[HomeWon]], Table1[[GameIsOver]:[GameIsOver]], 1, Table1[[HomeTeam]:[HomeTeam]], $A40, Table1[[AwayTeam]:[AwayTeam]], H$36))) + (SUMIFS(Table1[[HomeWon]:[HomeWon]], Table1[[GameIsOver]:[GameIsOver]], 1, Table1[[AwayTeam]:[AwayTeam]], $A40, Table1[[HomeTeam]:[HomeTeam]],  H$36, Table1[[ActualResult]:[ActualResult]], "OT") + SUMIFS(Table1[[AwayWon]:[AwayWon]], Table1[[GameIsOver]:[GameIsOver]], 1, Table1[[HomeTeam]:[HomeTeam]], $A40, Table1[[AwayTeam]:[AwayTeam]], H$36, Table1[[ActualResult]:[ActualResult]], "OT") + SUMIFS(Table1[[HomeWon]:[HomeWon]], Table1[[GameIsOver]:[GameIsOver]], 1, Table1[[AwayTeam]:[AwayTeam]], $A40, Table1[[HomeTeam]:[HomeTeam]], H$36, Table1[[ActualResult]:[ActualResult]], "SO") + SUMIFS(Table1[[AwayWon]:[AwayWon]], Table1[[GameIsOver]:[GameIsOver]], 1, Table1[[HomeTeam]:[HomeTeam]], $A40, Table1[[AwayTeam]:[AwayTeam]], H$36, Table1[[ActualResult]:[ActualResult]], "SO")))/ (2*((COUNTIFS(Table1[[GameIsOver]:[GameIsOver]],1,Table1[[AwayTeam]:[AwayTeam]],$A40, Table1[[HomeTeam]:[HomeTeam]], H$36)))+( COUNTIFS(Table1[[GameIsOver]:[GameIsOver]],1,Table1[[AwayTeam]:[AwayTeam]],H$36, Table1[[HomeTeam]:[HomeTeam]],$A40))), "")</f>
        <v/>
      </c>
      <c r="I40" s="52" t="str">
        <f>IFERROR(((2 * (SUMIFS(Table1[[AwayWon]:[AwayWon]], Table1[[GameIsOver]:[GameIsOver]], 1, Table1[[AwayTeam]:[AwayTeam]], $A40, Table1[[HomeTeam]:[HomeTeam]], I$36) + SUMIFS(Table1[[HomeWon]:[HomeWon]], Table1[[GameIsOver]:[GameIsOver]], 1, Table1[[HomeTeam]:[HomeTeam]], $A40, Table1[[AwayTeam]:[AwayTeam]], I$36))) + (SUMIFS(Table1[[HomeWon]:[HomeWon]], Table1[[GameIsOver]:[GameIsOver]], 1, Table1[[AwayTeam]:[AwayTeam]], $A40, Table1[[HomeTeam]:[HomeTeam]],  I$36, Table1[[ActualResult]:[ActualResult]], "OT") + SUMIFS(Table1[[AwayWon]:[AwayWon]], Table1[[GameIsOver]:[GameIsOver]], 1, Table1[[HomeTeam]:[HomeTeam]], $A40, Table1[[AwayTeam]:[AwayTeam]], I$36, Table1[[ActualResult]:[ActualResult]], "OT") + SUMIFS(Table1[[HomeWon]:[HomeWon]], Table1[[GameIsOver]:[GameIsOver]], 1, Table1[[AwayTeam]:[AwayTeam]], $A40, Table1[[HomeTeam]:[HomeTeam]], I$36, Table1[[ActualResult]:[ActualResult]], "SO") + SUMIFS(Table1[[AwayWon]:[AwayWon]], Table1[[GameIsOver]:[GameIsOver]], 1, Table1[[HomeTeam]:[HomeTeam]], $A40, Table1[[AwayTeam]:[AwayTeam]], I$36, Table1[[ActualResult]:[ActualResult]], "SO")))/ (2*((COUNTIFS(Table1[[GameIsOver]:[GameIsOver]],1,Table1[[AwayTeam]:[AwayTeam]],$A40, Table1[[HomeTeam]:[HomeTeam]], I$36)))+( COUNTIFS(Table1[[GameIsOver]:[GameIsOver]],1,Table1[[AwayTeam]:[AwayTeam]],I$36, Table1[[HomeTeam]:[HomeTeam]],$A40))), "")</f>
        <v/>
      </c>
      <c r="J40" s="50" t="str">
        <f>IFERROR(((2 * (SUMIFS(Table1[[AwayWon]:[AwayWon]], Table1[[GameIsOver]:[GameIsOver]], 1, Table1[[AwayTeam]:[AwayTeam]], $A40, Table1[[HomeTeam]:[HomeTeam]], J$36) + SUMIFS(Table1[[HomeWon]:[HomeWon]], Table1[[GameIsOver]:[GameIsOver]], 1, Table1[[HomeTeam]:[HomeTeam]], $A40, Table1[[AwayTeam]:[AwayTeam]], J$36))) + (SUMIFS(Table1[[HomeWon]:[HomeWon]], Table1[[GameIsOver]:[GameIsOver]], 1, Table1[[AwayTeam]:[AwayTeam]], $A40, Table1[[HomeTeam]:[HomeTeam]],  J$36, Table1[[ActualResult]:[ActualResult]], "OT") + SUMIFS(Table1[[AwayWon]:[AwayWon]], Table1[[GameIsOver]:[GameIsOver]], 1, Table1[[HomeTeam]:[HomeTeam]], $A40, Table1[[AwayTeam]:[AwayTeam]], J$36, Table1[[ActualResult]:[ActualResult]], "OT") + SUMIFS(Table1[[HomeWon]:[HomeWon]], Table1[[GameIsOver]:[GameIsOver]], 1, Table1[[AwayTeam]:[AwayTeam]], $A40, Table1[[HomeTeam]:[HomeTeam]], J$36, Table1[[ActualResult]:[ActualResult]], "SO") + SUMIFS(Table1[[AwayWon]:[AwayWon]], Table1[[GameIsOver]:[GameIsOver]], 1, Table1[[HomeTeam]:[HomeTeam]], $A40, Table1[[AwayTeam]:[AwayTeam]], J$36, Table1[[ActualResult]:[ActualResult]], "SO")))/ (2*((COUNTIFS(Table1[[GameIsOver]:[GameIsOver]],1,Table1[[AwayTeam]:[AwayTeam]],$A40, Table1[[HomeTeam]:[HomeTeam]], J$36)))+( COUNTIFS(Table1[[GameIsOver]:[GameIsOver]],1,Table1[[AwayTeam]:[AwayTeam]],J$36, Table1[[HomeTeam]:[HomeTeam]],$A40))), "")</f>
        <v/>
      </c>
      <c r="K40" s="50" t="str">
        <f>IFERROR(((2 * (SUMIFS(Table1[[AwayWon]:[AwayWon]], Table1[[GameIsOver]:[GameIsOver]], 1, Table1[[AwayTeam]:[AwayTeam]], $A40, Table1[[HomeTeam]:[HomeTeam]], K$36) + SUMIFS(Table1[[HomeWon]:[HomeWon]], Table1[[GameIsOver]:[GameIsOver]], 1, Table1[[HomeTeam]:[HomeTeam]], $A40, Table1[[AwayTeam]:[AwayTeam]], K$36))) + (SUMIFS(Table1[[HomeWon]:[HomeWon]], Table1[[GameIsOver]:[GameIsOver]], 1, Table1[[AwayTeam]:[AwayTeam]], $A40, Table1[[HomeTeam]:[HomeTeam]],  K$36, Table1[[ActualResult]:[ActualResult]], "OT") + SUMIFS(Table1[[AwayWon]:[AwayWon]], Table1[[GameIsOver]:[GameIsOver]], 1, Table1[[HomeTeam]:[HomeTeam]], $A40, Table1[[AwayTeam]:[AwayTeam]], K$36, Table1[[ActualResult]:[ActualResult]], "OT") + SUMIFS(Table1[[HomeWon]:[HomeWon]], Table1[[GameIsOver]:[GameIsOver]], 1, Table1[[AwayTeam]:[AwayTeam]], $A40, Table1[[HomeTeam]:[HomeTeam]], K$36, Table1[[ActualResult]:[ActualResult]], "SO") + SUMIFS(Table1[[AwayWon]:[AwayWon]], Table1[[GameIsOver]:[GameIsOver]], 1, Table1[[HomeTeam]:[HomeTeam]], $A40, Table1[[AwayTeam]:[AwayTeam]], K$36, Table1[[ActualResult]:[ActualResult]], "SO")))/ (2*((COUNTIFS(Table1[[GameIsOver]:[GameIsOver]],1,Table1[[AwayTeam]:[AwayTeam]],$A40, Table1[[HomeTeam]:[HomeTeam]], K$36)))+( COUNTIFS(Table1[[GameIsOver]:[GameIsOver]],1,Table1[[AwayTeam]:[AwayTeam]],K$36, Table1[[HomeTeam]:[HomeTeam]],$A40))), "")</f>
        <v/>
      </c>
      <c r="L40" s="50" t="str">
        <f>IFERROR(((2 * (SUMIFS(Table1[[AwayWon]:[AwayWon]], Table1[[GameIsOver]:[GameIsOver]], 1, Table1[[AwayTeam]:[AwayTeam]], $A40, Table1[[HomeTeam]:[HomeTeam]], L$36) + SUMIFS(Table1[[HomeWon]:[HomeWon]], Table1[[GameIsOver]:[GameIsOver]], 1, Table1[[HomeTeam]:[HomeTeam]], $A40, Table1[[AwayTeam]:[AwayTeam]], L$36))) + (SUMIFS(Table1[[HomeWon]:[HomeWon]], Table1[[GameIsOver]:[GameIsOver]], 1, Table1[[AwayTeam]:[AwayTeam]], $A40, Table1[[HomeTeam]:[HomeTeam]],  L$36, Table1[[ActualResult]:[ActualResult]], "OT") + SUMIFS(Table1[[AwayWon]:[AwayWon]], Table1[[GameIsOver]:[GameIsOver]], 1, Table1[[HomeTeam]:[HomeTeam]], $A40, Table1[[AwayTeam]:[AwayTeam]], L$36, Table1[[ActualResult]:[ActualResult]], "OT") + SUMIFS(Table1[[HomeWon]:[HomeWon]], Table1[[GameIsOver]:[GameIsOver]], 1, Table1[[AwayTeam]:[AwayTeam]], $A40, Table1[[HomeTeam]:[HomeTeam]], L$36, Table1[[ActualResult]:[ActualResult]], "SO") + SUMIFS(Table1[[AwayWon]:[AwayWon]], Table1[[GameIsOver]:[GameIsOver]], 1, Table1[[HomeTeam]:[HomeTeam]], $A40, Table1[[AwayTeam]:[AwayTeam]], L$36, Table1[[ActualResult]:[ActualResult]], "SO")))/ (2*((COUNTIFS(Table1[[GameIsOver]:[GameIsOver]],1,Table1[[AwayTeam]:[AwayTeam]],$A40, Table1[[HomeTeam]:[HomeTeam]], L$36)))+( COUNTIFS(Table1[[GameIsOver]:[GameIsOver]],1,Table1[[AwayTeam]:[AwayTeam]],L$36, Table1[[HomeTeam]:[HomeTeam]],$A40))), "")</f>
        <v/>
      </c>
      <c r="M40" s="50" t="str">
        <f>IFERROR(((2 * (SUMIFS(Table1[[AwayWon]:[AwayWon]], Table1[[GameIsOver]:[GameIsOver]], 1, Table1[[AwayTeam]:[AwayTeam]], $A40, Table1[[HomeTeam]:[HomeTeam]], M$36) + SUMIFS(Table1[[HomeWon]:[HomeWon]], Table1[[GameIsOver]:[GameIsOver]], 1, Table1[[HomeTeam]:[HomeTeam]], $A40, Table1[[AwayTeam]:[AwayTeam]], M$36))) + (SUMIFS(Table1[[HomeWon]:[HomeWon]], Table1[[GameIsOver]:[GameIsOver]], 1, Table1[[AwayTeam]:[AwayTeam]], $A40, Table1[[HomeTeam]:[HomeTeam]],  M$36, Table1[[ActualResult]:[ActualResult]], "OT") + SUMIFS(Table1[[AwayWon]:[AwayWon]], Table1[[GameIsOver]:[GameIsOver]], 1, Table1[[HomeTeam]:[HomeTeam]], $A40, Table1[[AwayTeam]:[AwayTeam]], M$36, Table1[[ActualResult]:[ActualResult]], "OT") + SUMIFS(Table1[[HomeWon]:[HomeWon]], Table1[[GameIsOver]:[GameIsOver]], 1, Table1[[AwayTeam]:[AwayTeam]], $A40, Table1[[HomeTeam]:[HomeTeam]], M$36, Table1[[ActualResult]:[ActualResult]], "SO") + SUMIFS(Table1[[AwayWon]:[AwayWon]], Table1[[GameIsOver]:[GameIsOver]], 1, Table1[[HomeTeam]:[HomeTeam]], $A40, Table1[[AwayTeam]:[AwayTeam]], M$36, Table1[[ActualResult]:[ActualResult]], "SO")))/ (2*((COUNTIFS(Table1[[GameIsOver]:[GameIsOver]],1,Table1[[AwayTeam]:[AwayTeam]],$A40, Table1[[HomeTeam]:[HomeTeam]], M$36)))+( COUNTIFS(Table1[[GameIsOver]:[GameIsOver]],1,Table1[[AwayTeam]:[AwayTeam]],M$36, Table1[[HomeTeam]:[HomeTeam]],$A40))), "")</f>
        <v/>
      </c>
      <c r="N40" s="50" t="str">
        <f>IFERROR(((2 * (SUMIFS(Table1[[AwayWon]:[AwayWon]], Table1[[GameIsOver]:[GameIsOver]], 1, Table1[[AwayTeam]:[AwayTeam]], $A40, Table1[[HomeTeam]:[HomeTeam]], N$36) + SUMIFS(Table1[[HomeWon]:[HomeWon]], Table1[[GameIsOver]:[GameIsOver]], 1, Table1[[HomeTeam]:[HomeTeam]], $A40, Table1[[AwayTeam]:[AwayTeam]], N$36))) + (SUMIFS(Table1[[HomeWon]:[HomeWon]], Table1[[GameIsOver]:[GameIsOver]], 1, Table1[[AwayTeam]:[AwayTeam]], $A40, Table1[[HomeTeam]:[HomeTeam]],  N$36, Table1[[ActualResult]:[ActualResult]], "OT") + SUMIFS(Table1[[AwayWon]:[AwayWon]], Table1[[GameIsOver]:[GameIsOver]], 1, Table1[[HomeTeam]:[HomeTeam]], $A40, Table1[[AwayTeam]:[AwayTeam]], N$36, Table1[[ActualResult]:[ActualResult]], "OT") + SUMIFS(Table1[[HomeWon]:[HomeWon]], Table1[[GameIsOver]:[GameIsOver]], 1, Table1[[AwayTeam]:[AwayTeam]], $A40, Table1[[HomeTeam]:[HomeTeam]], N$36, Table1[[ActualResult]:[ActualResult]], "SO") + SUMIFS(Table1[[AwayWon]:[AwayWon]], Table1[[GameIsOver]:[GameIsOver]], 1, Table1[[HomeTeam]:[HomeTeam]], $A40, Table1[[AwayTeam]:[AwayTeam]], N$36, Table1[[ActualResult]:[ActualResult]], "SO")))/ (2*((COUNTIFS(Table1[[GameIsOver]:[GameIsOver]],1,Table1[[AwayTeam]:[AwayTeam]],$A40, Table1[[HomeTeam]:[HomeTeam]], N$36)))+( COUNTIFS(Table1[[GameIsOver]:[GameIsOver]],1,Table1[[AwayTeam]:[AwayTeam]],N$36, Table1[[HomeTeam]:[HomeTeam]],$A40))), "")</f>
        <v/>
      </c>
      <c r="O40" s="50" t="str">
        <f>IFERROR(((2 * (SUMIFS(Table1[[AwayWon]:[AwayWon]], Table1[[GameIsOver]:[GameIsOver]], 1, Table1[[AwayTeam]:[AwayTeam]], $A40, Table1[[HomeTeam]:[HomeTeam]], O$36) + SUMIFS(Table1[[HomeWon]:[HomeWon]], Table1[[GameIsOver]:[GameIsOver]], 1, Table1[[HomeTeam]:[HomeTeam]], $A40, Table1[[AwayTeam]:[AwayTeam]], O$36))) + (SUMIFS(Table1[[HomeWon]:[HomeWon]], Table1[[GameIsOver]:[GameIsOver]], 1, Table1[[AwayTeam]:[AwayTeam]], $A40, Table1[[HomeTeam]:[HomeTeam]],  O$36, Table1[[ActualResult]:[ActualResult]], "OT") + SUMIFS(Table1[[AwayWon]:[AwayWon]], Table1[[GameIsOver]:[GameIsOver]], 1, Table1[[HomeTeam]:[HomeTeam]], $A40, Table1[[AwayTeam]:[AwayTeam]], O$36, Table1[[ActualResult]:[ActualResult]], "OT") + SUMIFS(Table1[[HomeWon]:[HomeWon]], Table1[[GameIsOver]:[GameIsOver]], 1, Table1[[AwayTeam]:[AwayTeam]], $A40, Table1[[HomeTeam]:[HomeTeam]], O$36, Table1[[ActualResult]:[ActualResult]], "SO") + SUMIFS(Table1[[AwayWon]:[AwayWon]], Table1[[GameIsOver]:[GameIsOver]], 1, Table1[[HomeTeam]:[HomeTeam]], $A40, Table1[[AwayTeam]:[AwayTeam]], O$36, Table1[[ActualResult]:[ActualResult]], "SO")))/ (2*((COUNTIFS(Table1[[GameIsOver]:[GameIsOver]],1,Table1[[AwayTeam]:[AwayTeam]],$A40, Table1[[HomeTeam]:[HomeTeam]], O$36)))+( COUNTIFS(Table1[[GameIsOver]:[GameIsOver]],1,Table1[[AwayTeam]:[AwayTeam]],O$36, Table1[[HomeTeam]:[HomeTeam]],$A40))), "")</f>
        <v/>
      </c>
      <c r="P40" s="50" t="str">
        <f>IFERROR(((2 * (SUMIFS(Table1[[AwayWon]:[AwayWon]], Table1[[GameIsOver]:[GameIsOver]], 1, Table1[[AwayTeam]:[AwayTeam]], $A40, Table1[[HomeTeam]:[HomeTeam]], P$36) + SUMIFS(Table1[[HomeWon]:[HomeWon]], Table1[[GameIsOver]:[GameIsOver]], 1, Table1[[HomeTeam]:[HomeTeam]], $A40, Table1[[AwayTeam]:[AwayTeam]], P$36))) + (SUMIFS(Table1[[HomeWon]:[HomeWon]], Table1[[GameIsOver]:[GameIsOver]], 1, Table1[[AwayTeam]:[AwayTeam]], $A40, Table1[[HomeTeam]:[HomeTeam]],  P$36, Table1[[ActualResult]:[ActualResult]], "OT") + SUMIFS(Table1[[AwayWon]:[AwayWon]], Table1[[GameIsOver]:[GameIsOver]], 1, Table1[[HomeTeam]:[HomeTeam]], $A40, Table1[[AwayTeam]:[AwayTeam]], P$36, Table1[[ActualResult]:[ActualResult]], "OT") + SUMIFS(Table1[[HomeWon]:[HomeWon]], Table1[[GameIsOver]:[GameIsOver]], 1, Table1[[AwayTeam]:[AwayTeam]], $A40, Table1[[HomeTeam]:[HomeTeam]], P$36, Table1[[ActualResult]:[ActualResult]], "SO") + SUMIFS(Table1[[AwayWon]:[AwayWon]], Table1[[GameIsOver]:[GameIsOver]], 1, Table1[[HomeTeam]:[HomeTeam]], $A40, Table1[[AwayTeam]:[AwayTeam]], P$36, Table1[[ActualResult]:[ActualResult]], "SO")))/ (2*((COUNTIFS(Table1[[GameIsOver]:[GameIsOver]],1,Table1[[AwayTeam]:[AwayTeam]],$A40, Table1[[HomeTeam]:[HomeTeam]], P$36)))+( COUNTIFS(Table1[[GameIsOver]:[GameIsOver]],1,Table1[[AwayTeam]:[AwayTeam]],P$36, Table1[[HomeTeam]:[HomeTeam]],$A40))), "")</f>
        <v/>
      </c>
      <c r="Q40" s="52" t="str">
        <f>IFERROR(((2 * (SUMIFS(Table1[[AwayWon]:[AwayWon]], Table1[[GameIsOver]:[GameIsOver]], 1, Table1[[AwayTeam]:[AwayTeam]], $A40, Table1[[HomeTeam]:[HomeTeam]], Q$36) + SUMIFS(Table1[[HomeWon]:[HomeWon]], Table1[[GameIsOver]:[GameIsOver]], 1, Table1[[HomeTeam]:[HomeTeam]], $A40, Table1[[AwayTeam]:[AwayTeam]], Q$36))) + (SUMIFS(Table1[[HomeWon]:[HomeWon]], Table1[[GameIsOver]:[GameIsOver]], 1, Table1[[AwayTeam]:[AwayTeam]], $A40, Table1[[HomeTeam]:[HomeTeam]],  Q$36, Table1[[ActualResult]:[ActualResult]], "OT") + SUMIFS(Table1[[AwayWon]:[AwayWon]], Table1[[GameIsOver]:[GameIsOver]], 1, Table1[[HomeTeam]:[HomeTeam]], $A40, Table1[[AwayTeam]:[AwayTeam]], Q$36, Table1[[ActualResult]:[ActualResult]], "OT") + SUMIFS(Table1[[HomeWon]:[HomeWon]], Table1[[GameIsOver]:[GameIsOver]], 1, Table1[[AwayTeam]:[AwayTeam]], $A40, Table1[[HomeTeam]:[HomeTeam]], Q$36, Table1[[ActualResult]:[ActualResult]], "SO") + SUMIFS(Table1[[AwayWon]:[AwayWon]], Table1[[GameIsOver]:[GameIsOver]], 1, Table1[[HomeTeam]:[HomeTeam]], $A40, Table1[[AwayTeam]:[AwayTeam]], Q$36, Table1[[ActualResult]:[ActualResult]], "SO")))/ (2*((COUNTIFS(Table1[[GameIsOver]:[GameIsOver]],1,Table1[[AwayTeam]:[AwayTeam]],$A40, Table1[[HomeTeam]:[HomeTeam]], Q$36)))+( COUNTIFS(Table1[[GameIsOver]:[GameIsOver]],1,Table1[[AwayTeam]:[AwayTeam]],Q$36, Table1[[HomeTeam]:[HomeTeam]],$A40))), "")</f>
        <v/>
      </c>
      <c r="R40" s="50">
        <f>IFERROR(((2 * (SUMIFS(Table1[[AwayWon]:[AwayWon]], Table1[[GameIsOver]:[GameIsOver]], 1, Table1[[AwayTeam]:[AwayTeam]], $A40, Table1[[HomeTeam]:[HomeTeam]], R$36) + SUMIFS(Table1[[HomeWon]:[HomeWon]], Table1[[GameIsOver]:[GameIsOver]], 1, Table1[[HomeTeam]:[HomeTeam]], $A40, Table1[[AwayTeam]:[AwayTeam]], R$36))) + (SUMIFS(Table1[[HomeWon]:[HomeWon]], Table1[[GameIsOver]:[GameIsOver]], 1, Table1[[AwayTeam]:[AwayTeam]], $A40, Table1[[HomeTeam]:[HomeTeam]],  R$36, Table1[[ActualResult]:[ActualResult]], "OT") + SUMIFS(Table1[[AwayWon]:[AwayWon]], Table1[[GameIsOver]:[GameIsOver]], 1, Table1[[HomeTeam]:[HomeTeam]], $A40, Table1[[AwayTeam]:[AwayTeam]], R$36, Table1[[ActualResult]:[ActualResult]], "OT") + SUMIFS(Table1[[HomeWon]:[HomeWon]], Table1[[GameIsOver]:[GameIsOver]], 1, Table1[[AwayTeam]:[AwayTeam]], $A40, Table1[[HomeTeam]:[HomeTeam]], R$36, Table1[[ActualResult]:[ActualResult]], "SO") + SUMIFS(Table1[[AwayWon]:[AwayWon]], Table1[[GameIsOver]:[GameIsOver]], 1, Table1[[HomeTeam]:[HomeTeam]], $A40, Table1[[AwayTeam]:[AwayTeam]], R$36, Table1[[ActualResult]:[ActualResult]], "SO")))/ (2*((COUNTIFS(Table1[[GameIsOver]:[GameIsOver]],1,Table1[[AwayTeam]:[AwayTeam]],$A40, Table1[[HomeTeam]:[HomeTeam]], R$36)))+( COUNTIFS(Table1[[GameIsOver]:[GameIsOver]],1,Table1[[AwayTeam]:[AwayTeam]],R$36, Table1[[HomeTeam]:[HomeTeam]],$A40))), "")</f>
        <v>0.5</v>
      </c>
      <c r="S40" s="50" t="str">
        <f>IFERROR(((2 * (SUMIFS(Table1[[AwayWon]:[AwayWon]], Table1[[GameIsOver]:[GameIsOver]], 1, Table1[[AwayTeam]:[AwayTeam]], $A40, Table1[[HomeTeam]:[HomeTeam]], S$36) + SUMIFS(Table1[[HomeWon]:[HomeWon]], Table1[[GameIsOver]:[GameIsOver]], 1, Table1[[HomeTeam]:[HomeTeam]], $A40, Table1[[AwayTeam]:[AwayTeam]], S$36))) + (SUMIFS(Table1[[HomeWon]:[HomeWon]], Table1[[GameIsOver]:[GameIsOver]], 1, Table1[[AwayTeam]:[AwayTeam]], $A40, Table1[[HomeTeam]:[HomeTeam]],  S$36, Table1[[ActualResult]:[ActualResult]], "OT") + SUMIFS(Table1[[AwayWon]:[AwayWon]], Table1[[GameIsOver]:[GameIsOver]], 1, Table1[[HomeTeam]:[HomeTeam]], $A40, Table1[[AwayTeam]:[AwayTeam]], S$36, Table1[[ActualResult]:[ActualResult]], "OT") + SUMIFS(Table1[[HomeWon]:[HomeWon]], Table1[[GameIsOver]:[GameIsOver]], 1, Table1[[AwayTeam]:[AwayTeam]], $A40, Table1[[HomeTeam]:[HomeTeam]], S$36, Table1[[ActualResult]:[ActualResult]], "SO") + SUMIFS(Table1[[AwayWon]:[AwayWon]], Table1[[GameIsOver]:[GameIsOver]], 1, Table1[[HomeTeam]:[HomeTeam]], $A40, Table1[[AwayTeam]:[AwayTeam]], S$36, Table1[[ActualResult]:[ActualResult]], "SO")))/ (2*((COUNTIFS(Table1[[GameIsOver]:[GameIsOver]],1,Table1[[AwayTeam]:[AwayTeam]],$A40, Table1[[HomeTeam]:[HomeTeam]], S$36)))+( COUNTIFS(Table1[[GameIsOver]:[GameIsOver]],1,Table1[[AwayTeam]:[AwayTeam]],S$36, Table1[[HomeTeam]:[HomeTeam]],$A40))), "")</f>
        <v/>
      </c>
      <c r="T40" s="50" t="str">
        <f>IFERROR(((2 * (SUMIFS(Table1[[AwayWon]:[AwayWon]], Table1[[GameIsOver]:[GameIsOver]], 1, Table1[[AwayTeam]:[AwayTeam]], $A40, Table1[[HomeTeam]:[HomeTeam]], T$36) + SUMIFS(Table1[[HomeWon]:[HomeWon]], Table1[[GameIsOver]:[GameIsOver]], 1, Table1[[HomeTeam]:[HomeTeam]], $A40, Table1[[AwayTeam]:[AwayTeam]], T$36))) + (SUMIFS(Table1[[HomeWon]:[HomeWon]], Table1[[GameIsOver]:[GameIsOver]], 1, Table1[[AwayTeam]:[AwayTeam]], $A40, Table1[[HomeTeam]:[HomeTeam]],  T$36, Table1[[ActualResult]:[ActualResult]], "OT") + SUMIFS(Table1[[AwayWon]:[AwayWon]], Table1[[GameIsOver]:[GameIsOver]], 1, Table1[[HomeTeam]:[HomeTeam]], $A40, Table1[[AwayTeam]:[AwayTeam]], T$36, Table1[[ActualResult]:[ActualResult]], "OT") + SUMIFS(Table1[[HomeWon]:[HomeWon]], Table1[[GameIsOver]:[GameIsOver]], 1, Table1[[AwayTeam]:[AwayTeam]], $A40, Table1[[HomeTeam]:[HomeTeam]], T$36, Table1[[ActualResult]:[ActualResult]], "SO") + SUMIFS(Table1[[AwayWon]:[AwayWon]], Table1[[GameIsOver]:[GameIsOver]], 1, Table1[[HomeTeam]:[HomeTeam]], $A40, Table1[[AwayTeam]:[AwayTeam]], T$36, Table1[[ActualResult]:[ActualResult]], "SO")))/ (2*((COUNTIFS(Table1[[GameIsOver]:[GameIsOver]],1,Table1[[AwayTeam]:[AwayTeam]],$A40, Table1[[HomeTeam]:[HomeTeam]], T$36)))+( COUNTIFS(Table1[[GameIsOver]:[GameIsOver]],1,Table1[[AwayTeam]:[AwayTeam]],T$36, Table1[[HomeTeam]:[HomeTeam]],$A40))), "")</f>
        <v/>
      </c>
      <c r="U40" s="50" t="str">
        <f>IFERROR(((2 * (SUMIFS(Table1[[AwayWon]:[AwayWon]], Table1[[GameIsOver]:[GameIsOver]], 1, Table1[[AwayTeam]:[AwayTeam]], $A40, Table1[[HomeTeam]:[HomeTeam]], U$36) + SUMIFS(Table1[[HomeWon]:[HomeWon]], Table1[[GameIsOver]:[GameIsOver]], 1, Table1[[HomeTeam]:[HomeTeam]], $A40, Table1[[AwayTeam]:[AwayTeam]], U$36))) + (SUMIFS(Table1[[HomeWon]:[HomeWon]], Table1[[GameIsOver]:[GameIsOver]], 1, Table1[[AwayTeam]:[AwayTeam]], $A40, Table1[[HomeTeam]:[HomeTeam]],  U$36, Table1[[ActualResult]:[ActualResult]], "OT") + SUMIFS(Table1[[AwayWon]:[AwayWon]], Table1[[GameIsOver]:[GameIsOver]], 1, Table1[[HomeTeam]:[HomeTeam]], $A40, Table1[[AwayTeam]:[AwayTeam]], U$36, Table1[[ActualResult]:[ActualResult]], "OT") + SUMIFS(Table1[[HomeWon]:[HomeWon]], Table1[[GameIsOver]:[GameIsOver]], 1, Table1[[AwayTeam]:[AwayTeam]], $A40, Table1[[HomeTeam]:[HomeTeam]], U$36, Table1[[ActualResult]:[ActualResult]], "SO") + SUMIFS(Table1[[AwayWon]:[AwayWon]], Table1[[GameIsOver]:[GameIsOver]], 1, Table1[[HomeTeam]:[HomeTeam]], $A40, Table1[[AwayTeam]:[AwayTeam]], U$36, Table1[[ActualResult]:[ActualResult]], "SO")))/ (2*((COUNTIFS(Table1[[GameIsOver]:[GameIsOver]],1,Table1[[AwayTeam]:[AwayTeam]],$A40, Table1[[HomeTeam]:[HomeTeam]], U$36)))+( COUNTIFS(Table1[[GameIsOver]:[GameIsOver]],1,Table1[[AwayTeam]:[AwayTeam]],U$36, Table1[[HomeTeam]:[HomeTeam]],$A40))), "")</f>
        <v/>
      </c>
      <c r="V40" s="50" t="str">
        <f>IFERROR(((2 * (SUMIFS(Table1[[AwayWon]:[AwayWon]], Table1[[GameIsOver]:[GameIsOver]], 1, Table1[[AwayTeam]:[AwayTeam]], $A40, Table1[[HomeTeam]:[HomeTeam]], V$36) + SUMIFS(Table1[[HomeWon]:[HomeWon]], Table1[[GameIsOver]:[GameIsOver]], 1, Table1[[HomeTeam]:[HomeTeam]], $A40, Table1[[AwayTeam]:[AwayTeam]], V$36))) + (SUMIFS(Table1[[HomeWon]:[HomeWon]], Table1[[GameIsOver]:[GameIsOver]], 1, Table1[[AwayTeam]:[AwayTeam]], $A40, Table1[[HomeTeam]:[HomeTeam]],  V$36, Table1[[ActualResult]:[ActualResult]], "OT") + SUMIFS(Table1[[AwayWon]:[AwayWon]], Table1[[GameIsOver]:[GameIsOver]], 1, Table1[[HomeTeam]:[HomeTeam]], $A40, Table1[[AwayTeam]:[AwayTeam]], V$36, Table1[[ActualResult]:[ActualResult]], "OT") + SUMIFS(Table1[[HomeWon]:[HomeWon]], Table1[[GameIsOver]:[GameIsOver]], 1, Table1[[AwayTeam]:[AwayTeam]], $A40, Table1[[HomeTeam]:[HomeTeam]], V$36, Table1[[ActualResult]:[ActualResult]], "SO") + SUMIFS(Table1[[AwayWon]:[AwayWon]], Table1[[GameIsOver]:[GameIsOver]], 1, Table1[[HomeTeam]:[HomeTeam]], $A40, Table1[[AwayTeam]:[AwayTeam]], V$36, Table1[[ActualResult]:[ActualResult]], "SO")))/ (2*((COUNTIFS(Table1[[GameIsOver]:[GameIsOver]],1,Table1[[AwayTeam]:[AwayTeam]],$A40, Table1[[HomeTeam]:[HomeTeam]], V$36)))+( COUNTIFS(Table1[[GameIsOver]:[GameIsOver]],1,Table1[[AwayTeam]:[AwayTeam]],V$36, Table1[[HomeTeam]:[HomeTeam]],$A40))), "")</f>
        <v/>
      </c>
      <c r="W40" s="50" t="str">
        <f>IFERROR(((2 * (SUMIFS(Table1[[AwayWon]:[AwayWon]], Table1[[GameIsOver]:[GameIsOver]], 1, Table1[[AwayTeam]:[AwayTeam]], $A40, Table1[[HomeTeam]:[HomeTeam]], W$36) + SUMIFS(Table1[[HomeWon]:[HomeWon]], Table1[[GameIsOver]:[GameIsOver]], 1, Table1[[HomeTeam]:[HomeTeam]], $A40, Table1[[AwayTeam]:[AwayTeam]], W$36))) + (SUMIFS(Table1[[HomeWon]:[HomeWon]], Table1[[GameIsOver]:[GameIsOver]], 1, Table1[[AwayTeam]:[AwayTeam]], $A40, Table1[[HomeTeam]:[HomeTeam]],  W$36, Table1[[ActualResult]:[ActualResult]], "OT") + SUMIFS(Table1[[AwayWon]:[AwayWon]], Table1[[GameIsOver]:[GameIsOver]], 1, Table1[[HomeTeam]:[HomeTeam]], $A40, Table1[[AwayTeam]:[AwayTeam]], W$36, Table1[[ActualResult]:[ActualResult]], "OT") + SUMIFS(Table1[[HomeWon]:[HomeWon]], Table1[[GameIsOver]:[GameIsOver]], 1, Table1[[AwayTeam]:[AwayTeam]], $A40, Table1[[HomeTeam]:[HomeTeam]], W$36, Table1[[ActualResult]:[ActualResult]], "SO") + SUMIFS(Table1[[AwayWon]:[AwayWon]], Table1[[GameIsOver]:[GameIsOver]], 1, Table1[[HomeTeam]:[HomeTeam]], $A40, Table1[[AwayTeam]:[AwayTeam]], W$36, Table1[[ActualResult]:[ActualResult]], "SO")))/ (2*((COUNTIFS(Table1[[GameIsOver]:[GameIsOver]],1,Table1[[AwayTeam]:[AwayTeam]],$A40, Table1[[HomeTeam]:[HomeTeam]], W$36)))+( COUNTIFS(Table1[[GameIsOver]:[GameIsOver]],1,Table1[[AwayTeam]:[AwayTeam]],W$36, Table1[[HomeTeam]:[HomeTeam]],$A40))), "")</f>
        <v/>
      </c>
      <c r="X40" s="50" t="str">
        <f>IFERROR(((2 * (SUMIFS(Table1[[AwayWon]:[AwayWon]], Table1[[GameIsOver]:[GameIsOver]], 1, Table1[[AwayTeam]:[AwayTeam]], $A40, Table1[[HomeTeam]:[HomeTeam]], X$36) + SUMIFS(Table1[[HomeWon]:[HomeWon]], Table1[[GameIsOver]:[GameIsOver]], 1, Table1[[HomeTeam]:[HomeTeam]], $A40, Table1[[AwayTeam]:[AwayTeam]], X$36))) + (SUMIFS(Table1[[HomeWon]:[HomeWon]], Table1[[GameIsOver]:[GameIsOver]], 1, Table1[[AwayTeam]:[AwayTeam]], $A40, Table1[[HomeTeam]:[HomeTeam]],  X$36, Table1[[ActualResult]:[ActualResult]], "OT") + SUMIFS(Table1[[AwayWon]:[AwayWon]], Table1[[GameIsOver]:[GameIsOver]], 1, Table1[[HomeTeam]:[HomeTeam]], $A40, Table1[[AwayTeam]:[AwayTeam]], X$36, Table1[[ActualResult]:[ActualResult]], "OT") + SUMIFS(Table1[[HomeWon]:[HomeWon]], Table1[[GameIsOver]:[GameIsOver]], 1, Table1[[AwayTeam]:[AwayTeam]], $A40, Table1[[HomeTeam]:[HomeTeam]], X$36, Table1[[ActualResult]:[ActualResult]], "SO") + SUMIFS(Table1[[AwayWon]:[AwayWon]], Table1[[GameIsOver]:[GameIsOver]], 1, Table1[[HomeTeam]:[HomeTeam]], $A40, Table1[[AwayTeam]:[AwayTeam]], X$36, Table1[[ActualResult]:[ActualResult]], "SO")))/ (2*((COUNTIFS(Table1[[GameIsOver]:[GameIsOver]],1,Table1[[AwayTeam]:[AwayTeam]],$A40, Table1[[HomeTeam]:[HomeTeam]], X$36)))+( COUNTIFS(Table1[[GameIsOver]:[GameIsOver]],1,Table1[[AwayTeam]:[AwayTeam]],X$36, Table1[[HomeTeam]:[HomeTeam]],$A40))), "")</f>
        <v/>
      </c>
      <c r="Y40" s="52" t="str">
        <f>IFERROR(((2 * (SUMIFS(Table1[[AwayWon]:[AwayWon]], Table1[[GameIsOver]:[GameIsOver]], 1, Table1[[AwayTeam]:[AwayTeam]], $A40, Table1[[HomeTeam]:[HomeTeam]], Y$36) + SUMIFS(Table1[[HomeWon]:[HomeWon]], Table1[[GameIsOver]:[GameIsOver]], 1, Table1[[HomeTeam]:[HomeTeam]], $A40, Table1[[AwayTeam]:[AwayTeam]], Y$36))) + (SUMIFS(Table1[[HomeWon]:[HomeWon]], Table1[[GameIsOver]:[GameIsOver]], 1, Table1[[AwayTeam]:[AwayTeam]], $A40, Table1[[HomeTeam]:[HomeTeam]],  Y$36, Table1[[ActualResult]:[ActualResult]], "OT") + SUMIFS(Table1[[AwayWon]:[AwayWon]], Table1[[GameIsOver]:[GameIsOver]], 1, Table1[[HomeTeam]:[HomeTeam]], $A40, Table1[[AwayTeam]:[AwayTeam]], Y$36, Table1[[ActualResult]:[ActualResult]], "OT") + SUMIFS(Table1[[HomeWon]:[HomeWon]], Table1[[GameIsOver]:[GameIsOver]], 1, Table1[[AwayTeam]:[AwayTeam]], $A40, Table1[[HomeTeam]:[HomeTeam]], Y$36, Table1[[ActualResult]:[ActualResult]], "SO") + SUMIFS(Table1[[AwayWon]:[AwayWon]], Table1[[GameIsOver]:[GameIsOver]], 1, Table1[[HomeTeam]:[HomeTeam]], $A40, Table1[[AwayTeam]:[AwayTeam]], Y$36, Table1[[ActualResult]:[ActualResult]], "SO")))/ (2*((COUNTIFS(Table1[[GameIsOver]:[GameIsOver]],1,Table1[[AwayTeam]:[AwayTeam]],$A40, Table1[[HomeTeam]:[HomeTeam]], Y$36)))+( COUNTIFS(Table1[[GameIsOver]:[GameIsOver]],1,Table1[[AwayTeam]:[AwayTeam]],Y$36, Table1[[HomeTeam]:[HomeTeam]],$A40))), "")</f>
        <v/>
      </c>
      <c r="Z40" s="50" t="str">
        <f>IFERROR(((2 * (SUMIFS(Table1[[AwayWon]:[AwayWon]], Table1[[GameIsOver]:[GameIsOver]], 1, Table1[[AwayTeam]:[AwayTeam]], $A40, Table1[[HomeTeam]:[HomeTeam]], Z$36) + SUMIFS(Table1[[HomeWon]:[HomeWon]], Table1[[GameIsOver]:[GameIsOver]], 1, Table1[[HomeTeam]:[HomeTeam]], $A40, Table1[[AwayTeam]:[AwayTeam]], Z$36))) + (SUMIFS(Table1[[HomeWon]:[HomeWon]], Table1[[GameIsOver]:[GameIsOver]], 1, Table1[[AwayTeam]:[AwayTeam]], $A40, Table1[[HomeTeam]:[HomeTeam]],  Z$36, Table1[[ActualResult]:[ActualResult]], "OT") + SUMIFS(Table1[[AwayWon]:[AwayWon]], Table1[[GameIsOver]:[GameIsOver]], 1, Table1[[HomeTeam]:[HomeTeam]], $A40, Table1[[AwayTeam]:[AwayTeam]], Z$36, Table1[[ActualResult]:[ActualResult]], "OT") + SUMIFS(Table1[[HomeWon]:[HomeWon]], Table1[[GameIsOver]:[GameIsOver]], 1, Table1[[AwayTeam]:[AwayTeam]], $A40, Table1[[HomeTeam]:[HomeTeam]], Z$36, Table1[[ActualResult]:[ActualResult]], "SO") + SUMIFS(Table1[[AwayWon]:[AwayWon]], Table1[[GameIsOver]:[GameIsOver]], 1, Table1[[HomeTeam]:[HomeTeam]], $A40, Table1[[AwayTeam]:[AwayTeam]], Z$36, Table1[[ActualResult]:[ActualResult]], "SO")))/ (2*((COUNTIFS(Table1[[GameIsOver]:[GameIsOver]],1,Table1[[AwayTeam]:[AwayTeam]],$A40, Table1[[HomeTeam]:[HomeTeam]], Z$36)))+( COUNTIFS(Table1[[GameIsOver]:[GameIsOver]],1,Table1[[AwayTeam]:[AwayTeam]],Z$36, Table1[[HomeTeam]:[HomeTeam]],$A40))), "")</f>
        <v/>
      </c>
      <c r="AA40" s="50" t="str">
        <f>IFERROR(((2 * (SUMIFS(Table1[[AwayWon]:[AwayWon]], Table1[[GameIsOver]:[GameIsOver]], 1, Table1[[AwayTeam]:[AwayTeam]], $A40, Table1[[HomeTeam]:[HomeTeam]], AA$36) + SUMIFS(Table1[[HomeWon]:[HomeWon]], Table1[[GameIsOver]:[GameIsOver]], 1, Table1[[HomeTeam]:[HomeTeam]], $A40, Table1[[AwayTeam]:[AwayTeam]], AA$36))) + (SUMIFS(Table1[[HomeWon]:[HomeWon]], Table1[[GameIsOver]:[GameIsOver]], 1, Table1[[AwayTeam]:[AwayTeam]], $A40, Table1[[HomeTeam]:[HomeTeam]],  AA$36, Table1[[ActualResult]:[ActualResult]], "OT") + SUMIFS(Table1[[AwayWon]:[AwayWon]], Table1[[GameIsOver]:[GameIsOver]], 1, Table1[[HomeTeam]:[HomeTeam]], $A40, Table1[[AwayTeam]:[AwayTeam]], AA$36, Table1[[ActualResult]:[ActualResult]], "OT") + SUMIFS(Table1[[HomeWon]:[HomeWon]], Table1[[GameIsOver]:[GameIsOver]], 1, Table1[[AwayTeam]:[AwayTeam]], $A40, Table1[[HomeTeam]:[HomeTeam]], AA$36, Table1[[ActualResult]:[ActualResult]], "SO") + SUMIFS(Table1[[AwayWon]:[AwayWon]], Table1[[GameIsOver]:[GameIsOver]], 1, Table1[[HomeTeam]:[HomeTeam]], $A40, Table1[[AwayTeam]:[AwayTeam]], AA$36, Table1[[ActualResult]:[ActualResult]], "SO")))/ (2*((COUNTIFS(Table1[[GameIsOver]:[GameIsOver]],1,Table1[[AwayTeam]:[AwayTeam]],$A40, Table1[[HomeTeam]:[HomeTeam]], AA$36)))+( COUNTIFS(Table1[[GameIsOver]:[GameIsOver]],1,Table1[[AwayTeam]:[AwayTeam]],AA$36, Table1[[HomeTeam]:[HomeTeam]],$A40))), "")</f>
        <v/>
      </c>
      <c r="AB40" s="50" t="str">
        <f>IFERROR(((2 * (SUMIFS(Table1[[AwayWon]:[AwayWon]], Table1[[GameIsOver]:[GameIsOver]], 1, Table1[[AwayTeam]:[AwayTeam]], $A40, Table1[[HomeTeam]:[HomeTeam]], AB$36) + SUMIFS(Table1[[HomeWon]:[HomeWon]], Table1[[GameIsOver]:[GameIsOver]], 1, Table1[[HomeTeam]:[HomeTeam]], $A40, Table1[[AwayTeam]:[AwayTeam]], AB$36))) + (SUMIFS(Table1[[HomeWon]:[HomeWon]], Table1[[GameIsOver]:[GameIsOver]], 1, Table1[[AwayTeam]:[AwayTeam]], $A40, Table1[[HomeTeam]:[HomeTeam]],  AB$36, Table1[[ActualResult]:[ActualResult]], "OT") + SUMIFS(Table1[[AwayWon]:[AwayWon]], Table1[[GameIsOver]:[GameIsOver]], 1, Table1[[HomeTeam]:[HomeTeam]], $A40, Table1[[AwayTeam]:[AwayTeam]], AB$36, Table1[[ActualResult]:[ActualResult]], "OT") + SUMIFS(Table1[[HomeWon]:[HomeWon]], Table1[[GameIsOver]:[GameIsOver]], 1, Table1[[AwayTeam]:[AwayTeam]], $A40, Table1[[HomeTeam]:[HomeTeam]], AB$36, Table1[[ActualResult]:[ActualResult]], "SO") + SUMIFS(Table1[[AwayWon]:[AwayWon]], Table1[[GameIsOver]:[GameIsOver]], 1, Table1[[HomeTeam]:[HomeTeam]], $A40, Table1[[AwayTeam]:[AwayTeam]], AB$36, Table1[[ActualResult]:[ActualResult]], "SO")))/ (2*((COUNTIFS(Table1[[GameIsOver]:[GameIsOver]],1,Table1[[AwayTeam]:[AwayTeam]],$A40, Table1[[HomeTeam]:[HomeTeam]], AB$36)))+( COUNTIFS(Table1[[GameIsOver]:[GameIsOver]],1,Table1[[AwayTeam]:[AwayTeam]],AB$36, Table1[[HomeTeam]:[HomeTeam]],$A40))), "")</f>
        <v/>
      </c>
      <c r="AC40" s="50" t="str">
        <f>IFERROR(((2 * (SUMIFS(Table1[[AwayWon]:[AwayWon]], Table1[[GameIsOver]:[GameIsOver]], 1, Table1[[AwayTeam]:[AwayTeam]], $A40, Table1[[HomeTeam]:[HomeTeam]], AC$36) + SUMIFS(Table1[[HomeWon]:[HomeWon]], Table1[[GameIsOver]:[GameIsOver]], 1, Table1[[HomeTeam]:[HomeTeam]], $A40, Table1[[AwayTeam]:[AwayTeam]], AC$36))) + (SUMIFS(Table1[[HomeWon]:[HomeWon]], Table1[[GameIsOver]:[GameIsOver]], 1, Table1[[AwayTeam]:[AwayTeam]], $A40, Table1[[HomeTeam]:[HomeTeam]],  AC$36, Table1[[ActualResult]:[ActualResult]], "OT") + SUMIFS(Table1[[AwayWon]:[AwayWon]], Table1[[GameIsOver]:[GameIsOver]], 1, Table1[[HomeTeam]:[HomeTeam]], $A40, Table1[[AwayTeam]:[AwayTeam]], AC$36, Table1[[ActualResult]:[ActualResult]], "OT") + SUMIFS(Table1[[HomeWon]:[HomeWon]], Table1[[GameIsOver]:[GameIsOver]], 1, Table1[[AwayTeam]:[AwayTeam]], $A40, Table1[[HomeTeam]:[HomeTeam]], AC$36, Table1[[ActualResult]:[ActualResult]], "SO") + SUMIFS(Table1[[AwayWon]:[AwayWon]], Table1[[GameIsOver]:[GameIsOver]], 1, Table1[[HomeTeam]:[HomeTeam]], $A40, Table1[[AwayTeam]:[AwayTeam]], AC$36, Table1[[ActualResult]:[ActualResult]], "SO")))/ (2*((COUNTIFS(Table1[[GameIsOver]:[GameIsOver]],1,Table1[[AwayTeam]:[AwayTeam]],$A40, Table1[[HomeTeam]:[HomeTeam]], AC$36)))+( COUNTIFS(Table1[[GameIsOver]:[GameIsOver]],1,Table1[[AwayTeam]:[AwayTeam]],AC$36, Table1[[HomeTeam]:[HomeTeam]],$A40))), "")</f>
        <v/>
      </c>
      <c r="AD40" s="50" t="str">
        <f>IFERROR(((2 * (SUMIFS(Table1[[AwayWon]:[AwayWon]], Table1[[GameIsOver]:[GameIsOver]], 1, Table1[[AwayTeam]:[AwayTeam]], $A40, Table1[[HomeTeam]:[HomeTeam]], AD$36) + SUMIFS(Table1[[HomeWon]:[HomeWon]], Table1[[GameIsOver]:[GameIsOver]], 1, Table1[[HomeTeam]:[HomeTeam]], $A40, Table1[[AwayTeam]:[AwayTeam]], AD$36))) + (SUMIFS(Table1[[HomeWon]:[HomeWon]], Table1[[GameIsOver]:[GameIsOver]], 1, Table1[[AwayTeam]:[AwayTeam]], $A40, Table1[[HomeTeam]:[HomeTeam]],  AD$36, Table1[[ActualResult]:[ActualResult]], "OT") + SUMIFS(Table1[[AwayWon]:[AwayWon]], Table1[[GameIsOver]:[GameIsOver]], 1, Table1[[HomeTeam]:[HomeTeam]], $A40, Table1[[AwayTeam]:[AwayTeam]], AD$36, Table1[[ActualResult]:[ActualResult]], "OT") + SUMIFS(Table1[[HomeWon]:[HomeWon]], Table1[[GameIsOver]:[GameIsOver]], 1, Table1[[AwayTeam]:[AwayTeam]], $A40, Table1[[HomeTeam]:[HomeTeam]], AD$36, Table1[[ActualResult]:[ActualResult]], "SO") + SUMIFS(Table1[[AwayWon]:[AwayWon]], Table1[[GameIsOver]:[GameIsOver]], 1, Table1[[HomeTeam]:[HomeTeam]], $A40, Table1[[AwayTeam]:[AwayTeam]], AD$36, Table1[[ActualResult]:[ActualResult]], "SO")))/ (2*((COUNTIFS(Table1[[GameIsOver]:[GameIsOver]],1,Table1[[AwayTeam]:[AwayTeam]],$A40, Table1[[HomeTeam]:[HomeTeam]], AD$36)))+( COUNTIFS(Table1[[GameIsOver]:[GameIsOver]],1,Table1[[AwayTeam]:[AwayTeam]],AD$36, Table1[[HomeTeam]:[HomeTeam]],$A40))), "")</f>
        <v/>
      </c>
      <c r="AE40" s="50" t="str">
        <f>IFERROR(((2 * (SUMIFS(Table1[[AwayWon]:[AwayWon]], Table1[[GameIsOver]:[GameIsOver]], 1, Table1[[AwayTeam]:[AwayTeam]], $A40, Table1[[HomeTeam]:[HomeTeam]], AE$36) + SUMIFS(Table1[[HomeWon]:[HomeWon]], Table1[[GameIsOver]:[GameIsOver]], 1, Table1[[HomeTeam]:[HomeTeam]], $A40, Table1[[AwayTeam]:[AwayTeam]], AE$36))) + (SUMIFS(Table1[[HomeWon]:[HomeWon]], Table1[[GameIsOver]:[GameIsOver]], 1, Table1[[AwayTeam]:[AwayTeam]], $A40, Table1[[HomeTeam]:[HomeTeam]],  AE$36, Table1[[ActualResult]:[ActualResult]], "OT") + SUMIFS(Table1[[AwayWon]:[AwayWon]], Table1[[GameIsOver]:[GameIsOver]], 1, Table1[[HomeTeam]:[HomeTeam]], $A40, Table1[[AwayTeam]:[AwayTeam]], AE$36, Table1[[ActualResult]:[ActualResult]], "OT") + SUMIFS(Table1[[HomeWon]:[HomeWon]], Table1[[GameIsOver]:[GameIsOver]], 1, Table1[[AwayTeam]:[AwayTeam]], $A40, Table1[[HomeTeam]:[HomeTeam]], AE$36, Table1[[ActualResult]:[ActualResult]], "SO") + SUMIFS(Table1[[AwayWon]:[AwayWon]], Table1[[GameIsOver]:[GameIsOver]], 1, Table1[[HomeTeam]:[HomeTeam]], $A40, Table1[[AwayTeam]:[AwayTeam]], AE$36, Table1[[ActualResult]:[ActualResult]], "SO")))/ (2*((COUNTIFS(Table1[[GameIsOver]:[GameIsOver]],1,Table1[[AwayTeam]:[AwayTeam]],$A40, Table1[[HomeTeam]:[HomeTeam]], AE$36)))+( COUNTIFS(Table1[[GameIsOver]:[GameIsOver]],1,Table1[[AwayTeam]:[AwayTeam]],AE$36, Table1[[HomeTeam]:[HomeTeam]],$A40))), "")</f>
        <v/>
      </c>
      <c r="AF40" s="50" t="str">
        <f>IFERROR(((2 * (SUMIFS(Table1[[AwayWon]:[AwayWon]], Table1[[GameIsOver]:[GameIsOver]], 1, Table1[[AwayTeam]:[AwayTeam]], $A40, Table1[[HomeTeam]:[HomeTeam]], AF$36) + SUMIFS(Table1[[HomeWon]:[HomeWon]], Table1[[GameIsOver]:[GameIsOver]], 1, Table1[[HomeTeam]:[HomeTeam]], $A40, Table1[[AwayTeam]:[AwayTeam]], AF$36))) + (SUMIFS(Table1[[HomeWon]:[HomeWon]], Table1[[GameIsOver]:[GameIsOver]], 1, Table1[[AwayTeam]:[AwayTeam]], $A40, Table1[[HomeTeam]:[HomeTeam]],  AF$36, Table1[[ActualResult]:[ActualResult]], "OT") + SUMIFS(Table1[[AwayWon]:[AwayWon]], Table1[[GameIsOver]:[GameIsOver]], 1, Table1[[HomeTeam]:[HomeTeam]], $A40, Table1[[AwayTeam]:[AwayTeam]], AF$36, Table1[[ActualResult]:[ActualResult]], "OT") + SUMIFS(Table1[[HomeWon]:[HomeWon]], Table1[[GameIsOver]:[GameIsOver]], 1, Table1[[AwayTeam]:[AwayTeam]], $A40, Table1[[HomeTeam]:[HomeTeam]], AF$36, Table1[[ActualResult]:[ActualResult]], "SO") + SUMIFS(Table1[[AwayWon]:[AwayWon]], Table1[[GameIsOver]:[GameIsOver]], 1, Table1[[HomeTeam]:[HomeTeam]], $A40, Table1[[AwayTeam]:[AwayTeam]], AF$36, Table1[[ActualResult]:[ActualResult]], "SO")))/ (2*((COUNTIFS(Table1[[GameIsOver]:[GameIsOver]],1,Table1[[AwayTeam]:[AwayTeam]],$A40, Table1[[HomeTeam]:[HomeTeam]], AF$36)))+( COUNTIFS(Table1[[GameIsOver]:[GameIsOver]],1,Table1[[AwayTeam]:[AwayTeam]],AF$36, Table1[[HomeTeam]:[HomeTeam]],$A40))), "")</f>
        <v/>
      </c>
      <c r="AG40" s="50" t="str">
        <f>IFERROR(((2 * (SUMIFS(Table1[[AwayWon]:[AwayWon]], Table1[[GameIsOver]:[GameIsOver]], 1, Table1[[AwayTeam]:[AwayTeam]], $A40, Table1[[HomeTeam]:[HomeTeam]], AG$36) + SUMIFS(Table1[[HomeWon]:[HomeWon]], Table1[[GameIsOver]:[GameIsOver]], 1, Table1[[HomeTeam]:[HomeTeam]], $A40, Table1[[AwayTeam]:[AwayTeam]], AG$36))) + (SUMIFS(Table1[[HomeWon]:[HomeWon]], Table1[[GameIsOver]:[GameIsOver]], 1, Table1[[AwayTeam]:[AwayTeam]], $A40, Table1[[HomeTeam]:[HomeTeam]],  AG$36, Table1[[ActualResult]:[ActualResult]], "OT") + SUMIFS(Table1[[AwayWon]:[AwayWon]], Table1[[GameIsOver]:[GameIsOver]], 1, Table1[[HomeTeam]:[HomeTeam]], $A40, Table1[[AwayTeam]:[AwayTeam]], AG$36, Table1[[ActualResult]:[ActualResult]], "OT") + SUMIFS(Table1[[HomeWon]:[HomeWon]], Table1[[GameIsOver]:[GameIsOver]], 1, Table1[[AwayTeam]:[AwayTeam]], $A40, Table1[[HomeTeam]:[HomeTeam]], AG$36, Table1[[ActualResult]:[ActualResult]], "SO") + SUMIFS(Table1[[AwayWon]:[AwayWon]], Table1[[GameIsOver]:[GameIsOver]], 1, Table1[[HomeTeam]:[HomeTeam]], $A40, Table1[[AwayTeam]:[AwayTeam]], AG$36, Table1[[ActualResult]:[ActualResult]], "SO")))/ (2*((COUNTIFS(Table1[[GameIsOver]:[GameIsOver]],1,Table1[[AwayTeam]:[AwayTeam]],$A40, Table1[[HomeTeam]:[HomeTeam]], AG$36)))+( COUNTIFS(Table1[[GameIsOver]:[GameIsOver]],1,Table1[[AwayTeam]:[AwayTeam]],AG$36, Table1[[HomeTeam]:[HomeTeam]],$A40))), "")</f>
        <v/>
      </c>
      <c r="AH40" s="51">
        <f t="shared" si="0"/>
        <v>0.5</v>
      </c>
      <c r="AI40" s="51" t="e">
        <f t="shared" si="1"/>
        <v>#DIV/0!</v>
      </c>
      <c r="AJ40" s="52" t="e">
        <f t="shared" si="2"/>
        <v>#DIV/0!</v>
      </c>
      <c r="AK40" s="52">
        <f t="shared" si="3"/>
        <v>0.5</v>
      </c>
      <c r="AL40" s="52" t="e">
        <f t="shared" si="4"/>
        <v>#DIV/0!</v>
      </c>
      <c r="AM40" s="52" t="e">
        <f t="shared" si="5"/>
        <v>#DIV/0!</v>
      </c>
    </row>
    <row r="41" spans="1:39" x14ac:dyDescent="0.25">
      <c r="A41" s="28" t="s">
        <v>56</v>
      </c>
      <c r="B41" s="50" t="str">
        <f>IFERROR(((2 * (SUMIFS(Table1[[AwayWon]:[AwayWon]], Table1[[GameIsOver]:[GameIsOver]], 1, Table1[[AwayTeam]:[AwayTeam]], $A41, Table1[[HomeTeam]:[HomeTeam]], B$36) + SUMIFS(Table1[[HomeWon]:[HomeWon]], Table1[[GameIsOver]:[GameIsOver]], 1, Table1[[HomeTeam]:[HomeTeam]], $A41, Table1[[AwayTeam]:[AwayTeam]], B$36))) + (SUMIFS(Table1[[HomeWon]:[HomeWon]], Table1[[GameIsOver]:[GameIsOver]], 1, Table1[[AwayTeam]:[AwayTeam]], $A41, Table1[[HomeTeam]:[HomeTeam]],  B$36, Table1[[ActualResult]:[ActualResult]], "OT") + SUMIFS(Table1[[AwayWon]:[AwayWon]], Table1[[GameIsOver]:[GameIsOver]], 1, Table1[[HomeTeam]:[HomeTeam]], $A41, Table1[[AwayTeam]:[AwayTeam]], B$36, Table1[[ActualResult]:[ActualResult]], "OT") + SUMIFS(Table1[[HomeWon]:[HomeWon]], Table1[[GameIsOver]:[GameIsOver]], 1, Table1[[AwayTeam]:[AwayTeam]], $A41, Table1[[HomeTeam]:[HomeTeam]], B$36, Table1[[ActualResult]:[ActualResult]], "SO") + SUMIFS(Table1[[AwayWon]:[AwayWon]], Table1[[GameIsOver]:[GameIsOver]], 1, Table1[[HomeTeam]:[HomeTeam]], $A41, Table1[[AwayTeam]:[AwayTeam]], B$36, Table1[[ActualResult]:[ActualResult]], "SO")))/ (2*((COUNTIFS(Table1[[GameIsOver]:[GameIsOver]],1,Table1[[AwayTeam]:[AwayTeam]],$A41, Table1[[HomeTeam]:[HomeTeam]], B$36)))+( COUNTIFS(Table1[[GameIsOver]:[GameIsOver]],1,Table1[[AwayTeam]:[AwayTeam]],B$36, Table1[[HomeTeam]:[HomeTeam]],$A41))), "")</f>
        <v/>
      </c>
      <c r="C41" s="50" t="str">
        <f>IFERROR(((2 * (SUMIFS(Table1[[AwayWon]:[AwayWon]], Table1[[GameIsOver]:[GameIsOver]], 1, Table1[[AwayTeam]:[AwayTeam]], $A41, Table1[[HomeTeam]:[HomeTeam]], C$36) + SUMIFS(Table1[[HomeWon]:[HomeWon]], Table1[[GameIsOver]:[GameIsOver]], 1, Table1[[HomeTeam]:[HomeTeam]], $A41, Table1[[AwayTeam]:[AwayTeam]], C$36))) + (SUMIFS(Table1[[HomeWon]:[HomeWon]], Table1[[GameIsOver]:[GameIsOver]], 1, Table1[[AwayTeam]:[AwayTeam]], $A41, Table1[[HomeTeam]:[HomeTeam]],  C$36, Table1[[ActualResult]:[ActualResult]], "OT") + SUMIFS(Table1[[AwayWon]:[AwayWon]], Table1[[GameIsOver]:[GameIsOver]], 1, Table1[[HomeTeam]:[HomeTeam]], $A41, Table1[[AwayTeam]:[AwayTeam]], C$36, Table1[[ActualResult]:[ActualResult]], "OT") + SUMIFS(Table1[[HomeWon]:[HomeWon]], Table1[[GameIsOver]:[GameIsOver]], 1, Table1[[AwayTeam]:[AwayTeam]], $A41, Table1[[HomeTeam]:[HomeTeam]], C$36, Table1[[ActualResult]:[ActualResult]], "SO") + SUMIFS(Table1[[AwayWon]:[AwayWon]], Table1[[GameIsOver]:[GameIsOver]], 1, Table1[[HomeTeam]:[HomeTeam]], $A41, Table1[[AwayTeam]:[AwayTeam]], C$36, Table1[[ActualResult]:[ActualResult]], "SO")))/ (2*((COUNTIFS(Table1[[GameIsOver]:[GameIsOver]],1,Table1[[AwayTeam]:[AwayTeam]],$A41, Table1[[HomeTeam]:[HomeTeam]], C$36)))+( COUNTIFS(Table1[[GameIsOver]:[GameIsOver]],1,Table1[[AwayTeam]:[AwayTeam]],C$36, Table1[[HomeTeam]:[HomeTeam]],$A41))), "")</f>
        <v/>
      </c>
      <c r="D41" s="50" t="str">
        <f>IFERROR(((2 * (SUMIFS(Table1[[AwayWon]:[AwayWon]], Table1[[GameIsOver]:[GameIsOver]], 1, Table1[[AwayTeam]:[AwayTeam]], $A41, Table1[[HomeTeam]:[HomeTeam]], D$36) + SUMIFS(Table1[[HomeWon]:[HomeWon]], Table1[[GameIsOver]:[GameIsOver]], 1, Table1[[HomeTeam]:[HomeTeam]], $A41, Table1[[AwayTeam]:[AwayTeam]], D$36))) + (SUMIFS(Table1[[HomeWon]:[HomeWon]], Table1[[GameIsOver]:[GameIsOver]], 1, Table1[[AwayTeam]:[AwayTeam]], $A41, Table1[[HomeTeam]:[HomeTeam]],  D$36, Table1[[ActualResult]:[ActualResult]], "OT") + SUMIFS(Table1[[AwayWon]:[AwayWon]], Table1[[GameIsOver]:[GameIsOver]], 1, Table1[[HomeTeam]:[HomeTeam]], $A41, Table1[[AwayTeam]:[AwayTeam]], D$36, Table1[[ActualResult]:[ActualResult]], "OT") + SUMIFS(Table1[[HomeWon]:[HomeWon]], Table1[[GameIsOver]:[GameIsOver]], 1, Table1[[AwayTeam]:[AwayTeam]], $A41, Table1[[HomeTeam]:[HomeTeam]], D$36, Table1[[ActualResult]:[ActualResult]], "SO") + SUMIFS(Table1[[AwayWon]:[AwayWon]], Table1[[GameIsOver]:[GameIsOver]], 1, Table1[[HomeTeam]:[HomeTeam]], $A41, Table1[[AwayTeam]:[AwayTeam]], D$36, Table1[[ActualResult]:[ActualResult]], "SO")))/ (2*((COUNTIFS(Table1[[GameIsOver]:[GameIsOver]],1,Table1[[AwayTeam]:[AwayTeam]],$A41, Table1[[HomeTeam]:[HomeTeam]], D$36)))+( COUNTIFS(Table1[[GameIsOver]:[GameIsOver]],1,Table1[[AwayTeam]:[AwayTeam]],D$36, Table1[[HomeTeam]:[HomeTeam]],$A41))), "")</f>
        <v/>
      </c>
      <c r="E41" s="50" t="str">
        <f>IFERROR(((2 * (SUMIFS(Table1[[AwayWon]:[AwayWon]], Table1[[GameIsOver]:[GameIsOver]], 1, Table1[[AwayTeam]:[AwayTeam]], $A41, Table1[[HomeTeam]:[HomeTeam]], E$36) + SUMIFS(Table1[[HomeWon]:[HomeWon]], Table1[[GameIsOver]:[GameIsOver]], 1, Table1[[HomeTeam]:[HomeTeam]], $A41, Table1[[AwayTeam]:[AwayTeam]], E$36))) + (SUMIFS(Table1[[HomeWon]:[HomeWon]], Table1[[GameIsOver]:[GameIsOver]], 1, Table1[[AwayTeam]:[AwayTeam]], $A41, Table1[[HomeTeam]:[HomeTeam]],  E$36, Table1[[ActualResult]:[ActualResult]], "OT") + SUMIFS(Table1[[AwayWon]:[AwayWon]], Table1[[GameIsOver]:[GameIsOver]], 1, Table1[[HomeTeam]:[HomeTeam]], $A41, Table1[[AwayTeam]:[AwayTeam]], E$36, Table1[[ActualResult]:[ActualResult]], "OT") + SUMIFS(Table1[[HomeWon]:[HomeWon]], Table1[[GameIsOver]:[GameIsOver]], 1, Table1[[AwayTeam]:[AwayTeam]], $A41, Table1[[HomeTeam]:[HomeTeam]], E$36, Table1[[ActualResult]:[ActualResult]], "SO") + SUMIFS(Table1[[AwayWon]:[AwayWon]], Table1[[GameIsOver]:[GameIsOver]], 1, Table1[[HomeTeam]:[HomeTeam]], $A41, Table1[[AwayTeam]:[AwayTeam]], E$36, Table1[[ActualResult]:[ActualResult]], "SO")))/ (2*((COUNTIFS(Table1[[GameIsOver]:[GameIsOver]],1,Table1[[AwayTeam]:[AwayTeam]],$A41, Table1[[HomeTeam]:[HomeTeam]], E$36)))+( COUNTIFS(Table1[[GameIsOver]:[GameIsOver]],1,Table1[[AwayTeam]:[AwayTeam]],E$36, Table1[[HomeTeam]:[HomeTeam]],$A41))), "")</f>
        <v/>
      </c>
      <c r="F41" s="50" t="str">
        <f>IFERROR(((2 * (SUMIFS(Table1[[AwayWon]:[AwayWon]], Table1[[GameIsOver]:[GameIsOver]], 1, Table1[[AwayTeam]:[AwayTeam]], $A41, Table1[[HomeTeam]:[HomeTeam]], F$36) + SUMIFS(Table1[[HomeWon]:[HomeWon]], Table1[[GameIsOver]:[GameIsOver]], 1, Table1[[HomeTeam]:[HomeTeam]], $A41, Table1[[AwayTeam]:[AwayTeam]], F$36))) + (SUMIFS(Table1[[HomeWon]:[HomeWon]], Table1[[GameIsOver]:[GameIsOver]], 1, Table1[[AwayTeam]:[AwayTeam]], $A41, Table1[[HomeTeam]:[HomeTeam]],  F$36, Table1[[ActualResult]:[ActualResult]], "OT") + SUMIFS(Table1[[AwayWon]:[AwayWon]], Table1[[GameIsOver]:[GameIsOver]], 1, Table1[[HomeTeam]:[HomeTeam]], $A41, Table1[[AwayTeam]:[AwayTeam]], F$36, Table1[[ActualResult]:[ActualResult]], "OT") + SUMIFS(Table1[[HomeWon]:[HomeWon]], Table1[[GameIsOver]:[GameIsOver]], 1, Table1[[AwayTeam]:[AwayTeam]], $A41, Table1[[HomeTeam]:[HomeTeam]], F$36, Table1[[ActualResult]:[ActualResult]], "SO") + SUMIFS(Table1[[AwayWon]:[AwayWon]], Table1[[GameIsOver]:[GameIsOver]], 1, Table1[[HomeTeam]:[HomeTeam]], $A41, Table1[[AwayTeam]:[AwayTeam]], F$36, Table1[[ActualResult]:[ActualResult]], "SO")))/ (2*((COUNTIFS(Table1[[GameIsOver]:[GameIsOver]],1,Table1[[AwayTeam]:[AwayTeam]],$A41, Table1[[HomeTeam]:[HomeTeam]], F$36)))+( COUNTIFS(Table1[[GameIsOver]:[GameIsOver]],1,Table1[[AwayTeam]:[AwayTeam]],F$36, Table1[[HomeTeam]:[HomeTeam]],$A41))), "")</f>
        <v/>
      </c>
      <c r="G41" s="50" t="str">
        <f>IFERROR(((2 * (SUMIFS(Table1[[AwayWon]:[AwayWon]], Table1[[GameIsOver]:[GameIsOver]], 1, Table1[[AwayTeam]:[AwayTeam]], $A41, Table1[[HomeTeam]:[HomeTeam]], G$36) + SUMIFS(Table1[[HomeWon]:[HomeWon]], Table1[[GameIsOver]:[GameIsOver]], 1, Table1[[HomeTeam]:[HomeTeam]], $A41, Table1[[AwayTeam]:[AwayTeam]], G$36))) + (SUMIFS(Table1[[HomeWon]:[HomeWon]], Table1[[GameIsOver]:[GameIsOver]], 1, Table1[[AwayTeam]:[AwayTeam]], $A41, Table1[[HomeTeam]:[HomeTeam]],  G$36, Table1[[ActualResult]:[ActualResult]], "OT") + SUMIFS(Table1[[AwayWon]:[AwayWon]], Table1[[GameIsOver]:[GameIsOver]], 1, Table1[[HomeTeam]:[HomeTeam]], $A41, Table1[[AwayTeam]:[AwayTeam]], G$36, Table1[[ActualResult]:[ActualResult]], "OT") + SUMIFS(Table1[[HomeWon]:[HomeWon]], Table1[[GameIsOver]:[GameIsOver]], 1, Table1[[AwayTeam]:[AwayTeam]], $A41, Table1[[HomeTeam]:[HomeTeam]], G$36, Table1[[ActualResult]:[ActualResult]], "SO") + SUMIFS(Table1[[AwayWon]:[AwayWon]], Table1[[GameIsOver]:[GameIsOver]], 1, Table1[[HomeTeam]:[HomeTeam]], $A41, Table1[[AwayTeam]:[AwayTeam]], G$36, Table1[[ActualResult]:[ActualResult]], "SO")))/ (2*((COUNTIFS(Table1[[GameIsOver]:[GameIsOver]],1,Table1[[AwayTeam]:[AwayTeam]],$A41, Table1[[HomeTeam]:[HomeTeam]], G$36)))+( COUNTIFS(Table1[[GameIsOver]:[GameIsOver]],1,Table1[[AwayTeam]:[AwayTeam]],G$36, Table1[[HomeTeam]:[HomeTeam]],$A41))), "")</f>
        <v/>
      </c>
      <c r="H41" s="50" t="str">
        <f>IFERROR(((2 * (SUMIFS(Table1[[AwayWon]:[AwayWon]], Table1[[GameIsOver]:[GameIsOver]], 1, Table1[[AwayTeam]:[AwayTeam]], $A41, Table1[[HomeTeam]:[HomeTeam]], H$36) + SUMIFS(Table1[[HomeWon]:[HomeWon]], Table1[[GameIsOver]:[GameIsOver]], 1, Table1[[HomeTeam]:[HomeTeam]], $A41, Table1[[AwayTeam]:[AwayTeam]], H$36))) + (SUMIFS(Table1[[HomeWon]:[HomeWon]], Table1[[GameIsOver]:[GameIsOver]], 1, Table1[[AwayTeam]:[AwayTeam]], $A41, Table1[[HomeTeam]:[HomeTeam]],  H$36, Table1[[ActualResult]:[ActualResult]], "OT") + SUMIFS(Table1[[AwayWon]:[AwayWon]], Table1[[GameIsOver]:[GameIsOver]], 1, Table1[[HomeTeam]:[HomeTeam]], $A41, Table1[[AwayTeam]:[AwayTeam]], H$36, Table1[[ActualResult]:[ActualResult]], "OT") + SUMIFS(Table1[[HomeWon]:[HomeWon]], Table1[[GameIsOver]:[GameIsOver]], 1, Table1[[AwayTeam]:[AwayTeam]], $A41, Table1[[HomeTeam]:[HomeTeam]], H$36, Table1[[ActualResult]:[ActualResult]], "SO") + SUMIFS(Table1[[AwayWon]:[AwayWon]], Table1[[GameIsOver]:[GameIsOver]], 1, Table1[[HomeTeam]:[HomeTeam]], $A41, Table1[[AwayTeam]:[AwayTeam]], H$36, Table1[[ActualResult]:[ActualResult]], "SO")))/ (2*((COUNTIFS(Table1[[GameIsOver]:[GameIsOver]],1,Table1[[AwayTeam]:[AwayTeam]],$A41, Table1[[HomeTeam]:[HomeTeam]], H$36)))+( COUNTIFS(Table1[[GameIsOver]:[GameIsOver]],1,Table1[[AwayTeam]:[AwayTeam]],H$36, Table1[[HomeTeam]:[HomeTeam]],$A41))), "")</f>
        <v/>
      </c>
      <c r="I41" s="52" t="str">
        <f>IFERROR(((2 * (SUMIFS(Table1[[AwayWon]:[AwayWon]], Table1[[GameIsOver]:[GameIsOver]], 1, Table1[[AwayTeam]:[AwayTeam]], $A41, Table1[[HomeTeam]:[HomeTeam]], I$36) + SUMIFS(Table1[[HomeWon]:[HomeWon]], Table1[[GameIsOver]:[GameIsOver]], 1, Table1[[HomeTeam]:[HomeTeam]], $A41, Table1[[AwayTeam]:[AwayTeam]], I$36))) + (SUMIFS(Table1[[HomeWon]:[HomeWon]], Table1[[GameIsOver]:[GameIsOver]], 1, Table1[[AwayTeam]:[AwayTeam]], $A41, Table1[[HomeTeam]:[HomeTeam]],  I$36, Table1[[ActualResult]:[ActualResult]], "OT") + SUMIFS(Table1[[AwayWon]:[AwayWon]], Table1[[GameIsOver]:[GameIsOver]], 1, Table1[[HomeTeam]:[HomeTeam]], $A41, Table1[[AwayTeam]:[AwayTeam]], I$36, Table1[[ActualResult]:[ActualResult]], "OT") + SUMIFS(Table1[[HomeWon]:[HomeWon]], Table1[[GameIsOver]:[GameIsOver]], 1, Table1[[AwayTeam]:[AwayTeam]], $A41, Table1[[HomeTeam]:[HomeTeam]], I$36, Table1[[ActualResult]:[ActualResult]], "SO") + SUMIFS(Table1[[AwayWon]:[AwayWon]], Table1[[GameIsOver]:[GameIsOver]], 1, Table1[[HomeTeam]:[HomeTeam]], $A41, Table1[[AwayTeam]:[AwayTeam]], I$36, Table1[[ActualResult]:[ActualResult]], "SO")))/ (2*((COUNTIFS(Table1[[GameIsOver]:[GameIsOver]],1,Table1[[AwayTeam]:[AwayTeam]],$A41, Table1[[HomeTeam]:[HomeTeam]], I$36)))+( COUNTIFS(Table1[[GameIsOver]:[GameIsOver]],1,Table1[[AwayTeam]:[AwayTeam]],I$36, Table1[[HomeTeam]:[HomeTeam]],$A41))), "")</f>
        <v/>
      </c>
      <c r="J41" s="50" t="str">
        <f>IFERROR(((2 * (SUMIFS(Table1[[AwayWon]:[AwayWon]], Table1[[GameIsOver]:[GameIsOver]], 1, Table1[[AwayTeam]:[AwayTeam]], $A41, Table1[[HomeTeam]:[HomeTeam]], J$36) + SUMIFS(Table1[[HomeWon]:[HomeWon]], Table1[[GameIsOver]:[GameIsOver]], 1, Table1[[HomeTeam]:[HomeTeam]], $A41, Table1[[AwayTeam]:[AwayTeam]], J$36))) + (SUMIFS(Table1[[HomeWon]:[HomeWon]], Table1[[GameIsOver]:[GameIsOver]], 1, Table1[[AwayTeam]:[AwayTeam]], $A41, Table1[[HomeTeam]:[HomeTeam]],  J$36, Table1[[ActualResult]:[ActualResult]], "OT") + SUMIFS(Table1[[AwayWon]:[AwayWon]], Table1[[GameIsOver]:[GameIsOver]], 1, Table1[[HomeTeam]:[HomeTeam]], $A41, Table1[[AwayTeam]:[AwayTeam]], J$36, Table1[[ActualResult]:[ActualResult]], "OT") + SUMIFS(Table1[[HomeWon]:[HomeWon]], Table1[[GameIsOver]:[GameIsOver]], 1, Table1[[AwayTeam]:[AwayTeam]], $A41, Table1[[HomeTeam]:[HomeTeam]], J$36, Table1[[ActualResult]:[ActualResult]], "SO") + SUMIFS(Table1[[AwayWon]:[AwayWon]], Table1[[GameIsOver]:[GameIsOver]], 1, Table1[[HomeTeam]:[HomeTeam]], $A41, Table1[[AwayTeam]:[AwayTeam]], J$36, Table1[[ActualResult]:[ActualResult]], "SO")))/ (2*((COUNTIFS(Table1[[GameIsOver]:[GameIsOver]],1,Table1[[AwayTeam]:[AwayTeam]],$A41, Table1[[HomeTeam]:[HomeTeam]], J$36)))+( COUNTIFS(Table1[[GameIsOver]:[GameIsOver]],1,Table1[[AwayTeam]:[AwayTeam]],J$36, Table1[[HomeTeam]:[HomeTeam]],$A41))), "")</f>
        <v/>
      </c>
      <c r="K41" s="50" t="str">
        <f>IFERROR(((2 * (SUMIFS(Table1[[AwayWon]:[AwayWon]], Table1[[GameIsOver]:[GameIsOver]], 1, Table1[[AwayTeam]:[AwayTeam]], $A41, Table1[[HomeTeam]:[HomeTeam]], K$36) + SUMIFS(Table1[[HomeWon]:[HomeWon]], Table1[[GameIsOver]:[GameIsOver]], 1, Table1[[HomeTeam]:[HomeTeam]], $A41, Table1[[AwayTeam]:[AwayTeam]], K$36))) + (SUMIFS(Table1[[HomeWon]:[HomeWon]], Table1[[GameIsOver]:[GameIsOver]], 1, Table1[[AwayTeam]:[AwayTeam]], $A41, Table1[[HomeTeam]:[HomeTeam]],  K$36, Table1[[ActualResult]:[ActualResult]], "OT") + SUMIFS(Table1[[AwayWon]:[AwayWon]], Table1[[GameIsOver]:[GameIsOver]], 1, Table1[[HomeTeam]:[HomeTeam]], $A41, Table1[[AwayTeam]:[AwayTeam]], K$36, Table1[[ActualResult]:[ActualResult]], "OT") + SUMIFS(Table1[[HomeWon]:[HomeWon]], Table1[[GameIsOver]:[GameIsOver]], 1, Table1[[AwayTeam]:[AwayTeam]], $A41, Table1[[HomeTeam]:[HomeTeam]], K$36, Table1[[ActualResult]:[ActualResult]], "SO") + SUMIFS(Table1[[AwayWon]:[AwayWon]], Table1[[GameIsOver]:[GameIsOver]], 1, Table1[[HomeTeam]:[HomeTeam]], $A41, Table1[[AwayTeam]:[AwayTeam]], K$36, Table1[[ActualResult]:[ActualResult]], "SO")))/ (2*((COUNTIFS(Table1[[GameIsOver]:[GameIsOver]],1,Table1[[AwayTeam]:[AwayTeam]],$A41, Table1[[HomeTeam]:[HomeTeam]], K$36)))+( COUNTIFS(Table1[[GameIsOver]:[GameIsOver]],1,Table1[[AwayTeam]:[AwayTeam]],K$36, Table1[[HomeTeam]:[HomeTeam]],$A41))), "")</f>
        <v/>
      </c>
      <c r="L41" s="50">
        <f>IFERROR(((2 * (SUMIFS(Table1[[AwayWon]:[AwayWon]], Table1[[GameIsOver]:[GameIsOver]], 1, Table1[[AwayTeam]:[AwayTeam]], $A41, Table1[[HomeTeam]:[HomeTeam]], L$36) + SUMIFS(Table1[[HomeWon]:[HomeWon]], Table1[[GameIsOver]:[GameIsOver]], 1, Table1[[HomeTeam]:[HomeTeam]], $A41, Table1[[AwayTeam]:[AwayTeam]], L$36))) + (SUMIFS(Table1[[HomeWon]:[HomeWon]], Table1[[GameIsOver]:[GameIsOver]], 1, Table1[[AwayTeam]:[AwayTeam]], $A41, Table1[[HomeTeam]:[HomeTeam]],  L$36, Table1[[ActualResult]:[ActualResult]], "OT") + SUMIFS(Table1[[AwayWon]:[AwayWon]], Table1[[GameIsOver]:[GameIsOver]], 1, Table1[[HomeTeam]:[HomeTeam]], $A41, Table1[[AwayTeam]:[AwayTeam]], L$36, Table1[[ActualResult]:[ActualResult]], "OT") + SUMIFS(Table1[[HomeWon]:[HomeWon]], Table1[[GameIsOver]:[GameIsOver]], 1, Table1[[AwayTeam]:[AwayTeam]], $A41, Table1[[HomeTeam]:[HomeTeam]], L$36, Table1[[ActualResult]:[ActualResult]], "SO") + SUMIFS(Table1[[AwayWon]:[AwayWon]], Table1[[GameIsOver]:[GameIsOver]], 1, Table1[[HomeTeam]:[HomeTeam]], $A41, Table1[[AwayTeam]:[AwayTeam]], L$36, Table1[[ActualResult]:[ActualResult]], "SO")))/ (2*((COUNTIFS(Table1[[GameIsOver]:[GameIsOver]],1,Table1[[AwayTeam]:[AwayTeam]],$A41, Table1[[HomeTeam]:[HomeTeam]], L$36)))+( COUNTIFS(Table1[[GameIsOver]:[GameIsOver]],1,Table1[[AwayTeam]:[AwayTeam]],L$36, Table1[[HomeTeam]:[HomeTeam]],$A41))), "")</f>
        <v>2</v>
      </c>
      <c r="M41" s="50" t="str">
        <f>IFERROR(((2 * (SUMIFS(Table1[[AwayWon]:[AwayWon]], Table1[[GameIsOver]:[GameIsOver]], 1, Table1[[AwayTeam]:[AwayTeam]], $A41, Table1[[HomeTeam]:[HomeTeam]], M$36) + SUMIFS(Table1[[HomeWon]:[HomeWon]], Table1[[GameIsOver]:[GameIsOver]], 1, Table1[[HomeTeam]:[HomeTeam]], $A41, Table1[[AwayTeam]:[AwayTeam]], M$36))) + (SUMIFS(Table1[[HomeWon]:[HomeWon]], Table1[[GameIsOver]:[GameIsOver]], 1, Table1[[AwayTeam]:[AwayTeam]], $A41, Table1[[HomeTeam]:[HomeTeam]],  M$36, Table1[[ActualResult]:[ActualResult]], "OT") + SUMIFS(Table1[[AwayWon]:[AwayWon]], Table1[[GameIsOver]:[GameIsOver]], 1, Table1[[HomeTeam]:[HomeTeam]], $A41, Table1[[AwayTeam]:[AwayTeam]], M$36, Table1[[ActualResult]:[ActualResult]], "OT") + SUMIFS(Table1[[HomeWon]:[HomeWon]], Table1[[GameIsOver]:[GameIsOver]], 1, Table1[[AwayTeam]:[AwayTeam]], $A41, Table1[[HomeTeam]:[HomeTeam]], M$36, Table1[[ActualResult]:[ActualResult]], "SO") + SUMIFS(Table1[[AwayWon]:[AwayWon]], Table1[[GameIsOver]:[GameIsOver]], 1, Table1[[HomeTeam]:[HomeTeam]], $A41, Table1[[AwayTeam]:[AwayTeam]], M$36, Table1[[ActualResult]:[ActualResult]], "SO")))/ (2*((COUNTIFS(Table1[[GameIsOver]:[GameIsOver]],1,Table1[[AwayTeam]:[AwayTeam]],$A41, Table1[[HomeTeam]:[HomeTeam]], M$36)))+( COUNTIFS(Table1[[GameIsOver]:[GameIsOver]],1,Table1[[AwayTeam]:[AwayTeam]],M$36, Table1[[HomeTeam]:[HomeTeam]],$A41))), "")</f>
        <v/>
      </c>
      <c r="N41" s="50" t="str">
        <f>IFERROR(((2 * (SUMIFS(Table1[[AwayWon]:[AwayWon]], Table1[[GameIsOver]:[GameIsOver]], 1, Table1[[AwayTeam]:[AwayTeam]], $A41, Table1[[HomeTeam]:[HomeTeam]], N$36) + SUMIFS(Table1[[HomeWon]:[HomeWon]], Table1[[GameIsOver]:[GameIsOver]], 1, Table1[[HomeTeam]:[HomeTeam]], $A41, Table1[[AwayTeam]:[AwayTeam]], N$36))) + (SUMIFS(Table1[[HomeWon]:[HomeWon]], Table1[[GameIsOver]:[GameIsOver]], 1, Table1[[AwayTeam]:[AwayTeam]], $A41, Table1[[HomeTeam]:[HomeTeam]],  N$36, Table1[[ActualResult]:[ActualResult]], "OT") + SUMIFS(Table1[[AwayWon]:[AwayWon]], Table1[[GameIsOver]:[GameIsOver]], 1, Table1[[HomeTeam]:[HomeTeam]], $A41, Table1[[AwayTeam]:[AwayTeam]], N$36, Table1[[ActualResult]:[ActualResult]], "OT") + SUMIFS(Table1[[HomeWon]:[HomeWon]], Table1[[GameIsOver]:[GameIsOver]], 1, Table1[[AwayTeam]:[AwayTeam]], $A41, Table1[[HomeTeam]:[HomeTeam]], N$36, Table1[[ActualResult]:[ActualResult]], "SO") + SUMIFS(Table1[[AwayWon]:[AwayWon]], Table1[[GameIsOver]:[GameIsOver]], 1, Table1[[HomeTeam]:[HomeTeam]], $A41, Table1[[AwayTeam]:[AwayTeam]], N$36, Table1[[ActualResult]:[ActualResult]], "SO")))/ (2*((COUNTIFS(Table1[[GameIsOver]:[GameIsOver]],1,Table1[[AwayTeam]:[AwayTeam]],$A41, Table1[[HomeTeam]:[HomeTeam]], N$36)))+( COUNTIFS(Table1[[GameIsOver]:[GameIsOver]],1,Table1[[AwayTeam]:[AwayTeam]],N$36, Table1[[HomeTeam]:[HomeTeam]],$A41))), "")</f>
        <v/>
      </c>
      <c r="O41" s="50" t="str">
        <f>IFERROR(((2 * (SUMIFS(Table1[[AwayWon]:[AwayWon]], Table1[[GameIsOver]:[GameIsOver]], 1, Table1[[AwayTeam]:[AwayTeam]], $A41, Table1[[HomeTeam]:[HomeTeam]], O$36) + SUMIFS(Table1[[HomeWon]:[HomeWon]], Table1[[GameIsOver]:[GameIsOver]], 1, Table1[[HomeTeam]:[HomeTeam]], $A41, Table1[[AwayTeam]:[AwayTeam]], O$36))) + (SUMIFS(Table1[[HomeWon]:[HomeWon]], Table1[[GameIsOver]:[GameIsOver]], 1, Table1[[AwayTeam]:[AwayTeam]], $A41, Table1[[HomeTeam]:[HomeTeam]],  O$36, Table1[[ActualResult]:[ActualResult]], "OT") + SUMIFS(Table1[[AwayWon]:[AwayWon]], Table1[[GameIsOver]:[GameIsOver]], 1, Table1[[HomeTeam]:[HomeTeam]], $A41, Table1[[AwayTeam]:[AwayTeam]], O$36, Table1[[ActualResult]:[ActualResult]], "OT") + SUMIFS(Table1[[HomeWon]:[HomeWon]], Table1[[GameIsOver]:[GameIsOver]], 1, Table1[[AwayTeam]:[AwayTeam]], $A41, Table1[[HomeTeam]:[HomeTeam]], O$36, Table1[[ActualResult]:[ActualResult]], "SO") + SUMIFS(Table1[[AwayWon]:[AwayWon]], Table1[[GameIsOver]:[GameIsOver]], 1, Table1[[HomeTeam]:[HomeTeam]], $A41, Table1[[AwayTeam]:[AwayTeam]], O$36, Table1[[ActualResult]:[ActualResult]], "SO")))/ (2*((COUNTIFS(Table1[[GameIsOver]:[GameIsOver]],1,Table1[[AwayTeam]:[AwayTeam]],$A41, Table1[[HomeTeam]:[HomeTeam]], O$36)))+( COUNTIFS(Table1[[GameIsOver]:[GameIsOver]],1,Table1[[AwayTeam]:[AwayTeam]],O$36, Table1[[HomeTeam]:[HomeTeam]],$A41))), "")</f>
        <v/>
      </c>
      <c r="P41" s="50" t="str">
        <f>IFERROR(((2 * (SUMIFS(Table1[[AwayWon]:[AwayWon]], Table1[[GameIsOver]:[GameIsOver]], 1, Table1[[AwayTeam]:[AwayTeam]], $A41, Table1[[HomeTeam]:[HomeTeam]], P$36) + SUMIFS(Table1[[HomeWon]:[HomeWon]], Table1[[GameIsOver]:[GameIsOver]], 1, Table1[[HomeTeam]:[HomeTeam]], $A41, Table1[[AwayTeam]:[AwayTeam]], P$36))) + (SUMIFS(Table1[[HomeWon]:[HomeWon]], Table1[[GameIsOver]:[GameIsOver]], 1, Table1[[AwayTeam]:[AwayTeam]], $A41, Table1[[HomeTeam]:[HomeTeam]],  P$36, Table1[[ActualResult]:[ActualResult]], "OT") + SUMIFS(Table1[[AwayWon]:[AwayWon]], Table1[[GameIsOver]:[GameIsOver]], 1, Table1[[HomeTeam]:[HomeTeam]], $A41, Table1[[AwayTeam]:[AwayTeam]], P$36, Table1[[ActualResult]:[ActualResult]], "OT") + SUMIFS(Table1[[HomeWon]:[HomeWon]], Table1[[GameIsOver]:[GameIsOver]], 1, Table1[[AwayTeam]:[AwayTeam]], $A41, Table1[[HomeTeam]:[HomeTeam]], P$36, Table1[[ActualResult]:[ActualResult]], "SO") + SUMIFS(Table1[[AwayWon]:[AwayWon]], Table1[[GameIsOver]:[GameIsOver]], 1, Table1[[HomeTeam]:[HomeTeam]], $A41, Table1[[AwayTeam]:[AwayTeam]], P$36, Table1[[ActualResult]:[ActualResult]], "SO")))/ (2*((COUNTIFS(Table1[[GameIsOver]:[GameIsOver]],1,Table1[[AwayTeam]:[AwayTeam]],$A41, Table1[[HomeTeam]:[HomeTeam]], P$36)))+( COUNTIFS(Table1[[GameIsOver]:[GameIsOver]],1,Table1[[AwayTeam]:[AwayTeam]],P$36, Table1[[HomeTeam]:[HomeTeam]],$A41))), "")</f>
        <v/>
      </c>
      <c r="Q41" s="52" t="str">
        <f>IFERROR(((2 * (SUMIFS(Table1[[AwayWon]:[AwayWon]], Table1[[GameIsOver]:[GameIsOver]], 1, Table1[[AwayTeam]:[AwayTeam]], $A41, Table1[[HomeTeam]:[HomeTeam]], Q$36) + SUMIFS(Table1[[HomeWon]:[HomeWon]], Table1[[GameIsOver]:[GameIsOver]], 1, Table1[[HomeTeam]:[HomeTeam]], $A41, Table1[[AwayTeam]:[AwayTeam]], Q$36))) + (SUMIFS(Table1[[HomeWon]:[HomeWon]], Table1[[GameIsOver]:[GameIsOver]], 1, Table1[[AwayTeam]:[AwayTeam]], $A41, Table1[[HomeTeam]:[HomeTeam]],  Q$36, Table1[[ActualResult]:[ActualResult]], "OT") + SUMIFS(Table1[[AwayWon]:[AwayWon]], Table1[[GameIsOver]:[GameIsOver]], 1, Table1[[HomeTeam]:[HomeTeam]], $A41, Table1[[AwayTeam]:[AwayTeam]], Q$36, Table1[[ActualResult]:[ActualResult]], "OT") + SUMIFS(Table1[[HomeWon]:[HomeWon]], Table1[[GameIsOver]:[GameIsOver]], 1, Table1[[AwayTeam]:[AwayTeam]], $A41, Table1[[HomeTeam]:[HomeTeam]], Q$36, Table1[[ActualResult]:[ActualResult]], "SO") + SUMIFS(Table1[[AwayWon]:[AwayWon]], Table1[[GameIsOver]:[GameIsOver]], 1, Table1[[HomeTeam]:[HomeTeam]], $A41, Table1[[AwayTeam]:[AwayTeam]], Q$36, Table1[[ActualResult]:[ActualResult]], "SO")))/ (2*((COUNTIFS(Table1[[GameIsOver]:[GameIsOver]],1,Table1[[AwayTeam]:[AwayTeam]],$A41, Table1[[HomeTeam]:[HomeTeam]], Q$36)))+( COUNTIFS(Table1[[GameIsOver]:[GameIsOver]],1,Table1[[AwayTeam]:[AwayTeam]],Q$36, Table1[[HomeTeam]:[HomeTeam]],$A41))), "")</f>
        <v/>
      </c>
      <c r="R41" s="50" t="str">
        <f>IFERROR(((2 * (SUMIFS(Table1[[AwayWon]:[AwayWon]], Table1[[GameIsOver]:[GameIsOver]], 1, Table1[[AwayTeam]:[AwayTeam]], $A41, Table1[[HomeTeam]:[HomeTeam]], R$36) + SUMIFS(Table1[[HomeWon]:[HomeWon]], Table1[[GameIsOver]:[GameIsOver]], 1, Table1[[HomeTeam]:[HomeTeam]], $A41, Table1[[AwayTeam]:[AwayTeam]], R$36))) + (SUMIFS(Table1[[HomeWon]:[HomeWon]], Table1[[GameIsOver]:[GameIsOver]], 1, Table1[[AwayTeam]:[AwayTeam]], $A41, Table1[[HomeTeam]:[HomeTeam]],  R$36, Table1[[ActualResult]:[ActualResult]], "OT") + SUMIFS(Table1[[AwayWon]:[AwayWon]], Table1[[GameIsOver]:[GameIsOver]], 1, Table1[[HomeTeam]:[HomeTeam]], $A41, Table1[[AwayTeam]:[AwayTeam]], R$36, Table1[[ActualResult]:[ActualResult]], "OT") + SUMIFS(Table1[[HomeWon]:[HomeWon]], Table1[[GameIsOver]:[GameIsOver]], 1, Table1[[AwayTeam]:[AwayTeam]], $A41, Table1[[HomeTeam]:[HomeTeam]], R$36, Table1[[ActualResult]:[ActualResult]], "SO") + SUMIFS(Table1[[AwayWon]:[AwayWon]], Table1[[GameIsOver]:[GameIsOver]], 1, Table1[[HomeTeam]:[HomeTeam]], $A41, Table1[[AwayTeam]:[AwayTeam]], R$36, Table1[[ActualResult]:[ActualResult]], "SO")))/ (2*((COUNTIFS(Table1[[GameIsOver]:[GameIsOver]],1,Table1[[AwayTeam]:[AwayTeam]],$A41, Table1[[HomeTeam]:[HomeTeam]], R$36)))+( COUNTIFS(Table1[[GameIsOver]:[GameIsOver]],1,Table1[[AwayTeam]:[AwayTeam]],R$36, Table1[[HomeTeam]:[HomeTeam]],$A41))), "")</f>
        <v/>
      </c>
      <c r="S41" s="50" t="str">
        <f>IFERROR(((2 * (SUMIFS(Table1[[AwayWon]:[AwayWon]], Table1[[GameIsOver]:[GameIsOver]], 1, Table1[[AwayTeam]:[AwayTeam]], $A41, Table1[[HomeTeam]:[HomeTeam]], S$36) + SUMIFS(Table1[[HomeWon]:[HomeWon]], Table1[[GameIsOver]:[GameIsOver]], 1, Table1[[HomeTeam]:[HomeTeam]], $A41, Table1[[AwayTeam]:[AwayTeam]], S$36))) + (SUMIFS(Table1[[HomeWon]:[HomeWon]], Table1[[GameIsOver]:[GameIsOver]], 1, Table1[[AwayTeam]:[AwayTeam]], $A41, Table1[[HomeTeam]:[HomeTeam]],  S$36, Table1[[ActualResult]:[ActualResult]], "OT") + SUMIFS(Table1[[AwayWon]:[AwayWon]], Table1[[GameIsOver]:[GameIsOver]], 1, Table1[[HomeTeam]:[HomeTeam]], $A41, Table1[[AwayTeam]:[AwayTeam]], S$36, Table1[[ActualResult]:[ActualResult]], "OT") + SUMIFS(Table1[[HomeWon]:[HomeWon]], Table1[[GameIsOver]:[GameIsOver]], 1, Table1[[AwayTeam]:[AwayTeam]], $A41, Table1[[HomeTeam]:[HomeTeam]], S$36, Table1[[ActualResult]:[ActualResult]], "SO") + SUMIFS(Table1[[AwayWon]:[AwayWon]], Table1[[GameIsOver]:[GameIsOver]], 1, Table1[[HomeTeam]:[HomeTeam]], $A41, Table1[[AwayTeam]:[AwayTeam]], S$36, Table1[[ActualResult]:[ActualResult]], "SO")))/ (2*((COUNTIFS(Table1[[GameIsOver]:[GameIsOver]],1,Table1[[AwayTeam]:[AwayTeam]],$A41, Table1[[HomeTeam]:[HomeTeam]], S$36)))+( COUNTIFS(Table1[[GameIsOver]:[GameIsOver]],1,Table1[[AwayTeam]:[AwayTeam]],S$36, Table1[[HomeTeam]:[HomeTeam]],$A41))), "")</f>
        <v/>
      </c>
      <c r="T41" s="50" t="str">
        <f>IFERROR(((2 * (SUMIFS(Table1[[AwayWon]:[AwayWon]], Table1[[GameIsOver]:[GameIsOver]], 1, Table1[[AwayTeam]:[AwayTeam]], $A41, Table1[[HomeTeam]:[HomeTeam]], T$36) + SUMIFS(Table1[[HomeWon]:[HomeWon]], Table1[[GameIsOver]:[GameIsOver]], 1, Table1[[HomeTeam]:[HomeTeam]], $A41, Table1[[AwayTeam]:[AwayTeam]], T$36))) + (SUMIFS(Table1[[HomeWon]:[HomeWon]], Table1[[GameIsOver]:[GameIsOver]], 1, Table1[[AwayTeam]:[AwayTeam]], $A41, Table1[[HomeTeam]:[HomeTeam]],  T$36, Table1[[ActualResult]:[ActualResult]], "OT") + SUMIFS(Table1[[AwayWon]:[AwayWon]], Table1[[GameIsOver]:[GameIsOver]], 1, Table1[[HomeTeam]:[HomeTeam]], $A41, Table1[[AwayTeam]:[AwayTeam]], T$36, Table1[[ActualResult]:[ActualResult]], "OT") + SUMIFS(Table1[[HomeWon]:[HomeWon]], Table1[[GameIsOver]:[GameIsOver]], 1, Table1[[AwayTeam]:[AwayTeam]], $A41, Table1[[HomeTeam]:[HomeTeam]], T$36, Table1[[ActualResult]:[ActualResult]], "SO") + SUMIFS(Table1[[AwayWon]:[AwayWon]], Table1[[GameIsOver]:[GameIsOver]], 1, Table1[[HomeTeam]:[HomeTeam]], $A41, Table1[[AwayTeam]:[AwayTeam]], T$36, Table1[[ActualResult]:[ActualResult]], "SO")))/ (2*((COUNTIFS(Table1[[GameIsOver]:[GameIsOver]],1,Table1[[AwayTeam]:[AwayTeam]],$A41, Table1[[HomeTeam]:[HomeTeam]], T$36)))+( COUNTIFS(Table1[[GameIsOver]:[GameIsOver]],1,Table1[[AwayTeam]:[AwayTeam]],T$36, Table1[[HomeTeam]:[HomeTeam]],$A41))), "")</f>
        <v/>
      </c>
      <c r="U41" s="50" t="str">
        <f>IFERROR(((2 * (SUMIFS(Table1[[AwayWon]:[AwayWon]], Table1[[GameIsOver]:[GameIsOver]], 1, Table1[[AwayTeam]:[AwayTeam]], $A41, Table1[[HomeTeam]:[HomeTeam]], U$36) + SUMIFS(Table1[[HomeWon]:[HomeWon]], Table1[[GameIsOver]:[GameIsOver]], 1, Table1[[HomeTeam]:[HomeTeam]], $A41, Table1[[AwayTeam]:[AwayTeam]], U$36))) + (SUMIFS(Table1[[HomeWon]:[HomeWon]], Table1[[GameIsOver]:[GameIsOver]], 1, Table1[[AwayTeam]:[AwayTeam]], $A41, Table1[[HomeTeam]:[HomeTeam]],  U$36, Table1[[ActualResult]:[ActualResult]], "OT") + SUMIFS(Table1[[AwayWon]:[AwayWon]], Table1[[GameIsOver]:[GameIsOver]], 1, Table1[[HomeTeam]:[HomeTeam]], $A41, Table1[[AwayTeam]:[AwayTeam]], U$36, Table1[[ActualResult]:[ActualResult]], "OT") + SUMIFS(Table1[[HomeWon]:[HomeWon]], Table1[[GameIsOver]:[GameIsOver]], 1, Table1[[AwayTeam]:[AwayTeam]], $A41, Table1[[HomeTeam]:[HomeTeam]], U$36, Table1[[ActualResult]:[ActualResult]], "SO") + SUMIFS(Table1[[AwayWon]:[AwayWon]], Table1[[GameIsOver]:[GameIsOver]], 1, Table1[[HomeTeam]:[HomeTeam]], $A41, Table1[[AwayTeam]:[AwayTeam]], U$36, Table1[[ActualResult]:[ActualResult]], "SO")))/ (2*((COUNTIFS(Table1[[GameIsOver]:[GameIsOver]],1,Table1[[AwayTeam]:[AwayTeam]],$A41, Table1[[HomeTeam]:[HomeTeam]], U$36)))+( COUNTIFS(Table1[[GameIsOver]:[GameIsOver]],1,Table1[[AwayTeam]:[AwayTeam]],U$36, Table1[[HomeTeam]:[HomeTeam]],$A41))), "")</f>
        <v/>
      </c>
      <c r="V41" s="50" t="str">
        <f>IFERROR(((2 * (SUMIFS(Table1[[AwayWon]:[AwayWon]], Table1[[GameIsOver]:[GameIsOver]], 1, Table1[[AwayTeam]:[AwayTeam]], $A41, Table1[[HomeTeam]:[HomeTeam]], V$36) + SUMIFS(Table1[[HomeWon]:[HomeWon]], Table1[[GameIsOver]:[GameIsOver]], 1, Table1[[HomeTeam]:[HomeTeam]], $A41, Table1[[AwayTeam]:[AwayTeam]], V$36))) + (SUMIFS(Table1[[HomeWon]:[HomeWon]], Table1[[GameIsOver]:[GameIsOver]], 1, Table1[[AwayTeam]:[AwayTeam]], $A41, Table1[[HomeTeam]:[HomeTeam]],  V$36, Table1[[ActualResult]:[ActualResult]], "OT") + SUMIFS(Table1[[AwayWon]:[AwayWon]], Table1[[GameIsOver]:[GameIsOver]], 1, Table1[[HomeTeam]:[HomeTeam]], $A41, Table1[[AwayTeam]:[AwayTeam]], V$36, Table1[[ActualResult]:[ActualResult]], "OT") + SUMIFS(Table1[[HomeWon]:[HomeWon]], Table1[[GameIsOver]:[GameIsOver]], 1, Table1[[AwayTeam]:[AwayTeam]], $A41, Table1[[HomeTeam]:[HomeTeam]], V$36, Table1[[ActualResult]:[ActualResult]], "SO") + SUMIFS(Table1[[AwayWon]:[AwayWon]], Table1[[GameIsOver]:[GameIsOver]], 1, Table1[[HomeTeam]:[HomeTeam]], $A41, Table1[[AwayTeam]:[AwayTeam]], V$36, Table1[[ActualResult]:[ActualResult]], "SO")))/ (2*((COUNTIFS(Table1[[GameIsOver]:[GameIsOver]],1,Table1[[AwayTeam]:[AwayTeam]],$A41, Table1[[HomeTeam]:[HomeTeam]], V$36)))+( COUNTIFS(Table1[[GameIsOver]:[GameIsOver]],1,Table1[[AwayTeam]:[AwayTeam]],V$36, Table1[[HomeTeam]:[HomeTeam]],$A41))), "")</f>
        <v/>
      </c>
      <c r="W41" s="50" t="str">
        <f>IFERROR(((2 * (SUMIFS(Table1[[AwayWon]:[AwayWon]], Table1[[GameIsOver]:[GameIsOver]], 1, Table1[[AwayTeam]:[AwayTeam]], $A41, Table1[[HomeTeam]:[HomeTeam]], W$36) + SUMIFS(Table1[[HomeWon]:[HomeWon]], Table1[[GameIsOver]:[GameIsOver]], 1, Table1[[HomeTeam]:[HomeTeam]], $A41, Table1[[AwayTeam]:[AwayTeam]], W$36))) + (SUMIFS(Table1[[HomeWon]:[HomeWon]], Table1[[GameIsOver]:[GameIsOver]], 1, Table1[[AwayTeam]:[AwayTeam]], $A41, Table1[[HomeTeam]:[HomeTeam]],  W$36, Table1[[ActualResult]:[ActualResult]], "OT") + SUMIFS(Table1[[AwayWon]:[AwayWon]], Table1[[GameIsOver]:[GameIsOver]], 1, Table1[[HomeTeam]:[HomeTeam]], $A41, Table1[[AwayTeam]:[AwayTeam]], W$36, Table1[[ActualResult]:[ActualResult]], "OT") + SUMIFS(Table1[[HomeWon]:[HomeWon]], Table1[[GameIsOver]:[GameIsOver]], 1, Table1[[AwayTeam]:[AwayTeam]], $A41, Table1[[HomeTeam]:[HomeTeam]], W$36, Table1[[ActualResult]:[ActualResult]], "SO") + SUMIFS(Table1[[AwayWon]:[AwayWon]], Table1[[GameIsOver]:[GameIsOver]], 1, Table1[[HomeTeam]:[HomeTeam]], $A41, Table1[[AwayTeam]:[AwayTeam]], W$36, Table1[[ActualResult]:[ActualResult]], "SO")))/ (2*((COUNTIFS(Table1[[GameIsOver]:[GameIsOver]],1,Table1[[AwayTeam]:[AwayTeam]],$A41, Table1[[HomeTeam]:[HomeTeam]], W$36)))+( COUNTIFS(Table1[[GameIsOver]:[GameIsOver]],1,Table1[[AwayTeam]:[AwayTeam]],W$36, Table1[[HomeTeam]:[HomeTeam]],$A41))), "")</f>
        <v/>
      </c>
      <c r="X41" s="50" t="str">
        <f>IFERROR(((2 * (SUMIFS(Table1[[AwayWon]:[AwayWon]], Table1[[GameIsOver]:[GameIsOver]], 1, Table1[[AwayTeam]:[AwayTeam]], $A41, Table1[[HomeTeam]:[HomeTeam]], X$36) + SUMIFS(Table1[[HomeWon]:[HomeWon]], Table1[[GameIsOver]:[GameIsOver]], 1, Table1[[HomeTeam]:[HomeTeam]], $A41, Table1[[AwayTeam]:[AwayTeam]], X$36))) + (SUMIFS(Table1[[HomeWon]:[HomeWon]], Table1[[GameIsOver]:[GameIsOver]], 1, Table1[[AwayTeam]:[AwayTeam]], $A41, Table1[[HomeTeam]:[HomeTeam]],  X$36, Table1[[ActualResult]:[ActualResult]], "OT") + SUMIFS(Table1[[AwayWon]:[AwayWon]], Table1[[GameIsOver]:[GameIsOver]], 1, Table1[[HomeTeam]:[HomeTeam]], $A41, Table1[[AwayTeam]:[AwayTeam]], X$36, Table1[[ActualResult]:[ActualResult]], "OT") + SUMIFS(Table1[[HomeWon]:[HomeWon]], Table1[[GameIsOver]:[GameIsOver]], 1, Table1[[AwayTeam]:[AwayTeam]], $A41, Table1[[HomeTeam]:[HomeTeam]], X$36, Table1[[ActualResult]:[ActualResult]], "SO") + SUMIFS(Table1[[AwayWon]:[AwayWon]], Table1[[GameIsOver]:[GameIsOver]], 1, Table1[[HomeTeam]:[HomeTeam]], $A41, Table1[[AwayTeam]:[AwayTeam]], X$36, Table1[[ActualResult]:[ActualResult]], "SO")))/ (2*((COUNTIFS(Table1[[GameIsOver]:[GameIsOver]],1,Table1[[AwayTeam]:[AwayTeam]],$A41, Table1[[HomeTeam]:[HomeTeam]], X$36)))+( COUNTIFS(Table1[[GameIsOver]:[GameIsOver]],1,Table1[[AwayTeam]:[AwayTeam]],X$36, Table1[[HomeTeam]:[HomeTeam]],$A41))), "")</f>
        <v/>
      </c>
      <c r="Y41" s="52" t="str">
        <f>IFERROR(((2 * (SUMIFS(Table1[[AwayWon]:[AwayWon]], Table1[[GameIsOver]:[GameIsOver]], 1, Table1[[AwayTeam]:[AwayTeam]], $A41, Table1[[HomeTeam]:[HomeTeam]], Y$36) + SUMIFS(Table1[[HomeWon]:[HomeWon]], Table1[[GameIsOver]:[GameIsOver]], 1, Table1[[HomeTeam]:[HomeTeam]], $A41, Table1[[AwayTeam]:[AwayTeam]], Y$36))) + (SUMIFS(Table1[[HomeWon]:[HomeWon]], Table1[[GameIsOver]:[GameIsOver]], 1, Table1[[AwayTeam]:[AwayTeam]], $A41, Table1[[HomeTeam]:[HomeTeam]],  Y$36, Table1[[ActualResult]:[ActualResult]], "OT") + SUMIFS(Table1[[AwayWon]:[AwayWon]], Table1[[GameIsOver]:[GameIsOver]], 1, Table1[[HomeTeam]:[HomeTeam]], $A41, Table1[[AwayTeam]:[AwayTeam]], Y$36, Table1[[ActualResult]:[ActualResult]], "OT") + SUMIFS(Table1[[HomeWon]:[HomeWon]], Table1[[GameIsOver]:[GameIsOver]], 1, Table1[[AwayTeam]:[AwayTeam]], $A41, Table1[[HomeTeam]:[HomeTeam]], Y$36, Table1[[ActualResult]:[ActualResult]], "SO") + SUMIFS(Table1[[AwayWon]:[AwayWon]], Table1[[GameIsOver]:[GameIsOver]], 1, Table1[[HomeTeam]:[HomeTeam]], $A41, Table1[[AwayTeam]:[AwayTeam]], Y$36, Table1[[ActualResult]:[ActualResult]], "SO")))/ (2*((COUNTIFS(Table1[[GameIsOver]:[GameIsOver]],1,Table1[[AwayTeam]:[AwayTeam]],$A41, Table1[[HomeTeam]:[HomeTeam]], Y$36)))+( COUNTIFS(Table1[[GameIsOver]:[GameIsOver]],1,Table1[[AwayTeam]:[AwayTeam]],Y$36, Table1[[HomeTeam]:[HomeTeam]],$A41))), "")</f>
        <v/>
      </c>
      <c r="Z41" s="50" t="str">
        <f>IFERROR(((2 * (SUMIFS(Table1[[AwayWon]:[AwayWon]], Table1[[GameIsOver]:[GameIsOver]], 1, Table1[[AwayTeam]:[AwayTeam]], $A41, Table1[[HomeTeam]:[HomeTeam]], Z$36) + SUMIFS(Table1[[HomeWon]:[HomeWon]], Table1[[GameIsOver]:[GameIsOver]], 1, Table1[[HomeTeam]:[HomeTeam]], $A41, Table1[[AwayTeam]:[AwayTeam]], Z$36))) + (SUMIFS(Table1[[HomeWon]:[HomeWon]], Table1[[GameIsOver]:[GameIsOver]], 1, Table1[[AwayTeam]:[AwayTeam]], $A41, Table1[[HomeTeam]:[HomeTeam]],  Z$36, Table1[[ActualResult]:[ActualResult]], "OT") + SUMIFS(Table1[[AwayWon]:[AwayWon]], Table1[[GameIsOver]:[GameIsOver]], 1, Table1[[HomeTeam]:[HomeTeam]], $A41, Table1[[AwayTeam]:[AwayTeam]], Z$36, Table1[[ActualResult]:[ActualResult]], "OT") + SUMIFS(Table1[[HomeWon]:[HomeWon]], Table1[[GameIsOver]:[GameIsOver]], 1, Table1[[AwayTeam]:[AwayTeam]], $A41, Table1[[HomeTeam]:[HomeTeam]], Z$36, Table1[[ActualResult]:[ActualResult]], "SO") + SUMIFS(Table1[[AwayWon]:[AwayWon]], Table1[[GameIsOver]:[GameIsOver]], 1, Table1[[HomeTeam]:[HomeTeam]], $A41, Table1[[AwayTeam]:[AwayTeam]], Z$36, Table1[[ActualResult]:[ActualResult]], "SO")))/ (2*((COUNTIFS(Table1[[GameIsOver]:[GameIsOver]],1,Table1[[AwayTeam]:[AwayTeam]],$A41, Table1[[HomeTeam]:[HomeTeam]], Z$36)))+( COUNTIFS(Table1[[GameIsOver]:[GameIsOver]],1,Table1[[AwayTeam]:[AwayTeam]],Z$36, Table1[[HomeTeam]:[HomeTeam]],$A41))), "")</f>
        <v/>
      </c>
      <c r="AA41" s="50" t="str">
        <f>IFERROR(((2 * (SUMIFS(Table1[[AwayWon]:[AwayWon]], Table1[[GameIsOver]:[GameIsOver]], 1, Table1[[AwayTeam]:[AwayTeam]], $A41, Table1[[HomeTeam]:[HomeTeam]], AA$36) + SUMIFS(Table1[[HomeWon]:[HomeWon]], Table1[[GameIsOver]:[GameIsOver]], 1, Table1[[HomeTeam]:[HomeTeam]], $A41, Table1[[AwayTeam]:[AwayTeam]], AA$36))) + (SUMIFS(Table1[[HomeWon]:[HomeWon]], Table1[[GameIsOver]:[GameIsOver]], 1, Table1[[AwayTeam]:[AwayTeam]], $A41, Table1[[HomeTeam]:[HomeTeam]],  AA$36, Table1[[ActualResult]:[ActualResult]], "OT") + SUMIFS(Table1[[AwayWon]:[AwayWon]], Table1[[GameIsOver]:[GameIsOver]], 1, Table1[[HomeTeam]:[HomeTeam]], $A41, Table1[[AwayTeam]:[AwayTeam]], AA$36, Table1[[ActualResult]:[ActualResult]], "OT") + SUMIFS(Table1[[HomeWon]:[HomeWon]], Table1[[GameIsOver]:[GameIsOver]], 1, Table1[[AwayTeam]:[AwayTeam]], $A41, Table1[[HomeTeam]:[HomeTeam]], AA$36, Table1[[ActualResult]:[ActualResult]], "SO") + SUMIFS(Table1[[AwayWon]:[AwayWon]], Table1[[GameIsOver]:[GameIsOver]], 1, Table1[[HomeTeam]:[HomeTeam]], $A41, Table1[[AwayTeam]:[AwayTeam]], AA$36, Table1[[ActualResult]:[ActualResult]], "SO")))/ (2*((COUNTIFS(Table1[[GameIsOver]:[GameIsOver]],1,Table1[[AwayTeam]:[AwayTeam]],$A41, Table1[[HomeTeam]:[HomeTeam]], AA$36)))+( COUNTIFS(Table1[[GameIsOver]:[GameIsOver]],1,Table1[[AwayTeam]:[AwayTeam]],AA$36, Table1[[HomeTeam]:[HomeTeam]],$A41))), "")</f>
        <v/>
      </c>
      <c r="AB41" s="50" t="str">
        <f>IFERROR(((2 * (SUMIFS(Table1[[AwayWon]:[AwayWon]], Table1[[GameIsOver]:[GameIsOver]], 1, Table1[[AwayTeam]:[AwayTeam]], $A41, Table1[[HomeTeam]:[HomeTeam]], AB$36) + SUMIFS(Table1[[HomeWon]:[HomeWon]], Table1[[GameIsOver]:[GameIsOver]], 1, Table1[[HomeTeam]:[HomeTeam]], $A41, Table1[[AwayTeam]:[AwayTeam]], AB$36))) + (SUMIFS(Table1[[HomeWon]:[HomeWon]], Table1[[GameIsOver]:[GameIsOver]], 1, Table1[[AwayTeam]:[AwayTeam]], $A41, Table1[[HomeTeam]:[HomeTeam]],  AB$36, Table1[[ActualResult]:[ActualResult]], "OT") + SUMIFS(Table1[[AwayWon]:[AwayWon]], Table1[[GameIsOver]:[GameIsOver]], 1, Table1[[HomeTeam]:[HomeTeam]], $A41, Table1[[AwayTeam]:[AwayTeam]], AB$36, Table1[[ActualResult]:[ActualResult]], "OT") + SUMIFS(Table1[[HomeWon]:[HomeWon]], Table1[[GameIsOver]:[GameIsOver]], 1, Table1[[AwayTeam]:[AwayTeam]], $A41, Table1[[HomeTeam]:[HomeTeam]], AB$36, Table1[[ActualResult]:[ActualResult]], "SO") + SUMIFS(Table1[[AwayWon]:[AwayWon]], Table1[[GameIsOver]:[GameIsOver]], 1, Table1[[HomeTeam]:[HomeTeam]], $A41, Table1[[AwayTeam]:[AwayTeam]], AB$36, Table1[[ActualResult]:[ActualResult]], "SO")))/ (2*((COUNTIFS(Table1[[GameIsOver]:[GameIsOver]],1,Table1[[AwayTeam]:[AwayTeam]],$A41, Table1[[HomeTeam]:[HomeTeam]], AB$36)))+( COUNTIFS(Table1[[GameIsOver]:[GameIsOver]],1,Table1[[AwayTeam]:[AwayTeam]],AB$36, Table1[[HomeTeam]:[HomeTeam]],$A41))), "")</f>
        <v/>
      </c>
      <c r="AC41" s="50" t="str">
        <f>IFERROR(((2 * (SUMIFS(Table1[[AwayWon]:[AwayWon]], Table1[[GameIsOver]:[GameIsOver]], 1, Table1[[AwayTeam]:[AwayTeam]], $A41, Table1[[HomeTeam]:[HomeTeam]], AC$36) + SUMIFS(Table1[[HomeWon]:[HomeWon]], Table1[[GameIsOver]:[GameIsOver]], 1, Table1[[HomeTeam]:[HomeTeam]], $A41, Table1[[AwayTeam]:[AwayTeam]], AC$36))) + (SUMIFS(Table1[[HomeWon]:[HomeWon]], Table1[[GameIsOver]:[GameIsOver]], 1, Table1[[AwayTeam]:[AwayTeam]], $A41, Table1[[HomeTeam]:[HomeTeam]],  AC$36, Table1[[ActualResult]:[ActualResult]], "OT") + SUMIFS(Table1[[AwayWon]:[AwayWon]], Table1[[GameIsOver]:[GameIsOver]], 1, Table1[[HomeTeam]:[HomeTeam]], $A41, Table1[[AwayTeam]:[AwayTeam]], AC$36, Table1[[ActualResult]:[ActualResult]], "OT") + SUMIFS(Table1[[HomeWon]:[HomeWon]], Table1[[GameIsOver]:[GameIsOver]], 1, Table1[[AwayTeam]:[AwayTeam]], $A41, Table1[[HomeTeam]:[HomeTeam]], AC$36, Table1[[ActualResult]:[ActualResult]], "SO") + SUMIFS(Table1[[AwayWon]:[AwayWon]], Table1[[GameIsOver]:[GameIsOver]], 1, Table1[[HomeTeam]:[HomeTeam]], $A41, Table1[[AwayTeam]:[AwayTeam]], AC$36, Table1[[ActualResult]:[ActualResult]], "SO")))/ (2*((COUNTIFS(Table1[[GameIsOver]:[GameIsOver]],1,Table1[[AwayTeam]:[AwayTeam]],$A41, Table1[[HomeTeam]:[HomeTeam]], AC$36)))+( COUNTIFS(Table1[[GameIsOver]:[GameIsOver]],1,Table1[[AwayTeam]:[AwayTeam]],AC$36, Table1[[HomeTeam]:[HomeTeam]],$A41))), "")</f>
        <v/>
      </c>
      <c r="AD41" s="50" t="str">
        <f>IFERROR(((2 * (SUMIFS(Table1[[AwayWon]:[AwayWon]], Table1[[GameIsOver]:[GameIsOver]], 1, Table1[[AwayTeam]:[AwayTeam]], $A41, Table1[[HomeTeam]:[HomeTeam]], AD$36) + SUMIFS(Table1[[HomeWon]:[HomeWon]], Table1[[GameIsOver]:[GameIsOver]], 1, Table1[[HomeTeam]:[HomeTeam]], $A41, Table1[[AwayTeam]:[AwayTeam]], AD$36))) + (SUMIFS(Table1[[HomeWon]:[HomeWon]], Table1[[GameIsOver]:[GameIsOver]], 1, Table1[[AwayTeam]:[AwayTeam]], $A41, Table1[[HomeTeam]:[HomeTeam]],  AD$36, Table1[[ActualResult]:[ActualResult]], "OT") + SUMIFS(Table1[[AwayWon]:[AwayWon]], Table1[[GameIsOver]:[GameIsOver]], 1, Table1[[HomeTeam]:[HomeTeam]], $A41, Table1[[AwayTeam]:[AwayTeam]], AD$36, Table1[[ActualResult]:[ActualResult]], "OT") + SUMIFS(Table1[[HomeWon]:[HomeWon]], Table1[[GameIsOver]:[GameIsOver]], 1, Table1[[AwayTeam]:[AwayTeam]], $A41, Table1[[HomeTeam]:[HomeTeam]], AD$36, Table1[[ActualResult]:[ActualResult]], "SO") + SUMIFS(Table1[[AwayWon]:[AwayWon]], Table1[[GameIsOver]:[GameIsOver]], 1, Table1[[HomeTeam]:[HomeTeam]], $A41, Table1[[AwayTeam]:[AwayTeam]], AD$36, Table1[[ActualResult]:[ActualResult]], "SO")))/ (2*((COUNTIFS(Table1[[GameIsOver]:[GameIsOver]],1,Table1[[AwayTeam]:[AwayTeam]],$A41, Table1[[HomeTeam]:[HomeTeam]], AD$36)))+( COUNTIFS(Table1[[GameIsOver]:[GameIsOver]],1,Table1[[AwayTeam]:[AwayTeam]],AD$36, Table1[[HomeTeam]:[HomeTeam]],$A41))), "")</f>
        <v/>
      </c>
      <c r="AE41" s="50" t="str">
        <f>IFERROR(((2 * (SUMIFS(Table1[[AwayWon]:[AwayWon]], Table1[[GameIsOver]:[GameIsOver]], 1, Table1[[AwayTeam]:[AwayTeam]], $A41, Table1[[HomeTeam]:[HomeTeam]], AE$36) + SUMIFS(Table1[[HomeWon]:[HomeWon]], Table1[[GameIsOver]:[GameIsOver]], 1, Table1[[HomeTeam]:[HomeTeam]], $A41, Table1[[AwayTeam]:[AwayTeam]], AE$36))) + (SUMIFS(Table1[[HomeWon]:[HomeWon]], Table1[[GameIsOver]:[GameIsOver]], 1, Table1[[AwayTeam]:[AwayTeam]], $A41, Table1[[HomeTeam]:[HomeTeam]],  AE$36, Table1[[ActualResult]:[ActualResult]], "OT") + SUMIFS(Table1[[AwayWon]:[AwayWon]], Table1[[GameIsOver]:[GameIsOver]], 1, Table1[[HomeTeam]:[HomeTeam]], $A41, Table1[[AwayTeam]:[AwayTeam]], AE$36, Table1[[ActualResult]:[ActualResult]], "OT") + SUMIFS(Table1[[HomeWon]:[HomeWon]], Table1[[GameIsOver]:[GameIsOver]], 1, Table1[[AwayTeam]:[AwayTeam]], $A41, Table1[[HomeTeam]:[HomeTeam]], AE$36, Table1[[ActualResult]:[ActualResult]], "SO") + SUMIFS(Table1[[AwayWon]:[AwayWon]], Table1[[GameIsOver]:[GameIsOver]], 1, Table1[[HomeTeam]:[HomeTeam]], $A41, Table1[[AwayTeam]:[AwayTeam]], AE$36, Table1[[ActualResult]:[ActualResult]], "SO")))/ (2*((COUNTIFS(Table1[[GameIsOver]:[GameIsOver]],1,Table1[[AwayTeam]:[AwayTeam]],$A41, Table1[[HomeTeam]:[HomeTeam]], AE$36)))+( COUNTIFS(Table1[[GameIsOver]:[GameIsOver]],1,Table1[[AwayTeam]:[AwayTeam]],AE$36, Table1[[HomeTeam]:[HomeTeam]],$A41))), "")</f>
        <v/>
      </c>
      <c r="AF41" s="50" t="str">
        <f>IFERROR(((2 * (SUMIFS(Table1[[AwayWon]:[AwayWon]], Table1[[GameIsOver]:[GameIsOver]], 1, Table1[[AwayTeam]:[AwayTeam]], $A41, Table1[[HomeTeam]:[HomeTeam]], AF$36) + SUMIFS(Table1[[HomeWon]:[HomeWon]], Table1[[GameIsOver]:[GameIsOver]], 1, Table1[[HomeTeam]:[HomeTeam]], $A41, Table1[[AwayTeam]:[AwayTeam]], AF$36))) + (SUMIFS(Table1[[HomeWon]:[HomeWon]], Table1[[GameIsOver]:[GameIsOver]], 1, Table1[[AwayTeam]:[AwayTeam]], $A41, Table1[[HomeTeam]:[HomeTeam]],  AF$36, Table1[[ActualResult]:[ActualResult]], "OT") + SUMIFS(Table1[[AwayWon]:[AwayWon]], Table1[[GameIsOver]:[GameIsOver]], 1, Table1[[HomeTeam]:[HomeTeam]], $A41, Table1[[AwayTeam]:[AwayTeam]], AF$36, Table1[[ActualResult]:[ActualResult]], "OT") + SUMIFS(Table1[[HomeWon]:[HomeWon]], Table1[[GameIsOver]:[GameIsOver]], 1, Table1[[AwayTeam]:[AwayTeam]], $A41, Table1[[HomeTeam]:[HomeTeam]], AF$36, Table1[[ActualResult]:[ActualResult]], "SO") + SUMIFS(Table1[[AwayWon]:[AwayWon]], Table1[[GameIsOver]:[GameIsOver]], 1, Table1[[HomeTeam]:[HomeTeam]], $A41, Table1[[AwayTeam]:[AwayTeam]], AF$36, Table1[[ActualResult]:[ActualResult]], "SO")))/ (2*((COUNTIFS(Table1[[GameIsOver]:[GameIsOver]],1,Table1[[AwayTeam]:[AwayTeam]],$A41, Table1[[HomeTeam]:[HomeTeam]], AF$36)))+( COUNTIFS(Table1[[GameIsOver]:[GameIsOver]],1,Table1[[AwayTeam]:[AwayTeam]],AF$36, Table1[[HomeTeam]:[HomeTeam]],$A41))), "")</f>
        <v/>
      </c>
      <c r="AG41" s="50" t="str">
        <f>IFERROR(((2 * (SUMIFS(Table1[[AwayWon]:[AwayWon]], Table1[[GameIsOver]:[GameIsOver]], 1, Table1[[AwayTeam]:[AwayTeam]], $A41, Table1[[HomeTeam]:[HomeTeam]], AG$36) + SUMIFS(Table1[[HomeWon]:[HomeWon]], Table1[[GameIsOver]:[GameIsOver]], 1, Table1[[HomeTeam]:[HomeTeam]], $A41, Table1[[AwayTeam]:[AwayTeam]], AG$36))) + (SUMIFS(Table1[[HomeWon]:[HomeWon]], Table1[[GameIsOver]:[GameIsOver]], 1, Table1[[AwayTeam]:[AwayTeam]], $A41, Table1[[HomeTeam]:[HomeTeam]],  AG$36, Table1[[ActualResult]:[ActualResult]], "OT") + SUMIFS(Table1[[AwayWon]:[AwayWon]], Table1[[GameIsOver]:[GameIsOver]], 1, Table1[[HomeTeam]:[HomeTeam]], $A41, Table1[[AwayTeam]:[AwayTeam]], AG$36, Table1[[ActualResult]:[ActualResult]], "OT") + SUMIFS(Table1[[HomeWon]:[HomeWon]], Table1[[GameIsOver]:[GameIsOver]], 1, Table1[[AwayTeam]:[AwayTeam]], $A41, Table1[[HomeTeam]:[HomeTeam]], AG$36, Table1[[ActualResult]:[ActualResult]], "SO") + SUMIFS(Table1[[AwayWon]:[AwayWon]], Table1[[GameIsOver]:[GameIsOver]], 1, Table1[[HomeTeam]:[HomeTeam]], $A41, Table1[[AwayTeam]:[AwayTeam]], AG$36, Table1[[ActualResult]:[ActualResult]], "SO")))/ (2*((COUNTIFS(Table1[[GameIsOver]:[GameIsOver]],1,Table1[[AwayTeam]:[AwayTeam]],$A41, Table1[[HomeTeam]:[HomeTeam]], AG$36)))+( COUNTIFS(Table1[[GameIsOver]:[GameIsOver]],1,Table1[[AwayTeam]:[AwayTeam]],AG$36, Table1[[HomeTeam]:[HomeTeam]],$A41))), "")</f>
        <v/>
      </c>
      <c r="AH41" s="51" t="e">
        <f t="shared" si="0"/>
        <v>#DIV/0!</v>
      </c>
      <c r="AI41" s="51">
        <f t="shared" si="1"/>
        <v>2</v>
      </c>
      <c r="AJ41" s="52" t="e">
        <f t="shared" si="2"/>
        <v>#DIV/0!</v>
      </c>
      <c r="AK41" s="52" t="e">
        <f t="shared" si="3"/>
        <v>#DIV/0!</v>
      </c>
      <c r="AL41" s="52">
        <f t="shared" si="4"/>
        <v>2</v>
      </c>
      <c r="AM41" s="52" t="e">
        <f t="shared" si="5"/>
        <v>#DIV/0!</v>
      </c>
    </row>
    <row r="42" spans="1:39" x14ac:dyDescent="0.25">
      <c r="A42" s="28" t="s">
        <v>55</v>
      </c>
      <c r="B42" s="50" t="str">
        <f>IFERROR(((2 * (SUMIFS(Table1[[AwayWon]:[AwayWon]], Table1[[GameIsOver]:[GameIsOver]], 1, Table1[[AwayTeam]:[AwayTeam]], $A42, Table1[[HomeTeam]:[HomeTeam]], B$36) + SUMIFS(Table1[[HomeWon]:[HomeWon]], Table1[[GameIsOver]:[GameIsOver]], 1, Table1[[HomeTeam]:[HomeTeam]], $A42, Table1[[AwayTeam]:[AwayTeam]], B$36))) + (SUMIFS(Table1[[HomeWon]:[HomeWon]], Table1[[GameIsOver]:[GameIsOver]], 1, Table1[[AwayTeam]:[AwayTeam]], $A42, Table1[[HomeTeam]:[HomeTeam]],  B$36, Table1[[ActualResult]:[ActualResult]], "OT") + SUMIFS(Table1[[AwayWon]:[AwayWon]], Table1[[GameIsOver]:[GameIsOver]], 1, Table1[[HomeTeam]:[HomeTeam]], $A42, Table1[[AwayTeam]:[AwayTeam]], B$36, Table1[[ActualResult]:[ActualResult]], "OT") + SUMIFS(Table1[[HomeWon]:[HomeWon]], Table1[[GameIsOver]:[GameIsOver]], 1, Table1[[AwayTeam]:[AwayTeam]], $A42, Table1[[HomeTeam]:[HomeTeam]], B$36, Table1[[ActualResult]:[ActualResult]], "SO") + SUMIFS(Table1[[AwayWon]:[AwayWon]], Table1[[GameIsOver]:[GameIsOver]], 1, Table1[[HomeTeam]:[HomeTeam]], $A42, Table1[[AwayTeam]:[AwayTeam]], B$36, Table1[[ActualResult]:[ActualResult]], "SO")))/ (2*((COUNTIFS(Table1[[GameIsOver]:[GameIsOver]],1,Table1[[AwayTeam]:[AwayTeam]],$A42, Table1[[HomeTeam]:[HomeTeam]], B$36)))+( COUNTIFS(Table1[[GameIsOver]:[GameIsOver]],1,Table1[[AwayTeam]:[AwayTeam]],B$36, Table1[[HomeTeam]:[HomeTeam]],$A42))), "")</f>
        <v/>
      </c>
      <c r="C42" s="50" t="str">
        <f>IFERROR(((2 * (SUMIFS(Table1[[AwayWon]:[AwayWon]], Table1[[GameIsOver]:[GameIsOver]], 1, Table1[[AwayTeam]:[AwayTeam]], $A42, Table1[[HomeTeam]:[HomeTeam]], C$36) + SUMIFS(Table1[[HomeWon]:[HomeWon]], Table1[[GameIsOver]:[GameIsOver]], 1, Table1[[HomeTeam]:[HomeTeam]], $A42, Table1[[AwayTeam]:[AwayTeam]], C$36))) + (SUMIFS(Table1[[HomeWon]:[HomeWon]], Table1[[GameIsOver]:[GameIsOver]], 1, Table1[[AwayTeam]:[AwayTeam]], $A42, Table1[[HomeTeam]:[HomeTeam]],  C$36, Table1[[ActualResult]:[ActualResult]], "OT") + SUMIFS(Table1[[AwayWon]:[AwayWon]], Table1[[GameIsOver]:[GameIsOver]], 1, Table1[[HomeTeam]:[HomeTeam]], $A42, Table1[[AwayTeam]:[AwayTeam]], C$36, Table1[[ActualResult]:[ActualResult]], "OT") + SUMIFS(Table1[[HomeWon]:[HomeWon]], Table1[[GameIsOver]:[GameIsOver]], 1, Table1[[AwayTeam]:[AwayTeam]], $A42, Table1[[HomeTeam]:[HomeTeam]], C$36, Table1[[ActualResult]:[ActualResult]], "SO") + SUMIFS(Table1[[AwayWon]:[AwayWon]], Table1[[GameIsOver]:[GameIsOver]], 1, Table1[[HomeTeam]:[HomeTeam]], $A42, Table1[[AwayTeam]:[AwayTeam]], C$36, Table1[[ActualResult]:[ActualResult]], "SO")))/ (2*((COUNTIFS(Table1[[GameIsOver]:[GameIsOver]],1,Table1[[AwayTeam]:[AwayTeam]],$A42, Table1[[HomeTeam]:[HomeTeam]], C$36)))+( COUNTIFS(Table1[[GameIsOver]:[GameIsOver]],1,Table1[[AwayTeam]:[AwayTeam]],C$36, Table1[[HomeTeam]:[HomeTeam]],$A42))), "")</f>
        <v/>
      </c>
      <c r="D42" s="50" t="str">
        <f>IFERROR(((2 * (SUMIFS(Table1[[AwayWon]:[AwayWon]], Table1[[GameIsOver]:[GameIsOver]], 1, Table1[[AwayTeam]:[AwayTeam]], $A42, Table1[[HomeTeam]:[HomeTeam]], D$36) + SUMIFS(Table1[[HomeWon]:[HomeWon]], Table1[[GameIsOver]:[GameIsOver]], 1, Table1[[HomeTeam]:[HomeTeam]], $A42, Table1[[AwayTeam]:[AwayTeam]], D$36))) + (SUMIFS(Table1[[HomeWon]:[HomeWon]], Table1[[GameIsOver]:[GameIsOver]], 1, Table1[[AwayTeam]:[AwayTeam]], $A42, Table1[[HomeTeam]:[HomeTeam]],  D$36, Table1[[ActualResult]:[ActualResult]], "OT") + SUMIFS(Table1[[AwayWon]:[AwayWon]], Table1[[GameIsOver]:[GameIsOver]], 1, Table1[[HomeTeam]:[HomeTeam]], $A42, Table1[[AwayTeam]:[AwayTeam]], D$36, Table1[[ActualResult]:[ActualResult]], "OT") + SUMIFS(Table1[[HomeWon]:[HomeWon]], Table1[[GameIsOver]:[GameIsOver]], 1, Table1[[AwayTeam]:[AwayTeam]], $A42, Table1[[HomeTeam]:[HomeTeam]], D$36, Table1[[ActualResult]:[ActualResult]], "SO") + SUMIFS(Table1[[AwayWon]:[AwayWon]], Table1[[GameIsOver]:[GameIsOver]], 1, Table1[[HomeTeam]:[HomeTeam]], $A42, Table1[[AwayTeam]:[AwayTeam]], D$36, Table1[[ActualResult]:[ActualResult]], "SO")))/ (2*((COUNTIFS(Table1[[GameIsOver]:[GameIsOver]],1,Table1[[AwayTeam]:[AwayTeam]],$A42, Table1[[HomeTeam]:[HomeTeam]], D$36)))+( COUNTIFS(Table1[[GameIsOver]:[GameIsOver]],1,Table1[[AwayTeam]:[AwayTeam]],D$36, Table1[[HomeTeam]:[HomeTeam]],$A42))), "")</f>
        <v/>
      </c>
      <c r="E42" s="50" t="str">
        <f>IFERROR(((2 * (SUMIFS(Table1[[AwayWon]:[AwayWon]], Table1[[GameIsOver]:[GameIsOver]], 1, Table1[[AwayTeam]:[AwayTeam]], $A42, Table1[[HomeTeam]:[HomeTeam]], E$36) + SUMIFS(Table1[[HomeWon]:[HomeWon]], Table1[[GameIsOver]:[GameIsOver]], 1, Table1[[HomeTeam]:[HomeTeam]], $A42, Table1[[AwayTeam]:[AwayTeam]], E$36))) + (SUMIFS(Table1[[HomeWon]:[HomeWon]], Table1[[GameIsOver]:[GameIsOver]], 1, Table1[[AwayTeam]:[AwayTeam]], $A42, Table1[[HomeTeam]:[HomeTeam]],  E$36, Table1[[ActualResult]:[ActualResult]], "OT") + SUMIFS(Table1[[AwayWon]:[AwayWon]], Table1[[GameIsOver]:[GameIsOver]], 1, Table1[[HomeTeam]:[HomeTeam]], $A42, Table1[[AwayTeam]:[AwayTeam]], E$36, Table1[[ActualResult]:[ActualResult]], "OT") + SUMIFS(Table1[[HomeWon]:[HomeWon]], Table1[[GameIsOver]:[GameIsOver]], 1, Table1[[AwayTeam]:[AwayTeam]], $A42, Table1[[HomeTeam]:[HomeTeam]], E$36, Table1[[ActualResult]:[ActualResult]], "SO") + SUMIFS(Table1[[AwayWon]:[AwayWon]], Table1[[GameIsOver]:[GameIsOver]], 1, Table1[[HomeTeam]:[HomeTeam]], $A42, Table1[[AwayTeam]:[AwayTeam]], E$36, Table1[[ActualResult]:[ActualResult]], "SO")))/ (2*((COUNTIFS(Table1[[GameIsOver]:[GameIsOver]],1,Table1[[AwayTeam]:[AwayTeam]],$A42, Table1[[HomeTeam]:[HomeTeam]], E$36)))+( COUNTIFS(Table1[[GameIsOver]:[GameIsOver]],1,Table1[[AwayTeam]:[AwayTeam]],E$36, Table1[[HomeTeam]:[HomeTeam]],$A42))), "")</f>
        <v/>
      </c>
      <c r="F42" s="50" t="str">
        <f>IFERROR(((2 * (SUMIFS(Table1[[AwayWon]:[AwayWon]], Table1[[GameIsOver]:[GameIsOver]], 1, Table1[[AwayTeam]:[AwayTeam]], $A42, Table1[[HomeTeam]:[HomeTeam]], F$36) + SUMIFS(Table1[[HomeWon]:[HomeWon]], Table1[[GameIsOver]:[GameIsOver]], 1, Table1[[HomeTeam]:[HomeTeam]], $A42, Table1[[AwayTeam]:[AwayTeam]], F$36))) + (SUMIFS(Table1[[HomeWon]:[HomeWon]], Table1[[GameIsOver]:[GameIsOver]], 1, Table1[[AwayTeam]:[AwayTeam]], $A42, Table1[[HomeTeam]:[HomeTeam]],  F$36, Table1[[ActualResult]:[ActualResult]], "OT") + SUMIFS(Table1[[AwayWon]:[AwayWon]], Table1[[GameIsOver]:[GameIsOver]], 1, Table1[[HomeTeam]:[HomeTeam]], $A42, Table1[[AwayTeam]:[AwayTeam]], F$36, Table1[[ActualResult]:[ActualResult]], "OT") + SUMIFS(Table1[[HomeWon]:[HomeWon]], Table1[[GameIsOver]:[GameIsOver]], 1, Table1[[AwayTeam]:[AwayTeam]], $A42, Table1[[HomeTeam]:[HomeTeam]], F$36, Table1[[ActualResult]:[ActualResult]], "SO") + SUMIFS(Table1[[AwayWon]:[AwayWon]], Table1[[GameIsOver]:[GameIsOver]], 1, Table1[[HomeTeam]:[HomeTeam]], $A42, Table1[[AwayTeam]:[AwayTeam]], F$36, Table1[[ActualResult]:[ActualResult]], "SO")))/ (2*((COUNTIFS(Table1[[GameIsOver]:[GameIsOver]],1,Table1[[AwayTeam]:[AwayTeam]],$A42, Table1[[HomeTeam]:[HomeTeam]], F$36)))+( COUNTIFS(Table1[[GameIsOver]:[GameIsOver]],1,Table1[[AwayTeam]:[AwayTeam]],F$36, Table1[[HomeTeam]:[HomeTeam]],$A42))), "")</f>
        <v/>
      </c>
      <c r="G42" s="50" t="str">
        <f>IFERROR(((2 * (SUMIFS(Table1[[AwayWon]:[AwayWon]], Table1[[GameIsOver]:[GameIsOver]], 1, Table1[[AwayTeam]:[AwayTeam]], $A42, Table1[[HomeTeam]:[HomeTeam]], G$36) + SUMIFS(Table1[[HomeWon]:[HomeWon]], Table1[[GameIsOver]:[GameIsOver]], 1, Table1[[HomeTeam]:[HomeTeam]], $A42, Table1[[AwayTeam]:[AwayTeam]], G$36))) + (SUMIFS(Table1[[HomeWon]:[HomeWon]], Table1[[GameIsOver]:[GameIsOver]], 1, Table1[[AwayTeam]:[AwayTeam]], $A42, Table1[[HomeTeam]:[HomeTeam]],  G$36, Table1[[ActualResult]:[ActualResult]], "OT") + SUMIFS(Table1[[AwayWon]:[AwayWon]], Table1[[GameIsOver]:[GameIsOver]], 1, Table1[[HomeTeam]:[HomeTeam]], $A42, Table1[[AwayTeam]:[AwayTeam]], G$36, Table1[[ActualResult]:[ActualResult]], "OT") + SUMIFS(Table1[[HomeWon]:[HomeWon]], Table1[[GameIsOver]:[GameIsOver]], 1, Table1[[AwayTeam]:[AwayTeam]], $A42, Table1[[HomeTeam]:[HomeTeam]], G$36, Table1[[ActualResult]:[ActualResult]], "SO") + SUMIFS(Table1[[AwayWon]:[AwayWon]], Table1[[GameIsOver]:[GameIsOver]], 1, Table1[[HomeTeam]:[HomeTeam]], $A42, Table1[[AwayTeam]:[AwayTeam]], G$36, Table1[[ActualResult]:[ActualResult]], "SO")))/ (2*((COUNTIFS(Table1[[GameIsOver]:[GameIsOver]],1,Table1[[AwayTeam]:[AwayTeam]],$A42, Table1[[HomeTeam]:[HomeTeam]], G$36)))+( COUNTIFS(Table1[[GameIsOver]:[GameIsOver]],1,Table1[[AwayTeam]:[AwayTeam]],G$36, Table1[[HomeTeam]:[HomeTeam]],$A42))), "")</f>
        <v/>
      </c>
      <c r="H42" s="50" t="str">
        <f>IFERROR(((2 * (SUMIFS(Table1[[AwayWon]:[AwayWon]], Table1[[GameIsOver]:[GameIsOver]], 1, Table1[[AwayTeam]:[AwayTeam]], $A42, Table1[[HomeTeam]:[HomeTeam]], H$36) + SUMIFS(Table1[[HomeWon]:[HomeWon]], Table1[[GameIsOver]:[GameIsOver]], 1, Table1[[HomeTeam]:[HomeTeam]], $A42, Table1[[AwayTeam]:[AwayTeam]], H$36))) + (SUMIFS(Table1[[HomeWon]:[HomeWon]], Table1[[GameIsOver]:[GameIsOver]], 1, Table1[[AwayTeam]:[AwayTeam]], $A42, Table1[[HomeTeam]:[HomeTeam]],  H$36, Table1[[ActualResult]:[ActualResult]], "OT") + SUMIFS(Table1[[AwayWon]:[AwayWon]], Table1[[GameIsOver]:[GameIsOver]], 1, Table1[[HomeTeam]:[HomeTeam]], $A42, Table1[[AwayTeam]:[AwayTeam]], H$36, Table1[[ActualResult]:[ActualResult]], "OT") + SUMIFS(Table1[[HomeWon]:[HomeWon]], Table1[[GameIsOver]:[GameIsOver]], 1, Table1[[AwayTeam]:[AwayTeam]], $A42, Table1[[HomeTeam]:[HomeTeam]], H$36, Table1[[ActualResult]:[ActualResult]], "SO") + SUMIFS(Table1[[AwayWon]:[AwayWon]], Table1[[GameIsOver]:[GameIsOver]], 1, Table1[[HomeTeam]:[HomeTeam]], $A42, Table1[[AwayTeam]:[AwayTeam]], H$36, Table1[[ActualResult]:[ActualResult]], "SO")))/ (2*((COUNTIFS(Table1[[GameIsOver]:[GameIsOver]],1,Table1[[AwayTeam]:[AwayTeam]],$A42, Table1[[HomeTeam]:[HomeTeam]], H$36)))+( COUNTIFS(Table1[[GameIsOver]:[GameIsOver]],1,Table1[[AwayTeam]:[AwayTeam]],H$36, Table1[[HomeTeam]:[HomeTeam]],$A42))), "")</f>
        <v/>
      </c>
      <c r="I42" s="52" t="str">
        <f>IFERROR(((2 * (SUMIFS(Table1[[AwayWon]:[AwayWon]], Table1[[GameIsOver]:[GameIsOver]], 1, Table1[[AwayTeam]:[AwayTeam]], $A42, Table1[[HomeTeam]:[HomeTeam]], I$36) + SUMIFS(Table1[[HomeWon]:[HomeWon]], Table1[[GameIsOver]:[GameIsOver]], 1, Table1[[HomeTeam]:[HomeTeam]], $A42, Table1[[AwayTeam]:[AwayTeam]], I$36))) + (SUMIFS(Table1[[HomeWon]:[HomeWon]], Table1[[GameIsOver]:[GameIsOver]], 1, Table1[[AwayTeam]:[AwayTeam]], $A42, Table1[[HomeTeam]:[HomeTeam]],  I$36, Table1[[ActualResult]:[ActualResult]], "OT") + SUMIFS(Table1[[AwayWon]:[AwayWon]], Table1[[GameIsOver]:[GameIsOver]], 1, Table1[[HomeTeam]:[HomeTeam]], $A42, Table1[[AwayTeam]:[AwayTeam]], I$36, Table1[[ActualResult]:[ActualResult]], "OT") + SUMIFS(Table1[[HomeWon]:[HomeWon]], Table1[[GameIsOver]:[GameIsOver]], 1, Table1[[AwayTeam]:[AwayTeam]], $A42, Table1[[HomeTeam]:[HomeTeam]], I$36, Table1[[ActualResult]:[ActualResult]], "SO") + SUMIFS(Table1[[AwayWon]:[AwayWon]], Table1[[GameIsOver]:[GameIsOver]], 1, Table1[[HomeTeam]:[HomeTeam]], $A42, Table1[[AwayTeam]:[AwayTeam]], I$36, Table1[[ActualResult]:[ActualResult]], "SO")))/ (2*((COUNTIFS(Table1[[GameIsOver]:[GameIsOver]],1,Table1[[AwayTeam]:[AwayTeam]],$A42, Table1[[HomeTeam]:[HomeTeam]], I$36)))+( COUNTIFS(Table1[[GameIsOver]:[GameIsOver]],1,Table1[[AwayTeam]:[AwayTeam]],I$36, Table1[[HomeTeam]:[HomeTeam]],$A42))), "")</f>
        <v/>
      </c>
      <c r="J42" s="50" t="str">
        <f>IFERROR(((2 * (SUMIFS(Table1[[AwayWon]:[AwayWon]], Table1[[GameIsOver]:[GameIsOver]], 1, Table1[[AwayTeam]:[AwayTeam]], $A42, Table1[[HomeTeam]:[HomeTeam]], J$36) + SUMIFS(Table1[[HomeWon]:[HomeWon]], Table1[[GameIsOver]:[GameIsOver]], 1, Table1[[HomeTeam]:[HomeTeam]], $A42, Table1[[AwayTeam]:[AwayTeam]], J$36))) + (SUMIFS(Table1[[HomeWon]:[HomeWon]], Table1[[GameIsOver]:[GameIsOver]], 1, Table1[[AwayTeam]:[AwayTeam]], $A42, Table1[[HomeTeam]:[HomeTeam]],  J$36, Table1[[ActualResult]:[ActualResult]], "OT") + SUMIFS(Table1[[AwayWon]:[AwayWon]], Table1[[GameIsOver]:[GameIsOver]], 1, Table1[[HomeTeam]:[HomeTeam]], $A42, Table1[[AwayTeam]:[AwayTeam]], J$36, Table1[[ActualResult]:[ActualResult]], "OT") + SUMIFS(Table1[[HomeWon]:[HomeWon]], Table1[[GameIsOver]:[GameIsOver]], 1, Table1[[AwayTeam]:[AwayTeam]], $A42, Table1[[HomeTeam]:[HomeTeam]], J$36, Table1[[ActualResult]:[ActualResult]], "SO") + SUMIFS(Table1[[AwayWon]:[AwayWon]], Table1[[GameIsOver]:[GameIsOver]], 1, Table1[[HomeTeam]:[HomeTeam]], $A42, Table1[[AwayTeam]:[AwayTeam]], J$36, Table1[[ActualResult]:[ActualResult]], "SO")))/ (2*((COUNTIFS(Table1[[GameIsOver]:[GameIsOver]],1,Table1[[AwayTeam]:[AwayTeam]],$A42, Table1[[HomeTeam]:[HomeTeam]], J$36)))+( COUNTIFS(Table1[[GameIsOver]:[GameIsOver]],1,Table1[[AwayTeam]:[AwayTeam]],J$36, Table1[[HomeTeam]:[HomeTeam]],$A42))), "")</f>
        <v/>
      </c>
      <c r="K42" s="50" t="str">
        <f>IFERROR(((2 * (SUMIFS(Table1[[AwayWon]:[AwayWon]], Table1[[GameIsOver]:[GameIsOver]], 1, Table1[[AwayTeam]:[AwayTeam]], $A42, Table1[[HomeTeam]:[HomeTeam]], K$36) + SUMIFS(Table1[[HomeWon]:[HomeWon]], Table1[[GameIsOver]:[GameIsOver]], 1, Table1[[HomeTeam]:[HomeTeam]], $A42, Table1[[AwayTeam]:[AwayTeam]], K$36))) + (SUMIFS(Table1[[HomeWon]:[HomeWon]], Table1[[GameIsOver]:[GameIsOver]], 1, Table1[[AwayTeam]:[AwayTeam]], $A42, Table1[[HomeTeam]:[HomeTeam]],  K$36, Table1[[ActualResult]:[ActualResult]], "OT") + SUMIFS(Table1[[AwayWon]:[AwayWon]], Table1[[GameIsOver]:[GameIsOver]], 1, Table1[[HomeTeam]:[HomeTeam]], $A42, Table1[[AwayTeam]:[AwayTeam]], K$36, Table1[[ActualResult]:[ActualResult]], "OT") + SUMIFS(Table1[[HomeWon]:[HomeWon]], Table1[[GameIsOver]:[GameIsOver]], 1, Table1[[AwayTeam]:[AwayTeam]], $A42, Table1[[HomeTeam]:[HomeTeam]], K$36, Table1[[ActualResult]:[ActualResult]], "SO") + SUMIFS(Table1[[AwayWon]:[AwayWon]], Table1[[GameIsOver]:[GameIsOver]], 1, Table1[[HomeTeam]:[HomeTeam]], $A42, Table1[[AwayTeam]:[AwayTeam]], K$36, Table1[[ActualResult]:[ActualResult]], "SO")))/ (2*((COUNTIFS(Table1[[GameIsOver]:[GameIsOver]],1,Table1[[AwayTeam]:[AwayTeam]],$A42, Table1[[HomeTeam]:[HomeTeam]], K$36)))+( COUNTIFS(Table1[[GameIsOver]:[GameIsOver]],1,Table1[[AwayTeam]:[AwayTeam]],K$36, Table1[[HomeTeam]:[HomeTeam]],$A42))), "")</f>
        <v/>
      </c>
      <c r="L42" s="50" t="str">
        <f>IFERROR(((2 * (SUMIFS(Table1[[AwayWon]:[AwayWon]], Table1[[GameIsOver]:[GameIsOver]], 1, Table1[[AwayTeam]:[AwayTeam]], $A42, Table1[[HomeTeam]:[HomeTeam]], L$36) + SUMIFS(Table1[[HomeWon]:[HomeWon]], Table1[[GameIsOver]:[GameIsOver]], 1, Table1[[HomeTeam]:[HomeTeam]], $A42, Table1[[AwayTeam]:[AwayTeam]], L$36))) + (SUMIFS(Table1[[HomeWon]:[HomeWon]], Table1[[GameIsOver]:[GameIsOver]], 1, Table1[[AwayTeam]:[AwayTeam]], $A42, Table1[[HomeTeam]:[HomeTeam]],  L$36, Table1[[ActualResult]:[ActualResult]], "OT") + SUMIFS(Table1[[AwayWon]:[AwayWon]], Table1[[GameIsOver]:[GameIsOver]], 1, Table1[[HomeTeam]:[HomeTeam]], $A42, Table1[[AwayTeam]:[AwayTeam]], L$36, Table1[[ActualResult]:[ActualResult]], "OT") + SUMIFS(Table1[[HomeWon]:[HomeWon]], Table1[[GameIsOver]:[GameIsOver]], 1, Table1[[AwayTeam]:[AwayTeam]], $A42, Table1[[HomeTeam]:[HomeTeam]], L$36, Table1[[ActualResult]:[ActualResult]], "SO") + SUMIFS(Table1[[AwayWon]:[AwayWon]], Table1[[GameIsOver]:[GameIsOver]], 1, Table1[[HomeTeam]:[HomeTeam]], $A42, Table1[[AwayTeam]:[AwayTeam]], L$36, Table1[[ActualResult]:[ActualResult]], "SO")))/ (2*((COUNTIFS(Table1[[GameIsOver]:[GameIsOver]],1,Table1[[AwayTeam]:[AwayTeam]],$A42, Table1[[HomeTeam]:[HomeTeam]], L$36)))+( COUNTIFS(Table1[[GameIsOver]:[GameIsOver]],1,Table1[[AwayTeam]:[AwayTeam]],L$36, Table1[[HomeTeam]:[HomeTeam]],$A42))), "")</f>
        <v/>
      </c>
      <c r="M42" s="50" t="str">
        <f>IFERROR(((2 * (SUMIFS(Table1[[AwayWon]:[AwayWon]], Table1[[GameIsOver]:[GameIsOver]], 1, Table1[[AwayTeam]:[AwayTeam]], $A42, Table1[[HomeTeam]:[HomeTeam]], M$36) + SUMIFS(Table1[[HomeWon]:[HomeWon]], Table1[[GameIsOver]:[GameIsOver]], 1, Table1[[HomeTeam]:[HomeTeam]], $A42, Table1[[AwayTeam]:[AwayTeam]], M$36))) + (SUMIFS(Table1[[HomeWon]:[HomeWon]], Table1[[GameIsOver]:[GameIsOver]], 1, Table1[[AwayTeam]:[AwayTeam]], $A42, Table1[[HomeTeam]:[HomeTeam]],  M$36, Table1[[ActualResult]:[ActualResult]], "OT") + SUMIFS(Table1[[AwayWon]:[AwayWon]], Table1[[GameIsOver]:[GameIsOver]], 1, Table1[[HomeTeam]:[HomeTeam]], $A42, Table1[[AwayTeam]:[AwayTeam]], M$36, Table1[[ActualResult]:[ActualResult]], "OT") + SUMIFS(Table1[[HomeWon]:[HomeWon]], Table1[[GameIsOver]:[GameIsOver]], 1, Table1[[AwayTeam]:[AwayTeam]], $A42, Table1[[HomeTeam]:[HomeTeam]], M$36, Table1[[ActualResult]:[ActualResult]], "SO") + SUMIFS(Table1[[AwayWon]:[AwayWon]], Table1[[GameIsOver]:[GameIsOver]], 1, Table1[[HomeTeam]:[HomeTeam]], $A42, Table1[[AwayTeam]:[AwayTeam]], M$36, Table1[[ActualResult]:[ActualResult]], "SO")))/ (2*((COUNTIFS(Table1[[GameIsOver]:[GameIsOver]],1,Table1[[AwayTeam]:[AwayTeam]],$A42, Table1[[HomeTeam]:[HomeTeam]], M$36)))+( COUNTIFS(Table1[[GameIsOver]:[GameIsOver]],1,Table1[[AwayTeam]:[AwayTeam]],M$36, Table1[[HomeTeam]:[HomeTeam]],$A42))), "")</f>
        <v/>
      </c>
      <c r="N42" s="50" t="str">
        <f>IFERROR(((2 * (SUMIFS(Table1[[AwayWon]:[AwayWon]], Table1[[GameIsOver]:[GameIsOver]], 1, Table1[[AwayTeam]:[AwayTeam]], $A42, Table1[[HomeTeam]:[HomeTeam]], N$36) + SUMIFS(Table1[[HomeWon]:[HomeWon]], Table1[[GameIsOver]:[GameIsOver]], 1, Table1[[HomeTeam]:[HomeTeam]], $A42, Table1[[AwayTeam]:[AwayTeam]], N$36))) + (SUMIFS(Table1[[HomeWon]:[HomeWon]], Table1[[GameIsOver]:[GameIsOver]], 1, Table1[[AwayTeam]:[AwayTeam]], $A42, Table1[[HomeTeam]:[HomeTeam]],  N$36, Table1[[ActualResult]:[ActualResult]], "OT") + SUMIFS(Table1[[AwayWon]:[AwayWon]], Table1[[GameIsOver]:[GameIsOver]], 1, Table1[[HomeTeam]:[HomeTeam]], $A42, Table1[[AwayTeam]:[AwayTeam]], N$36, Table1[[ActualResult]:[ActualResult]], "OT") + SUMIFS(Table1[[HomeWon]:[HomeWon]], Table1[[GameIsOver]:[GameIsOver]], 1, Table1[[AwayTeam]:[AwayTeam]], $A42, Table1[[HomeTeam]:[HomeTeam]], N$36, Table1[[ActualResult]:[ActualResult]], "SO") + SUMIFS(Table1[[AwayWon]:[AwayWon]], Table1[[GameIsOver]:[GameIsOver]], 1, Table1[[HomeTeam]:[HomeTeam]], $A42, Table1[[AwayTeam]:[AwayTeam]], N$36, Table1[[ActualResult]:[ActualResult]], "SO")))/ (2*((COUNTIFS(Table1[[GameIsOver]:[GameIsOver]],1,Table1[[AwayTeam]:[AwayTeam]],$A42, Table1[[HomeTeam]:[HomeTeam]], N$36)))+( COUNTIFS(Table1[[GameIsOver]:[GameIsOver]],1,Table1[[AwayTeam]:[AwayTeam]],N$36, Table1[[HomeTeam]:[HomeTeam]],$A42))), "")</f>
        <v/>
      </c>
      <c r="O42" s="50" t="str">
        <f>IFERROR(((2 * (SUMIFS(Table1[[AwayWon]:[AwayWon]], Table1[[GameIsOver]:[GameIsOver]], 1, Table1[[AwayTeam]:[AwayTeam]], $A42, Table1[[HomeTeam]:[HomeTeam]], O$36) + SUMIFS(Table1[[HomeWon]:[HomeWon]], Table1[[GameIsOver]:[GameIsOver]], 1, Table1[[HomeTeam]:[HomeTeam]], $A42, Table1[[AwayTeam]:[AwayTeam]], O$36))) + (SUMIFS(Table1[[HomeWon]:[HomeWon]], Table1[[GameIsOver]:[GameIsOver]], 1, Table1[[AwayTeam]:[AwayTeam]], $A42, Table1[[HomeTeam]:[HomeTeam]],  O$36, Table1[[ActualResult]:[ActualResult]], "OT") + SUMIFS(Table1[[AwayWon]:[AwayWon]], Table1[[GameIsOver]:[GameIsOver]], 1, Table1[[HomeTeam]:[HomeTeam]], $A42, Table1[[AwayTeam]:[AwayTeam]], O$36, Table1[[ActualResult]:[ActualResult]], "OT") + SUMIFS(Table1[[HomeWon]:[HomeWon]], Table1[[GameIsOver]:[GameIsOver]], 1, Table1[[AwayTeam]:[AwayTeam]], $A42, Table1[[HomeTeam]:[HomeTeam]], O$36, Table1[[ActualResult]:[ActualResult]], "SO") + SUMIFS(Table1[[AwayWon]:[AwayWon]], Table1[[GameIsOver]:[GameIsOver]], 1, Table1[[HomeTeam]:[HomeTeam]], $A42, Table1[[AwayTeam]:[AwayTeam]], O$36, Table1[[ActualResult]:[ActualResult]], "SO")))/ (2*((COUNTIFS(Table1[[GameIsOver]:[GameIsOver]],1,Table1[[AwayTeam]:[AwayTeam]],$A42, Table1[[HomeTeam]:[HomeTeam]], O$36)))+( COUNTIFS(Table1[[GameIsOver]:[GameIsOver]],1,Table1[[AwayTeam]:[AwayTeam]],O$36, Table1[[HomeTeam]:[HomeTeam]],$A42))), "")</f>
        <v/>
      </c>
      <c r="P42" s="50" t="str">
        <f>IFERROR(((2 * (SUMIFS(Table1[[AwayWon]:[AwayWon]], Table1[[GameIsOver]:[GameIsOver]], 1, Table1[[AwayTeam]:[AwayTeam]], $A42, Table1[[HomeTeam]:[HomeTeam]], P$36) + SUMIFS(Table1[[HomeWon]:[HomeWon]], Table1[[GameIsOver]:[GameIsOver]], 1, Table1[[HomeTeam]:[HomeTeam]], $A42, Table1[[AwayTeam]:[AwayTeam]], P$36))) + (SUMIFS(Table1[[HomeWon]:[HomeWon]], Table1[[GameIsOver]:[GameIsOver]], 1, Table1[[AwayTeam]:[AwayTeam]], $A42, Table1[[HomeTeam]:[HomeTeam]],  P$36, Table1[[ActualResult]:[ActualResult]], "OT") + SUMIFS(Table1[[AwayWon]:[AwayWon]], Table1[[GameIsOver]:[GameIsOver]], 1, Table1[[HomeTeam]:[HomeTeam]], $A42, Table1[[AwayTeam]:[AwayTeam]], P$36, Table1[[ActualResult]:[ActualResult]], "OT") + SUMIFS(Table1[[HomeWon]:[HomeWon]], Table1[[GameIsOver]:[GameIsOver]], 1, Table1[[AwayTeam]:[AwayTeam]], $A42, Table1[[HomeTeam]:[HomeTeam]], P$36, Table1[[ActualResult]:[ActualResult]], "SO") + SUMIFS(Table1[[AwayWon]:[AwayWon]], Table1[[GameIsOver]:[GameIsOver]], 1, Table1[[HomeTeam]:[HomeTeam]], $A42, Table1[[AwayTeam]:[AwayTeam]], P$36, Table1[[ActualResult]:[ActualResult]], "SO")))/ (2*((COUNTIFS(Table1[[GameIsOver]:[GameIsOver]],1,Table1[[AwayTeam]:[AwayTeam]],$A42, Table1[[HomeTeam]:[HomeTeam]], P$36)))+( COUNTIFS(Table1[[GameIsOver]:[GameIsOver]],1,Table1[[AwayTeam]:[AwayTeam]],P$36, Table1[[HomeTeam]:[HomeTeam]],$A42))), "")</f>
        <v/>
      </c>
      <c r="Q42" s="52" t="str">
        <f>IFERROR(((2 * (SUMIFS(Table1[[AwayWon]:[AwayWon]], Table1[[GameIsOver]:[GameIsOver]], 1, Table1[[AwayTeam]:[AwayTeam]], $A42, Table1[[HomeTeam]:[HomeTeam]], Q$36) + SUMIFS(Table1[[HomeWon]:[HomeWon]], Table1[[GameIsOver]:[GameIsOver]], 1, Table1[[HomeTeam]:[HomeTeam]], $A42, Table1[[AwayTeam]:[AwayTeam]], Q$36))) + (SUMIFS(Table1[[HomeWon]:[HomeWon]], Table1[[GameIsOver]:[GameIsOver]], 1, Table1[[AwayTeam]:[AwayTeam]], $A42, Table1[[HomeTeam]:[HomeTeam]],  Q$36, Table1[[ActualResult]:[ActualResult]], "OT") + SUMIFS(Table1[[AwayWon]:[AwayWon]], Table1[[GameIsOver]:[GameIsOver]], 1, Table1[[HomeTeam]:[HomeTeam]], $A42, Table1[[AwayTeam]:[AwayTeam]], Q$36, Table1[[ActualResult]:[ActualResult]], "OT") + SUMIFS(Table1[[HomeWon]:[HomeWon]], Table1[[GameIsOver]:[GameIsOver]], 1, Table1[[AwayTeam]:[AwayTeam]], $A42, Table1[[HomeTeam]:[HomeTeam]], Q$36, Table1[[ActualResult]:[ActualResult]], "SO") + SUMIFS(Table1[[AwayWon]:[AwayWon]], Table1[[GameIsOver]:[GameIsOver]], 1, Table1[[HomeTeam]:[HomeTeam]], $A42, Table1[[AwayTeam]:[AwayTeam]], Q$36, Table1[[ActualResult]:[ActualResult]], "SO")))/ (2*((COUNTIFS(Table1[[GameIsOver]:[GameIsOver]],1,Table1[[AwayTeam]:[AwayTeam]],$A42, Table1[[HomeTeam]:[HomeTeam]], Q$36)))+( COUNTIFS(Table1[[GameIsOver]:[GameIsOver]],1,Table1[[AwayTeam]:[AwayTeam]],Q$36, Table1[[HomeTeam]:[HomeTeam]],$A42))), "")</f>
        <v/>
      </c>
      <c r="R42" s="50" t="str">
        <f>IFERROR(((2 * (SUMIFS(Table1[[AwayWon]:[AwayWon]], Table1[[GameIsOver]:[GameIsOver]], 1, Table1[[AwayTeam]:[AwayTeam]], $A42, Table1[[HomeTeam]:[HomeTeam]], R$36) + SUMIFS(Table1[[HomeWon]:[HomeWon]], Table1[[GameIsOver]:[GameIsOver]], 1, Table1[[HomeTeam]:[HomeTeam]], $A42, Table1[[AwayTeam]:[AwayTeam]], R$36))) + (SUMIFS(Table1[[HomeWon]:[HomeWon]], Table1[[GameIsOver]:[GameIsOver]], 1, Table1[[AwayTeam]:[AwayTeam]], $A42, Table1[[HomeTeam]:[HomeTeam]],  R$36, Table1[[ActualResult]:[ActualResult]], "OT") + SUMIFS(Table1[[AwayWon]:[AwayWon]], Table1[[GameIsOver]:[GameIsOver]], 1, Table1[[HomeTeam]:[HomeTeam]], $A42, Table1[[AwayTeam]:[AwayTeam]], R$36, Table1[[ActualResult]:[ActualResult]], "OT") + SUMIFS(Table1[[HomeWon]:[HomeWon]], Table1[[GameIsOver]:[GameIsOver]], 1, Table1[[AwayTeam]:[AwayTeam]], $A42, Table1[[HomeTeam]:[HomeTeam]], R$36, Table1[[ActualResult]:[ActualResult]], "SO") + SUMIFS(Table1[[AwayWon]:[AwayWon]], Table1[[GameIsOver]:[GameIsOver]], 1, Table1[[HomeTeam]:[HomeTeam]], $A42, Table1[[AwayTeam]:[AwayTeam]], R$36, Table1[[ActualResult]:[ActualResult]], "SO")))/ (2*((COUNTIFS(Table1[[GameIsOver]:[GameIsOver]],1,Table1[[AwayTeam]:[AwayTeam]],$A42, Table1[[HomeTeam]:[HomeTeam]], R$36)))+( COUNTIFS(Table1[[GameIsOver]:[GameIsOver]],1,Table1[[AwayTeam]:[AwayTeam]],R$36, Table1[[HomeTeam]:[HomeTeam]],$A42))), "")</f>
        <v/>
      </c>
      <c r="S42" s="50" t="str">
        <f>IFERROR(((2 * (SUMIFS(Table1[[AwayWon]:[AwayWon]], Table1[[GameIsOver]:[GameIsOver]], 1, Table1[[AwayTeam]:[AwayTeam]], $A42, Table1[[HomeTeam]:[HomeTeam]], S$36) + SUMIFS(Table1[[HomeWon]:[HomeWon]], Table1[[GameIsOver]:[GameIsOver]], 1, Table1[[HomeTeam]:[HomeTeam]], $A42, Table1[[AwayTeam]:[AwayTeam]], S$36))) + (SUMIFS(Table1[[HomeWon]:[HomeWon]], Table1[[GameIsOver]:[GameIsOver]], 1, Table1[[AwayTeam]:[AwayTeam]], $A42, Table1[[HomeTeam]:[HomeTeam]],  S$36, Table1[[ActualResult]:[ActualResult]], "OT") + SUMIFS(Table1[[AwayWon]:[AwayWon]], Table1[[GameIsOver]:[GameIsOver]], 1, Table1[[HomeTeam]:[HomeTeam]], $A42, Table1[[AwayTeam]:[AwayTeam]], S$36, Table1[[ActualResult]:[ActualResult]], "OT") + SUMIFS(Table1[[HomeWon]:[HomeWon]], Table1[[GameIsOver]:[GameIsOver]], 1, Table1[[AwayTeam]:[AwayTeam]], $A42, Table1[[HomeTeam]:[HomeTeam]], S$36, Table1[[ActualResult]:[ActualResult]], "SO") + SUMIFS(Table1[[AwayWon]:[AwayWon]], Table1[[GameIsOver]:[GameIsOver]], 1, Table1[[HomeTeam]:[HomeTeam]], $A42, Table1[[AwayTeam]:[AwayTeam]], S$36, Table1[[ActualResult]:[ActualResult]], "SO")))/ (2*((COUNTIFS(Table1[[GameIsOver]:[GameIsOver]],1,Table1[[AwayTeam]:[AwayTeam]],$A42, Table1[[HomeTeam]:[HomeTeam]], S$36)))+( COUNTIFS(Table1[[GameIsOver]:[GameIsOver]],1,Table1[[AwayTeam]:[AwayTeam]],S$36, Table1[[HomeTeam]:[HomeTeam]],$A42))), "")</f>
        <v/>
      </c>
      <c r="T42" s="50">
        <f>IFERROR(((2 * (SUMIFS(Table1[[AwayWon]:[AwayWon]], Table1[[GameIsOver]:[GameIsOver]], 1, Table1[[AwayTeam]:[AwayTeam]], $A42, Table1[[HomeTeam]:[HomeTeam]], T$36) + SUMIFS(Table1[[HomeWon]:[HomeWon]], Table1[[GameIsOver]:[GameIsOver]], 1, Table1[[HomeTeam]:[HomeTeam]], $A42, Table1[[AwayTeam]:[AwayTeam]], T$36))) + (SUMIFS(Table1[[HomeWon]:[HomeWon]], Table1[[GameIsOver]:[GameIsOver]], 1, Table1[[AwayTeam]:[AwayTeam]], $A42, Table1[[HomeTeam]:[HomeTeam]],  T$36, Table1[[ActualResult]:[ActualResult]], "OT") + SUMIFS(Table1[[AwayWon]:[AwayWon]], Table1[[GameIsOver]:[GameIsOver]], 1, Table1[[HomeTeam]:[HomeTeam]], $A42, Table1[[AwayTeam]:[AwayTeam]], T$36, Table1[[ActualResult]:[ActualResult]], "OT") + SUMIFS(Table1[[HomeWon]:[HomeWon]], Table1[[GameIsOver]:[GameIsOver]], 1, Table1[[AwayTeam]:[AwayTeam]], $A42, Table1[[HomeTeam]:[HomeTeam]], T$36, Table1[[ActualResult]:[ActualResult]], "SO") + SUMIFS(Table1[[AwayWon]:[AwayWon]], Table1[[GameIsOver]:[GameIsOver]], 1, Table1[[HomeTeam]:[HomeTeam]], $A42, Table1[[AwayTeam]:[AwayTeam]], T$36, Table1[[ActualResult]:[ActualResult]], "SO")))/ (2*((COUNTIFS(Table1[[GameIsOver]:[GameIsOver]],1,Table1[[AwayTeam]:[AwayTeam]],$A42, Table1[[HomeTeam]:[HomeTeam]], T$36)))+( COUNTIFS(Table1[[GameIsOver]:[GameIsOver]],1,Table1[[AwayTeam]:[AwayTeam]],T$36, Table1[[HomeTeam]:[HomeTeam]],$A42))), "")</f>
        <v>1</v>
      </c>
      <c r="U42" s="50" t="str">
        <f>IFERROR(((2 * (SUMIFS(Table1[[AwayWon]:[AwayWon]], Table1[[GameIsOver]:[GameIsOver]], 1, Table1[[AwayTeam]:[AwayTeam]], $A42, Table1[[HomeTeam]:[HomeTeam]], U$36) + SUMIFS(Table1[[HomeWon]:[HomeWon]], Table1[[GameIsOver]:[GameIsOver]], 1, Table1[[HomeTeam]:[HomeTeam]], $A42, Table1[[AwayTeam]:[AwayTeam]], U$36))) + (SUMIFS(Table1[[HomeWon]:[HomeWon]], Table1[[GameIsOver]:[GameIsOver]], 1, Table1[[AwayTeam]:[AwayTeam]], $A42, Table1[[HomeTeam]:[HomeTeam]],  U$36, Table1[[ActualResult]:[ActualResult]], "OT") + SUMIFS(Table1[[AwayWon]:[AwayWon]], Table1[[GameIsOver]:[GameIsOver]], 1, Table1[[HomeTeam]:[HomeTeam]], $A42, Table1[[AwayTeam]:[AwayTeam]], U$36, Table1[[ActualResult]:[ActualResult]], "OT") + SUMIFS(Table1[[HomeWon]:[HomeWon]], Table1[[GameIsOver]:[GameIsOver]], 1, Table1[[AwayTeam]:[AwayTeam]], $A42, Table1[[HomeTeam]:[HomeTeam]], U$36, Table1[[ActualResult]:[ActualResult]], "SO") + SUMIFS(Table1[[AwayWon]:[AwayWon]], Table1[[GameIsOver]:[GameIsOver]], 1, Table1[[HomeTeam]:[HomeTeam]], $A42, Table1[[AwayTeam]:[AwayTeam]], U$36, Table1[[ActualResult]:[ActualResult]], "SO")))/ (2*((COUNTIFS(Table1[[GameIsOver]:[GameIsOver]],1,Table1[[AwayTeam]:[AwayTeam]],$A42, Table1[[HomeTeam]:[HomeTeam]], U$36)))+( COUNTIFS(Table1[[GameIsOver]:[GameIsOver]],1,Table1[[AwayTeam]:[AwayTeam]],U$36, Table1[[HomeTeam]:[HomeTeam]],$A42))), "")</f>
        <v/>
      </c>
      <c r="V42" s="50" t="str">
        <f>IFERROR(((2 * (SUMIFS(Table1[[AwayWon]:[AwayWon]], Table1[[GameIsOver]:[GameIsOver]], 1, Table1[[AwayTeam]:[AwayTeam]], $A42, Table1[[HomeTeam]:[HomeTeam]], V$36) + SUMIFS(Table1[[HomeWon]:[HomeWon]], Table1[[GameIsOver]:[GameIsOver]], 1, Table1[[HomeTeam]:[HomeTeam]], $A42, Table1[[AwayTeam]:[AwayTeam]], V$36))) + (SUMIFS(Table1[[HomeWon]:[HomeWon]], Table1[[GameIsOver]:[GameIsOver]], 1, Table1[[AwayTeam]:[AwayTeam]], $A42, Table1[[HomeTeam]:[HomeTeam]],  V$36, Table1[[ActualResult]:[ActualResult]], "OT") + SUMIFS(Table1[[AwayWon]:[AwayWon]], Table1[[GameIsOver]:[GameIsOver]], 1, Table1[[HomeTeam]:[HomeTeam]], $A42, Table1[[AwayTeam]:[AwayTeam]], V$36, Table1[[ActualResult]:[ActualResult]], "OT") + SUMIFS(Table1[[HomeWon]:[HomeWon]], Table1[[GameIsOver]:[GameIsOver]], 1, Table1[[AwayTeam]:[AwayTeam]], $A42, Table1[[HomeTeam]:[HomeTeam]], V$36, Table1[[ActualResult]:[ActualResult]], "SO") + SUMIFS(Table1[[AwayWon]:[AwayWon]], Table1[[GameIsOver]:[GameIsOver]], 1, Table1[[HomeTeam]:[HomeTeam]], $A42, Table1[[AwayTeam]:[AwayTeam]], V$36, Table1[[ActualResult]:[ActualResult]], "SO")))/ (2*((COUNTIFS(Table1[[GameIsOver]:[GameIsOver]],1,Table1[[AwayTeam]:[AwayTeam]],$A42, Table1[[HomeTeam]:[HomeTeam]], V$36)))+( COUNTIFS(Table1[[GameIsOver]:[GameIsOver]],1,Table1[[AwayTeam]:[AwayTeam]],V$36, Table1[[HomeTeam]:[HomeTeam]],$A42))), "")</f>
        <v/>
      </c>
      <c r="W42" s="50" t="str">
        <f>IFERROR(((2 * (SUMIFS(Table1[[AwayWon]:[AwayWon]], Table1[[GameIsOver]:[GameIsOver]], 1, Table1[[AwayTeam]:[AwayTeam]], $A42, Table1[[HomeTeam]:[HomeTeam]], W$36) + SUMIFS(Table1[[HomeWon]:[HomeWon]], Table1[[GameIsOver]:[GameIsOver]], 1, Table1[[HomeTeam]:[HomeTeam]], $A42, Table1[[AwayTeam]:[AwayTeam]], W$36))) + (SUMIFS(Table1[[HomeWon]:[HomeWon]], Table1[[GameIsOver]:[GameIsOver]], 1, Table1[[AwayTeam]:[AwayTeam]], $A42, Table1[[HomeTeam]:[HomeTeam]],  W$36, Table1[[ActualResult]:[ActualResult]], "OT") + SUMIFS(Table1[[AwayWon]:[AwayWon]], Table1[[GameIsOver]:[GameIsOver]], 1, Table1[[HomeTeam]:[HomeTeam]], $A42, Table1[[AwayTeam]:[AwayTeam]], W$36, Table1[[ActualResult]:[ActualResult]], "OT") + SUMIFS(Table1[[HomeWon]:[HomeWon]], Table1[[GameIsOver]:[GameIsOver]], 1, Table1[[AwayTeam]:[AwayTeam]], $A42, Table1[[HomeTeam]:[HomeTeam]], W$36, Table1[[ActualResult]:[ActualResult]], "SO") + SUMIFS(Table1[[AwayWon]:[AwayWon]], Table1[[GameIsOver]:[GameIsOver]], 1, Table1[[HomeTeam]:[HomeTeam]], $A42, Table1[[AwayTeam]:[AwayTeam]], W$36, Table1[[ActualResult]:[ActualResult]], "SO")))/ (2*((COUNTIFS(Table1[[GameIsOver]:[GameIsOver]],1,Table1[[AwayTeam]:[AwayTeam]],$A42, Table1[[HomeTeam]:[HomeTeam]], W$36)))+( COUNTIFS(Table1[[GameIsOver]:[GameIsOver]],1,Table1[[AwayTeam]:[AwayTeam]],W$36, Table1[[HomeTeam]:[HomeTeam]],$A42))), "")</f>
        <v/>
      </c>
      <c r="X42" s="50" t="str">
        <f>IFERROR(((2 * (SUMIFS(Table1[[AwayWon]:[AwayWon]], Table1[[GameIsOver]:[GameIsOver]], 1, Table1[[AwayTeam]:[AwayTeam]], $A42, Table1[[HomeTeam]:[HomeTeam]], X$36) + SUMIFS(Table1[[HomeWon]:[HomeWon]], Table1[[GameIsOver]:[GameIsOver]], 1, Table1[[HomeTeam]:[HomeTeam]], $A42, Table1[[AwayTeam]:[AwayTeam]], X$36))) + (SUMIFS(Table1[[HomeWon]:[HomeWon]], Table1[[GameIsOver]:[GameIsOver]], 1, Table1[[AwayTeam]:[AwayTeam]], $A42, Table1[[HomeTeam]:[HomeTeam]],  X$36, Table1[[ActualResult]:[ActualResult]], "OT") + SUMIFS(Table1[[AwayWon]:[AwayWon]], Table1[[GameIsOver]:[GameIsOver]], 1, Table1[[HomeTeam]:[HomeTeam]], $A42, Table1[[AwayTeam]:[AwayTeam]], X$36, Table1[[ActualResult]:[ActualResult]], "OT") + SUMIFS(Table1[[HomeWon]:[HomeWon]], Table1[[GameIsOver]:[GameIsOver]], 1, Table1[[AwayTeam]:[AwayTeam]], $A42, Table1[[HomeTeam]:[HomeTeam]], X$36, Table1[[ActualResult]:[ActualResult]], "SO") + SUMIFS(Table1[[AwayWon]:[AwayWon]], Table1[[GameIsOver]:[GameIsOver]], 1, Table1[[HomeTeam]:[HomeTeam]], $A42, Table1[[AwayTeam]:[AwayTeam]], X$36, Table1[[ActualResult]:[ActualResult]], "SO")))/ (2*((COUNTIFS(Table1[[GameIsOver]:[GameIsOver]],1,Table1[[AwayTeam]:[AwayTeam]],$A42, Table1[[HomeTeam]:[HomeTeam]], X$36)))+( COUNTIFS(Table1[[GameIsOver]:[GameIsOver]],1,Table1[[AwayTeam]:[AwayTeam]],X$36, Table1[[HomeTeam]:[HomeTeam]],$A42))), "")</f>
        <v/>
      </c>
      <c r="Y42" s="52" t="str">
        <f>IFERROR(((2 * (SUMIFS(Table1[[AwayWon]:[AwayWon]], Table1[[GameIsOver]:[GameIsOver]], 1, Table1[[AwayTeam]:[AwayTeam]], $A42, Table1[[HomeTeam]:[HomeTeam]], Y$36) + SUMIFS(Table1[[HomeWon]:[HomeWon]], Table1[[GameIsOver]:[GameIsOver]], 1, Table1[[HomeTeam]:[HomeTeam]], $A42, Table1[[AwayTeam]:[AwayTeam]], Y$36))) + (SUMIFS(Table1[[HomeWon]:[HomeWon]], Table1[[GameIsOver]:[GameIsOver]], 1, Table1[[AwayTeam]:[AwayTeam]], $A42, Table1[[HomeTeam]:[HomeTeam]],  Y$36, Table1[[ActualResult]:[ActualResult]], "OT") + SUMIFS(Table1[[AwayWon]:[AwayWon]], Table1[[GameIsOver]:[GameIsOver]], 1, Table1[[HomeTeam]:[HomeTeam]], $A42, Table1[[AwayTeam]:[AwayTeam]], Y$36, Table1[[ActualResult]:[ActualResult]], "OT") + SUMIFS(Table1[[HomeWon]:[HomeWon]], Table1[[GameIsOver]:[GameIsOver]], 1, Table1[[AwayTeam]:[AwayTeam]], $A42, Table1[[HomeTeam]:[HomeTeam]], Y$36, Table1[[ActualResult]:[ActualResult]], "SO") + SUMIFS(Table1[[AwayWon]:[AwayWon]], Table1[[GameIsOver]:[GameIsOver]], 1, Table1[[HomeTeam]:[HomeTeam]], $A42, Table1[[AwayTeam]:[AwayTeam]], Y$36, Table1[[ActualResult]:[ActualResult]], "SO")))/ (2*((COUNTIFS(Table1[[GameIsOver]:[GameIsOver]],1,Table1[[AwayTeam]:[AwayTeam]],$A42, Table1[[HomeTeam]:[HomeTeam]], Y$36)))+( COUNTIFS(Table1[[GameIsOver]:[GameIsOver]],1,Table1[[AwayTeam]:[AwayTeam]],Y$36, Table1[[HomeTeam]:[HomeTeam]],$A42))), "")</f>
        <v/>
      </c>
      <c r="Z42" s="50" t="str">
        <f>IFERROR(((2 * (SUMIFS(Table1[[AwayWon]:[AwayWon]], Table1[[GameIsOver]:[GameIsOver]], 1, Table1[[AwayTeam]:[AwayTeam]], $A42, Table1[[HomeTeam]:[HomeTeam]], Z$36) + SUMIFS(Table1[[HomeWon]:[HomeWon]], Table1[[GameIsOver]:[GameIsOver]], 1, Table1[[HomeTeam]:[HomeTeam]], $A42, Table1[[AwayTeam]:[AwayTeam]], Z$36))) + (SUMIFS(Table1[[HomeWon]:[HomeWon]], Table1[[GameIsOver]:[GameIsOver]], 1, Table1[[AwayTeam]:[AwayTeam]], $A42, Table1[[HomeTeam]:[HomeTeam]],  Z$36, Table1[[ActualResult]:[ActualResult]], "OT") + SUMIFS(Table1[[AwayWon]:[AwayWon]], Table1[[GameIsOver]:[GameIsOver]], 1, Table1[[HomeTeam]:[HomeTeam]], $A42, Table1[[AwayTeam]:[AwayTeam]], Z$36, Table1[[ActualResult]:[ActualResult]], "OT") + SUMIFS(Table1[[HomeWon]:[HomeWon]], Table1[[GameIsOver]:[GameIsOver]], 1, Table1[[AwayTeam]:[AwayTeam]], $A42, Table1[[HomeTeam]:[HomeTeam]], Z$36, Table1[[ActualResult]:[ActualResult]], "SO") + SUMIFS(Table1[[AwayWon]:[AwayWon]], Table1[[GameIsOver]:[GameIsOver]], 1, Table1[[HomeTeam]:[HomeTeam]], $A42, Table1[[AwayTeam]:[AwayTeam]], Z$36, Table1[[ActualResult]:[ActualResult]], "SO")))/ (2*((COUNTIFS(Table1[[GameIsOver]:[GameIsOver]],1,Table1[[AwayTeam]:[AwayTeam]],$A42, Table1[[HomeTeam]:[HomeTeam]], Z$36)))+( COUNTIFS(Table1[[GameIsOver]:[GameIsOver]],1,Table1[[AwayTeam]:[AwayTeam]],Z$36, Table1[[HomeTeam]:[HomeTeam]],$A42))), "")</f>
        <v/>
      </c>
      <c r="AA42" s="50" t="str">
        <f>IFERROR(((2 * (SUMIFS(Table1[[AwayWon]:[AwayWon]], Table1[[GameIsOver]:[GameIsOver]], 1, Table1[[AwayTeam]:[AwayTeam]], $A42, Table1[[HomeTeam]:[HomeTeam]], AA$36) + SUMIFS(Table1[[HomeWon]:[HomeWon]], Table1[[GameIsOver]:[GameIsOver]], 1, Table1[[HomeTeam]:[HomeTeam]], $A42, Table1[[AwayTeam]:[AwayTeam]], AA$36))) + (SUMIFS(Table1[[HomeWon]:[HomeWon]], Table1[[GameIsOver]:[GameIsOver]], 1, Table1[[AwayTeam]:[AwayTeam]], $A42, Table1[[HomeTeam]:[HomeTeam]],  AA$36, Table1[[ActualResult]:[ActualResult]], "OT") + SUMIFS(Table1[[AwayWon]:[AwayWon]], Table1[[GameIsOver]:[GameIsOver]], 1, Table1[[HomeTeam]:[HomeTeam]], $A42, Table1[[AwayTeam]:[AwayTeam]], AA$36, Table1[[ActualResult]:[ActualResult]], "OT") + SUMIFS(Table1[[HomeWon]:[HomeWon]], Table1[[GameIsOver]:[GameIsOver]], 1, Table1[[AwayTeam]:[AwayTeam]], $A42, Table1[[HomeTeam]:[HomeTeam]], AA$36, Table1[[ActualResult]:[ActualResult]], "SO") + SUMIFS(Table1[[AwayWon]:[AwayWon]], Table1[[GameIsOver]:[GameIsOver]], 1, Table1[[HomeTeam]:[HomeTeam]], $A42, Table1[[AwayTeam]:[AwayTeam]], AA$36, Table1[[ActualResult]:[ActualResult]], "SO")))/ (2*((COUNTIFS(Table1[[GameIsOver]:[GameIsOver]],1,Table1[[AwayTeam]:[AwayTeam]],$A42, Table1[[HomeTeam]:[HomeTeam]], AA$36)))+( COUNTIFS(Table1[[GameIsOver]:[GameIsOver]],1,Table1[[AwayTeam]:[AwayTeam]],AA$36, Table1[[HomeTeam]:[HomeTeam]],$A42))), "")</f>
        <v/>
      </c>
      <c r="AB42" s="50" t="str">
        <f>IFERROR(((2 * (SUMIFS(Table1[[AwayWon]:[AwayWon]], Table1[[GameIsOver]:[GameIsOver]], 1, Table1[[AwayTeam]:[AwayTeam]], $A42, Table1[[HomeTeam]:[HomeTeam]], AB$36) + SUMIFS(Table1[[HomeWon]:[HomeWon]], Table1[[GameIsOver]:[GameIsOver]], 1, Table1[[HomeTeam]:[HomeTeam]], $A42, Table1[[AwayTeam]:[AwayTeam]], AB$36))) + (SUMIFS(Table1[[HomeWon]:[HomeWon]], Table1[[GameIsOver]:[GameIsOver]], 1, Table1[[AwayTeam]:[AwayTeam]], $A42, Table1[[HomeTeam]:[HomeTeam]],  AB$36, Table1[[ActualResult]:[ActualResult]], "OT") + SUMIFS(Table1[[AwayWon]:[AwayWon]], Table1[[GameIsOver]:[GameIsOver]], 1, Table1[[HomeTeam]:[HomeTeam]], $A42, Table1[[AwayTeam]:[AwayTeam]], AB$36, Table1[[ActualResult]:[ActualResult]], "OT") + SUMIFS(Table1[[HomeWon]:[HomeWon]], Table1[[GameIsOver]:[GameIsOver]], 1, Table1[[AwayTeam]:[AwayTeam]], $A42, Table1[[HomeTeam]:[HomeTeam]], AB$36, Table1[[ActualResult]:[ActualResult]], "SO") + SUMIFS(Table1[[AwayWon]:[AwayWon]], Table1[[GameIsOver]:[GameIsOver]], 1, Table1[[HomeTeam]:[HomeTeam]], $A42, Table1[[AwayTeam]:[AwayTeam]], AB$36, Table1[[ActualResult]:[ActualResult]], "SO")))/ (2*((COUNTIFS(Table1[[GameIsOver]:[GameIsOver]],1,Table1[[AwayTeam]:[AwayTeam]],$A42, Table1[[HomeTeam]:[HomeTeam]], AB$36)))+( COUNTIFS(Table1[[GameIsOver]:[GameIsOver]],1,Table1[[AwayTeam]:[AwayTeam]],AB$36, Table1[[HomeTeam]:[HomeTeam]],$A42))), "")</f>
        <v/>
      </c>
      <c r="AC42" s="50" t="str">
        <f>IFERROR(((2 * (SUMIFS(Table1[[AwayWon]:[AwayWon]], Table1[[GameIsOver]:[GameIsOver]], 1, Table1[[AwayTeam]:[AwayTeam]], $A42, Table1[[HomeTeam]:[HomeTeam]], AC$36) + SUMIFS(Table1[[HomeWon]:[HomeWon]], Table1[[GameIsOver]:[GameIsOver]], 1, Table1[[HomeTeam]:[HomeTeam]], $A42, Table1[[AwayTeam]:[AwayTeam]], AC$36))) + (SUMIFS(Table1[[HomeWon]:[HomeWon]], Table1[[GameIsOver]:[GameIsOver]], 1, Table1[[AwayTeam]:[AwayTeam]], $A42, Table1[[HomeTeam]:[HomeTeam]],  AC$36, Table1[[ActualResult]:[ActualResult]], "OT") + SUMIFS(Table1[[AwayWon]:[AwayWon]], Table1[[GameIsOver]:[GameIsOver]], 1, Table1[[HomeTeam]:[HomeTeam]], $A42, Table1[[AwayTeam]:[AwayTeam]], AC$36, Table1[[ActualResult]:[ActualResult]], "OT") + SUMIFS(Table1[[HomeWon]:[HomeWon]], Table1[[GameIsOver]:[GameIsOver]], 1, Table1[[AwayTeam]:[AwayTeam]], $A42, Table1[[HomeTeam]:[HomeTeam]], AC$36, Table1[[ActualResult]:[ActualResult]], "SO") + SUMIFS(Table1[[AwayWon]:[AwayWon]], Table1[[GameIsOver]:[GameIsOver]], 1, Table1[[HomeTeam]:[HomeTeam]], $A42, Table1[[AwayTeam]:[AwayTeam]], AC$36, Table1[[ActualResult]:[ActualResult]], "SO")))/ (2*((COUNTIFS(Table1[[GameIsOver]:[GameIsOver]],1,Table1[[AwayTeam]:[AwayTeam]],$A42, Table1[[HomeTeam]:[HomeTeam]], AC$36)))+( COUNTIFS(Table1[[GameIsOver]:[GameIsOver]],1,Table1[[AwayTeam]:[AwayTeam]],AC$36, Table1[[HomeTeam]:[HomeTeam]],$A42))), "")</f>
        <v/>
      </c>
      <c r="AD42" s="50" t="str">
        <f>IFERROR(((2 * (SUMIFS(Table1[[AwayWon]:[AwayWon]], Table1[[GameIsOver]:[GameIsOver]], 1, Table1[[AwayTeam]:[AwayTeam]], $A42, Table1[[HomeTeam]:[HomeTeam]], AD$36) + SUMIFS(Table1[[HomeWon]:[HomeWon]], Table1[[GameIsOver]:[GameIsOver]], 1, Table1[[HomeTeam]:[HomeTeam]], $A42, Table1[[AwayTeam]:[AwayTeam]], AD$36))) + (SUMIFS(Table1[[HomeWon]:[HomeWon]], Table1[[GameIsOver]:[GameIsOver]], 1, Table1[[AwayTeam]:[AwayTeam]], $A42, Table1[[HomeTeam]:[HomeTeam]],  AD$36, Table1[[ActualResult]:[ActualResult]], "OT") + SUMIFS(Table1[[AwayWon]:[AwayWon]], Table1[[GameIsOver]:[GameIsOver]], 1, Table1[[HomeTeam]:[HomeTeam]], $A42, Table1[[AwayTeam]:[AwayTeam]], AD$36, Table1[[ActualResult]:[ActualResult]], "OT") + SUMIFS(Table1[[HomeWon]:[HomeWon]], Table1[[GameIsOver]:[GameIsOver]], 1, Table1[[AwayTeam]:[AwayTeam]], $A42, Table1[[HomeTeam]:[HomeTeam]], AD$36, Table1[[ActualResult]:[ActualResult]], "SO") + SUMIFS(Table1[[AwayWon]:[AwayWon]], Table1[[GameIsOver]:[GameIsOver]], 1, Table1[[HomeTeam]:[HomeTeam]], $A42, Table1[[AwayTeam]:[AwayTeam]], AD$36, Table1[[ActualResult]:[ActualResult]], "SO")))/ (2*((COUNTIFS(Table1[[GameIsOver]:[GameIsOver]],1,Table1[[AwayTeam]:[AwayTeam]],$A42, Table1[[HomeTeam]:[HomeTeam]], AD$36)))+( COUNTIFS(Table1[[GameIsOver]:[GameIsOver]],1,Table1[[AwayTeam]:[AwayTeam]],AD$36, Table1[[HomeTeam]:[HomeTeam]],$A42))), "")</f>
        <v/>
      </c>
      <c r="AE42" s="50" t="str">
        <f>IFERROR(((2 * (SUMIFS(Table1[[AwayWon]:[AwayWon]], Table1[[GameIsOver]:[GameIsOver]], 1, Table1[[AwayTeam]:[AwayTeam]], $A42, Table1[[HomeTeam]:[HomeTeam]], AE$36) + SUMIFS(Table1[[HomeWon]:[HomeWon]], Table1[[GameIsOver]:[GameIsOver]], 1, Table1[[HomeTeam]:[HomeTeam]], $A42, Table1[[AwayTeam]:[AwayTeam]], AE$36))) + (SUMIFS(Table1[[HomeWon]:[HomeWon]], Table1[[GameIsOver]:[GameIsOver]], 1, Table1[[AwayTeam]:[AwayTeam]], $A42, Table1[[HomeTeam]:[HomeTeam]],  AE$36, Table1[[ActualResult]:[ActualResult]], "OT") + SUMIFS(Table1[[AwayWon]:[AwayWon]], Table1[[GameIsOver]:[GameIsOver]], 1, Table1[[HomeTeam]:[HomeTeam]], $A42, Table1[[AwayTeam]:[AwayTeam]], AE$36, Table1[[ActualResult]:[ActualResult]], "OT") + SUMIFS(Table1[[HomeWon]:[HomeWon]], Table1[[GameIsOver]:[GameIsOver]], 1, Table1[[AwayTeam]:[AwayTeam]], $A42, Table1[[HomeTeam]:[HomeTeam]], AE$36, Table1[[ActualResult]:[ActualResult]], "SO") + SUMIFS(Table1[[AwayWon]:[AwayWon]], Table1[[GameIsOver]:[GameIsOver]], 1, Table1[[HomeTeam]:[HomeTeam]], $A42, Table1[[AwayTeam]:[AwayTeam]], AE$36, Table1[[ActualResult]:[ActualResult]], "SO")))/ (2*((COUNTIFS(Table1[[GameIsOver]:[GameIsOver]],1,Table1[[AwayTeam]:[AwayTeam]],$A42, Table1[[HomeTeam]:[HomeTeam]], AE$36)))+( COUNTIFS(Table1[[GameIsOver]:[GameIsOver]],1,Table1[[AwayTeam]:[AwayTeam]],AE$36, Table1[[HomeTeam]:[HomeTeam]],$A42))), "")</f>
        <v/>
      </c>
      <c r="AF42" s="50" t="str">
        <f>IFERROR(((2 * (SUMIFS(Table1[[AwayWon]:[AwayWon]], Table1[[GameIsOver]:[GameIsOver]], 1, Table1[[AwayTeam]:[AwayTeam]], $A42, Table1[[HomeTeam]:[HomeTeam]], AF$36) + SUMIFS(Table1[[HomeWon]:[HomeWon]], Table1[[GameIsOver]:[GameIsOver]], 1, Table1[[HomeTeam]:[HomeTeam]], $A42, Table1[[AwayTeam]:[AwayTeam]], AF$36))) + (SUMIFS(Table1[[HomeWon]:[HomeWon]], Table1[[GameIsOver]:[GameIsOver]], 1, Table1[[AwayTeam]:[AwayTeam]], $A42, Table1[[HomeTeam]:[HomeTeam]],  AF$36, Table1[[ActualResult]:[ActualResult]], "OT") + SUMIFS(Table1[[AwayWon]:[AwayWon]], Table1[[GameIsOver]:[GameIsOver]], 1, Table1[[HomeTeam]:[HomeTeam]], $A42, Table1[[AwayTeam]:[AwayTeam]], AF$36, Table1[[ActualResult]:[ActualResult]], "OT") + SUMIFS(Table1[[HomeWon]:[HomeWon]], Table1[[GameIsOver]:[GameIsOver]], 1, Table1[[AwayTeam]:[AwayTeam]], $A42, Table1[[HomeTeam]:[HomeTeam]], AF$36, Table1[[ActualResult]:[ActualResult]], "SO") + SUMIFS(Table1[[AwayWon]:[AwayWon]], Table1[[GameIsOver]:[GameIsOver]], 1, Table1[[HomeTeam]:[HomeTeam]], $A42, Table1[[AwayTeam]:[AwayTeam]], AF$36, Table1[[ActualResult]:[ActualResult]], "SO")))/ (2*((COUNTIFS(Table1[[GameIsOver]:[GameIsOver]],1,Table1[[AwayTeam]:[AwayTeam]],$A42, Table1[[HomeTeam]:[HomeTeam]], AF$36)))+( COUNTIFS(Table1[[GameIsOver]:[GameIsOver]],1,Table1[[AwayTeam]:[AwayTeam]],AF$36, Table1[[HomeTeam]:[HomeTeam]],$A42))), "")</f>
        <v/>
      </c>
      <c r="AG42" s="50" t="str">
        <f>IFERROR(((2 * (SUMIFS(Table1[[AwayWon]:[AwayWon]], Table1[[GameIsOver]:[GameIsOver]], 1, Table1[[AwayTeam]:[AwayTeam]], $A42, Table1[[HomeTeam]:[HomeTeam]], AG$36) + SUMIFS(Table1[[HomeWon]:[HomeWon]], Table1[[GameIsOver]:[GameIsOver]], 1, Table1[[HomeTeam]:[HomeTeam]], $A42, Table1[[AwayTeam]:[AwayTeam]], AG$36))) + (SUMIFS(Table1[[HomeWon]:[HomeWon]], Table1[[GameIsOver]:[GameIsOver]], 1, Table1[[AwayTeam]:[AwayTeam]], $A42, Table1[[HomeTeam]:[HomeTeam]],  AG$36, Table1[[ActualResult]:[ActualResult]], "OT") + SUMIFS(Table1[[AwayWon]:[AwayWon]], Table1[[GameIsOver]:[GameIsOver]], 1, Table1[[HomeTeam]:[HomeTeam]], $A42, Table1[[AwayTeam]:[AwayTeam]], AG$36, Table1[[ActualResult]:[ActualResult]], "OT") + SUMIFS(Table1[[HomeWon]:[HomeWon]], Table1[[GameIsOver]:[GameIsOver]], 1, Table1[[AwayTeam]:[AwayTeam]], $A42, Table1[[HomeTeam]:[HomeTeam]], AG$36, Table1[[ActualResult]:[ActualResult]], "SO") + SUMIFS(Table1[[AwayWon]:[AwayWon]], Table1[[GameIsOver]:[GameIsOver]], 1, Table1[[HomeTeam]:[HomeTeam]], $A42, Table1[[AwayTeam]:[AwayTeam]], AG$36, Table1[[ActualResult]:[ActualResult]], "SO")))/ (2*((COUNTIFS(Table1[[GameIsOver]:[GameIsOver]],1,Table1[[AwayTeam]:[AwayTeam]],$A42, Table1[[HomeTeam]:[HomeTeam]], AG$36)))+( COUNTIFS(Table1[[GameIsOver]:[GameIsOver]],1,Table1[[AwayTeam]:[AwayTeam]],AG$36, Table1[[HomeTeam]:[HomeTeam]],$A42))), "")</f>
        <v/>
      </c>
      <c r="AH42" s="51">
        <f t="shared" si="0"/>
        <v>1</v>
      </c>
      <c r="AI42" s="51" t="e">
        <f t="shared" si="1"/>
        <v>#DIV/0!</v>
      </c>
      <c r="AJ42" s="52" t="e">
        <f t="shared" si="2"/>
        <v>#DIV/0!</v>
      </c>
      <c r="AK42" s="52">
        <f t="shared" si="3"/>
        <v>1</v>
      </c>
      <c r="AL42" s="52" t="e">
        <f t="shared" si="4"/>
        <v>#DIV/0!</v>
      </c>
      <c r="AM42" s="52" t="e">
        <f t="shared" si="5"/>
        <v>#DIV/0!</v>
      </c>
    </row>
    <row r="43" spans="1:39" x14ac:dyDescent="0.25">
      <c r="A43" s="28" t="s">
        <v>23</v>
      </c>
      <c r="B43" s="50" t="str">
        <f>IFERROR(((2 * (SUMIFS(Table1[[AwayWon]:[AwayWon]], Table1[[GameIsOver]:[GameIsOver]], 1, Table1[[AwayTeam]:[AwayTeam]], $A43, Table1[[HomeTeam]:[HomeTeam]], B$36) + SUMIFS(Table1[[HomeWon]:[HomeWon]], Table1[[GameIsOver]:[GameIsOver]], 1, Table1[[HomeTeam]:[HomeTeam]], $A43, Table1[[AwayTeam]:[AwayTeam]], B$36))) + (SUMIFS(Table1[[HomeWon]:[HomeWon]], Table1[[GameIsOver]:[GameIsOver]], 1, Table1[[AwayTeam]:[AwayTeam]], $A43, Table1[[HomeTeam]:[HomeTeam]],  B$36, Table1[[ActualResult]:[ActualResult]], "OT") + SUMIFS(Table1[[AwayWon]:[AwayWon]], Table1[[GameIsOver]:[GameIsOver]], 1, Table1[[HomeTeam]:[HomeTeam]], $A43, Table1[[AwayTeam]:[AwayTeam]], B$36, Table1[[ActualResult]:[ActualResult]], "OT") + SUMIFS(Table1[[HomeWon]:[HomeWon]], Table1[[GameIsOver]:[GameIsOver]], 1, Table1[[AwayTeam]:[AwayTeam]], $A43, Table1[[HomeTeam]:[HomeTeam]], B$36, Table1[[ActualResult]:[ActualResult]], "SO") + SUMIFS(Table1[[AwayWon]:[AwayWon]], Table1[[GameIsOver]:[GameIsOver]], 1, Table1[[HomeTeam]:[HomeTeam]], $A43, Table1[[AwayTeam]:[AwayTeam]], B$36, Table1[[ActualResult]:[ActualResult]], "SO")))/ (2*((COUNTIFS(Table1[[GameIsOver]:[GameIsOver]],1,Table1[[AwayTeam]:[AwayTeam]],$A43, Table1[[HomeTeam]:[HomeTeam]], B$36)))+( COUNTIFS(Table1[[GameIsOver]:[GameIsOver]],1,Table1[[AwayTeam]:[AwayTeam]],B$36, Table1[[HomeTeam]:[HomeTeam]],$A43))), "")</f>
        <v/>
      </c>
      <c r="C43" s="50" t="str">
        <f>IFERROR(((2 * (SUMIFS(Table1[[AwayWon]:[AwayWon]], Table1[[GameIsOver]:[GameIsOver]], 1, Table1[[AwayTeam]:[AwayTeam]], $A43, Table1[[HomeTeam]:[HomeTeam]], C$36) + SUMIFS(Table1[[HomeWon]:[HomeWon]], Table1[[GameIsOver]:[GameIsOver]], 1, Table1[[HomeTeam]:[HomeTeam]], $A43, Table1[[AwayTeam]:[AwayTeam]], C$36))) + (SUMIFS(Table1[[HomeWon]:[HomeWon]], Table1[[GameIsOver]:[GameIsOver]], 1, Table1[[AwayTeam]:[AwayTeam]], $A43, Table1[[HomeTeam]:[HomeTeam]],  C$36, Table1[[ActualResult]:[ActualResult]], "OT") + SUMIFS(Table1[[AwayWon]:[AwayWon]], Table1[[GameIsOver]:[GameIsOver]], 1, Table1[[HomeTeam]:[HomeTeam]], $A43, Table1[[AwayTeam]:[AwayTeam]], C$36, Table1[[ActualResult]:[ActualResult]], "OT") + SUMIFS(Table1[[HomeWon]:[HomeWon]], Table1[[GameIsOver]:[GameIsOver]], 1, Table1[[AwayTeam]:[AwayTeam]], $A43, Table1[[HomeTeam]:[HomeTeam]], C$36, Table1[[ActualResult]:[ActualResult]], "SO") + SUMIFS(Table1[[AwayWon]:[AwayWon]], Table1[[GameIsOver]:[GameIsOver]], 1, Table1[[HomeTeam]:[HomeTeam]], $A43, Table1[[AwayTeam]:[AwayTeam]], C$36, Table1[[ActualResult]:[ActualResult]], "SO")))/ (2*((COUNTIFS(Table1[[GameIsOver]:[GameIsOver]],1,Table1[[AwayTeam]:[AwayTeam]],$A43, Table1[[HomeTeam]:[HomeTeam]], C$36)))+( COUNTIFS(Table1[[GameIsOver]:[GameIsOver]],1,Table1[[AwayTeam]:[AwayTeam]],C$36, Table1[[HomeTeam]:[HomeTeam]],$A43))), "")</f>
        <v/>
      </c>
      <c r="D43" s="50" t="str">
        <f>IFERROR(((2 * (SUMIFS(Table1[[AwayWon]:[AwayWon]], Table1[[GameIsOver]:[GameIsOver]], 1, Table1[[AwayTeam]:[AwayTeam]], $A43, Table1[[HomeTeam]:[HomeTeam]], D$36) + SUMIFS(Table1[[HomeWon]:[HomeWon]], Table1[[GameIsOver]:[GameIsOver]], 1, Table1[[HomeTeam]:[HomeTeam]], $A43, Table1[[AwayTeam]:[AwayTeam]], D$36))) + (SUMIFS(Table1[[HomeWon]:[HomeWon]], Table1[[GameIsOver]:[GameIsOver]], 1, Table1[[AwayTeam]:[AwayTeam]], $A43, Table1[[HomeTeam]:[HomeTeam]],  D$36, Table1[[ActualResult]:[ActualResult]], "OT") + SUMIFS(Table1[[AwayWon]:[AwayWon]], Table1[[GameIsOver]:[GameIsOver]], 1, Table1[[HomeTeam]:[HomeTeam]], $A43, Table1[[AwayTeam]:[AwayTeam]], D$36, Table1[[ActualResult]:[ActualResult]], "OT") + SUMIFS(Table1[[HomeWon]:[HomeWon]], Table1[[GameIsOver]:[GameIsOver]], 1, Table1[[AwayTeam]:[AwayTeam]], $A43, Table1[[HomeTeam]:[HomeTeam]], D$36, Table1[[ActualResult]:[ActualResult]], "SO") + SUMIFS(Table1[[AwayWon]:[AwayWon]], Table1[[GameIsOver]:[GameIsOver]], 1, Table1[[HomeTeam]:[HomeTeam]], $A43, Table1[[AwayTeam]:[AwayTeam]], D$36, Table1[[ActualResult]:[ActualResult]], "SO")))/ (2*((COUNTIFS(Table1[[GameIsOver]:[GameIsOver]],1,Table1[[AwayTeam]:[AwayTeam]],$A43, Table1[[HomeTeam]:[HomeTeam]], D$36)))+( COUNTIFS(Table1[[GameIsOver]:[GameIsOver]],1,Table1[[AwayTeam]:[AwayTeam]],D$36, Table1[[HomeTeam]:[HomeTeam]],$A43))), "")</f>
        <v/>
      </c>
      <c r="E43" s="50" t="str">
        <f>IFERROR(((2 * (SUMIFS(Table1[[AwayWon]:[AwayWon]], Table1[[GameIsOver]:[GameIsOver]], 1, Table1[[AwayTeam]:[AwayTeam]], $A43, Table1[[HomeTeam]:[HomeTeam]], E$36) + SUMIFS(Table1[[HomeWon]:[HomeWon]], Table1[[GameIsOver]:[GameIsOver]], 1, Table1[[HomeTeam]:[HomeTeam]], $A43, Table1[[AwayTeam]:[AwayTeam]], E$36))) + (SUMIFS(Table1[[HomeWon]:[HomeWon]], Table1[[GameIsOver]:[GameIsOver]], 1, Table1[[AwayTeam]:[AwayTeam]], $A43, Table1[[HomeTeam]:[HomeTeam]],  E$36, Table1[[ActualResult]:[ActualResult]], "OT") + SUMIFS(Table1[[AwayWon]:[AwayWon]], Table1[[GameIsOver]:[GameIsOver]], 1, Table1[[HomeTeam]:[HomeTeam]], $A43, Table1[[AwayTeam]:[AwayTeam]], E$36, Table1[[ActualResult]:[ActualResult]], "OT") + SUMIFS(Table1[[HomeWon]:[HomeWon]], Table1[[GameIsOver]:[GameIsOver]], 1, Table1[[AwayTeam]:[AwayTeam]], $A43, Table1[[HomeTeam]:[HomeTeam]], E$36, Table1[[ActualResult]:[ActualResult]], "SO") + SUMIFS(Table1[[AwayWon]:[AwayWon]], Table1[[GameIsOver]:[GameIsOver]], 1, Table1[[HomeTeam]:[HomeTeam]], $A43, Table1[[AwayTeam]:[AwayTeam]], E$36, Table1[[ActualResult]:[ActualResult]], "SO")))/ (2*((COUNTIFS(Table1[[GameIsOver]:[GameIsOver]],1,Table1[[AwayTeam]:[AwayTeam]],$A43, Table1[[HomeTeam]:[HomeTeam]], E$36)))+( COUNTIFS(Table1[[GameIsOver]:[GameIsOver]],1,Table1[[AwayTeam]:[AwayTeam]],E$36, Table1[[HomeTeam]:[HomeTeam]],$A43))), "")</f>
        <v/>
      </c>
      <c r="F43" s="50" t="str">
        <f>IFERROR(((2 * (SUMIFS(Table1[[AwayWon]:[AwayWon]], Table1[[GameIsOver]:[GameIsOver]], 1, Table1[[AwayTeam]:[AwayTeam]], $A43, Table1[[HomeTeam]:[HomeTeam]], F$36) + SUMIFS(Table1[[HomeWon]:[HomeWon]], Table1[[GameIsOver]:[GameIsOver]], 1, Table1[[HomeTeam]:[HomeTeam]], $A43, Table1[[AwayTeam]:[AwayTeam]], F$36))) + (SUMIFS(Table1[[HomeWon]:[HomeWon]], Table1[[GameIsOver]:[GameIsOver]], 1, Table1[[AwayTeam]:[AwayTeam]], $A43, Table1[[HomeTeam]:[HomeTeam]],  F$36, Table1[[ActualResult]:[ActualResult]], "OT") + SUMIFS(Table1[[AwayWon]:[AwayWon]], Table1[[GameIsOver]:[GameIsOver]], 1, Table1[[HomeTeam]:[HomeTeam]], $A43, Table1[[AwayTeam]:[AwayTeam]], F$36, Table1[[ActualResult]:[ActualResult]], "OT") + SUMIFS(Table1[[HomeWon]:[HomeWon]], Table1[[GameIsOver]:[GameIsOver]], 1, Table1[[AwayTeam]:[AwayTeam]], $A43, Table1[[HomeTeam]:[HomeTeam]], F$36, Table1[[ActualResult]:[ActualResult]], "SO") + SUMIFS(Table1[[AwayWon]:[AwayWon]], Table1[[GameIsOver]:[GameIsOver]], 1, Table1[[HomeTeam]:[HomeTeam]], $A43, Table1[[AwayTeam]:[AwayTeam]], F$36, Table1[[ActualResult]:[ActualResult]], "SO")))/ (2*((COUNTIFS(Table1[[GameIsOver]:[GameIsOver]],1,Table1[[AwayTeam]:[AwayTeam]],$A43, Table1[[HomeTeam]:[HomeTeam]], F$36)))+( COUNTIFS(Table1[[GameIsOver]:[GameIsOver]],1,Table1[[AwayTeam]:[AwayTeam]],F$36, Table1[[HomeTeam]:[HomeTeam]],$A43))), "")</f>
        <v/>
      </c>
      <c r="G43" s="50" t="str">
        <f>IFERROR(((2 * (SUMIFS(Table1[[AwayWon]:[AwayWon]], Table1[[GameIsOver]:[GameIsOver]], 1, Table1[[AwayTeam]:[AwayTeam]], $A43, Table1[[HomeTeam]:[HomeTeam]], G$36) + SUMIFS(Table1[[HomeWon]:[HomeWon]], Table1[[GameIsOver]:[GameIsOver]], 1, Table1[[HomeTeam]:[HomeTeam]], $A43, Table1[[AwayTeam]:[AwayTeam]], G$36))) + (SUMIFS(Table1[[HomeWon]:[HomeWon]], Table1[[GameIsOver]:[GameIsOver]], 1, Table1[[AwayTeam]:[AwayTeam]], $A43, Table1[[HomeTeam]:[HomeTeam]],  G$36, Table1[[ActualResult]:[ActualResult]], "OT") + SUMIFS(Table1[[AwayWon]:[AwayWon]], Table1[[GameIsOver]:[GameIsOver]], 1, Table1[[HomeTeam]:[HomeTeam]], $A43, Table1[[AwayTeam]:[AwayTeam]], G$36, Table1[[ActualResult]:[ActualResult]], "OT") + SUMIFS(Table1[[HomeWon]:[HomeWon]], Table1[[GameIsOver]:[GameIsOver]], 1, Table1[[AwayTeam]:[AwayTeam]], $A43, Table1[[HomeTeam]:[HomeTeam]], G$36, Table1[[ActualResult]:[ActualResult]], "SO") + SUMIFS(Table1[[AwayWon]:[AwayWon]], Table1[[GameIsOver]:[GameIsOver]], 1, Table1[[HomeTeam]:[HomeTeam]], $A43, Table1[[AwayTeam]:[AwayTeam]], G$36, Table1[[ActualResult]:[ActualResult]], "SO")))/ (2*((COUNTIFS(Table1[[GameIsOver]:[GameIsOver]],1,Table1[[AwayTeam]:[AwayTeam]],$A43, Table1[[HomeTeam]:[HomeTeam]], G$36)))+( COUNTIFS(Table1[[GameIsOver]:[GameIsOver]],1,Table1[[AwayTeam]:[AwayTeam]],G$36, Table1[[HomeTeam]:[HomeTeam]],$A43))), "")</f>
        <v/>
      </c>
      <c r="H43" s="50" t="str">
        <f>IFERROR(((2 * (SUMIFS(Table1[[AwayWon]:[AwayWon]], Table1[[GameIsOver]:[GameIsOver]], 1, Table1[[AwayTeam]:[AwayTeam]], $A43, Table1[[HomeTeam]:[HomeTeam]], H$36) + SUMIFS(Table1[[HomeWon]:[HomeWon]], Table1[[GameIsOver]:[GameIsOver]], 1, Table1[[HomeTeam]:[HomeTeam]], $A43, Table1[[AwayTeam]:[AwayTeam]], H$36))) + (SUMIFS(Table1[[HomeWon]:[HomeWon]], Table1[[GameIsOver]:[GameIsOver]], 1, Table1[[AwayTeam]:[AwayTeam]], $A43, Table1[[HomeTeam]:[HomeTeam]],  H$36, Table1[[ActualResult]:[ActualResult]], "OT") + SUMIFS(Table1[[AwayWon]:[AwayWon]], Table1[[GameIsOver]:[GameIsOver]], 1, Table1[[HomeTeam]:[HomeTeam]], $A43, Table1[[AwayTeam]:[AwayTeam]], H$36, Table1[[ActualResult]:[ActualResult]], "OT") + SUMIFS(Table1[[HomeWon]:[HomeWon]], Table1[[GameIsOver]:[GameIsOver]], 1, Table1[[AwayTeam]:[AwayTeam]], $A43, Table1[[HomeTeam]:[HomeTeam]], H$36, Table1[[ActualResult]:[ActualResult]], "SO") + SUMIFS(Table1[[AwayWon]:[AwayWon]], Table1[[GameIsOver]:[GameIsOver]], 1, Table1[[HomeTeam]:[HomeTeam]], $A43, Table1[[AwayTeam]:[AwayTeam]], H$36, Table1[[ActualResult]:[ActualResult]], "SO")))/ (2*((COUNTIFS(Table1[[GameIsOver]:[GameIsOver]],1,Table1[[AwayTeam]:[AwayTeam]],$A43, Table1[[HomeTeam]:[HomeTeam]], H$36)))+( COUNTIFS(Table1[[GameIsOver]:[GameIsOver]],1,Table1[[AwayTeam]:[AwayTeam]],H$36, Table1[[HomeTeam]:[HomeTeam]],$A43))), "")</f>
        <v/>
      </c>
      <c r="I43" s="52">
        <f>IFERROR(((2 * (SUMIFS(Table1[[AwayWon]:[AwayWon]], Table1[[GameIsOver]:[GameIsOver]], 1, Table1[[AwayTeam]:[AwayTeam]], $A43, Table1[[HomeTeam]:[HomeTeam]], I$36) + SUMIFS(Table1[[HomeWon]:[HomeWon]], Table1[[GameIsOver]:[GameIsOver]], 1, Table1[[HomeTeam]:[HomeTeam]], $A43, Table1[[AwayTeam]:[AwayTeam]], I$36))) + (SUMIFS(Table1[[HomeWon]:[HomeWon]], Table1[[GameIsOver]:[GameIsOver]], 1, Table1[[AwayTeam]:[AwayTeam]], $A43, Table1[[HomeTeam]:[HomeTeam]],  I$36, Table1[[ActualResult]:[ActualResult]], "OT") + SUMIFS(Table1[[AwayWon]:[AwayWon]], Table1[[GameIsOver]:[GameIsOver]], 1, Table1[[HomeTeam]:[HomeTeam]], $A43, Table1[[AwayTeam]:[AwayTeam]], I$36, Table1[[ActualResult]:[ActualResult]], "OT") + SUMIFS(Table1[[HomeWon]:[HomeWon]], Table1[[GameIsOver]:[GameIsOver]], 1, Table1[[AwayTeam]:[AwayTeam]], $A43, Table1[[HomeTeam]:[HomeTeam]], I$36, Table1[[ActualResult]:[ActualResult]], "SO") + SUMIFS(Table1[[AwayWon]:[AwayWon]], Table1[[GameIsOver]:[GameIsOver]], 1, Table1[[HomeTeam]:[HomeTeam]], $A43, Table1[[AwayTeam]:[AwayTeam]], I$36, Table1[[ActualResult]:[ActualResult]], "SO")))/ (2*((COUNTIFS(Table1[[GameIsOver]:[GameIsOver]],1,Table1[[AwayTeam]:[AwayTeam]],$A43, Table1[[HomeTeam]:[HomeTeam]], I$36)))+( COUNTIFS(Table1[[GameIsOver]:[GameIsOver]],1,Table1[[AwayTeam]:[AwayTeam]],I$36, Table1[[HomeTeam]:[HomeTeam]],$A43))), "")</f>
        <v>0</v>
      </c>
      <c r="J43" s="50" t="str">
        <f>IFERROR(((2 * (SUMIFS(Table1[[AwayWon]:[AwayWon]], Table1[[GameIsOver]:[GameIsOver]], 1, Table1[[AwayTeam]:[AwayTeam]], $A43, Table1[[HomeTeam]:[HomeTeam]], J$36) + SUMIFS(Table1[[HomeWon]:[HomeWon]], Table1[[GameIsOver]:[GameIsOver]], 1, Table1[[HomeTeam]:[HomeTeam]], $A43, Table1[[AwayTeam]:[AwayTeam]], J$36))) + (SUMIFS(Table1[[HomeWon]:[HomeWon]], Table1[[GameIsOver]:[GameIsOver]], 1, Table1[[AwayTeam]:[AwayTeam]], $A43, Table1[[HomeTeam]:[HomeTeam]],  J$36, Table1[[ActualResult]:[ActualResult]], "OT") + SUMIFS(Table1[[AwayWon]:[AwayWon]], Table1[[GameIsOver]:[GameIsOver]], 1, Table1[[HomeTeam]:[HomeTeam]], $A43, Table1[[AwayTeam]:[AwayTeam]], J$36, Table1[[ActualResult]:[ActualResult]], "OT") + SUMIFS(Table1[[HomeWon]:[HomeWon]], Table1[[GameIsOver]:[GameIsOver]], 1, Table1[[AwayTeam]:[AwayTeam]], $A43, Table1[[HomeTeam]:[HomeTeam]], J$36, Table1[[ActualResult]:[ActualResult]], "SO") + SUMIFS(Table1[[AwayWon]:[AwayWon]], Table1[[GameIsOver]:[GameIsOver]], 1, Table1[[HomeTeam]:[HomeTeam]], $A43, Table1[[AwayTeam]:[AwayTeam]], J$36, Table1[[ActualResult]:[ActualResult]], "SO")))/ (2*((COUNTIFS(Table1[[GameIsOver]:[GameIsOver]],1,Table1[[AwayTeam]:[AwayTeam]],$A43, Table1[[HomeTeam]:[HomeTeam]], J$36)))+( COUNTIFS(Table1[[GameIsOver]:[GameIsOver]],1,Table1[[AwayTeam]:[AwayTeam]],J$36, Table1[[HomeTeam]:[HomeTeam]],$A43))), "")</f>
        <v/>
      </c>
      <c r="K43" s="50" t="str">
        <f>IFERROR(((2 * (SUMIFS(Table1[[AwayWon]:[AwayWon]], Table1[[GameIsOver]:[GameIsOver]], 1, Table1[[AwayTeam]:[AwayTeam]], $A43, Table1[[HomeTeam]:[HomeTeam]], K$36) + SUMIFS(Table1[[HomeWon]:[HomeWon]], Table1[[GameIsOver]:[GameIsOver]], 1, Table1[[HomeTeam]:[HomeTeam]], $A43, Table1[[AwayTeam]:[AwayTeam]], K$36))) + (SUMIFS(Table1[[HomeWon]:[HomeWon]], Table1[[GameIsOver]:[GameIsOver]], 1, Table1[[AwayTeam]:[AwayTeam]], $A43, Table1[[HomeTeam]:[HomeTeam]],  K$36, Table1[[ActualResult]:[ActualResult]], "OT") + SUMIFS(Table1[[AwayWon]:[AwayWon]], Table1[[GameIsOver]:[GameIsOver]], 1, Table1[[HomeTeam]:[HomeTeam]], $A43, Table1[[AwayTeam]:[AwayTeam]], K$36, Table1[[ActualResult]:[ActualResult]], "OT") + SUMIFS(Table1[[HomeWon]:[HomeWon]], Table1[[GameIsOver]:[GameIsOver]], 1, Table1[[AwayTeam]:[AwayTeam]], $A43, Table1[[HomeTeam]:[HomeTeam]], K$36, Table1[[ActualResult]:[ActualResult]], "SO") + SUMIFS(Table1[[AwayWon]:[AwayWon]], Table1[[GameIsOver]:[GameIsOver]], 1, Table1[[HomeTeam]:[HomeTeam]], $A43, Table1[[AwayTeam]:[AwayTeam]], K$36, Table1[[ActualResult]:[ActualResult]], "SO")))/ (2*((COUNTIFS(Table1[[GameIsOver]:[GameIsOver]],1,Table1[[AwayTeam]:[AwayTeam]],$A43, Table1[[HomeTeam]:[HomeTeam]], K$36)))+( COUNTIFS(Table1[[GameIsOver]:[GameIsOver]],1,Table1[[AwayTeam]:[AwayTeam]],K$36, Table1[[HomeTeam]:[HomeTeam]],$A43))), "")</f>
        <v/>
      </c>
      <c r="L43" s="50" t="str">
        <f>IFERROR(((2 * (SUMIFS(Table1[[AwayWon]:[AwayWon]], Table1[[GameIsOver]:[GameIsOver]], 1, Table1[[AwayTeam]:[AwayTeam]], $A43, Table1[[HomeTeam]:[HomeTeam]], L$36) + SUMIFS(Table1[[HomeWon]:[HomeWon]], Table1[[GameIsOver]:[GameIsOver]], 1, Table1[[HomeTeam]:[HomeTeam]], $A43, Table1[[AwayTeam]:[AwayTeam]], L$36))) + (SUMIFS(Table1[[HomeWon]:[HomeWon]], Table1[[GameIsOver]:[GameIsOver]], 1, Table1[[AwayTeam]:[AwayTeam]], $A43, Table1[[HomeTeam]:[HomeTeam]],  L$36, Table1[[ActualResult]:[ActualResult]], "OT") + SUMIFS(Table1[[AwayWon]:[AwayWon]], Table1[[GameIsOver]:[GameIsOver]], 1, Table1[[HomeTeam]:[HomeTeam]], $A43, Table1[[AwayTeam]:[AwayTeam]], L$36, Table1[[ActualResult]:[ActualResult]], "OT") + SUMIFS(Table1[[HomeWon]:[HomeWon]], Table1[[GameIsOver]:[GameIsOver]], 1, Table1[[AwayTeam]:[AwayTeam]], $A43, Table1[[HomeTeam]:[HomeTeam]], L$36, Table1[[ActualResult]:[ActualResult]], "SO") + SUMIFS(Table1[[AwayWon]:[AwayWon]], Table1[[GameIsOver]:[GameIsOver]], 1, Table1[[HomeTeam]:[HomeTeam]], $A43, Table1[[AwayTeam]:[AwayTeam]], L$36, Table1[[ActualResult]:[ActualResult]], "SO")))/ (2*((COUNTIFS(Table1[[GameIsOver]:[GameIsOver]],1,Table1[[AwayTeam]:[AwayTeam]],$A43, Table1[[HomeTeam]:[HomeTeam]], L$36)))+( COUNTIFS(Table1[[GameIsOver]:[GameIsOver]],1,Table1[[AwayTeam]:[AwayTeam]],L$36, Table1[[HomeTeam]:[HomeTeam]],$A43))), "")</f>
        <v/>
      </c>
      <c r="M43" s="50" t="str">
        <f>IFERROR(((2 * (SUMIFS(Table1[[AwayWon]:[AwayWon]], Table1[[GameIsOver]:[GameIsOver]], 1, Table1[[AwayTeam]:[AwayTeam]], $A43, Table1[[HomeTeam]:[HomeTeam]], M$36) + SUMIFS(Table1[[HomeWon]:[HomeWon]], Table1[[GameIsOver]:[GameIsOver]], 1, Table1[[HomeTeam]:[HomeTeam]], $A43, Table1[[AwayTeam]:[AwayTeam]], M$36))) + (SUMIFS(Table1[[HomeWon]:[HomeWon]], Table1[[GameIsOver]:[GameIsOver]], 1, Table1[[AwayTeam]:[AwayTeam]], $A43, Table1[[HomeTeam]:[HomeTeam]],  M$36, Table1[[ActualResult]:[ActualResult]], "OT") + SUMIFS(Table1[[AwayWon]:[AwayWon]], Table1[[GameIsOver]:[GameIsOver]], 1, Table1[[HomeTeam]:[HomeTeam]], $A43, Table1[[AwayTeam]:[AwayTeam]], M$36, Table1[[ActualResult]:[ActualResult]], "OT") + SUMIFS(Table1[[HomeWon]:[HomeWon]], Table1[[GameIsOver]:[GameIsOver]], 1, Table1[[AwayTeam]:[AwayTeam]], $A43, Table1[[HomeTeam]:[HomeTeam]], M$36, Table1[[ActualResult]:[ActualResult]], "SO") + SUMIFS(Table1[[AwayWon]:[AwayWon]], Table1[[GameIsOver]:[GameIsOver]], 1, Table1[[HomeTeam]:[HomeTeam]], $A43, Table1[[AwayTeam]:[AwayTeam]], M$36, Table1[[ActualResult]:[ActualResult]], "SO")))/ (2*((COUNTIFS(Table1[[GameIsOver]:[GameIsOver]],1,Table1[[AwayTeam]:[AwayTeam]],$A43, Table1[[HomeTeam]:[HomeTeam]], M$36)))+( COUNTIFS(Table1[[GameIsOver]:[GameIsOver]],1,Table1[[AwayTeam]:[AwayTeam]],M$36, Table1[[HomeTeam]:[HomeTeam]],$A43))), "")</f>
        <v/>
      </c>
      <c r="N43" s="50" t="str">
        <f>IFERROR(((2 * (SUMIFS(Table1[[AwayWon]:[AwayWon]], Table1[[GameIsOver]:[GameIsOver]], 1, Table1[[AwayTeam]:[AwayTeam]], $A43, Table1[[HomeTeam]:[HomeTeam]], N$36) + SUMIFS(Table1[[HomeWon]:[HomeWon]], Table1[[GameIsOver]:[GameIsOver]], 1, Table1[[HomeTeam]:[HomeTeam]], $A43, Table1[[AwayTeam]:[AwayTeam]], N$36))) + (SUMIFS(Table1[[HomeWon]:[HomeWon]], Table1[[GameIsOver]:[GameIsOver]], 1, Table1[[AwayTeam]:[AwayTeam]], $A43, Table1[[HomeTeam]:[HomeTeam]],  N$36, Table1[[ActualResult]:[ActualResult]], "OT") + SUMIFS(Table1[[AwayWon]:[AwayWon]], Table1[[GameIsOver]:[GameIsOver]], 1, Table1[[HomeTeam]:[HomeTeam]], $A43, Table1[[AwayTeam]:[AwayTeam]], N$36, Table1[[ActualResult]:[ActualResult]], "OT") + SUMIFS(Table1[[HomeWon]:[HomeWon]], Table1[[GameIsOver]:[GameIsOver]], 1, Table1[[AwayTeam]:[AwayTeam]], $A43, Table1[[HomeTeam]:[HomeTeam]], N$36, Table1[[ActualResult]:[ActualResult]], "SO") + SUMIFS(Table1[[AwayWon]:[AwayWon]], Table1[[GameIsOver]:[GameIsOver]], 1, Table1[[HomeTeam]:[HomeTeam]], $A43, Table1[[AwayTeam]:[AwayTeam]], N$36, Table1[[ActualResult]:[ActualResult]], "SO")))/ (2*((COUNTIFS(Table1[[GameIsOver]:[GameIsOver]],1,Table1[[AwayTeam]:[AwayTeam]],$A43, Table1[[HomeTeam]:[HomeTeam]], N$36)))+( COUNTIFS(Table1[[GameIsOver]:[GameIsOver]],1,Table1[[AwayTeam]:[AwayTeam]],N$36, Table1[[HomeTeam]:[HomeTeam]],$A43))), "")</f>
        <v/>
      </c>
      <c r="O43" s="50" t="str">
        <f>IFERROR(((2 * (SUMIFS(Table1[[AwayWon]:[AwayWon]], Table1[[GameIsOver]:[GameIsOver]], 1, Table1[[AwayTeam]:[AwayTeam]], $A43, Table1[[HomeTeam]:[HomeTeam]], O$36) + SUMIFS(Table1[[HomeWon]:[HomeWon]], Table1[[GameIsOver]:[GameIsOver]], 1, Table1[[HomeTeam]:[HomeTeam]], $A43, Table1[[AwayTeam]:[AwayTeam]], O$36))) + (SUMIFS(Table1[[HomeWon]:[HomeWon]], Table1[[GameIsOver]:[GameIsOver]], 1, Table1[[AwayTeam]:[AwayTeam]], $A43, Table1[[HomeTeam]:[HomeTeam]],  O$36, Table1[[ActualResult]:[ActualResult]], "OT") + SUMIFS(Table1[[AwayWon]:[AwayWon]], Table1[[GameIsOver]:[GameIsOver]], 1, Table1[[HomeTeam]:[HomeTeam]], $A43, Table1[[AwayTeam]:[AwayTeam]], O$36, Table1[[ActualResult]:[ActualResult]], "OT") + SUMIFS(Table1[[HomeWon]:[HomeWon]], Table1[[GameIsOver]:[GameIsOver]], 1, Table1[[AwayTeam]:[AwayTeam]], $A43, Table1[[HomeTeam]:[HomeTeam]], O$36, Table1[[ActualResult]:[ActualResult]], "SO") + SUMIFS(Table1[[AwayWon]:[AwayWon]], Table1[[GameIsOver]:[GameIsOver]], 1, Table1[[HomeTeam]:[HomeTeam]], $A43, Table1[[AwayTeam]:[AwayTeam]], O$36, Table1[[ActualResult]:[ActualResult]], "SO")))/ (2*((COUNTIFS(Table1[[GameIsOver]:[GameIsOver]],1,Table1[[AwayTeam]:[AwayTeam]],$A43, Table1[[HomeTeam]:[HomeTeam]], O$36)))+( COUNTIFS(Table1[[GameIsOver]:[GameIsOver]],1,Table1[[AwayTeam]:[AwayTeam]],O$36, Table1[[HomeTeam]:[HomeTeam]],$A43))), "")</f>
        <v/>
      </c>
      <c r="P43" s="50" t="str">
        <f>IFERROR(((2 * (SUMIFS(Table1[[AwayWon]:[AwayWon]], Table1[[GameIsOver]:[GameIsOver]], 1, Table1[[AwayTeam]:[AwayTeam]], $A43, Table1[[HomeTeam]:[HomeTeam]], P$36) + SUMIFS(Table1[[HomeWon]:[HomeWon]], Table1[[GameIsOver]:[GameIsOver]], 1, Table1[[HomeTeam]:[HomeTeam]], $A43, Table1[[AwayTeam]:[AwayTeam]], P$36))) + (SUMIFS(Table1[[HomeWon]:[HomeWon]], Table1[[GameIsOver]:[GameIsOver]], 1, Table1[[AwayTeam]:[AwayTeam]], $A43, Table1[[HomeTeam]:[HomeTeam]],  P$36, Table1[[ActualResult]:[ActualResult]], "OT") + SUMIFS(Table1[[AwayWon]:[AwayWon]], Table1[[GameIsOver]:[GameIsOver]], 1, Table1[[HomeTeam]:[HomeTeam]], $A43, Table1[[AwayTeam]:[AwayTeam]], P$36, Table1[[ActualResult]:[ActualResult]], "OT") + SUMIFS(Table1[[HomeWon]:[HomeWon]], Table1[[GameIsOver]:[GameIsOver]], 1, Table1[[AwayTeam]:[AwayTeam]], $A43, Table1[[HomeTeam]:[HomeTeam]], P$36, Table1[[ActualResult]:[ActualResult]], "SO") + SUMIFS(Table1[[AwayWon]:[AwayWon]], Table1[[GameIsOver]:[GameIsOver]], 1, Table1[[HomeTeam]:[HomeTeam]], $A43, Table1[[AwayTeam]:[AwayTeam]], P$36, Table1[[ActualResult]:[ActualResult]], "SO")))/ (2*((COUNTIFS(Table1[[GameIsOver]:[GameIsOver]],1,Table1[[AwayTeam]:[AwayTeam]],$A43, Table1[[HomeTeam]:[HomeTeam]], P$36)))+( COUNTIFS(Table1[[GameIsOver]:[GameIsOver]],1,Table1[[AwayTeam]:[AwayTeam]],P$36, Table1[[HomeTeam]:[HomeTeam]],$A43))), "")</f>
        <v/>
      </c>
      <c r="Q43" s="52" t="str">
        <f>IFERROR(((2 * (SUMIFS(Table1[[AwayWon]:[AwayWon]], Table1[[GameIsOver]:[GameIsOver]], 1, Table1[[AwayTeam]:[AwayTeam]], $A43, Table1[[HomeTeam]:[HomeTeam]], Q$36) + SUMIFS(Table1[[HomeWon]:[HomeWon]], Table1[[GameIsOver]:[GameIsOver]], 1, Table1[[HomeTeam]:[HomeTeam]], $A43, Table1[[AwayTeam]:[AwayTeam]], Q$36))) + (SUMIFS(Table1[[HomeWon]:[HomeWon]], Table1[[GameIsOver]:[GameIsOver]], 1, Table1[[AwayTeam]:[AwayTeam]], $A43, Table1[[HomeTeam]:[HomeTeam]],  Q$36, Table1[[ActualResult]:[ActualResult]], "OT") + SUMIFS(Table1[[AwayWon]:[AwayWon]], Table1[[GameIsOver]:[GameIsOver]], 1, Table1[[HomeTeam]:[HomeTeam]], $A43, Table1[[AwayTeam]:[AwayTeam]], Q$36, Table1[[ActualResult]:[ActualResult]], "OT") + SUMIFS(Table1[[HomeWon]:[HomeWon]], Table1[[GameIsOver]:[GameIsOver]], 1, Table1[[AwayTeam]:[AwayTeam]], $A43, Table1[[HomeTeam]:[HomeTeam]], Q$36, Table1[[ActualResult]:[ActualResult]], "SO") + SUMIFS(Table1[[AwayWon]:[AwayWon]], Table1[[GameIsOver]:[GameIsOver]], 1, Table1[[HomeTeam]:[HomeTeam]], $A43, Table1[[AwayTeam]:[AwayTeam]], Q$36, Table1[[ActualResult]:[ActualResult]], "SO")))/ (2*((COUNTIFS(Table1[[GameIsOver]:[GameIsOver]],1,Table1[[AwayTeam]:[AwayTeam]],$A43, Table1[[HomeTeam]:[HomeTeam]], Q$36)))+( COUNTIFS(Table1[[GameIsOver]:[GameIsOver]],1,Table1[[AwayTeam]:[AwayTeam]],Q$36, Table1[[HomeTeam]:[HomeTeam]],$A43))), "")</f>
        <v/>
      </c>
      <c r="R43" s="50" t="str">
        <f>IFERROR(((2 * (SUMIFS(Table1[[AwayWon]:[AwayWon]], Table1[[GameIsOver]:[GameIsOver]], 1, Table1[[AwayTeam]:[AwayTeam]], $A43, Table1[[HomeTeam]:[HomeTeam]], R$36) + SUMIFS(Table1[[HomeWon]:[HomeWon]], Table1[[GameIsOver]:[GameIsOver]], 1, Table1[[HomeTeam]:[HomeTeam]], $A43, Table1[[AwayTeam]:[AwayTeam]], R$36))) + (SUMIFS(Table1[[HomeWon]:[HomeWon]], Table1[[GameIsOver]:[GameIsOver]], 1, Table1[[AwayTeam]:[AwayTeam]], $A43, Table1[[HomeTeam]:[HomeTeam]],  R$36, Table1[[ActualResult]:[ActualResult]], "OT") + SUMIFS(Table1[[AwayWon]:[AwayWon]], Table1[[GameIsOver]:[GameIsOver]], 1, Table1[[HomeTeam]:[HomeTeam]], $A43, Table1[[AwayTeam]:[AwayTeam]], R$36, Table1[[ActualResult]:[ActualResult]], "OT") + SUMIFS(Table1[[HomeWon]:[HomeWon]], Table1[[GameIsOver]:[GameIsOver]], 1, Table1[[AwayTeam]:[AwayTeam]], $A43, Table1[[HomeTeam]:[HomeTeam]], R$36, Table1[[ActualResult]:[ActualResult]], "SO") + SUMIFS(Table1[[AwayWon]:[AwayWon]], Table1[[GameIsOver]:[GameIsOver]], 1, Table1[[HomeTeam]:[HomeTeam]], $A43, Table1[[AwayTeam]:[AwayTeam]], R$36, Table1[[ActualResult]:[ActualResult]], "SO")))/ (2*((COUNTIFS(Table1[[GameIsOver]:[GameIsOver]],1,Table1[[AwayTeam]:[AwayTeam]],$A43, Table1[[HomeTeam]:[HomeTeam]], R$36)))+( COUNTIFS(Table1[[GameIsOver]:[GameIsOver]],1,Table1[[AwayTeam]:[AwayTeam]],R$36, Table1[[HomeTeam]:[HomeTeam]],$A43))), "")</f>
        <v/>
      </c>
      <c r="S43" s="50" t="str">
        <f>IFERROR(((2 * (SUMIFS(Table1[[AwayWon]:[AwayWon]], Table1[[GameIsOver]:[GameIsOver]], 1, Table1[[AwayTeam]:[AwayTeam]], $A43, Table1[[HomeTeam]:[HomeTeam]], S$36) + SUMIFS(Table1[[HomeWon]:[HomeWon]], Table1[[GameIsOver]:[GameIsOver]], 1, Table1[[HomeTeam]:[HomeTeam]], $A43, Table1[[AwayTeam]:[AwayTeam]], S$36))) + (SUMIFS(Table1[[HomeWon]:[HomeWon]], Table1[[GameIsOver]:[GameIsOver]], 1, Table1[[AwayTeam]:[AwayTeam]], $A43, Table1[[HomeTeam]:[HomeTeam]],  S$36, Table1[[ActualResult]:[ActualResult]], "OT") + SUMIFS(Table1[[AwayWon]:[AwayWon]], Table1[[GameIsOver]:[GameIsOver]], 1, Table1[[HomeTeam]:[HomeTeam]], $A43, Table1[[AwayTeam]:[AwayTeam]], S$36, Table1[[ActualResult]:[ActualResult]], "OT") + SUMIFS(Table1[[HomeWon]:[HomeWon]], Table1[[GameIsOver]:[GameIsOver]], 1, Table1[[AwayTeam]:[AwayTeam]], $A43, Table1[[HomeTeam]:[HomeTeam]], S$36, Table1[[ActualResult]:[ActualResult]], "SO") + SUMIFS(Table1[[AwayWon]:[AwayWon]], Table1[[GameIsOver]:[GameIsOver]], 1, Table1[[HomeTeam]:[HomeTeam]], $A43, Table1[[AwayTeam]:[AwayTeam]], S$36, Table1[[ActualResult]:[ActualResult]], "SO")))/ (2*((COUNTIFS(Table1[[GameIsOver]:[GameIsOver]],1,Table1[[AwayTeam]:[AwayTeam]],$A43, Table1[[HomeTeam]:[HomeTeam]], S$36)))+( COUNTIFS(Table1[[GameIsOver]:[GameIsOver]],1,Table1[[AwayTeam]:[AwayTeam]],S$36, Table1[[HomeTeam]:[HomeTeam]],$A43))), "")</f>
        <v/>
      </c>
      <c r="T43" s="50" t="str">
        <f>IFERROR(((2 * (SUMIFS(Table1[[AwayWon]:[AwayWon]], Table1[[GameIsOver]:[GameIsOver]], 1, Table1[[AwayTeam]:[AwayTeam]], $A43, Table1[[HomeTeam]:[HomeTeam]], T$36) + SUMIFS(Table1[[HomeWon]:[HomeWon]], Table1[[GameIsOver]:[GameIsOver]], 1, Table1[[HomeTeam]:[HomeTeam]], $A43, Table1[[AwayTeam]:[AwayTeam]], T$36))) + (SUMIFS(Table1[[HomeWon]:[HomeWon]], Table1[[GameIsOver]:[GameIsOver]], 1, Table1[[AwayTeam]:[AwayTeam]], $A43, Table1[[HomeTeam]:[HomeTeam]],  T$36, Table1[[ActualResult]:[ActualResult]], "OT") + SUMIFS(Table1[[AwayWon]:[AwayWon]], Table1[[GameIsOver]:[GameIsOver]], 1, Table1[[HomeTeam]:[HomeTeam]], $A43, Table1[[AwayTeam]:[AwayTeam]], T$36, Table1[[ActualResult]:[ActualResult]], "OT") + SUMIFS(Table1[[HomeWon]:[HomeWon]], Table1[[GameIsOver]:[GameIsOver]], 1, Table1[[AwayTeam]:[AwayTeam]], $A43, Table1[[HomeTeam]:[HomeTeam]], T$36, Table1[[ActualResult]:[ActualResult]], "SO") + SUMIFS(Table1[[AwayWon]:[AwayWon]], Table1[[GameIsOver]:[GameIsOver]], 1, Table1[[HomeTeam]:[HomeTeam]], $A43, Table1[[AwayTeam]:[AwayTeam]], T$36, Table1[[ActualResult]:[ActualResult]], "SO")))/ (2*((COUNTIFS(Table1[[GameIsOver]:[GameIsOver]],1,Table1[[AwayTeam]:[AwayTeam]],$A43, Table1[[HomeTeam]:[HomeTeam]], T$36)))+( COUNTIFS(Table1[[GameIsOver]:[GameIsOver]],1,Table1[[AwayTeam]:[AwayTeam]],T$36, Table1[[HomeTeam]:[HomeTeam]],$A43))), "")</f>
        <v/>
      </c>
      <c r="U43" s="50" t="str">
        <f>IFERROR(((2 * (SUMIFS(Table1[[AwayWon]:[AwayWon]], Table1[[GameIsOver]:[GameIsOver]], 1, Table1[[AwayTeam]:[AwayTeam]], $A43, Table1[[HomeTeam]:[HomeTeam]], U$36) + SUMIFS(Table1[[HomeWon]:[HomeWon]], Table1[[GameIsOver]:[GameIsOver]], 1, Table1[[HomeTeam]:[HomeTeam]], $A43, Table1[[AwayTeam]:[AwayTeam]], U$36))) + (SUMIFS(Table1[[HomeWon]:[HomeWon]], Table1[[GameIsOver]:[GameIsOver]], 1, Table1[[AwayTeam]:[AwayTeam]], $A43, Table1[[HomeTeam]:[HomeTeam]],  U$36, Table1[[ActualResult]:[ActualResult]], "OT") + SUMIFS(Table1[[AwayWon]:[AwayWon]], Table1[[GameIsOver]:[GameIsOver]], 1, Table1[[HomeTeam]:[HomeTeam]], $A43, Table1[[AwayTeam]:[AwayTeam]], U$36, Table1[[ActualResult]:[ActualResult]], "OT") + SUMIFS(Table1[[HomeWon]:[HomeWon]], Table1[[GameIsOver]:[GameIsOver]], 1, Table1[[AwayTeam]:[AwayTeam]], $A43, Table1[[HomeTeam]:[HomeTeam]], U$36, Table1[[ActualResult]:[ActualResult]], "SO") + SUMIFS(Table1[[AwayWon]:[AwayWon]], Table1[[GameIsOver]:[GameIsOver]], 1, Table1[[HomeTeam]:[HomeTeam]], $A43, Table1[[AwayTeam]:[AwayTeam]], U$36, Table1[[ActualResult]:[ActualResult]], "SO")))/ (2*((COUNTIFS(Table1[[GameIsOver]:[GameIsOver]],1,Table1[[AwayTeam]:[AwayTeam]],$A43, Table1[[HomeTeam]:[HomeTeam]], U$36)))+( COUNTIFS(Table1[[GameIsOver]:[GameIsOver]],1,Table1[[AwayTeam]:[AwayTeam]],U$36, Table1[[HomeTeam]:[HomeTeam]],$A43))), "")</f>
        <v/>
      </c>
      <c r="V43" s="50" t="str">
        <f>IFERROR(((2 * (SUMIFS(Table1[[AwayWon]:[AwayWon]], Table1[[GameIsOver]:[GameIsOver]], 1, Table1[[AwayTeam]:[AwayTeam]], $A43, Table1[[HomeTeam]:[HomeTeam]], V$36) + SUMIFS(Table1[[HomeWon]:[HomeWon]], Table1[[GameIsOver]:[GameIsOver]], 1, Table1[[HomeTeam]:[HomeTeam]], $A43, Table1[[AwayTeam]:[AwayTeam]], V$36))) + (SUMIFS(Table1[[HomeWon]:[HomeWon]], Table1[[GameIsOver]:[GameIsOver]], 1, Table1[[AwayTeam]:[AwayTeam]], $A43, Table1[[HomeTeam]:[HomeTeam]],  V$36, Table1[[ActualResult]:[ActualResult]], "OT") + SUMIFS(Table1[[AwayWon]:[AwayWon]], Table1[[GameIsOver]:[GameIsOver]], 1, Table1[[HomeTeam]:[HomeTeam]], $A43, Table1[[AwayTeam]:[AwayTeam]], V$36, Table1[[ActualResult]:[ActualResult]], "OT") + SUMIFS(Table1[[HomeWon]:[HomeWon]], Table1[[GameIsOver]:[GameIsOver]], 1, Table1[[AwayTeam]:[AwayTeam]], $A43, Table1[[HomeTeam]:[HomeTeam]], V$36, Table1[[ActualResult]:[ActualResult]], "SO") + SUMIFS(Table1[[AwayWon]:[AwayWon]], Table1[[GameIsOver]:[GameIsOver]], 1, Table1[[HomeTeam]:[HomeTeam]], $A43, Table1[[AwayTeam]:[AwayTeam]], V$36, Table1[[ActualResult]:[ActualResult]], "SO")))/ (2*((COUNTIFS(Table1[[GameIsOver]:[GameIsOver]],1,Table1[[AwayTeam]:[AwayTeam]],$A43, Table1[[HomeTeam]:[HomeTeam]], V$36)))+( COUNTIFS(Table1[[GameIsOver]:[GameIsOver]],1,Table1[[AwayTeam]:[AwayTeam]],V$36, Table1[[HomeTeam]:[HomeTeam]],$A43))), "")</f>
        <v/>
      </c>
      <c r="W43" s="50" t="str">
        <f>IFERROR(((2 * (SUMIFS(Table1[[AwayWon]:[AwayWon]], Table1[[GameIsOver]:[GameIsOver]], 1, Table1[[AwayTeam]:[AwayTeam]], $A43, Table1[[HomeTeam]:[HomeTeam]], W$36) + SUMIFS(Table1[[HomeWon]:[HomeWon]], Table1[[GameIsOver]:[GameIsOver]], 1, Table1[[HomeTeam]:[HomeTeam]], $A43, Table1[[AwayTeam]:[AwayTeam]], W$36))) + (SUMIFS(Table1[[HomeWon]:[HomeWon]], Table1[[GameIsOver]:[GameIsOver]], 1, Table1[[AwayTeam]:[AwayTeam]], $A43, Table1[[HomeTeam]:[HomeTeam]],  W$36, Table1[[ActualResult]:[ActualResult]], "OT") + SUMIFS(Table1[[AwayWon]:[AwayWon]], Table1[[GameIsOver]:[GameIsOver]], 1, Table1[[HomeTeam]:[HomeTeam]], $A43, Table1[[AwayTeam]:[AwayTeam]], W$36, Table1[[ActualResult]:[ActualResult]], "OT") + SUMIFS(Table1[[HomeWon]:[HomeWon]], Table1[[GameIsOver]:[GameIsOver]], 1, Table1[[AwayTeam]:[AwayTeam]], $A43, Table1[[HomeTeam]:[HomeTeam]], W$36, Table1[[ActualResult]:[ActualResult]], "SO") + SUMIFS(Table1[[AwayWon]:[AwayWon]], Table1[[GameIsOver]:[GameIsOver]], 1, Table1[[HomeTeam]:[HomeTeam]], $A43, Table1[[AwayTeam]:[AwayTeam]], W$36, Table1[[ActualResult]:[ActualResult]], "SO")))/ (2*((COUNTIFS(Table1[[GameIsOver]:[GameIsOver]],1,Table1[[AwayTeam]:[AwayTeam]],$A43, Table1[[HomeTeam]:[HomeTeam]], W$36)))+( COUNTIFS(Table1[[GameIsOver]:[GameIsOver]],1,Table1[[AwayTeam]:[AwayTeam]],W$36, Table1[[HomeTeam]:[HomeTeam]],$A43))), "")</f>
        <v/>
      </c>
      <c r="X43" s="50" t="str">
        <f>IFERROR(((2 * (SUMIFS(Table1[[AwayWon]:[AwayWon]], Table1[[GameIsOver]:[GameIsOver]], 1, Table1[[AwayTeam]:[AwayTeam]], $A43, Table1[[HomeTeam]:[HomeTeam]], X$36) + SUMIFS(Table1[[HomeWon]:[HomeWon]], Table1[[GameIsOver]:[GameIsOver]], 1, Table1[[HomeTeam]:[HomeTeam]], $A43, Table1[[AwayTeam]:[AwayTeam]], X$36))) + (SUMIFS(Table1[[HomeWon]:[HomeWon]], Table1[[GameIsOver]:[GameIsOver]], 1, Table1[[AwayTeam]:[AwayTeam]], $A43, Table1[[HomeTeam]:[HomeTeam]],  X$36, Table1[[ActualResult]:[ActualResult]], "OT") + SUMIFS(Table1[[AwayWon]:[AwayWon]], Table1[[GameIsOver]:[GameIsOver]], 1, Table1[[HomeTeam]:[HomeTeam]], $A43, Table1[[AwayTeam]:[AwayTeam]], X$36, Table1[[ActualResult]:[ActualResult]], "OT") + SUMIFS(Table1[[HomeWon]:[HomeWon]], Table1[[GameIsOver]:[GameIsOver]], 1, Table1[[AwayTeam]:[AwayTeam]], $A43, Table1[[HomeTeam]:[HomeTeam]], X$36, Table1[[ActualResult]:[ActualResult]], "SO") + SUMIFS(Table1[[AwayWon]:[AwayWon]], Table1[[GameIsOver]:[GameIsOver]], 1, Table1[[HomeTeam]:[HomeTeam]], $A43, Table1[[AwayTeam]:[AwayTeam]], X$36, Table1[[ActualResult]:[ActualResult]], "SO")))/ (2*((COUNTIFS(Table1[[GameIsOver]:[GameIsOver]],1,Table1[[AwayTeam]:[AwayTeam]],$A43, Table1[[HomeTeam]:[HomeTeam]], X$36)))+( COUNTIFS(Table1[[GameIsOver]:[GameIsOver]],1,Table1[[AwayTeam]:[AwayTeam]],X$36, Table1[[HomeTeam]:[HomeTeam]],$A43))), "")</f>
        <v/>
      </c>
      <c r="Y43" s="52" t="str">
        <f>IFERROR(((2 * (SUMIFS(Table1[[AwayWon]:[AwayWon]], Table1[[GameIsOver]:[GameIsOver]], 1, Table1[[AwayTeam]:[AwayTeam]], $A43, Table1[[HomeTeam]:[HomeTeam]], Y$36) + SUMIFS(Table1[[HomeWon]:[HomeWon]], Table1[[GameIsOver]:[GameIsOver]], 1, Table1[[HomeTeam]:[HomeTeam]], $A43, Table1[[AwayTeam]:[AwayTeam]], Y$36))) + (SUMIFS(Table1[[HomeWon]:[HomeWon]], Table1[[GameIsOver]:[GameIsOver]], 1, Table1[[AwayTeam]:[AwayTeam]], $A43, Table1[[HomeTeam]:[HomeTeam]],  Y$36, Table1[[ActualResult]:[ActualResult]], "OT") + SUMIFS(Table1[[AwayWon]:[AwayWon]], Table1[[GameIsOver]:[GameIsOver]], 1, Table1[[HomeTeam]:[HomeTeam]], $A43, Table1[[AwayTeam]:[AwayTeam]], Y$36, Table1[[ActualResult]:[ActualResult]], "OT") + SUMIFS(Table1[[HomeWon]:[HomeWon]], Table1[[GameIsOver]:[GameIsOver]], 1, Table1[[AwayTeam]:[AwayTeam]], $A43, Table1[[HomeTeam]:[HomeTeam]], Y$36, Table1[[ActualResult]:[ActualResult]], "SO") + SUMIFS(Table1[[AwayWon]:[AwayWon]], Table1[[GameIsOver]:[GameIsOver]], 1, Table1[[HomeTeam]:[HomeTeam]], $A43, Table1[[AwayTeam]:[AwayTeam]], Y$36, Table1[[ActualResult]:[ActualResult]], "SO")))/ (2*((COUNTIFS(Table1[[GameIsOver]:[GameIsOver]],1,Table1[[AwayTeam]:[AwayTeam]],$A43, Table1[[HomeTeam]:[HomeTeam]], Y$36)))+( COUNTIFS(Table1[[GameIsOver]:[GameIsOver]],1,Table1[[AwayTeam]:[AwayTeam]],Y$36, Table1[[HomeTeam]:[HomeTeam]],$A43))), "")</f>
        <v/>
      </c>
      <c r="Z43" s="50" t="str">
        <f>IFERROR(((2 * (SUMIFS(Table1[[AwayWon]:[AwayWon]], Table1[[GameIsOver]:[GameIsOver]], 1, Table1[[AwayTeam]:[AwayTeam]], $A43, Table1[[HomeTeam]:[HomeTeam]], Z$36) + SUMIFS(Table1[[HomeWon]:[HomeWon]], Table1[[GameIsOver]:[GameIsOver]], 1, Table1[[HomeTeam]:[HomeTeam]], $A43, Table1[[AwayTeam]:[AwayTeam]], Z$36))) + (SUMIFS(Table1[[HomeWon]:[HomeWon]], Table1[[GameIsOver]:[GameIsOver]], 1, Table1[[AwayTeam]:[AwayTeam]], $A43, Table1[[HomeTeam]:[HomeTeam]],  Z$36, Table1[[ActualResult]:[ActualResult]], "OT") + SUMIFS(Table1[[AwayWon]:[AwayWon]], Table1[[GameIsOver]:[GameIsOver]], 1, Table1[[HomeTeam]:[HomeTeam]], $A43, Table1[[AwayTeam]:[AwayTeam]], Z$36, Table1[[ActualResult]:[ActualResult]], "OT") + SUMIFS(Table1[[HomeWon]:[HomeWon]], Table1[[GameIsOver]:[GameIsOver]], 1, Table1[[AwayTeam]:[AwayTeam]], $A43, Table1[[HomeTeam]:[HomeTeam]], Z$36, Table1[[ActualResult]:[ActualResult]], "SO") + SUMIFS(Table1[[AwayWon]:[AwayWon]], Table1[[GameIsOver]:[GameIsOver]], 1, Table1[[HomeTeam]:[HomeTeam]], $A43, Table1[[AwayTeam]:[AwayTeam]], Z$36, Table1[[ActualResult]:[ActualResult]], "SO")))/ (2*((COUNTIFS(Table1[[GameIsOver]:[GameIsOver]],1,Table1[[AwayTeam]:[AwayTeam]],$A43, Table1[[HomeTeam]:[HomeTeam]], Z$36)))+( COUNTIFS(Table1[[GameIsOver]:[GameIsOver]],1,Table1[[AwayTeam]:[AwayTeam]],Z$36, Table1[[HomeTeam]:[HomeTeam]],$A43))), "")</f>
        <v/>
      </c>
      <c r="AA43" s="50" t="str">
        <f>IFERROR(((2 * (SUMIFS(Table1[[AwayWon]:[AwayWon]], Table1[[GameIsOver]:[GameIsOver]], 1, Table1[[AwayTeam]:[AwayTeam]], $A43, Table1[[HomeTeam]:[HomeTeam]], AA$36) + SUMIFS(Table1[[HomeWon]:[HomeWon]], Table1[[GameIsOver]:[GameIsOver]], 1, Table1[[HomeTeam]:[HomeTeam]], $A43, Table1[[AwayTeam]:[AwayTeam]], AA$36))) + (SUMIFS(Table1[[HomeWon]:[HomeWon]], Table1[[GameIsOver]:[GameIsOver]], 1, Table1[[AwayTeam]:[AwayTeam]], $A43, Table1[[HomeTeam]:[HomeTeam]],  AA$36, Table1[[ActualResult]:[ActualResult]], "OT") + SUMIFS(Table1[[AwayWon]:[AwayWon]], Table1[[GameIsOver]:[GameIsOver]], 1, Table1[[HomeTeam]:[HomeTeam]], $A43, Table1[[AwayTeam]:[AwayTeam]], AA$36, Table1[[ActualResult]:[ActualResult]], "OT") + SUMIFS(Table1[[HomeWon]:[HomeWon]], Table1[[GameIsOver]:[GameIsOver]], 1, Table1[[AwayTeam]:[AwayTeam]], $A43, Table1[[HomeTeam]:[HomeTeam]], AA$36, Table1[[ActualResult]:[ActualResult]], "SO") + SUMIFS(Table1[[AwayWon]:[AwayWon]], Table1[[GameIsOver]:[GameIsOver]], 1, Table1[[HomeTeam]:[HomeTeam]], $A43, Table1[[AwayTeam]:[AwayTeam]], AA$36, Table1[[ActualResult]:[ActualResult]], "SO")))/ (2*((COUNTIFS(Table1[[GameIsOver]:[GameIsOver]],1,Table1[[AwayTeam]:[AwayTeam]],$A43, Table1[[HomeTeam]:[HomeTeam]], AA$36)))+( COUNTIFS(Table1[[GameIsOver]:[GameIsOver]],1,Table1[[AwayTeam]:[AwayTeam]],AA$36, Table1[[HomeTeam]:[HomeTeam]],$A43))), "")</f>
        <v/>
      </c>
      <c r="AB43" s="50" t="str">
        <f>IFERROR(((2 * (SUMIFS(Table1[[AwayWon]:[AwayWon]], Table1[[GameIsOver]:[GameIsOver]], 1, Table1[[AwayTeam]:[AwayTeam]], $A43, Table1[[HomeTeam]:[HomeTeam]], AB$36) + SUMIFS(Table1[[HomeWon]:[HomeWon]], Table1[[GameIsOver]:[GameIsOver]], 1, Table1[[HomeTeam]:[HomeTeam]], $A43, Table1[[AwayTeam]:[AwayTeam]], AB$36))) + (SUMIFS(Table1[[HomeWon]:[HomeWon]], Table1[[GameIsOver]:[GameIsOver]], 1, Table1[[AwayTeam]:[AwayTeam]], $A43, Table1[[HomeTeam]:[HomeTeam]],  AB$36, Table1[[ActualResult]:[ActualResult]], "OT") + SUMIFS(Table1[[AwayWon]:[AwayWon]], Table1[[GameIsOver]:[GameIsOver]], 1, Table1[[HomeTeam]:[HomeTeam]], $A43, Table1[[AwayTeam]:[AwayTeam]], AB$36, Table1[[ActualResult]:[ActualResult]], "OT") + SUMIFS(Table1[[HomeWon]:[HomeWon]], Table1[[GameIsOver]:[GameIsOver]], 1, Table1[[AwayTeam]:[AwayTeam]], $A43, Table1[[HomeTeam]:[HomeTeam]], AB$36, Table1[[ActualResult]:[ActualResult]], "SO") + SUMIFS(Table1[[AwayWon]:[AwayWon]], Table1[[GameIsOver]:[GameIsOver]], 1, Table1[[HomeTeam]:[HomeTeam]], $A43, Table1[[AwayTeam]:[AwayTeam]], AB$36, Table1[[ActualResult]:[ActualResult]], "SO")))/ (2*((COUNTIFS(Table1[[GameIsOver]:[GameIsOver]],1,Table1[[AwayTeam]:[AwayTeam]],$A43, Table1[[HomeTeam]:[HomeTeam]], AB$36)))+( COUNTIFS(Table1[[GameIsOver]:[GameIsOver]],1,Table1[[AwayTeam]:[AwayTeam]],AB$36, Table1[[HomeTeam]:[HomeTeam]],$A43))), "")</f>
        <v/>
      </c>
      <c r="AC43" s="50" t="str">
        <f>IFERROR(((2 * (SUMIFS(Table1[[AwayWon]:[AwayWon]], Table1[[GameIsOver]:[GameIsOver]], 1, Table1[[AwayTeam]:[AwayTeam]], $A43, Table1[[HomeTeam]:[HomeTeam]], AC$36) + SUMIFS(Table1[[HomeWon]:[HomeWon]], Table1[[GameIsOver]:[GameIsOver]], 1, Table1[[HomeTeam]:[HomeTeam]], $A43, Table1[[AwayTeam]:[AwayTeam]], AC$36))) + (SUMIFS(Table1[[HomeWon]:[HomeWon]], Table1[[GameIsOver]:[GameIsOver]], 1, Table1[[AwayTeam]:[AwayTeam]], $A43, Table1[[HomeTeam]:[HomeTeam]],  AC$36, Table1[[ActualResult]:[ActualResult]], "OT") + SUMIFS(Table1[[AwayWon]:[AwayWon]], Table1[[GameIsOver]:[GameIsOver]], 1, Table1[[HomeTeam]:[HomeTeam]], $A43, Table1[[AwayTeam]:[AwayTeam]], AC$36, Table1[[ActualResult]:[ActualResult]], "OT") + SUMIFS(Table1[[HomeWon]:[HomeWon]], Table1[[GameIsOver]:[GameIsOver]], 1, Table1[[AwayTeam]:[AwayTeam]], $A43, Table1[[HomeTeam]:[HomeTeam]], AC$36, Table1[[ActualResult]:[ActualResult]], "SO") + SUMIFS(Table1[[AwayWon]:[AwayWon]], Table1[[GameIsOver]:[GameIsOver]], 1, Table1[[HomeTeam]:[HomeTeam]], $A43, Table1[[AwayTeam]:[AwayTeam]], AC$36, Table1[[ActualResult]:[ActualResult]], "SO")))/ (2*((COUNTIFS(Table1[[GameIsOver]:[GameIsOver]],1,Table1[[AwayTeam]:[AwayTeam]],$A43, Table1[[HomeTeam]:[HomeTeam]], AC$36)))+( COUNTIFS(Table1[[GameIsOver]:[GameIsOver]],1,Table1[[AwayTeam]:[AwayTeam]],AC$36, Table1[[HomeTeam]:[HomeTeam]],$A43))), "")</f>
        <v/>
      </c>
      <c r="AD43" s="50" t="str">
        <f>IFERROR(((2 * (SUMIFS(Table1[[AwayWon]:[AwayWon]], Table1[[GameIsOver]:[GameIsOver]], 1, Table1[[AwayTeam]:[AwayTeam]], $A43, Table1[[HomeTeam]:[HomeTeam]], AD$36) + SUMIFS(Table1[[HomeWon]:[HomeWon]], Table1[[GameIsOver]:[GameIsOver]], 1, Table1[[HomeTeam]:[HomeTeam]], $A43, Table1[[AwayTeam]:[AwayTeam]], AD$36))) + (SUMIFS(Table1[[HomeWon]:[HomeWon]], Table1[[GameIsOver]:[GameIsOver]], 1, Table1[[AwayTeam]:[AwayTeam]], $A43, Table1[[HomeTeam]:[HomeTeam]],  AD$36, Table1[[ActualResult]:[ActualResult]], "OT") + SUMIFS(Table1[[AwayWon]:[AwayWon]], Table1[[GameIsOver]:[GameIsOver]], 1, Table1[[HomeTeam]:[HomeTeam]], $A43, Table1[[AwayTeam]:[AwayTeam]], AD$36, Table1[[ActualResult]:[ActualResult]], "OT") + SUMIFS(Table1[[HomeWon]:[HomeWon]], Table1[[GameIsOver]:[GameIsOver]], 1, Table1[[AwayTeam]:[AwayTeam]], $A43, Table1[[HomeTeam]:[HomeTeam]], AD$36, Table1[[ActualResult]:[ActualResult]], "SO") + SUMIFS(Table1[[AwayWon]:[AwayWon]], Table1[[GameIsOver]:[GameIsOver]], 1, Table1[[HomeTeam]:[HomeTeam]], $A43, Table1[[AwayTeam]:[AwayTeam]], AD$36, Table1[[ActualResult]:[ActualResult]], "SO")))/ (2*((COUNTIFS(Table1[[GameIsOver]:[GameIsOver]],1,Table1[[AwayTeam]:[AwayTeam]],$A43, Table1[[HomeTeam]:[HomeTeam]], AD$36)))+( COUNTIFS(Table1[[GameIsOver]:[GameIsOver]],1,Table1[[AwayTeam]:[AwayTeam]],AD$36, Table1[[HomeTeam]:[HomeTeam]],$A43))), "")</f>
        <v/>
      </c>
      <c r="AE43" s="50" t="str">
        <f>IFERROR(((2 * (SUMIFS(Table1[[AwayWon]:[AwayWon]], Table1[[GameIsOver]:[GameIsOver]], 1, Table1[[AwayTeam]:[AwayTeam]], $A43, Table1[[HomeTeam]:[HomeTeam]], AE$36) + SUMIFS(Table1[[HomeWon]:[HomeWon]], Table1[[GameIsOver]:[GameIsOver]], 1, Table1[[HomeTeam]:[HomeTeam]], $A43, Table1[[AwayTeam]:[AwayTeam]], AE$36))) + (SUMIFS(Table1[[HomeWon]:[HomeWon]], Table1[[GameIsOver]:[GameIsOver]], 1, Table1[[AwayTeam]:[AwayTeam]], $A43, Table1[[HomeTeam]:[HomeTeam]],  AE$36, Table1[[ActualResult]:[ActualResult]], "OT") + SUMIFS(Table1[[AwayWon]:[AwayWon]], Table1[[GameIsOver]:[GameIsOver]], 1, Table1[[HomeTeam]:[HomeTeam]], $A43, Table1[[AwayTeam]:[AwayTeam]], AE$36, Table1[[ActualResult]:[ActualResult]], "OT") + SUMIFS(Table1[[HomeWon]:[HomeWon]], Table1[[GameIsOver]:[GameIsOver]], 1, Table1[[AwayTeam]:[AwayTeam]], $A43, Table1[[HomeTeam]:[HomeTeam]], AE$36, Table1[[ActualResult]:[ActualResult]], "SO") + SUMIFS(Table1[[AwayWon]:[AwayWon]], Table1[[GameIsOver]:[GameIsOver]], 1, Table1[[HomeTeam]:[HomeTeam]], $A43, Table1[[AwayTeam]:[AwayTeam]], AE$36, Table1[[ActualResult]:[ActualResult]], "SO")))/ (2*((COUNTIFS(Table1[[GameIsOver]:[GameIsOver]],1,Table1[[AwayTeam]:[AwayTeam]],$A43, Table1[[HomeTeam]:[HomeTeam]], AE$36)))+( COUNTIFS(Table1[[GameIsOver]:[GameIsOver]],1,Table1[[AwayTeam]:[AwayTeam]],AE$36, Table1[[HomeTeam]:[HomeTeam]],$A43))), "")</f>
        <v/>
      </c>
      <c r="AF43" s="50" t="str">
        <f>IFERROR(((2 * (SUMIFS(Table1[[AwayWon]:[AwayWon]], Table1[[GameIsOver]:[GameIsOver]], 1, Table1[[AwayTeam]:[AwayTeam]], $A43, Table1[[HomeTeam]:[HomeTeam]], AF$36) + SUMIFS(Table1[[HomeWon]:[HomeWon]], Table1[[GameIsOver]:[GameIsOver]], 1, Table1[[HomeTeam]:[HomeTeam]], $A43, Table1[[AwayTeam]:[AwayTeam]], AF$36))) + (SUMIFS(Table1[[HomeWon]:[HomeWon]], Table1[[GameIsOver]:[GameIsOver]], 1, Table1[[AwayTeam]:[AwayTeam]], $A43, Table1[[HomeTeam]:[HomeTeam]],  AF$36, Table1[[ActualResult]:[ActualResult]], "OT") + SUMIFS(Table1[[AwayWon]:[AwayWon]], Table1[[GameIsOver]:[GameIsOver]], 1, Table1[[HomeTeam]:[HomeTeam]], $A43, Table1[[AwayTeam]:[AwayTeam]], AF$36, Table1[[ActualResult]:[ActualResult]], "OT") + SUMIFS(Table1[[HomeWon]:[HomeWon]], Table1[[GameIsOver]:[GameIsOver]], 1, Table1[[AwayTeam]:[AwayTeam]], $A43, Table1[[HomeTeam]:[HomeTeam]], AF$36, Table1[[ActualResult]:[ActualResult]], "SO") + SUMIFS(Table1[[AwayWon]:[AwayWon]], Table1[[GameIsOver]:[GameIsOver]], 1, Table1[[HomeTeam]:[HomeTeam]], $A43, Table1[[AwayTeam]:[AwayTeam]], AF$36, Table1[[ActualResult]:[ActualResult]], "SO")))/ (2*((COUNTIFS(Table1[[GameIsOver]:[GameIsOver]],1,Table1[[AwayTeam]:[AwayTeam]],$A43, Table1[[HomeTeam]:[HomeTeam]], AF$36)))+( COUNTIFS(Table1[[GameIsOver]:[GameIsOver]],1,Table1[[AwayTeam]:[AwayTeam]],AF$36, Table1[[HomeTeam]:[HomeTeam]],$A43))), "")</f>
        <v/>
      </c>
      <c r="AG43" s="50" t="str">
        <f>IFERROR(((2 * (SUMIFS(Table1[[AwayWon]:[AwayWon]], Table1[[GameIsOver]:[GameIsOver]], 1, Table1[[AwayTeam]:[AwayTeam]], $A43, Table1[[HomeTeam]:[HomeTeam]], AG$36) + SUMIFS(Table1[[HomeWon]:[HomeWon]], Table1[[GameIsOver]:[GameIsOver]], 1, Table1[[HomeTeam]:[HomeTeam]], $A43, Table1[[AwayTeam]:[AwayTeam]], AG$36))) + (SUMIFS(Table1[[HomeWon]:[HomeWon]], Table1[[GameIsOver]:[GameIsOver]], 1, Table1[[AwayTeam]:[AwayTeam]], $A43, Table1[[HomeTeam]:[HomeTeam]],  AG$36, Table1[[ActualResult]:[ActualResult]], "OT") + SUMIFS(Table1[[AwayWon]:[AwayWon]], Table1[[GameIsOver]:[GameIsOver]], 1, Table1[[HomeTeam]:[HomeTeam]], $A43, Table1[[AwayTeam]:[AwayTeam]], AG$36, Table1[[ActualResult]:[ActualResult]], "OT") + SUMIFS(Table1[[HomeWon]:[HomeWon]], Table1[[GameIsOver]:[GameIsOver]], 1, Table1[[AwayTeam]:[AwayTeam]], $A43, Table1[[HomeTeam]:[HomeTeam]], AG$36, Table1[[ActualResult]:[ActualResult]], "SO") + SUMIFS(Table1[[AwayWon]:[AwayWon]], Table1[[GameIsOver]:[GameIsOver]], 1, Table1[[HomeTeam]:[HomeTeam]], $A43, Table1[[AwayTeam]:[AwayTeam]], AG$36, Table1[[ActualResult]:[ActualResult]], "SO")))/ (2*((COUNTIFS(Table1[[GameIsOver]:[GameIsOver]],1,Table1[[AwayTeam]:[AwayTeam]],$A43, Table1[[HomeTeam]:[HomeTeam]], AG$36)))+( COUNTIFS(Table1[[GameIsOver]:[GameIsOver]],1,Table1[[AwayTeam]:[AwayTeam]],AG$36, Table1[[HomeTeam]:[HomeTeam]],$A43))), "")</f>
        <v/>
      </c>
      <c r="AH43" s="51" t="e">
        <f t="shared" si="0"/>
        <v>#DIV/0!</v>
      </c>
      <c r="AI43" s="51">
        <f t="shared" si="1"/>
        <v>0</v>
      </c>
      <c r="AJ43" s="52" t="e">
        <f t="shared" si="2"/>
        <v>#DIV/0!</v>
      </c>
      <c r="AK43" s="52" t="e">
        <f t="shared" si="3"/>
        <v>#DIV/0!</v>
      </c>
      <c r="AL43" s="52" t="e">
        <f t="shared" si="4"/>
        <v>#DIV/0!</v>
      </c>
      <c r="AM43" s="52">
        <f t="shared" si="5"/>
        <v>0</v>
      </c>
    </row>
    <row r="44" spans="1:39" ht="15.75" thickBot="1" x14ac:dyDescent="0.3">
      <c r="A44" s="29" t="s">
        <v>25</v>
      </c>
      <c r="B44" s="53" t="str">
        <f>IFERROR(((2 * (SUMIFS(Table1[[AwayWon]:[AwayWon]], Table1[[GameIsOver]:[GameIsOver]], 1, Table1[[AwayTeam]:[AwayTeam]], $A44, Table1[[HomeTeam]:[HomeTeam]], B$36) + SUMIFS(Table1[[HomeWon]:[HomeWon]], Table1[[GameIsOver]:[GameIsOver]], 1, Table1[[HomeTeam]:[HomeTeam]], $A44, Table1[[AwayTeam]:[AwayTeam]], B$36))) + (SUMIFS(Table1[[HomeWon]:[HomeWon]], Table1[[GameIsOver]:[GameIsOver]], 1, Table1[[AwayTeam]:[AwayTeam]], $A44, Table1[[HomeTeam]:[HomeTeam]],  B$36, Table1[[ActualResult]:[ActualResult]], "OT") + SUMIFS(Table1[[AwayWon]:[AwayWon]], Table1[[GameIsOver]:[GameIsOver]], 1, Table1[[HomeTeam]:[HomeTeam]], $A44, Table1[[AwayTeam]:[AwayTeam]], B$36, Table1[[ActualResult]:[ActualResult]], "OT") + SUMIFS(Table1[[HomeWon]:[HomeWon]], Table1[[GameIsOver]:[GameIsOver]], 1, Table1[[AwayTeam]:[AwayTeam]], $A44, Table1[[HomeTeam]:[HomeTeam]], B$36, Table1[[ActualResult]:[ActualResult]], "SO") + SUMIFS(Table1[[AwayWon]:[AwayWon]], Table1[[GameIsOver]:[GameIsOver]], 1, Table1[[HomeTeam]:[HomeTeam]], $A44, Table1[[AwayTeam]:[AwayTeam]], B$36, Table1[[ActualResult]:[ActualResult]], "SO")))/ (2*((COUNTIFS(Table1[[GameIsOver]:[GameIsOver]],1,Table1[[AwayTeam]:[AwayTeam]],$A44, Table1[[HomeTeam]:[HomeTeam]], B$36)))+( COUNTIFS(Table1[[GameIsOver]:[GameIsOver]],1,Table1[[AwayTeam]:[AwayTeam]],B$36, Table1[[HomeTeam]:[HomeTeam]],$A44))), "")</f>
        <v/>
      </c>
      <c r="C44" s="54" t="str">
        <f>IFERROR(((2 * (SUMIFS(Table1[[AwayWon]:[AwayWon]], Table1[[GameIsOver]:[GameIsOver]], 1, Table1[[AwayTeam]:[AwayTeam]], $A44, Table1[[HomeTeam]:[HomeTeam]], C$36) + SUMIFS(Table1[[HomeWon]:[HomeWon]], Table1[[GameIsOver]:[GameIsOver]], 1, Table1[[HomeTeam]:[HomeTeam]], $A44, Table1[[AwayTeam]:[AwayTeam]], C$36))) + (SUMIFS(Table1[[HomeWon]:[HomeWon]], Table1[[GameIsOver]:[GameIsOver]], 1, Table1[[AwayTeam]:[AwayTeam]], $A44, Table1[[HomeTeam]:[HomeTeam]],  C$36, Table1[[ActualResult]:[ActualResult]], "OT") + SUMIFS(Table1[[AwayWon]:[AwayWon]], Table1[[GameIsOver]:[GameIsOver]], 1, Table1[[HomeTeam]:[HomeTeam]], $A44, Table1[[AwayTeam]:[AwayTeam]], C$36, Table1[[ActualResult]:[ActualResult]], "OT") + SUMIFS(Table1[[HomeWon]:[HomeWon]], Table1[[GameIsOver]:[GameIsOver]], 1, Table1[[AwayTeam]:[AwayTeam]], $A44, Table1[[HomeTeam]:[HomeTeam]], C$36, Table1[[ActualResult]:[ActualResult]], "SO") + SUMIFS(Table1[[AwayWon]:[AwayWon]], Table1[[GameIsOver]:[GameIsOver]], 1, Table1[[HomeTeam]:[HomeTeam]], $A44, Table1[[AwayTeam]:[AwayTeam]], C$36, Table1[[ActualResult]:[ActualResult]], "SO")))/ (2*((COUNTIFS(Table1[[GameIsOver]:[GameIsOver]],1,Table1[[AwayTeam]:[AwayTeam]],$A44, Table1[[HomeTeam]:[HomeTeam]], C$36)))+( COUNTIFS(Table1[[GameIsOver]:[GameIsOver]],1,Table1[[AwayTeam]:[AwayTeam]],C$36, Table1[[HomeTeam]:[HomeTeam]],$A44))), "")</f>
        <v/>
      </c>
      <c r="D44" s="54" t="str">
        <f>IFERROR(((2 * (SUMIFS(Table1[[AwayWon]:[AwayWon]], Table1[[GameIsOver]:[GameIsOver]], 1, Table1[[AwayTeam]:[AwayTeam]], $A44, Table1[[HomeTeam]:[HomeTeam]], D$36) + SUMIFS(Table1[[HomeWon]:[HomeWon]], Table1[[GameIsOver]:[GameIsOver]], 1, Table1[[HomeTeam]:[HomeTeam]], $A44, Table1[[AwayTeam]:[AwayTeam]], D$36))) + (SUMIFS(Table1[[HomeWon]:[HomeWon]], Table1[[GameIsOver]:[GameIsOver]], 1, Table1[[AwayTeam]:[AwayTeam]], $A44, Table1[[HomeTeam]:[HomeTeam]],  D$36, Table1[[ActualResult]:[ActualResult]], "OT") + SUMIFS(Table1[[AwayWon]:[AwayWon]], Table1[[GameIsOver]:[GameIsOver]], 1, Table1[[HomeTeam]:[HomeTeam]], $A44, Table1[[AwayTeam]:[AwayTeam]], D$36, Table1[[ActualResult]:[ActualResult]], "OT") + SUMIFS(Table1[[HomeWon]:[HomeWon]], Table1[[GameIsOver]:[GameIsOver]], 1, Table1[[AwayTeam]:[AwayTeam]], $A44, Table1[[HomeTeam]:[HomeTeam]], D$36, Table1[[ActualResult]:[ActualResult]], "SO") + SUMIFS(Table1[[AwayWon]:[AwayWon]], Table1[[GameIsOver]:[GameIsOver]], 1, Table1[[HomeTeam]:[HomeTeam]], $A44, Table1[[AwayTeam]:[AwayTeam]], D$36, Table1[[ActualResult]:[ActualResult]], "SO")))/ (2*((COUNTIFS(Table1[[GameIsOver]:[GameIsOver]],1,Table1[[AwayTeam]:[AwayTeam]],$A44, Table1[[HomeTeam]:[HomeTeam]], D$36)))+( COUNTIFS(Table1[[GameIsOver]:[GameIsOver]],1,Table1[[AwayTeam]:[AwayTeam]],D$36, Table1[[HomeTeam]:[HomeTeam]],$A44))), "")</f>
        <v/>
      </c>
      <c r="E44" s="54" t="str">
        <f>IFERROR(((2 * (SUMIFS(Table1[[AwayWon]:[AwayWon]], Table1[[GameIsOver]:[GameIsOver]], 1, Table1[[AwayTeam]:[AwayTeam]], $A44, Table1[[HomeTeam]:[HomeTeam]], E$36) + SUMIFS(Table1[[HomeWon]:[HomeWon]], Table1[[GameIsOver]:[GameIsOver]], 1, Table1[[HomeTeam]:[HomeTeam]], $A44, Table1[[AwayTeam]:[AwayTeam]], E$36))) + (SUMIFS(Table1[[HomeWon]:[HomeWon]], Table1[[GameIsOver]:[GameIsOver]], 1, Table1[[AwayTeam]:[AwayTeam]], $A44, Table1[[HomeTeam]:[HomeTeam]],  E$36, Table1[[ActualResult]:[ActualResult]], "OT") + SUMIFS(Table1[[AwayWon]:[AwayWon]], Table1[[GameIsOver]:[GameIsOver]], 1, Table1[[HomeTeam]:[HomeTeam]], $A44, Table1[[AwayTeam]:[AwayTeam]], E$36, Table1[[ActualResult]:[ActualResult]], "OT") + SUMIFS(Table1[[HomeWon]:[HomeWon]], Table1[[GameIsOver]:[GameIsOver]], 1, Table1[[AwayTeam]:[AwayTeam]], $A44, Table1[[HomeTeam]:[HomeTeam]], E$36, Table1[[ActualResult]:[ActualResult]], "SO") + SUMIFS(Table1[[AwayWon]:[AwayWon]], Table1[[GameIsOver]:[GameIsOver]], 1, Table1[[HomeTeam]:[HomeTeam]], $A44, Table1[[AwayTeam]:[AwayTeam]], E$36, Table1[[ActualResult]:[ActualResult]], "SO")))/ (2*((COUNTIFS(Table1[[GameIsOver]:[GameIsOver]],1,Table1[[AwayTeam]:[AwayTeam]],$A44, Table1[[HomeTeam]:[HomeTeam]], E$36)))+( COUNTIFS(Table1[[GameIsOver]:[GameIsOver]],1,Table1[[AwayTeam]:[AwayTeam]],E$36, Table1[[HomeTeam]:[HomeTeam]],$A44))), "")</f>
        <v/>
      </c>
      <c r="F44" s="54" t="str">
        <f>IFERROR(((2 * (SUMIFS(Table1[[AwayWon]:[AwayWon]], Table1[[GameIsOver]:[GameIsOver]], 1, Table1[[AwayTeam]:[AwayTeam]], $A44, Table1[[HomeTeam]:[HomeTeam]], F$36) + SUMIFS(Table1[[HomeWon]:[HomeWon]], Table1[[GameIsOver]:[GameIsOver]], 1, Table1[[HomeTeam]:[HomeTeam]], $A44, Table1[[AwayTeam]:[AwayTeam]], F$36))) + (SUMIFS(Table1[[HomeWon]:[HomeWon]], Table1[[GameIsOver]:[GameIsOver]], 1, Table1[[AwayTeam]:[AwayTeam]], $A44, Table1[[HomeTeam]:[HomeTeam]],  F$36, Table1[[ActualResult]:[ActualResult]], "OT") + SUMIFS(Table1[[AwayWon]:[AwayWon]], Table1[[GameIsOver]:[GameIsOver]], 1, Table1[[HomeTeam]:[HomeTeam]], $A44, Table1[[AwayTeam]:[AwayTeam]], F$36, Table1[[ActualResult]:[ActualResult]], "OT") + SUMIFS(Table1[[HomeWon]:[HomeWon]], Table1[[GameIsOver]:[GameIsOver]], 1, Table1[[AwayTeam]:[AwayTeam]], $A44, Table1[[HomeTeam]:[HomeTeam]], F$36, Table1[[ActualResult]:[ActualResult]], "SO") + SUMIFS(Table1[[AwayWon]:[AwayWon]], Table1[[GameIsOver]:[GameIsOver]], 1, Table1[[HomeTeam]:[HomeTeam]], $A44, Table1[[AwayTeam]:[AwayTeam]], F$36, Table1[[ActualResult]:[ActualResult]], "SO")))/ (2*((COUNTIFS(Table1[[GameIsOver]:[GameIsOver]],1,Table1[[AwayTeam]:[AwayTeam]],$A44, Table1[[HomeTeam]:[HomeTeam]], F$36)))+( COUNTIFS(Table1[[GameIsOver]:[GameIsOver]],1,Table1[[AwayTeam]:[AwayTeam]],F$36, Table1[[HomeTeam]:[HomeTeam]],$A44))), "")</f>
        <v/>
      </c>
      <c r="G44" s="54" t="str">
        <f>IFERROR(((2 * (SUMIFS(Table1[[AwayWon]:[AwayWon]], Table1[[GameIsOver]:[GameIsOver]], 1, Table1[[AwayTeam]:[AwayTeam]], $A44, Table1[[HomeTeam]:[HomeTeam]], G$36) + SUMIFS(Table1[[HomeWon]:[HomeWon]], Table1[[GameIsOver]:[GameIsOver]], 1, Table1[[HomeTeam]:[HomeTeam]], $A44, Table1[[AwayTeam]:[AwayTeam]], G$36))) + (SUMIFS(Table1[[HomeWon]:[HomeWon]], Table1[[GameIsOver]:[GameIsOver]], 1, Table1[[AwayTeam]:[AwayTeam]], $A44, Table1[[HomeTeam]:[HomeTeam]],  G$36, Table1[[ActualResult]:[ActualResult]], "OT") + SUMIFS(Table1[[AwayWon]:[AwayWon]], Table1[[GameIsOver]:[GameIsOver]], 1, Table1[[HomeTeam]:[HomeTeam]], $A44, Table1[[AwayTeam]:[AwayTeam]], G$36, Table1[[ActualResult]:[ActualResult]], "OT") + SUMIFS(Table1[[HomeWon]:[HomeWon]], Table1[[GameIsOver]:[GameIsOver]], 1, Table1[[AwayTeam]:[AwayTeam]], $A44, Table1[[HomeTeam]:[HomeTeam]], G$36, Table1[[ActualResult]:[ActualResult]], "SO") + SUMIFS(Table1[[AwayWon]:[AwayWon]], Table1[[GameIsOver]:[GameIsOver]], 1, Table1[[HomeTeam]:[HomeTeam]], $A44, Table1[[AwayTeam]:[AwayTeam]], G$36, Table1[[ActualResult]:[ActualResult]], "SO")))/ (2*((COUNTIFS(Table1[[GameIsOver]:[GameIsOver]],1,Table1[[AwayTeam]:[AwayTeam]],$A44, Table1[[HomeTeam]:[HomeTeam]], G$36)))+( COUNTIFS(Table1[[GameIsOver]:[GameIsOver]],1,Table1[[AwayTeam]:[AwayTeam]],G$36, Table1[[HomeTeam]:[HomeTeam]],$A44))), "")</f>
        <v/>
      </c>
      <c r="H44" s="54">
        <f>IFERROR(((2 * (SUMIFS(Table1[[AwayWon]:[AwayWon]], Table1[[GameIsOver]:[GameIsOver]], 1, Table1[[AwayTeam]:[AwayTeam]], $A44, Table1[[HomeTeam]:[HomeTeam]], H$36) + SUMIFS(Table1[[HomeWon]:[HomeWon]], Table1[[GameIsOver]:[GameIsOver]], 1, Table1[[HomeTeam]:[HomeTeam]], $A44, Table1[[AwayTeam]:[AwayTeam]], H$36))) + (SUMIFS(Table1[[HomeWon]:[HomeWon]], Table1[[GameIsOver]:[GameIsOver]], 1, Table1[[AwayTeam]:[AwayTeam]], $A44, Table1[[HomeTeam]:[HomeTeam]],  H$36, Table1[[ActualResult]:[ActualResult]], "OT") + SUMIFS(Table1[[AwayWon]:[AwayWon]], Table1[[GameIsOver]:[GameIsOver]], 1, Table1[[HomeTeam]:[HomeTeam]], $A44, Table1[[AwayTeam]:[AwayTeam]], H$36, Table1[[ActualResult]:[ActualResult]], "OT") + SUMIFS(Table1[[HomeWon]:[HomeWon]], Table1[[GameIsOver]:[GameIsOver]], 1, Table1[[AwayTeam]:[AwayTeam]], $A44, Table1[[HomeTeam]:[HomeTeam]], H$36, Table1[[ActualResult]:[ActualResult]], "SO") + SUMIFS(Table1[[AwayWon]:[AwayWon]], Table1[[GameIsOver]:[GameIsOver]], 1, Table1[[HomeTeam]:[HomeTeam]], $A44, Table1[[AwayTeam]:[AwayTeam]], H$36, Table1[[ActualResult]:[ActualResult]], "SO")))/ (2*((COUNTIFS(Table1[[GameIsOver]:[GameIsOver]],1,Table1[[AwayTeam]:[AwayTeam]],$A44, Table1[[HomeTeam]:[HomeTeam]], H$36)))+( COUNTIFS(Table1[[GameIsOver]:[GameIsOver]],1,Table1[[AwayTeam]:[AwayTeam]],H$36, Table1[[HomeTeam]:[HomeTeam]],$A44))), "")</f>
        <v>1</v>
      </c>
      <c r="I44" s="56" t="str">
        <f>IFERROR(((2 * (SUMIFS(Table1[[AwayWon]:[AwayWon]], Table1[[GameIsOver]:[GameIsOver]], 1, Table1[[AwayTeam]:[AwayTeam]], $A44, Table1[[HomeTeam]:[HomeTeam]], I$36) + SUMIFS(Table1[[HomeWon]:[HomeWon]], Table1[[GameIsOver]:[GameIsOver]], 1, Table1[[HomeTeam]:[HomeTeam]], $A44, Table1[[AwayTeam]:[AwayTeam]], I$36))) + (SUMIFS(Table1[[HomeWon]:[HomeWon]], Table1[[GameIsOver]:[GameIsOver]], 1, Table1[[AwayTeam]:[AwayTeam]], $A44, Table1[[HomeTeam]:[HomeTeam]],  I$36, Table1[[ActualResult]:[ActualResult]], "OT") + SUMIFS(Table1[[AwayWon]:[AwayWon]], Table1[[GameIsOver]:[GameIsOver]], 1, Table1[[HomeTeam]:[HomeTeam]], $A44, Table1[[AwayTeam]:[AwayTeam]], I$36, Table1[[ActualResult]:[ActualResult]], "OT") + SUMIFS(Table1[[HomeWon]:[HomeWon]], Table1[[GameIsOver]:[GameIsOver]], 1, Table1[[AwayTeam]:[AwayTeam]], $A44, Table1[[HomeTeam]:[HomeTeam]], I$36, Table1[[ActualResult]:[ActualResult]], "SO") + SUMIFS(Table1[[AwayWon]:[AwayWon]], Table1[[GameIsOver]:[GameIsOver]], 1, Table1[[HomeTeam]:[HomeTeam]], $A44, Table1[[AwayTeam]:[AwayTeam]], I$36, Table1[[ActualResult]:[ActualResult]], "SO")))/ (2*((COUNTIFS(Table1[[GameIsOver]:[GameIsOver]],1,Table1[[AwayTeam]:[AwayTeam]],$A44, Table1[[HomeTeam]:[HomeTeam]], I$36)))+( COUNTIFS(Table1[[GameIsOver]:[GameIsOver]],1,Table1[[AwayTeam]:[AwayTeam]],I$36, Table1[[HomeTeam]:[HomeTeam]],$A44))), "")</f>
        <v/>
      </c>
      <c r="J44" s="54" t="str">
        <f>IFERROR(((2 * (SUMIFS(Table1[[AwayWon]:[AwayWon]], Table1[[GameIsOver]:[GameIsOver]], 1, Table1[[AwayTeam]:[AwayTeam]], $A44, Table1[[HomeTeam]:[HomeTeam]], J$36) + SUMIFS(Table1[[HomeWon]:[HomeWon]], Table1[[GameIsOver]:[GameIsOver]], 1, Table1[[HomeTeam]:[HomeTeam]], $A44, Table1[[AwayTeam]:[AwayTeam]], J$36))) + (SUMIFS(Table1[[HomeWon]:[HomeWon]], Table1[[GameIsOver]:[GameIsOver]], 1, Table1[[AwayTeam]:[AwayTeam]], $A44, Table1[[HomeTeam]:[HomeTeam]],  J$36, Table1[[ActualResult]:[ActualResult]], "OT") + SUMIFS(Table1[[AwayWon]:[AwayWon]], Table1[[GameIsOver]:[GameIsOver]], 1, Table1[[HomeTeam]:[HomeTeam]], $A44, Table1[[AwayTeam]:[AwayTeam]], J$36, Table1[[ActualResult]:[ActualResult]], "OT") + SUMIFS(Table1[[HomeWon]:[HomeWon]], Table1[[GameIsOver]:[GameIsOver]], 1, Table1[[AwayTeam]:[AwayTeam]], $A44, Table1[[HomeTeam]:[HomeTeam]], J$36, Table1[[ActualResult]:[ActualResult]], "SO") + SUMIFS(Table1[[AwayWon]:[AwayWon]], Table1[[GameIsOver]:[GameIsOver]], 1, Table1[[HomeTeam]:[HomeTeam]], $A44, Table1[[AwayTeam]:[AwayTeam]], J$36, Table1[[ActualResult]:[ActualResult]], "SO")))/ (2*((COUNTIFS(Table1[[GameIsOver]:[GameIsOver]],1,Table1[[AwayTeam]:[AwayTeam]],$A44, Table1[[HomeTeam]:[HomeTeam]], J$36)))+( COUNTIFS(Table1[[GameIsOver]:[GameIsOver]],1,Table1[[AwayTeam]:[AwayTeam]],J$36, Table1[[HomeTeam]:[HomeTeam]],$A44))), "")</f>
        <v/>
      </c>
      <c r="K44" s="54" t="str">
        <f>IFERROR(((2 * (SUMIFS(Table1[[AwayWon]:[AwayWon]], Table1[[GameIsOver]:[GameIsOver]], 1, Table1[[AwayTeam]:[AwayTeam]], $A44, Table1[[HomeTeam]:[HomeTeam]], K$36) + SUMIFS(Table1[[HomeWon]:[HomeWon]], Table1[[GameIsOver]:[GameIsOver]], 1, Table1[[HomeTeam]:[HomeTeam]], $A44, Table1[[AwayTeam]:[AwayTeam]], K$36))) + (SUMIFS(Table1[[HomeWon]:[HomeWon]], Table1[[GameIsOver]:[GameIsOver]], 1, Table1[[AwayTeam]:[AwayTeam]], $A44, Table1[[HomeTeam]:[HomeTeam]],  K$36, Table1[[ActualResult]:[ActualResult]], "OT") + SUMIFS(Table1[[AwayWon]:[AwayWon]], Table1[[GameIsOver]:[GameIsOver]], 1, Table1[[HomeTeam]:[HomeTeam]], $A44, Table1[[AwayTeam]:[AwayTeam]], K$36, Table1[[ActualResult]:[ActualResult]], "OT") + SUMIFS(Table1[[HomeWon]:[HomeWon]], Table1[[GameIsOver]:[GameIsOver]], 1, Table1[[AwayTeam]:[AwayTeam]], $A44, Table1[[HomeTeam]:[HomeTeam]], K$36, Table1[[ActualResult]:[ActualResult]], "SO") + SUMIFS(Table1[[AwayWon]:[AwayWon]], Table1[[GameIsOver]:[GameIsOver]], 1, Table1[[HomeTeam]:[HomeTeam]], $A44, Table1[[AwayTeam]:[AwayTeam]], K$36, Table1[[ActualResult]:[ActualResult]], "SO")))/ (2*((COUNTIFS(Table1[[GameIsOver]:[GameIsOver]],1,Table1[[AwayTeam]:[AwayTeam]],$A44, Table1[[HomeTeam]:[HomeTeam]], K$36)))+( COUNTIFS(Table1[[GameIsOver]:[GameIsOver]],1,Table1[[AwayTeam]:[AwayTeam]],K$36, Table1[[HomeTeam]:[HomeTeam]],$A44))), "")</f>
        <v/>
      </c>
      <c r="L44" s="54" t="str">
        <f>IFERROR(((2 * (SUMIFS(Table1[[AwayWon]:[AwayWon]], Table1[[GameIsOver]:[GameIsOver]], 1, Table1[[AwayTeam]:[AwayTeam]], $A44, Table1[[HomeTeam]:[HomeTeam]], L$36) + SUMIFS(Table1[[HomeWon]:[HomeWon]], Table1[[GameIsOver]:[GameIsOver]], 1, Table1[[HomeTeam]:[HomeTeam]], $A44, Table1[[AwayTeam]:[AwayTeam]], L$36))) + (SUMIFS(Table1[[HomeWon]:[HomeWon]], Table1[[GameIsOver]:[GameIsOver]], 1, Table1[[AwayTeam]:[AwayTeam]], $A44, Table1[[HomeTeam]:[HomeTeam]],  L$36, Table1[[ActualResult]:[ActualResult]], "OT") + SUMIFS(Table1[[AwayWon]:[AwayWon]], Table1[[GameIsOver]:[GameIsOver]], 1, Table1[[HomeTeam]:[HomeTeam]], $A44, Table1[[AwayTeam]:[AwayTeam]], L$36, Table1[[ActualResult]:[ActualResult]], "OT") + SUMIFS(Table1[[HomeWon]:[HomeWon]], Table1[[GameIsOver]:[GameIsOver]], 1, Table1[[AwayTeam]:[AwayTeam]], $A44, Table1[[HomeTeam]:[HomeTeam]], L$36, Table1[[ActualResult]:[ActualResult]], "SO") + SUMIFS(Table1[[AwayWon]:[AwayWon]], Table1[[GameIsOver]:[GameIsOver]], 1, Table1[[HomeTeam]:[HomeTeam]], $A44, Table1[[AwayTeam]:[AwayTeam]], L$36, Table1[[ActualResult]:[ActualResult]], "SO")))/ (2*((COUNTIFS(Table1[[GameIsOver]:[GameIsOver]],1,Table1[[AwayTeam]:[AwayTeam]],$A44, Table1[[HomeTeam]:[HomeTeam]], L$36)))+( COUNTIFS(Table1[[GameIsOver]:[GameIsOver]],1,Table1[[AwayTeam]:[AwayTeam]],L$36, Table1[[HomeTeam]:[HomeTeam]],$A44))), "")</f>
        <v/>
      </c>
      <c r="M44" s="54" t="str">
        <f>IFERROR(((2 * (SUMIFS(Table1[[AwayWon]:[AwayWon]], Table1[[GameIsOver]:[GameIsOver]], 1, Table1[[AwayTeam]:[AwayTeam]], $A44, Table1[[HomeTeam]:[HomeTeam]], M$36) + SUMIFS(Table1[[HomeWon]:[HomeWon]], Table1[[GameIsOver]:[GameIsOver]], 1, Table1[[HomeTeam]:[HomeTeam]], $A44, Table1[[AwayTeam]:[AwayTeam]], M$36))) + (SUMIFS(Table1[[HomeWon]:[HomeWon]], Table1[[GameIsOver]:[GameIsOver]], 1, Table1[[AwayTeam]:[AwayTeam]], $A44, Table1[[HomeTeam]:[HomeTeam]],  M$36, Table1[[ActualResult]:[ActualResult]], "OT") + SUMIFS(Table1[[AwayWon]:[AwayWon]], Table1[[GameIsOver]:[GameIsOver]], 1, Table1[[HomeTeam]:[HomeTeam]], $A44, Table1[[AwayTeam]:[AwayTeam]], M$36, Table1[[ActualResult]:[ActualResult]], "OT") + SUMIFS(Table1[[HomeWon]:[HomeWon]], Table1[[GameIsOver]:[GameIsOver]], 1, Table1[[AwayTeam]:[AwayTeam]], $A44, Table1[[HomeTeam]:[HomeTeam]], M$36, Table1[[ActualResult]:[ActualResult]], "SO") + SUMIFS(Table1[[AwayWon]:[AwayWon]], Table1[[GameIsOver]:[GameIsOver]], 1, Table1[[HomeTeam]:[HomeTeam]], $A44, Table1[[AwayTeam]:[AwayTeam]], M$36, Table1[[ActualResult]:[ActualResult]], "SO")))/ (2*((COUNTIFS(Table1[[GameIsOver]:[GameIsOver]],1,Table1[[AwayTeam]:[AwayTeam]],$A44, Table1[[HomeTeam]:[HomeTeam]], M$36)))+( COUNTIFS(Table1[[GameIsOver]:[GameIsOver]],1,Table1[[AwayTeam]:[AwayTeam]],M$36, Table1[[HomeTeam]:[HomeTeam]],$A44))), "")</f>
        <v/>
      </c>
      <c r="N44" s="54" t="str">
        <f>IFERROR(((2 * (SUMIFS(Table1[[AwayWon]:[AwayWon]], Table1[[GameIsOver]:[GameIsOver]], 1, Table1[[AwayTeam]:[AwayTeam]], $A44, Table1[[HomeTeam]:[HomeTeam]], N$36) + SUMIFS(Table1[[HomeWon]:[HomeWon]], Table1[[GameIsOver]:[GameIsOver]], 1, Table1[[HomeTeam]:[HomeTeam]], $A44, Table1[[AwayTeam]:[AwayTeam]], N$36))) + (SUMIFS(Table1[[HomeWon]:[HomeWon]], Table1[[GameIsOver]:[GameIsOver]], 1, Table1[[AwayTeam]:[AwayTeam]], $A44, Table1[[HomeTeam]:[HomeTeam]],  N$36, Table1[[ActualResult]:[ActualResult]], "OT") + SUMIFS(Table1[[AwayWon]:[AwayWon]], Table1[[GameIsOver]:[GameIsOver]], 1, Table1[[HomeTeam]:[HomeTeam]], $A44, Table1[[AwayTeam]:[AwayTeam]], N$36, Table1[[ActualResult]:[ActualResult]], "OT") + SUMIFS(Table1[[HomeWon]:[HomeWon]], Table1[[GameIsOver]:[GameIsOver]], 1, Table1[[AwayTeam]:[AwayTeam]], $A44, Table1[[HomeTeam]:[HomeTeam]], N$36, Table1[[ActualResult]:[ActualResult]], "SO") + SUMIFS(Table1[[AwayWon]:[AwayWon]], Table1[[GameIsOver]:[GameIsOver]], 1, Table1[[HomeTeam]:[HomeTeam]], $A44, Table1[[AwayTeam]:[AwayTeam]], N$36, Table1[[ActualResult]:[ActualResult]], "SO")))/ (2*((COUNTIFS(Table1[[GameIsOver]:[GameIsOver]],1,Table1[[AwayTeam]:[AwayTeam]],$A44, Table1[[HomeTeam]:[HomeTeam]], N$36)))+( COUNTIFS(Table1[[GameIsOver]:[GameIsOver]],1,Table1[[AwayTeam]:[AwayTeam]],N$36, Table1[[HomeTeam]:[HomeTeam]],$A44))), "")</f>
        <v/>
      </c>
      <c r="O44" s="54" t="str">
        <f>IFERROR(((2 * (SUMIFS(Table1[[AwayWon]:[AwayWon]], Table1[[GameIsOver]:[GameIsOver]], 1, Table1[[AwayTeam]:[AwayTeam]], $A44, Table1[[HomeTeam]:[HomeTeam]], O$36) + SUMIFS(Table1[[HomeWon]:[HomeWon]], Table1[[GameIsOver]:[GameIsOver]], 1, Table1[[HomeTeam]:[HomeTeam]], $A44, Table1[[AwayTeam]:[AwayTeam]], O$36))) + (SUMIFS(Table1[[HomeWon]:[HomeWon]], Table1[[GameIsOver]:[GameIsOver]], 1, Table1[[AwayTeam]:[AwayTeam]], $A44, Table1[[HomeTeam]:[HomeTeam]],  O$36, Table1[[ActualResult]:[ActualResult]], "OT") + SUMIFS(Table1[[AwayWon]:[AwayWon]], Table1[[GameIsOver]:[GameIsOver]], 1, Table1[[HomeTeam]:[HomeTeam]], $A44, Table1[[AwayTeam]:[AwayTeam]], O$36, Table1[[ActualResult]:[ActualResult]], "OT") + SUMIFS(Table1[[HomeWon]:[HomeWon]], Table1[[GameIsOver]:[GameIsOver]], 1, Table1[[AwayTeam]:[AwayTeam]], $A44, Table1[[HomeTeam]:[HomeTeam]], O$36, Table1[[ActualResult]:[ActualResult]], "SO") + SUMIFS(Table1[[AwayWon]:[AwayWon]], Table1[[GameIsOver]:[GameIsOver]], 1, Table1[[HomeTeam]:[HomeTeam]], $A44, Table1[[AwayTeam]:[AwayTeam]], O$36, Table1[[ActualResult]:[ActualResult]], "SO")))/ (2*((COUNTIFS(Table1[[GameIsOver]:[GameIsOver]],1,Table1[[AwayTeam]:[AwayTeam]],$A44, Table1[[HomeTeam]:[HomeTeam]], O$36)))+( COUNTIFS(Table1[[GameIsOver]:[GameIsOver]],1,Table1[[AwayTeam]:[AwayTeam]],O$36, Table1[[HomeTeam]:[HomeTeam]],$A44))), "")</f>
        <v/>
      </c>
      <c r="P44" s="54" t="str">
        <f>IFERROR(((2 * (SUMIFS(Table1[[AwayWon]:[AwayWon]], Table1[[GameIsOver]:[GameIsOver]], 1, Table1[[AwayTeam]:[AwayTeam]], $A44, Table1[[HomeTeam]:[HomeTeam]], P$36) + SUMIFS(Table1[[HomeWon]:[HomeWon]], Table1[[GameIsOver]:[GameIsOver]], 1, Table1[[HomeTeam]:[HomeTeam]], $A44, Table1[[AwayTeam]:[AwayTeam]], P$36))) + (SUMIFS(Table1[[HomeWon]:[HomeWon]], Table1[[GameIsOver]:[GameIsOver]], 1, Table1[[AwayTeam]:[AwayTeam]], $A44, Table1[[HomeTeam]:[HomeTeam]],  P$36, Table1[[ActualResult]:[ActualResult]], "OT") + SUMIFS(Table1[[AwayWon]:[AwayWon]], Table1[[GameIsOver]:[GameIsOver]], 1, Table1[[HomeTeam]:[HomeTeam]], $A44, Table1[[AwayTeam]:[AwayTeam]], P$36, Table1[[ActualResult]:[ActualResult]], "OT") + SUMIFS(Table1[[HomeWon]:[HomeWon]], Table1[[GameIsOver]:[GameIsOver]], 1, Table1[[AwayTeam]:[AwayTeam]], $A44, Table1[[HomeTeam]:[HomeTeam]], P$36, Table1[[ActualResult]:[ActualResult]], "SO") + SUMIFS(Table1[[AwayWon]:[AwayWon]], Table1[[GameIsOver]:[GameIsOver]], 1, Table1[[HomeTeam]:[HomeTeam]], $A44, Table1[[AwayTeam]:[AwayTeam]], P$36, Table1[[ActualResult]:[ActualResult]], "SO")))/ (2*((COUNTIFS(Table1[[GameIsOver]:[GameIsOver]],1,Table1[[AwayTeam]:[AwayTeam]],$A44, Table1[[HomeTeam]:[HomeTeam]], P$36)))+( COUNTIFS(Table1[[GameIsOver]:[GameIsOver]],1,Table1[[AwayTeam]:[AwayTeam]],P$36, Table1[[HomeTeam]:[HomeTeam]],$A44))), "")</f>
        <v/>
      </c>
      <c r="Q44" s="56" t="str">
        <f>IFERROR(((2 * (SUMIFS(Table1[[AwayWon]:[AwayWon]], Table1[[GameIsOver]:[GameIsOver]], 1, Table1[[AwayTeam]:[AwayTeam]], $A44, Table1[[HomeTeam]:[HomeTeam]], Q$36) + SUMIFS(Table1[[HomeWon]:[HomeWon]], Table1[[GameIsOver]:[GameIsOver]], 1, Table1[[HomeTeam]:[HomeTeam]], $A44, Table1[[AwayTeam]:[AwayTeam]], Q$36))) + (SUMIFS(Table1[[HomeWon]:[HomeWon]], Table1[[GameIsOver]:[GameIsOver]], 1, Table1[[AwayTeam]:[AwayTeam]], $A44, Table1[[HomeTeam]:[HomeTeam]],  Q$36, Table1[[ActualResult]:[ActualResult]], "OT") + SUMIFS(Table1[[AwayWon]:[AwayWon]], Table1[[GameIsOver]:[GameIsOver]], 1, Table1[[HomeTeam]:[HomeTeam]], $A44, Table1[[AwayTeam]:[AwayTeam]], Q$36, Table1[[ActualResult]:[ActualResult]], "OT") + SUMIFS(Table1[[HomeWon]:[HomeWon]], Table1[[GameIsOver]:[GameIsOver]], 1, Table1[[AwayTeam]:[AwayTeam]], $A44, Table1[[HomeTeam]:[HomeTeam]], Q$36, Table1[[ActualResult]:[ActualResult]], "SO") + SUMIFS(Table1[[AwayWon]:[AwayWon]], Table1[[GameIsOver]:[GameIsOver]], 1, Table1[[HomeTeam]:[HomeTeam]], $A44, Table1[[AwayTeam]:[AwayTeam]], Q$36, Table1[[ActualResult]:[ActualResult]], "SO")))/ (2*((COUNTIFS(Table1[[GameIsOver]:[GameIsOver]],1,Table1[[AwayTeam]:[AwayTeam]],$A44, Table1[[HomeTeam]:[HomeTeam]], Q$36)))+( COUNTIFS(Table1[[GameIsOver]:[GameIsOver]],1,Table1[[AwayTeam]:[AwayTeam]],Q$36, Table1[[HomeTeam]:[HomeTeam]],$A44))), "")</f>
        <v/>
      </c>
      <c r="R44" s="54" t="str">
        <f>IFERROR(((2 * (SUMIFS(Table1[[AwayWon]:[AwayWon]], Table1[[GameIsOver]:[GameIsOver]], 1, Table1[[AwayTeam]:[AwayTeam]], $A44, Table1[[HomeTeam]:[HomeTeam]], R$36) + SUMIFS(Table1[[HomeWon]:[HomeWon]], Table1[[GameIsOver]:[GameIsOver]], 1, Table1[[HomeTeam]:[HomeTeam]], $A44, Table1[[AwayTeam]:[AwayTeam]], R$36))) + (SUMIFS(Table1[[HomeWon]:[HomeWon]], Table1[[GameIsOver]:[GameIsOver]], 1, Table1[[AwayTeam]:[AwayTeam]], $A44, Table1[[HomeTeam]:[HomeTeam]],  R$36, Table1[[ActualResult]:[ActualResult]], "OT") + SUMIFS(Table1[[AwayWon]:[AwayWon]], Table1[[GameIsOver]:[GameIsOver]], 1, Table1[[HomeTeam]:[HomeTeam]], $A44, Table1[[AwayTeam]:[AwayTeam]], R$36, Table1[[ActualResult]:[ActualResult]], "OT") + SUMIFS(Table1[[HomeWon]:[HomeWon]], Table1[[GameIsOver]:[GameIsOver]], 1, Table1[[AwayTeam]:[AwayTeam]], $A44, Table1[[HomeTeam]:[HomeTeam]], R$36, Table1[[ActualResult]:[ActualResult]], "SO") + SUMIFS(Table1[[AwayWon]:[AwayWon]], Table1[[GameIsOver]:[GameIsOver]], 1, Table1[[HomeTeam]:[HomeTeam]], $A44, Table1[[AwayTeam]:[AwayTeam]], R$36, Table1[[ActualResult]:[ActualResult]], "SO")))/ (2*((COUNTIFS(Table1[[GameIsOver]:[GameIsOver]],1,Table1[[AwayTeam]:[AwayTeam]],$A44, Table1[[HomeTeam]:[HomeTeam]], R$36)))+( COUNTIFS(Table1[[GameIsOver]:[GameIsOver]],1,Table1[[AwayTeam]:[AwayTeam]],R$36, Table1[[HomeTeam]:[HomeTeam]],$A44))), "")</f>
        <v/>
      </c>
      <c r="S44" s="54" t="str">
        <f>IFERROR(((2 * (SUMIFS(Table1[[AwayWon]:[AwayWon]], Table1[[GameIsOver]:[GameIsOver]], 1, Table1[[AwayTeam]:[AwayTeam]], $A44, Table1[[HomeTeam]:[HomeTeam]], S$36) + SUMIFS(Table1[[HomeWon]:[HomeWon]], Table1[[GameIsOver]:[GameIsOver]], 1, Table1[[HomeTeam]:[HomeTeam]], $A44, Table1[[AwayTeam]:[AwayTeam]], S$36))) + (SUMIFS(Table1[[HomeWon]:[HomeWon]], Table1[[GameIsOver]:[GameIsOver]], 1, Table1[[AwayTeam]:[AwayTeam]], $A44, Table1[[HomeTeam]:[HomeTeam]],  S$36, Table1[[ActualResult]:[ActualResult]], "OT") + SUMIFS(Table1[[AwayWon]:[AwayWon]], Table1[[GameIsOver]:[GameIsOver]], 1, Table1[[HomeTeam]:[HomeTeam]], $A44, Table1[[AwayTeam]:[AwayTeam]], S$36, Table1[[ActualResult]:[ActualResult]], "OT") + SUMIFS(Table1[[HomeWon]:[HomeWon]], Table1[[GameIsOver]:[GameIsOver]], 1, Table1[[AwayTeam]:[AwayTeam]], $A44, Table1[[HomeTeam]:[HomeTeam]], S$36, Table1[[ActualResult]:[ActualResult]], "SO") + SUMIFS(Table1[[AwayWon]:[AwayWon]], Table1[[GameIsOver]:[GameIsOver]], 1, Table1[[HomeTeam]:[HomeTeam]], $A44, Table1[[AwayTeam]:[AwayTeam]], S$36, Table1[[ActualResult]:[ActualResult]], "SO")))/ (2*((COUNTIFS(Table1[[GameIsOver]:[GameIsOver]],1,Table1[[AwayTeam]:[AwayTeam]],$A44, Table1[[HomeTeam]:[HomeTeam]], S$36)))+( COUNTIFS(Table1[[GameIsOver]:[GameIsOver]],1,Table1[[AwayTeam]:[AwayTeam]],S$36, Table1[[HomeTeam]:[HomeTeam]],$A44))), "")</f>
        <v/>
      </c>
      <c r="T44" s="54" t="str">
        <f>IFERROR(((2 * (SUMIFS(Table1[[AwayWon]:[AwayWon]], Table1[[GameIsOver]:[GameIsOver]], 1, Table1[[AwayTeam]:[AwayTeam]], $A44, Table1[[HomeTeam]:[HomeTeam]], T$36) + SUMIFS(Table1[[HomeWon]:[HomeWon]], Table1[[GameIsOver]:[GameIsOver]], 1, Table1[[HomeTeam]:[HomeTeam]], $A44, Table1[[AwayTeam]:[AwayTeam]], T$36))) + (SUMIFS(Table1[[HomeWon]:[HomeWon]], Table1[[GameIsOver]:[GameIsOver]], 1, Table1[[AwayTeam]:[AwayTeam]], $A44, Table1[[HomeTeam]:[HomeTeam]],  T$36, Table1[[ActualResult]:[ActualResult]], "OT") + SUMIFS(Table1[[AwayWon]:[AwayWon]], Table1[[GameIsOver]:[GameIsOver]], 1, Table1[[HomeTeam]:[HomeTeam]], $A44, Table1[[AwayTeam]:[AwayTeam]], T$36, Table1[[ActualResult]:[ActualResult]], "OT") + SUMIFS(Table1[[HomeWon]:[HomeWon]], Table1[[GameIsOver]:[GameIsOver]], 1, Table1[[AwayTeam]:[AwayTeam]], $A44, Table1[[HomeTeam]:[HomeTeam]], T$36, Table1[[ActualResult]:[ActualResult]], "SO") + SUMIFS(Table1[[AwayWon]:[AwayWon]], Table1[[GameIsOver]:[GameIsOver]], 1, Table1[[HomeTeam]:[HomeTeam]], $A44, Table1[[AwayTeam]:[AwayTeam]], T$36, Table1[[ActualResult]:[ActualResult]], "SO")))/ (2*((COUNTIFS(Table1[[GameIsOver]:[GameIsOver]],1,Table1[[AwayTeam]:[AwayTeam]],$A44, Table1[[HomeTeam]:[HomeTeam]], T$36)))+( COUNTIFS(Table1[[GameIsOver]:[GameIsOver]],1,Table1[[AwayTeam]:[AwayTeam]],T$36, Table1[[HomeTeam]:[HomeTeam]],$A44))), "")</f>
        <v/>
      </c>
      <c r="U44" s="54" t="str">
        <f>IFERROR(((2 * (SUMIFS(Table1[[AwayWon]:[AwayWon]], Table1[[GameIsOver]:[GameIsOver]], 1, Table1[[AwayTeam]:[AwayTeam]], $A44, Table1[[HomeTeam]:[HomeTeam]], U$36) + SUMIFS(Table1[[HomeWon]:[HomeWon]], Table1[[GameIsOver]:[GameIsOver]], 1, Table1[[HomeTeam]:[HomeTeam]], $A44, Table1[[AwayTeam]:[AwayTeam]], U$36))) + (SUMIFS(Table1[[HomeWon]:[HomeWon]], Table1[[GameIsOver]:[GameIsOver]], 1, Table1[[AwayTeam]:[AwayTeam]], $A44, Table1[[HomeTeam]:[HomeTeam]],  U$36, Table1[[ActualResult]:[ActualResult]], "OT") + SUMIFS(Table1[[AwayWon]:[AwayWon]], Table1[[GameIsOver]:[GameIsOver]], 1, Table1[[HomeTeam]:[HomeTeam]], $A44, Table1[[AwayTeam]:[AwayTeam]], U$36, Table1[[ActualResult]:[ActualResult]], "OT") + SUMIFS(Table1[[HomeWon]:[HomeWon]], Table1[[GameIsOver]:[GameIsOver]], 1, Table1[[AwayTeam]:[AwayTeam]], $A44, Table1[[HomeTeam]:[HomeTeam]], U$36, Table1[[ActualResult]:[ActualResult]], "SO") + SUMIFS(Table1[[AwayWon]:[AwayWon]], Table1[[GameIsOver]:[GameIsOver]], 1, Table1[[HomeTeam]:[HomeTeam]], $A44, Table1[[AwayTeam]:[AwayTeam]], U$36, Table1[[ActualResult]:[ActualResult]], "SO")))/ (2*((COUNTIFS(Table1[[GameIsOver]:[GameIsOver]],1,Table1[[AwayTeam]:[AwayTeam]],$A44, Table1[[HomeTeam]:[HomeTeam]], U$36)))+( COUNTIFS(Table1[[GameIsOver]:[GameIsOver]],1,Table1[[AwayTeam]:[AwayTeam]],U$36, Table1[[HomeTeam]:[HomeTeam]],$A44))), "")</f>
        <v/>
      </c>
      <c r="V44" s="54" t="str">
        <f>IFERROR(((2 * (SUMIFS(Table1[[AwayWon]:[AwayWon]], Table1[[GameIsOver]:[GameIsOver]], 1, Table1[[AwayTeam]:[AwayTeam]], $A44, Table1[[HomeTeam]:[HomeTeam]], V$36) + SUMIFS(Table1[[HomeWon]:[HomeWon]], Table1[[GameIsOver]:[GameIsOver]], 1, Table1[[HomeTeam]:[HomeTeam]], $A44, Table1[[AwayTeam]:[AwayTeam]], V$36))) + (SUMIFS(Table1[[HomeWon]:[HomeWon]], Table1[[GameIsOver]:[GameIsOver]], 1, Table1[[AwayTeam]:[AwayTeam]], $A44, Table1[[HomeTeam]:[HomeTeam]],  V$36, Table1[[ActualResult]:[ActualResult]], "OT") + SUMIFS(Table1[[AwayWon]:[AwayWon]], Table1[[GameIsOver]:[GameIsOver]], 1, Table1[[HomeTeam]:[HomeTeam]], $A44, Table1[[AwayTeam]:[AwayTeam]], V$36, Table1[[ActualResult]:[ActualResult]], "OT") + SUMIFS(Table1[[HomeWon]:[HomeWon]], Table1[[GameIsOver]:[GameIsOver]], 1, Table1[[AwayTeam]:[AwayTeam]], $A44, Table1[[HomeTeam]:[HomeTeam]], V$36, Table1[[ActualResult]:[ActualResult]], "SO") + SUMIFS(Table1[[AwayWon]:[AwayWon]], Table1[[GameIsOver]:[GameIsOver]], 1, Table1[[HomeTeam]:[HomeTeam]], $A44, Table1[[AwayTeam]:[AwayTeam]], V$36, Table1[[ActualResult]:[ActualResult]], "SO")))/ (2*((COUNTIFS(Table1[[GameIsOver]:[GameIsOver]],1,Table1[[AwayTeam]:[AwayTeam]],$A44, Table1[[HomeTeam]:[HomeTeam]], V$36)))+( COUNTIFS(Table1[[GameIsOver]:[GameIsOver]],1,Table1[[AwayTeam]:[AwayTeam]],V$36, Table1[[HomeTeam]:[HomeTeam]],$A44))), "")</f>
        <v/>
      </c>
      <c r="W44" s="54" t="str">
        <f>IFERROR(((2 * (SUMIFS(Table1[[AwayWon]:[AwayWon]], Table1[[GameIsOver]:[GameIsOver]], 1, Table1[[AwayTeam]:[AwayTeam]], $A44, Table1[[HomeTeam]:[HomeTeam]], W$36) + SUMIFS(Table1[[HomeWon]:[HomeWon]], Table1[[GameIsOver]:[GameIsOver]], 1, Table1[[HomeTeam]:[HomeTeam]], $A44, Table1[[AwayTeam]:[AwayTeam]], W$36))) + (SUMIFS(Table1[[HomeWon]:[HomeWon]], Table1[[GameIsOver]:[GameIsOver]], 1, Table1[[AwayTeam]:[AwayTeam]], $A44, Table1[[HomeTeam]:[HomeTeam]],  W$36, Table1[[ActualResult]:[ActualResult]], "OT") + SUMIFS(Table1[[AwayWon]:[AwayWon]], Table1[[GameIsOver]:[GameIsOver]], 1, Table1[[HomeTeam]:[HomeTeam]], $A44, Table1[[AwayTeam]:[AwayTeam]], W$36, Table1[[ActualResult]:[ActualResult]], "OT") + SUMIFS(Table1[[HomeWon]:[HomeWon]], Table1[[GameIsOver]:[GameIsOver]], 1, Table1[[AwayTeam]:[AwayTeam]], $A44, Table1[[HomeTeam]:[HomeTeam]], W$36, Table1[[ActualResult]:[ActualResult]], "SO") + SUMIFS(Table1[[AwayWon]:[AwayWon]], Table1[[GameIsOver]:[GameIsOver]], 1, Table1[[HomeTeam]:[HomeTeam]], $A44, Table1[[AwayTeam]:[AwayTeam]], W$36, Table1[[ActualResult]:[ActualResult]], "SO")))/ (2*((COUNTIFS(Table1[[GameIsOver]:[GameIsOver]],1,Table1[[AwayTeam]:[AwayTeam]],$A44, Table1[[HomeTeam]:[HomeTeam]], W$36)))+( COUNTIFS(Table1[[GameIsOver]:[GameIsOver]],1,Table1[[AwayTeam]:[AwayTeam]],W$36, Table1[[HomeTeam]:[HomeTeam]],$A44))), "")</f>
        <v/>
      </c>
      <c r="X44" s="54" t="str">
        <f>IFERROR(((2 * (SUMIFS(Table1[[AwayWon]:[AwayWon]], Table1[[GameIsOver]:[GameIsOver]], 1, Table1[[AwayTeam]:[AwayTeam]], $A44, Table1[[HomeTeam]:[HomeTeam]], X$36) + SUMIFS(Table1[[HomeWon]:[HomeWon]], Table1[[GameIsOver]:[GameIsOver]], 1, Table1[[HomeTeam]:[HomeTeam]], $A44, Table1[[AwayTeam]:[AwayTeam]], X$36))) + (SUMIFS(Table1[[HomeWon]:[HomeWon]], Table1[[GameIsOver]:[GameIsOver]], 1, Table1[[AwayTeam]:[AwayTeam]], $A44, Table1[[HomeTeam]:[HomeTeam]],  X$36, Table1[[ActualResult]:[ActualResult]], "OT") + SUMIFS(Table1[[AwayWon]:[AwayWon]], Table1[[GameIsOver]:[GameIsOver]], 1, Table1[[HomeTeam]:[HomeTeam]], $A44, Table1[[AwayTeam]:[AwayTeam]], X$36, Table1[[ActualResult]:[ActualResult]], "OT") + SUMIFS(Table1[[HomeWon]:[HomeWon]], Table1[[GameIsOver]:[GameIsOver]], 1, Table1[[AwayTeam]:[AwayTeam]], $A44, Table1[[HomeTeam]:[HomeTeam]], X$36, Table1[[ActualResult]:[ActualResult]], "SO") + SUMIFS(Table1[[AwayWon]:[AwayWon]], Table1[[GameIsOver]:[GameIsOver]], 1, Table1[[HomeTeam]:[HomeTeam]], $A44, Table1[[AwayTeam]:[AwayTeam]], X$36, Table1[[ActualResult]:[ActualResult]], "SO")))/ (2*((COUNTIFS(Table1[[GameIsOver]:[GameIsOver]],1,Table1[[AwayTeam]:[AwayTeam]],$A44, Table1[[HomeTeam]:[HomeTeam]], X$36)))+( COUNTIFS(Table1[[GameIsOver]:[GameIsOver]],1,Table1[[AwayTeam]:[AwayTeam]],X$36, Table1[[HomeTeam]:[HomeTeam]],$A44))), "")</f>
        <v/>
      </c>
      <c r="Y44" s="56" t="str">
        <f>IFERROR(((2 * (SUMIFS(Table1[[AwayWon]:[AwayWon]], Table1[[GameIsOver]:[GameIsOver]], 1, Table1[[AwayTeam]:[AwayTeam]], $A44, Table1[[HomeTeam]:[HomeTeam]], Y$36) + SUMIFS(Table1[[HomeWon]:[HomeWon]], Table1[[GameIsOver]:[GameIsOver]], 1, Table1[[HomeTeam]:[HomeTeam]], $A44, Table1[[AwayTeam]:[AwayTeam]], Y$36))) + (SUMIFS(Table1[[HomeWon]:[HomeWon]], Table1[[GameIsOver]:[GameIsOver]], 1, Table1[[AwayTeam]:[AwayTeam]], $A44, Table1[[HomeTeam]:[HomeTeam]],  Y$36, Table1[[ActualResult]:[ActualResult]], "OT") + SUMIFS(Table1[[AwayWon]:[AwayWon]], Table1[[GameIsOver]:[GameIsOver]], 1, Table1[[HomeTeam]:[HomeTeam]], $A44, Table1[[AwayTeam]:[AwayTeam]], Y$36, Table1[[ActualResult]:[ActualResult]], "OT") + SUMIFS(Table1[[HomeWon]:[HomeWon]], Table1[[GameIsOver]:[GameIsOver]], 1, Table1[[AwayTeam]:[AwayTeam]], $A44, Table1[[HomeTeam]:[HomeTeam]], Y$36, Table1[[ActualResult]:[ActualResult]], "SO") + SUMIFS(Table1[[AwayWon]:[AwayWon]], Table1[[GameIsOver]:[GameIsOver]], 1, Table1[[HomeTeam]:[HomeTeam]], $A44, Table1[[AwayTeam]:[AwayTeam]], Y$36, Table1[[ActualResult]:[ActualResult]], "SO")))/ (2*((COUNTIFS(Table1[[GameIsOver]:[GameIsOver]],1,Table1[[AwayTeam]:[AwayTeam]],$A44, Table1[[HomeTeam]:[HomeTeam]], Y$36)))+( COUNTIFS(Table1[[GameIsOver]:[GameIsOver]],1,Table1[[AwayTeam]:[AwayTeam]],Y$36, Table1[[HomeTeam]:[HomeTeam]],$A44))), "")</f>
        <v/>
      </c>
      <c r="Z44" s="54" t="str">
        <f>IFERROR(((2 * (SUMIFS(Table1[[AwayWon]:[AwayWon]], Table1[[GameIsOver]:[GameIsOver]], 1, Table1[[AwayTeam]:[AwayTeam]], $A44, Table1[[HomeTeam]:[HomeTeam]], Z$36) + SUMIFS(Table1[[HomeWon]:[HomeWon]], Table1[[GameIsOver]:[GameIsOver]], 1, Table1[[HomeTeam]:[HomeTeam]], $A44, Table1[[AwayTeam]:[AwayTeam]], Z$36))) + (SUMIFS(Table1[[HomeWon]:[HomeWon]], Table1[[GameIsOver]:[GameIsOver]], 1, Table1[[AwayTeam]:[AwayTeam]], $A44, Table1[[HomeTeam]:[HomeTeam]],  Z$36, Table1[[ActualResult]:[ActualResult]], "OT") + SUMIFS(Table1[[AwayWon]:[AwayWon]], Table1[[GameIsOver]:[GameIsOver]], 1, Table1[[HomeTeam]:[HomeTeam]], $A44, Table1[[AwayTeam]:[AwayTeam]], Z$36, Table1[[ActualResult]:[ActualResult]], "OT") + SUMIFS(Table1[[HomeWon]:[HomeWon]], Table1[[GameIsOver]:[GameIsOver]], 1, Table1[[AwayTeam]:[AwayTeam]], $A44, Table1[[HomeTeam]:[HomeTeam]], Z$36, Table1[[ActualResult]:[ActualResult]], "SO") + SUMIFS(Table1[[AwayWon]:[AwayWon]], Table1[[GameIsOver]:[GameIsOver]], 1, Table1[[HomeTeam]:[HomeTeam]], $A44, Table1[[AwayTeam]:[AwayTeam]], Z$36, Table1[[ActualResult]:[ActualResult]], "SO")))/ (2*((COUNTIFS(Table1[[GameIsOver]:[GameIsOver]],1,Table1[[AwayTeam]:[AwayTeam]],$A44, Table1[[HomeTeam]:[HomeTeam]], Z$36)))+( COUNTIFS(Table1[[GameIsOver]:[GameIsOver]],1,Table1[[AwayTeam]:[AwayTeam]],Z$36, Table1[[HomeTeam]:[HomeTeam]],$A44))), "")</f>
        <v/>
      </c>
      <c r="AA44" s="54" t="str">
        <f>IFERROR(((2 * (SUMIFS(Table1[[AwayWon]:[AwayWon]], Table1[[GameIsOver]:[GameIsOver]], 1, Table1[[AwayTeam]:[AwayTeam]], $A44, Table1[[HomeTeam]:[HomeTeam]], AA$36) + SUMIFS(Table1[[HomeWon]:[HomeWon]], Table1[[GameIsOver]:[GameIsOver]], 1, Table1[[HomeTeam]:[HomeTeam]], $A44, Table1[[AwayTeam]:[AwayTeam]], AA$36))) + (SUMIFS(Table1[[HomeWon]:[HomeWon]], Table1[[GameIsOver]:[GameIsOver]], 1, Table1[[AwayTeam]:[AwayTeam]], $A44, Table1[[HomeTeam]:[HomeTeam]],  AA$36, Table1[[ActualResult]:[ActualResult]], "OT") + SUMIFS(Table1[[AwayWon]:[AwayWon]], Table1[[GameIsOver]:[GameIsOver]], 1, Table1[[HomeTeam]:[HomeTeam]], $A44, Table1[[AwayTeam]:[AwayTeam]], AA$36, Table1[[ActualResult]:[ActualResult]], "OT") + SUMIFS(Table1[[HomeWon]:[HomeWon]], Table1[[GameIsOver]:[GameIsOver]], 1, Table1[[AwayTeam]:[AwayTeam]], $A44, Table1[[HomeTeam]:[HomeTeam]], AA$36, Table1[[ActualResult]:[ActualResult]], "SO") + SUMIFS(Table1[[AwayWon]:[AwayWon]], Table1[[GameIsOver]:[GameIsOver]], 1, Table1[[HomeTeam]:[HomeTeam]], $A44, Table1[[AwayTeam]:[AwayTeam]], AA$36, Table1[[ActualResult]:[ActualResult]], "SO")))/ (2*((COUNTIFS(Table1[[GameIsOver]:[GameIsOver]],1,Table1[[AwayTeam]:[AwayTeam]],$A44, Table1[[HomeTeam]:[HomeTeam]], AA$36)))+( COUNTIFS(Table1[[GameIsOver]:[GameIsOver]],1,Table1[[AwayTeam]:[AwayTeam]],AA$36, Table1[[HomeTeam]:[HomeTeam]],$A44))), "")</f>
        <v/>
      </c>
      <c r="AB44" s="54" t="str">
        <f>IFERROR(((2 * (SUMIFS(Table1[[AwayWon]:[AwayWon]], Table1[[GameIsOver]:[GameIsOver]], 1, Table1[[AwayTeam]:[AwayTeam]], $A44, Table1[[HomeTeam]:[HomeTeam]], AB$36) + SUMIFS(Table1[[HomeWon]:[HomeWon]], Table1[[GameIsOver]:[GameIsOver]], 1, Table1[[HomeTeam]:[HomeTeam]], $A44, Table1[[AwayTeam]:[AwayTeam]], AB$36))) + (SUMIFS(Table1[[HomeWon]:[HomeWon]], Table1[[GameIsOver]:[GameIsOver]], 1, Table1[[AwayTeam]:[AwayTeam]], $A44, Table1[[HomeTeam]:[HomeTeam]],  AB$36, Table1[[ActualResult]:[ActualResult]], "OT") + SUMIFS(Table1[[AwayWon]:[AwayWon]], Table1[[GameIsOver]:[GameIsOver]], 1, Table1[[HomeTeam]:[HomeTeam]], $A44, Table1[[AwayTeam]:[AwayTeam]], AB$36, Table1[[ActualResult]:[ActualResult]], "OT") + SUMIFS(Table1[[HomeWon]:[HomeWon]], Table1[[GameIsOver]:[GameIsOver]], 1, Table1[[AwayTeam]:[AwayTeam]], $A44, Table1[[HomeTeam]:[HomeTeam]], AB$36, Table1[[ActualResult]:[ActualResult]], "SO") + SUMIFS(Table1[[AwayWon]:[AwayWon]], Table1[[GameIsOver]:[GameIsOver]], 1, Table1[[HomeTeam]:[HomeTeam]], $A44, Table1[[AwayTeam]:[AwayTeam]], AB$36, Table1[[ActualResult]:[ActualResult]], "SO")))/ (2*((COUNTIFS(Table1[[GameIsOver]:[GameIsOver]],1,Table1[[AwayTeam]:[AwayTeam]],$A44, Table1[[HomeTeam]:[HomeTeam]], AB$36)))+( COUNTIFS(Table1[[GameIsOver]:[GameIsOver]],1,Table1[[AwayTeam]:[AwayTeam]],AB$36, Table1[[HomeTeam]:[HomeTeam]],$A44))), "")</f>
        <v/>
      </c>
      <c r="AC44" s="54" t="str">
        <f>IFERROR(((2 * (SUMIFS(Table1[[AwayWon]:[AwayWon]], Table1[[GameIsOver]:[GameIsOver]], 1, Table1[[AwayTeam]:[AwayTeam]], $A44, Table1[[HomeTeam]:[HomeTeam]], AC$36) + SUMIFS(Table1[[HomeWon]:[HomeWon]], Table1[[GameIsOver]:[GameIsOver]], 1, Table1[[HomeTeam]:[HomeTeam]], $A44, Table1[[AwayTeam]:[AwayTeam]], AC$36))) + (SUMIFS(Table1[[HomeWon]:[HomeWon]], Table1[[GameIsOver]:[GameIsOver]], 1, Table1[[AwayTeam]:[AwayTeam]], $A44, Table1[[HomeTeam]:[HomeTeam]],  AC$36, Table1[[ActualResult]:[ActualResult]], "OT") + SUMIFS(Table1[[AwayWon]:[AwayWon]], Table1[[GameIsOver]:[GameIsOver]], 1, Table1[[HomeTeam]:[HomeTeam]], $A44, Table1[[AwayTeam]:[AwayTeam]], AC$36, Table1[[ActualResult]:[ActualResult]], "OT") + SUMIFS(Table1[[HomeWon]:[HomeWon]], Table1[[GameIsOver]:[GameIsOver]], 1, Table1[[AwayTeam]:[AwayTeam]], $A44, Table1[[HomeTeam]:[HomeTeam]], AC$36, Table1[[ActualResult]:[ActualResult]], "SO") + SUMIFS(Table1[[AwayWon]:[AwayWon]], Table1[[GameIsOver]:[GameIsOver]], 1, Table1[[HomeTeam]:[HomeTeam]], $A44, Table1[[AwayTeam]:[AwayTeam]], AC$36, Table1[[ActualResult]:[ActualResult]], "SO")))/ (2*((COUNTIFS(Table1[[GameIsOver]:[GameIsOver]],1,Table1[[AwayTeam]:[AwayTeam]],$A44, Table1[[HomeTeam]:[HomeTeam]], AC$36)))+( COUNTIFS(Table1[[GameIsOver]:[GameIsOver]],1,Table1[[AwayTeam]:[AwayTeam]],AC$36, Table1[[HomeTeam]:[HomeTeam]],$A44))), "")</f>
        <v/>
      </c>
      <c r="AD44" s="54" t="str">
        <f>IFERROR(((2 * (SUMIFS(Table1[[AwayWon]:[AwayWon]], Table1[[GameIsOver]:[GameIsOver]], 1, Table1[[AwayTeam]:[AwayTeam]], $A44, Table1[[HomeTeam]:[HomeTeam]], AD$36) + SUMIFS(Table1[[HomeWon]:[HomeWon]], Table1[[GameIsOver]:[GameIsOver]], 1, Table1[[HomeTeam]:[HomeTeam]], $A44, Table1[[AwayTeam]:[AwayTeam]], AD$36))) + (SUMIFS(Table1[[HomeWon]:[HomeWon]], Table1[[GameIsOver]:[GameIsOver]], 1, Table1[[AwayTeam]:[AwayTeam]], $A44, Table1[[HomeTeam]:[HomeTeam]],  AD$36, Table1[[ActualResult]:[ActualResult]], "OT") + SUMIFS(Table1[[AwayWon]:[AwayWon]], Table1[[GameIsOver]:[GameIsOver]], 1, Table1[[HomeTeam]:[HomeTeam]], $A44, Table1[[AwayTeam]:[AwayTeam]], AD$36, Table1[[ActualResult]:[ActualResult]], "OT") + SUMIFS(Table1[[HomeWon]:[HomeWon]], Table1[[GameIsOver]:[GameIsOver]], 1, Table1[[AwayTeam]:[AwayTeam]], $A44, Table1[[HomeTeam]:[HomeTeam]], AD$36, Table1[[ActualResult]:[ActualResult]], "SO") + SUMIFS(Table1[[AwayWon]:[AwayWon]], Table1[[GameIsOver]:[GameIsOver]], 1, Table1[[HomeTeam]:[HomeTeam]], $A44, Table1[[AwayTeam]:[AwayTeam]], AD$36, Table1[[ActualResult]:[ActualResult]], "SO")))/ (2*((COUNTIFS(Table1[[GameIsOver]:[GameIsOver]],1,Table1[[AwayTeam]:[AwayTeam]],$A44, Table1[[HomeTeam]:[HomeTeam]], AD$36)))+( COUNTIFS(Table1[[GameIsOver]:[GameIsOver]],1,Table1[[AwayTeam]:[AwayTeam]],AD$36, Table1[[HomeTeam]:[HomeTeam]],$A44))), "")</f>
        <v/>
      </c>
      <c r="AE44" s="54" t="str">
        <f>IFERROR(((2 * (SUMIFS(Table1[[AwayWon]:[AwayWon]], Table1[[GameIsOver]:[GameIsOver]], 1, Table1[[AwayTeam]:[AwayTeam]], $A44, Table1[[HomeTeam]:[HomeTeam]], AE$36) + SUMIFS(Table1[[HomeWon]:[HomeWon]], Table1[[GameIsOver]:[GameIsOver]], 1, Table1[[HomeTeam]:[HomeTeam]], $A44, Table1[[AwayTeam]:[AwayTeam]], AE$36))) + (SUMIFS(Table1[[HomeWon]:[HomeWon]], Table1[[GameIsOver]:[GameIsOver]], 1, Table1[[AwayTeam]:[AwayTeam]], $A44, Table1[[HomeTeam]:[HomeTeam]],  AE$36, Table1[[ActualResult]:[ActualResult]], "OT") + SUMIFS(Table1[[AwayWon]:[AwayWon]], Table1[[GameIsOver]:[GameIsOver]], 1, Table1[[HomeTeam]:[HomeTeam]], $A44, Table1[[AwayTeam]:[AwayTeam]], AE$36, Table1[[ActualResult]:[ActualResult]], "OT") + SUMIFS(Table1[[HomeWon]:[HomeWon]], Table1[[GameIsOver]:[GameIsOver]], 1, Table1[[AwayTeam]:[AwayTeam]], $A44, Table1[[HomeTeam]:[HomeTeam]], AE$36, Table1[[ActualResult]:[ActualResult]], "SO") + SUMIFS(Table1[[AwayWon]:[AwayWon]], Table1[[GameIsOver]:[GameIsOver]], 1, Table1[[HomeTeam]:[HomeTeam]], $A44, Table1[[AwayTeam]:[AwayTeam]], AE$36, Table1[[ActualResult]:[ActualResult]], "SO")))/ (2*((COUNTIFS(Table1[[GameIsOver]:[GameIsOver]],1,Table1[[AwayTeam]:[AwayTeam]],$A44, Table1[[HomeTeam]:[HomeTeam]], AE$36)))+( COUNTIFS(Table1[[GameIsOver]:[GameIsOver]],1,Table1[[AwayTeam]:[AwayTeam]],AE$36, Table1[[HomeTeam]:[HomeTeam]],$A44))), "")</f>
        <v/>
      </c>
      <c r="AF44" s="54" t="str">
        <f>IFERROR(((2 * (SUMIFS(Table1[[AwayWon]:[AwayWon]], Table1[[GameIsOver]:[GameIsOver]], 1, Table1[[AwayTeam]:[AwayTeam]], $A44, Table1[[HomeTeam]:[HomeTeam]], AF$36) + SUMIFS(Table1[[HomeWon]:[HomeWon]], Table1[[GameIsOver]:[GameIsOver]], 1, Table1[[HomeTeam]:[HomeTeam]], $A44, Table1[[AwayTeam]:[AwayTeam]], AF$36))) + (SUMIFS(Table1[[HomeWon]:[HomeWon]], Table1[[GameIsOver]:[GameIsOver]], 1, Table1[[AwayTeam]:[AwayTeam]], $A44, Table1[[HomeTeam]:[HomeTeam]],  AF$36, Table1[[ActualResult]:[ActualResult]], "OT") + SUMIFS(Table1[[AwayWon]:[AwayWon]], Table1[[GameIsOver]:[GameIsOver]], 1, Table1[[HomeTeam]:[HomeTeam]], $A44, Table1[[AwayTeam]:[AwayTeam]], AF$36, Table1[[ActualResult]:[ActualResult]], "OT") + SUMIFS(Table1[[HomeWon]:[HomeWon]], Table1[[GameIsOver]:[GameIsOver]], 1, Table1[[AwayTeam]:[AwayTeam]], $A44, Table1[[HomeTeam]:[HomeTeam]], AF$36, Table1[[ActualResult]:[ActualResult]], "SO") + SUMIFS(Table1[[AwayWon]:[AwayWon]], Table1[[GameIsOver]:[GameIsOver]], 1, Table1[[HomeTeam]:[HomeTeam]], $A44, Table1[[AwayTeam]:[AwayTeam]], AF$36, Table1[[ActualResult]:[ActualResult]], "SO")))/ (2*((COUNTIFS(Table1[[GameIsOver]:[GameIsOver]],1,Table1[[AwayTeam]:[AwayTeam]],$A44, Table1[[HomeTeam]:[HomeTeam]], AF$36)))+( COUNTIFS(Table1[[GameIsOver]:[GameIsOver]],1,Table1[[AwayTeam]:[AwayTeam]],AF$36, Table1[[HomeTeam]:[HomeTeam]],$A44))), "")</f>
        <v/>
      </c>
      <c r="AG44" s="56" t="str">
        <f>IFERROR(((2 * (SUMIFS(Table1[[AwayWon]:[AwayWon]], Table1[[GameIsOver]:[GameIsOver]], 1, Table1[[AwayTeam]:[AwayTeam]], $A44, Table1[[HomeTeam]:[HomeTeam]], AG$36) + SUMIFS(Table1[[HomeWon]:[HomeWon]], Table1[[GameIsOver]:[GameIsOver]], 1, Table1[[HomeTeam]:[HomeTeam]], $A44, Table1[[AwayTeam]:[AwayTeam]], AG$36))) + (SUMIFS(Table1[[HomeWon]:[HomeWon]], Table1[[GameIsOver]:[GameIsOver]], 1, Table1[[AwayTeam]:[AwayTeam]], $A44, Table1[[HomeTeam]:[HomeTeam]],  AG$36, Table1[[ActualResult]:[ActualResult]], "OT") + SUMIFS(Table1[[AwayWon]:[AwayWon]], Table1[[GameIsOver]:[GameIsOver]], 1, Table1[[HomeTeam]:[HomeTeam]], $A44, Table1[[AwayTeam]:[AwayTeam]], AG$36, Table1[[ActualResult]:[ActualResult]], "OT") + SUMIFS(Table1[[HomeWon]:[HomeWon]], Table1[[GameIsOver]:[GameIsOver]], 1, Table1[[AwayTeam]:[AwayTeam]], $A44, Table1[[HomeTeam]:[HomeTeam]], AG$36, Table1[[ActualResult]:[ActualResult]], "SO") + SUMIFS(Table1[[AwayWon]:[AwayWon]], Table1[[GameIsOver]:[GameIsOver]], 1, Table1[[HomeTeam]:[HomeTeam]], $A44, Table1[[AwayTeam]:[AwayTeam]], AG$36, Table1[[ActualResult]:[ActualResult]], "SO")))/ (2*((COUNTIFS(Table1[[GameIsOver]:[GameIsOver]],1,Table1[[AwayTeam]:[AwayTeam]],$A44, Table1[[HomeTeam]:[HomeTeam]], AG$36)))+( COUNTIFS(Table1[[GameIsOver]:[GameIsOver]],1,Table1[[AwayTeam]:[AwayTeam]],AG$36, Table1[[HomeTeam]:[HomeTeam]],$A44))), "")</f>
        <v/>
      </c>
      <c r="AH44" s="55" t="e">
        <f t="shared" si="0"/>
        <v>#DIV/0!</v>
      </c>
      <c r="AI44" s="55">
        <f t="shared" si="1"/>
        <v>1</v>
      </c>
      <c r="AJ44" s="56" t="e">
        <f t="shared" si="2"/>
        <v>#DIV/0!</v>
      </c>
      <c r="AK44" s="56" t="e">
        <f t="shared" si="3"/>
        <v>#DIV/0!</v>
      </c>
      <c r="AL44" s="56" t="e">
        <f t="shared" si="4"/>
        <v>#DIV/0!</v>
      </c>
      <c r="AM44" s="56">
        <f t="shared" si="5"/>
        <v>1</v>
      </c>
    </row>
    <row r="45" spans="1:39" ht="15.75" thickTop="1" x14ac:dyDescent="0.25">
      <c r="A45" s="28" t="s">
        <v>16</v>
      </c>
      <c r="B45" s="50" t="str">
        <f>IFERROR(((2 * (SUMIFS(Table1[[AwayWon]:[AwayWon]], Table1[[GameIsOver]:[GameIsOver]], 1, Table1[[AwayTeam]:[AwayTeam]], $A45, Table1[[HomeTeam]:[HomeTeam]], B$36) + SUMIFS(Table1[[HomeWon]:[HomeWon]], Table1[[GameIsOver]:[GameIsOver]], 1, Table1[[HomeTeam]:[HomeTeam]], $A45, Table1[[AwayTeam]:[AwayTeam]], B$36))) + (SUMIFS(Table1[[HomeWon]:[HomeWon]], Table1[[GameIsOver]:[GameIsOver]], 1, Table1[[AwayTeam]:[AwayTeam]], $A45, Table1[[HomeTeam]:[HomeTeam]],  B$36, Table1[[ActualResult]:[ActualResult]], "OT") + SUMIFS(Table1[[AwayWon]:[AwayWon]], Table1[[GameIsOver]:[GameIsOver]], 1, Table1[[HomeTeam]:[HomeTeam]], $A45, Table1[[AwayTeam]:[AwayTeam]], B$36, Table1[[ActualResult]:[ActualResult]], "OT") + SUMIFS(Table1[[HomeWon]:[HomeWon]], Table1[[GameIsOver]:[GameIsOver]], 1, Table1[[AwayTeam]:[AwayTeam]], $A45, Table1[[HomeTeam]:[HomeTeam]], B$36, Table1[[ActualResult]:[ActualResult]], "SO") + SUMIFS(Table1[[AwayWon]:[AwayWon]], Table1[[GameIsOver]:[GameIsOver]], 1, Table1[[HomeTeam]:[HomeTeam]], $A45, Table1[[AwayTeam]:[AwayTeam]], B$36, Table1[[ActualResult]:[ActualResult]], "SO")))/ (2*((COUNTIFS(Table1[[GameIsOver]:[GameIsOver]],1,Table1[[AwayTeam]:[AwayTeam]],$A45, Table1[[HomeTeam]:[HomeTeam]], B$36)))+( COUNTIFS(Table1[[GameIsOver]:[GameIsOver]],1,Table1[[AwayTeam]:[AwayTeam]],B$36, Table1[[HomeTeam]:[HomeTeam]],$A45))), "")</f>
        <v/>
      </c>
      <c r="C45" s="50" t="str">
        <f>IFERROR(((2 * (SUMIFS(Table1[[AwayWon]:[AwayWon]], Table1[[GameIsOver]:[GameIsOver]], 1, Table1[[AwayTeam]:[AwayTeam]], $A45, Table1[[HomeTeam]:[HomeTeam]], C$36) + SUMIFS(Table1[[HomeWon]:[HomeWon]], Table1[[GameIsOver]:[GameIsOver]], 1, Table1[[HomeTeam]:[HomeTeam]], $A45, Table1[[AwayTeam]:[AwayTeam]], C$36))) + (SUMIFS(Table1[[HomeWon]:[HomeWon]], Table1[[GameIsOver]:[GameIsOver]], 1, Table1[[AwayTeam]:[AwayTeam]], $A45, Table1[[HomeTeam]:[HomeTeam]],  C$36, Table1[[ActualResult]:[ActualResult]], "OT") + SUMIFS(Table1[[AwayWon]:[AwayWon]], Table1[[GameIsOver]:[GameIsOver]], 1, Table1[[HomeTeam]:[HomeTeam]], $A45, Table1[[AwayTeam]:[AwayTeam]], C$36, Table1[[ActualResult]:[ActualResult]], "OT") + SUMIFS(Table1[[HomeWon]:[HomeWon]], Table1[[GameIsOver]:[GameIsOver]], 1, Table1[[AwayTeam]:[AwayTeam]], $A45, Table1[[HomeTeam]:[HomeTeam]], C$36, Table1[[ActualResult]:[ActualResult]], "SO") + SUMIFS(Table1[[AwayWon]:[AwayWon]], Table1[[GameIsOver]:[GameIsOver]], 1, Table1[[HomeTeam]:[HomeTeam]], $A45, Table1[[AwayTeam]:[AwayTeam]], C$36, Table1[[ActualResult]:[ActualResult]], "SO")))/ (2*((COUNTIFS(Table1[[GameIsOver]:[GameIsOver]],1,Table1[[AwayTeam]:[AwayTeam]],$A45, Table1[[HomeTeam]:[HomeTeam]], C$36)))+( COUNTIFS(Table1[[GameIsOver]:[GameIsOver]],1,Table1[[AwayTeam]:[AwayTeam]],C$36, Table1[[HomeTeam]:[HomeTeam]],$A45))), "")</f>
        <v/>
      </c>
      <c r="D45" s="50" t="str">
        <f>IFERROR(((2 * (SUMIFS(Table1[[AwayWon]:[AwayWon]], Table1[[GameIsOver]:[GameIsOver]], 1, Table1[[AwayTeam]:[AwayTeam]], $A45, Table1[[HomeTeam]:[HomeTeam]], D$36) + SUMIFS(Table1[[HomeWon]:[HomeWon]], Table1[[GameIsOver]:[GameIsOver]], 1, Table1[[HomeTeam]:[HomeTeam]], $A45, Table1[[AwayTeam]:[AwayTeam]], D$36))) + (SUMIFS(Table1[[HomeWon]:[HomeWon]], Table1[[GameIsOver]:[GameIsOver]], 1, Table1[[AwayTeam]:[AwayTeam]], $A45, Table1[[HomeTeam]:[HomeTeam]],  D$36, Table1[[ActualResult]:[ActualResult]], "OT") + SUMIFS(Table1[[AwayWon]:[AwayWon]], Table1[[GameIsOver]:[GameIsOver]], 1, Table1[[HomeTeam]:[HomeTeam]], $A45, Table1[[AwayTeam]:[AwayTeam]], D$36, Table1[[ActualResult]:[ActualResult]], "OT") + SUMIFS(Table1[[HomeWon]:[HomeWon]], Table1[[GameIsOver]:[GameIsOver]], 1, Table1[[AwayTeam]:[AwayTeam]], $A45, Table1[[HomeTeam]:[HomeTeam]], D$36, Table1[[ActualResult]:[ActualResult]], "SO") + SUMIFS(Table1[[AwayWon]:[AwayWon]], Table1[[GameIsOver]:[GameIsOver]], 1, Table1[[HomeTeam]:[HomeTeam]], $A45, Table1[[AwayTeam]:[AwayTeam]], D$36, Table1[[ActualResult]:[ActualResult]], "SO")))/ (2*((COUNTIFS(Table1[[GameIsOver]:[GameIsOver]],1,Table1[[AwayTeam]:[AwayTeam]],$A45, Table1[[HomeTeam]:[HomeTeam]], D$36)))+( COUNTIFS(Table1[[GameIsOver]:[GameIsOver]],1,Table1[[AwayTeam]:[AwayTeam]],D$36, Table1[[HomeTeam]:[HomeTeam]],$A45))), "")</f>
        <v/>
      </c>
      <c r="E45" s="50" t="str">
        <f>IFERROR(((2 * (SUMIFS(Table1[[AwayWon]:[AwayWon]], Table1[[GameIsOver]:[GameIsOver]], 1, Table1[[AwayTeam]:[AwayTeam]], $A45, Table1[[HomeTeam]:[HomeTeam]], E$36) + SUMIFS(Table1[[HomeWon]:[HomeWon]], Table1[[GameIsOver]:[GameIsOver]], 1, Table1[[HomeTeam]:[HomeTeam]], $A45, Table1[[AwayTeam]:[AwayTeam]], E$36))) + (SUMIFS(Table1[[HomeWon]:[HomeWon]], Table1[[GameIsOver]:[GameIsOver]], 1, Table1[[AwayTeam]:[AwayTeam]], $A45, Table1[[HomeTeam]:[HomeTeam]],  E$36, Table1[[ActualResult]:[ActualResult]], "OT") + SUMIFS(Table1[[AwayWon]:[AwayWon]], Table1[[GameIsOver]:[GameIsOver]], 1, Table1[[HomeTeam]:[HomeTeam]], $A45, Table1[[AwayTeam]:[AwayTeam]], E$36, Table1[[ActualResult]:[ActualResult]], "OT") + SUMIFS(Table1[[HomeWon]:[HomeWon]], Table1[[GameIsOver]:[GameIsOver]], 1, Table1[[AwayTeam]:[AwayTeam]], $A45, Table1[[HomeTeam]:[HomeTeam]], E$36, Table1[[ActualResult]:[ActualResult]], "SO") + SUMIFS(Table1[[AwayWon]:[AwayWon]], Table1[[GameIsOver]:[GameIsOver]], 1, Table1[[HomeTeam]:[HomeTeam]], $A45, Table1[[AwayTeam]:[AwayTeam]], E$36, Table1[[ActualResult]:[ActualResult]], "SO")))/ (2*((COUNTIFS(Table1[[GameIsOver]:[GameIsOver]],1,Table1[[AwayTeam]:[AwayTeam]],$A45, Table1[[HomeTeam]:[HomeTeam]], E$36)))+( COUNTIFS(Table1[[GameIsOver]:[GameIsOver]],1,Table1[[AwayTeam]:[AwayTeam]],E$36, Table1[[HomeTeam]:[HomeTeam]],$A45))), "")</f>
        <v/>
      </c>
      <c r="F45" s="50" t="str">
        <f>IFERROR(((2 * (SUMIFS(Table1[[AwayWon]:[AwayWon]], Table1[[GameIsOver]:[GameIsOver]], 1, Table1[[AwayTeam]:[AwayTeam]], $A45, Table1[[HomeTeam]:[HomeTeam]], F$36) + SUMIFS(Table1[[HomeWon]:[HomeWon]], Table1[[GameIsOver]:[GameIsOver]], 1, Table1[[HomeTeam]:[HomeTeam]], $A45, Table1[[AwayTeam]:[AwayTeam]], F$36))) + (SUMIFS(Table1[[HomeWon]:[HomeWon]], Table1[[GameIsOver]:[GameIsOver]], 1, Table1[[AwayTeam]:[AwayTeam]], $A45, Table1[[HomeTeam]:[HomeTeam]],  F$36, Table1[[ActualResult]:[ActualResult]], "OT") + SUMIFS(Table1[[AwayWon]:[AwayWon]], Table1[[GameIsOver]:[GameIsOver]], 1, Table1[[HomeTeam]:[HomeTeam]], $A45, Table1[[AwayTeam]:[AwayTeam]], F$36, Table1[[ActualResult]:[ActualResult]], "OT") + SUMIFS(Table1[[HomeWon]:[HomeWon]], Table1[[GameIsOver]:[GameIsOver]], 1, Table1[[AwayTeam]:[AwayTeam]], $A45, Table1[[HomeTeam]:[HomeTeam]], F$36, Table1[[ActualResult]:[ActualResult]], "SO") + SUMIFS(Table1[[AwayWon]:[AwayWon]], Table1[[GameIsOver]:[GameIsOver]], 1, Table1[[HomeTeam]:[HomeTeam]], $A45, Table1[[AwayTeam]:[AwayTeam]], F$36, Table1[[ActualResult]:[ActualResult]], "SO")))/ (2*((COUNTIFS(Table1[[GameIsOver]:[GameIsOver]],1,Table1[[AwayTeam]:[AwayTeam]],$A45, Table1[[HomeTeam]:[HomeTeam]], F$36)))+( COUNTIFS(Table1[[GameIsOver]:[GameIsOver]],1,Table1[[AwayTeam]:[AwayTeam]],F$36, Table1[[HomeTeam]:[HomeTeam]],$A45))), "")</f>
        <v/>
      </c>
      <c r="G45" s="50" t="str">
        <f>IFERROR(((2 * (SUMIFS(Table1[[AwayWon]:[AwayWon]], Table1[[GameIsOver]:[GameIsOver]], 1, Table1[[AwayTeam]:[AwayTeam]], $A45, Table1[[HomeTeam]:[HomeTeam]], G$36) + SUMIFS(Table1[[HomeWon]:[HomeWon]], Table1[[GameIsOver]:[GameIsOver]], 1, Table1[[HomeTeam]:[HomeTeam]], $A45, Table1[[AwayTeam]:[AwayTeam]], G$36))) + (SUMIFS(Table1[[HomeWon]:[HomeWon]], Table1[[GameIsOver]:[GameIsOver]], 1, Table1[[AwayTeam]:[AwayTeam]], $A45, Table1[[HomeTeam]:[HomeTeam]],  G$36, Table1[[ActualResult]:[ActualResult]], "OT") + SUMIFS(Table1[[AwayWon]:[AwayWon]], Table1[[GameIsOver]:[GameIsOver]], 1, Table1[[HomeTeam]:[HomeTeam]], $A45, Table1[[AwayTeam]:[AwayTeam]], G$36, Table1[[ActualResult]:[ActualResult]], "OT") + SUMIFS(Table1[[HomeWon]:[HomeWon]], Table1[[GameIsOver]:[GameIsOver]], 1, Table1[[AwayTeam]:[AwayTeam]], $A45, Table1[[HomeTeam]:[HomeTeam]], G$36, Table1[[ActualResult]:[ActualResult]], "SO") + SUMIFS(Table1[[AwayWon]:[AwayWon]], Table1[[GameIsOver]:[GameIsOver]], 1, Table1[[HomeTeam]:[HomeTeam]], $A45, Table1[[AwayTeam]:[AwayTeam]], G$36, Table1[[ActualResult]:[ActualResult]], "SO")))/ (2*((COUNTIFS(Table1[[GameIsOver]:[GameIsOver]],1,Table1[[AwayTeam]:[AwayTeam]],$A45, Table1[[HomeTeam]:[HomeTeam]], G$36)))+( COUNTIFS(Table1[[GameIsOver]:[GameIsOver]],1,Table1[[AwayTeam]:[AwayTeam]],G$36, Table1[[HomeTeam]:[HomeTeam]],$A45))), "")</f>
        <v/>
      </c>
      <c r="H45" s="50" t="str">
        <f>IFERROR(((2 * (SUMIFS(Table1[[AwayWon]:[AwayWon]], Table1[[GameIsOver]:[GameIsOver]], 1, Table1[[AwayTeam]:[AwayTeam]], $A45, Table1[[HomeTeam]:[HomeTeam]], H$36) + SUMIFS(Table1[[HomeWon]:[HomeWon]], Table1[[GameIsOver]:[GameIsOver]], 1, Table1[[HomeTeam]:[HomeTeam]], $A45, Table1[[AwayTeam]:[AwayTeam]], H$36))) + (SUMIFS(Table1[[HomeWon]:[HomeWon]], Table1[[GameIsOver]:[GameIsOver]], 1, Table1[[AwayTeam]:[AwayTeam]], $A45, Table1[[HomeTeam]:[HomeTeam]],  H$36, Table1[[ActualResult]:[ActualResult]], "OT") + SUMIFS(Table1[[AwayWon]:[AwayWon]], Table1[[GameIsOver]:[GameIsOver]], 1, Table1[[HomeTeam]:[HomeTeam]], $A45, Table1[[AwayTeam]:[AwayTeam]], H$36, Table1[[ActualResult]:[ActualResult]], "OT") + SUMIFS(Table1[[HomeWon]:[HomeWon]], Table1[[GameIsOver]:[GameIsOver]], 1, Table1[[AwayTeam]:[AwayTeam]], $A45, Table1[[HomeTeam]:[HomeTeam]], H$36, Table1[[ActualResult]:[ActualResult]], "SO") + SUMIFS(Table1[[AwayWon]:[AwayWon]], Table1[[GameIsOver]:[GameIsOver]], 1, Table1[[HomeTeam]:[HomeTeam]], $A45, Table1[[AwayTeam]:[AwayTeam]], H$36, Table1[[ActualResult]:[ActualResult]], "SO")))/ (2*((COUNTIFS(Table1[[GameIsOver]:[GameIsOver]],1,Table1[[AwayTeam]:[AwayTeam]],$A45, Table1[[HomeTeam]:[HomeTeam]], H$36)))+( COUNTIFS(Table1[[GameIsOver]:[GameIsOver]],1,Table1[[AwayTeam]:[AwayTeam]],H$36, Table1[[HomeTeam]:[HomeTeam]],$A45))), "")</f>
        <v/>
      </c>
      <c r="I45" s="52" t="str">
        <f>IFERROR(((2 * (SUMIFS(Table1[[AwayWon]:[AwayWon]], Table1[[GameIsOver]:[GameIsOver]], 1, Table1[[AwayTeam]:[AwayTeam]], $A45, Table1[[HomeTeam]:[HomeTeam]], I$36) + SUMIFS(Table1[[HomeWon]:[HomeWon]], Table1[[GameIsOver]:[GameIsOver]], 1, Table1[[HomeTeam]:[HomeTeam]], $A45, Table1[[AwayTeam]:[AwayTeam]], I$36))) + (SUMIFS(Table1[[HomeWon]:[HomeWon]], Table1[[GameIsOver]:[GameIsOver]], 1, Table1[[AwayTeam]:[AwayTeam]], $A45, Table1[[HomeTeam]:[HomeTeam]],  I$36, Table1[[ActualResult]:[ActualResult]], "OT") + SUMIFS(Table1[[AwayWon]:[AwayWon]], Table1[[GameIsOver]:[GameIsOver]], 1, Table1[[HomeTeam]:[HomeTeam]], $A45, Table1[[AwayTeam]:[AwayTeam]], I$36, Table1[[ActualResult]:[ActualResult]], "OT") + SUMIFS(Table1[[HomeWon]:[HomeWon]], Table1[[GameIsOver]:[GameIsOver]], 1, Table1[[AwayTeam]:[AwayTeam]], $A45, Table1[[HomeTeam]:[HomeTeam]], I$36, Table1[[ActualResult]:[ActualResult]], "SO") + SUMIFS(Table1[[AwayWon]:[AwayWon]], Table1[[GameIsOver]:[GameIsOver]], 1, Table1[[HomeTeam]:[HomeTeam]], $A45, Table1[[AwayTeam]:[AwayTeam]], I$36, Table1[[ActualResult]:[ActualResult]], "SO")))/ (2*((COUNTIFS(Table1[[GameIsOver]:[GameIsOver]],1,Table1[[AwayTeam]:[AwayTeam]],$A45, Table1[[HomeTeam]:[HomeTeam]], I$36)))+( COUNTIFS(Table1[[GameIsOver]:[GameIsOver]],1,Table1[[AwayTeam]:[AwayTeam]],I$36, Table1[[HomeTeam]:[HomeTeam]],$A45))), "")</f>
        <v/>
      </c>
      <c r="J45" s="50" t="str">
        <f>IFERROR(((2 * (SUMIFS(Table1[[AwayWon]:[AwayWon]], Table1[[GameIsOver]:[GameIsOver]], 1, Table1[[AwayTeam]:[AwayTeam]], $A45, Table1[[HomeTeam]:[HomeTeam]], J$36) + SUMIFS(Table1[[HomeWon]:[HomeWon]], Table1[[GameIsOver]:[GameIsOver]], 1, Table1[[HomeTeam]:[HomeTeam]], $A45, Table1[[AwayTeam]:[AwayTeam]], J$36))) + (SUMIFS(Table1[[HomeWon]:[HomeWon]], Table1[[GameIsOver]:[GameIsOver]], 1, Table1[[AwayTeam]:[AwayTeam]], $A45, Table1[[HomeTeam]:[HomeTeam]],  J$36, Table1[[ActualResult]:[ActualResult]], "OT") + SUMIFS(Table1[[AwayWon]:[AwayWon]], Table1[[GameIsOver]:[GameIsOver]], 1, Table1[[HomeTeam]:[HomeTeam]], $A45, Table1[[AwayTeam]:[AwayTeam]], J$36, Table1[[ActualResult]:[ActualResult]], "OT") + SUMIFS(Table1[[HomeWon]:[HomeWon]], Table1[[GameIsOver]:[GameIsOver]], 1, Table1[[AwayTeam]:[AwayTeam]], $A45, Table1[[HomeTeam]:[HomeTeam]], J$36, Table1[[ActualResult]:[ActualResult]], "SO") + SUMIFS(Table1[[AwayWon]:[AwayWon]], Table1[[GameIsOver]:[GameIsOver]], 1, Table1[[HomeTeam]:[HomeTeam]], $A45, Table1[[AwayTeam]:[AwayTeam]], J$36, Table1[[ActualResult]:[ActualResult]], "SO")))/ (2*((COUNTIFS(Table1[[GameIsOver]:[GameIsOver]],1,Table1[[AwayTeam]:[AwayTeam]],$A45, Table1[[HomeTeam]:[HomeTeam]], J$36)))+( COUNTIFS(Table1[[GameIsOver]:[GameIsOver]],1,Table1[[AwayTeam]:[AwayTeam]],J$36, Table1[[HomeTeam]:[HomeTeam]],$A45))), "")</f>
        <v/>
      </c>
      <c r="K45" s="50" t="str">
        <f>IFERROR(((2 * (SUMIFS(Table1[[AwayWon]:[AwayWon]], Table1[[GameIsOver]:[GameIsOver]], 1, Table1[[AwayTeam]:[AwayTeam]], $A45, Table1[[HomeTeam]:[HomeTeam]], K$36) + SUMIFS(Table1[[HomeWon]:[HomeWon]], Table1[[GameIsOver]:[GameIsOver]], 1, Table1[[HomeTeam]:[HomeTeam]], $A45, Table1[[AwayTeam]:[AwayTeam]], K$36))) + (SUMIFS(Table1[[HomeWon]:[HomeWon]], Table1[[GameIsOver]:[GameIsOver]], 1, Table1[[AwayTeam]:[AwayTeam]], $A45, Table1[[HomeTeam]:[HomeTeam]],  K$36, Table1[[ActualResult]:[ActualResult]], "OT") + SUMIFS(Table1[[AwayWon]:[AwayWon]], Table1[[GameIsOver]:[GameIsOver]], 1, Table1[[HomeTeam]:[HomeTeam]], $A45, Table1[[AwayTeam]:[AwayTeam]], K$36, Table1[[ActualResult]:[ActualResult]], "OT") + SUMIFS(Table1[[HomeWon]:[HomeWon]], Table1[[GameIsOver]:[GameIsOver]], 1, Table1[[AwayTeam]:[AwayTeam]], $A45, Table1[[HomeTeam]:[HomeTeam]], K$36, Table1[[ActualResult]:[ActualResult]], "SO") + SUMIFS(Table1[[AwayWon]:[AwayWon]], Table1[[GameIsOver]:[GameIsOver]], 1, Table1[[HomeTeam]:[HomeTeam]], $A45, Table1[[AwayTeam]:[AwayTeam]], K$36, Table1[[ActualResult]:[ActualResult]], "SO")))/ (2*((COUNTIFS(Table1[[GameIsOver]:[GameIsOver]],1,Table1[[AwayTeam]:[AwayTeam]],$A45, Table1[[HomeTeam]:[HomeTeam]], K$36)))+( COUNTIFS(Table1[[GameIsOver]:[GameIsOver]],1,Table1[[AwayTeam]:[AwayTeam]],K$36, Table1[[HomeTeam]:[HomeTeam]],$A45))), "")</f>
        <v/>
      </c>
      <c r="L45" s="50" t="str">
        <f>IFERROR(((2 * (SUMIFS(Table1[[AwayWon]:[AwayWon]], Table1[[GameIsOver]:[GameIsOver]], 1, Table1[[AwayTeam]:[AwayTeam]], $A45, Table1[[HomeTeam]:[HomeTeam]], L$36) + SUMIFS(Table1[[HomeWon]:[HomeWon]], Table1[[GameIsOver]:[GameIsOver]], 1, Table1[[HomeTeam]:[HomeTeam]], $A45, Table1[[AwayTeam]:[AwayTeam]], L$36))) + (SUMIFS(Table1[[HomeWon]:[HomeWon]], Table1[[GameIsOver]:[GameIsOver]], 1, Table1[[AwayTeam]:[AwayTeam]], $A45, Table1[[HomeTeam]:[HomeTeam]],  L$36, Table1[[ActualResult]:[ActualResult]], "OT") + SUMIFS(Table1[[AwayWon]:[AwayWon]], Table1[[GameIsOver]:[GameIsOver]], 1, Table1[[HomeTeam]:[HomeTeam]], $A45, Table1[[AwayTeam]:[AwayTeam]], L$36, Table1[[ActualResult]:[ActualResult]], "OT") + SUMIFS(Table1[[HomeWon]:[HomeWon]], Table1[[GameIsOver]:[GameIsOver]], 1, Table1[[AwayTeam]:[AwayTeam]], $A45, Table1[[HomeTeam]:[HomeTeam]], L$36, Table1[[ActualResult]:[ActualResult]], "SO") + SUMIFS(Table1[[AwayWon]:[AwayWon]], Table1[[GameIsOver]:[GameIsOver]], 1, Table1[[HomeTeam]:[HomeTeam]], $A45, Table1[[AwayTeam]:[AwayTeam]], L$36, Table1[[ActualResult]:[ActualResult]], "SO")))/ (2*((COUNTIFS(Table1[[GameIsOver]:[GameIsOver]],1,Table1[[AwayTeam]:[AwayTeam]],$A45, Table1[[HomeTeam]:[HomeTeam]], L$36)))+( COUNTIFS(Table1[[GameIsOver]:[GameIsOver]],1,Table1[[AwayTeam]:[AwayTeam]],L$36, Table1[[HomeTeam]:[HomeTeam]],$A45))), "")</f>
        <v/>
      </c>
      <c r="M45" s="50" t="str">
        <f>IFERROR(((2 * (SUMIFS(Table1[[AwayWon]:[AwayWon]], Table1[[GameIsOver]:[GameIsOver]], 1, Table1[[AwayTeam]:[AwayTeam]], $A45, Table1[[HomeTeam]:[HomeTeam]], M$36) + SUMIFS(Table1[[HomeWon]:[HomeWon]], Table1[[GameIsOver]:[GameIsOver]], 1, Table1[[HomeTeam]:[HomeTeam]], $A45, Table1[[AwayTeam]:[AwayTeam]], M$36))) + (SUMIFS(Table1[[HomeWon]:[HomeWon]], Table1[[GameIsOver]:[GameIsOver]], 1, Table1[[AwayTeam]:[AwayTeam]], $A45, Table1[[HomeTeam]:[HomeTeam]],  M$36, Table1[[ActualResult]:[ActualResult]], "OT") + SUMIFS(Table1[[AwayWon]:[AwayWon]], Table1[[GameIsOver]:[GameIsOver]], 1, Table1[[HomeTeam]:[HomeTeam]], $A45, Table1[[AwayTeam]:[AwayTeam]], M$36, Table1[[ActualResult]:[ActualResult]], "OT") + SUMIFS(Table1[[HomeWon]:[HomeWon]], Table1[[GameIsOver]:[GameIsOver]], 1, Table1[[AwayTeam]:[AwayTeam]], $A45, Table1[[HomeTeam]:[HomeTeam]], M$36, Table1[[ActualResult]:[ActualResult]], "SO") + SUMIFS(Table1[[AwayWon]:[AwayWon]], Table1[[GameIsOver]:[GameIsOver]], 1, Table1[[HomeTeam]:[HomeTeam]], $A45, Table1[[AwayTeam]:[AwayTeam]], M$36, Table1[[ActualResult]:[ActualResult]], "SO")))/ (2*((COUNTIFS(Table1[[GameIsOver]:[GameIsOver]],1,Table1[[AwayTeam]:[AwayTeam]],$A45, Table1[[HomeTeam]:[HomeTeam]], M$36)))+( COUNTIFS(Table1[[GameIsOver]:[GameIsOver]],1,Table1[[AwayTeam]:[AwayTeam]],M$36, Table1[[HomeTeam]:[HomeTeam]],$A45))), "")</f>
        <v/>
      </c>
      <c r="N45" s="50" t="str">
        <f>IFERROR(((2 * (SUMIFS(Table1[[AwayWon]:[AwayWon]], Table1[[GameIsOver]:[GameIsOver]], 1, Table1[[AwayTeam]:[AwayTeam]], $A45, Table1[[HomeTeam]:[HomeTeam]], N$36) + SUMIFS(Table1[[HomeWon]:[HomeWon]], Table1[[GameIsOver]:[GameIsOver]], 1, Table1[[HomeTeam]:[HomeTeam]], $A45, Table1[[AwayTeam]:[AwayTeam]], N$36))) + (SUMIFS(Table1[[HomeWon]:[HomeWon]], Table1[[GameIsOver]:[GameIsOver]], 1, Table1[[AwayTeam]:[AwayTeam]], $A45, Table1[[HomeTeam]:[HomeTeam]],  N$36, Table1[[ActualResult]:[ActualResult]], "OT") + SUMIFS(Table1[[AwayWon]:[AwayWon]], Table1[[GameIsOver]:[GameIsOver]], 1, Table1[[HomeTeam]:[HomeTeam]], $A45, Table1[[AwayTeam]:[AwayTeam]], N$36, Table1[[ActualResult]:[ActualResult]], "OT") + SUMIFS(Table1[[HomeWon]:[HomeWon]], Table1[[GameIsOver]:[GameIsOver]], 1, Table1[[AwayTeam]:[AwayTeam]], $A45, Table1[[HomeTeam]:[HomeTeam]], N$36, Table1[[ActualResult]:[ActualResult]], "SO") + SUMIFS(Table1[[AwayWon]:[AwayWon]], Table1[[GameIsOver]:[GameIsOver]], 1, Table1[[HomeTeam]:[HomeTeam]], $A45, Table1[[AwayTeam]:[AwayTeam]], N$36, Table1[[ActualResult]:[ActualResult]], "SO")))/ (2*((COUNTIFS(Table1[[GameIsOver]:[GameIsOver]],1,Table1[[AwayTeam]:[AwayTeam]],$A45, Table1[[HomeTeam]:[HomeTeam]], N$36)))+( COUNTIFS(Table1[[GameIsOver]:[GameIsOver]],1,Table1[[AwayTeam]:[AwayTeam]],N$36, Table1[[HomeTeam]:[HomeTeam]],$A45))), "")</f>
        <v/>
      </c>
      <c r="O45" s="50" t="str">
        <f>IFERROR(((2 * (SUMIFS(Table1[[AwayWon]:[AwayWon]], Table1[[GameIsOver]:[GameIsOver]], 1, Table1[[AwayTeam]:[AwayTeam]], $A45, Table1[[HomeTeam]:[HomeTeam]], O$36) + SUMIFS(Table1[[HomeWon]:[HomeWon]], Table1[[GameIsOver]:[GameIsOver]], 1, Table1[[HomeTeam]:[HomeTeam]], $A45, Table1[[AwayTeam]:[AwayTeam]], O$36))) + (SUMIFS(Table1[[HomeWon]:[HomeWon]], Table1[[GameIsOver]:[GameIsOver]], 1, Table1[[AwayTeam]:[AwayTeam]], $A45, Table1[[HomeTeam]:[HomeTeam]],  O$36, Table1[[ActualResult]:[ActualResult]], "OT") + SUMIFS(Table1[[AwayWon]:[AwayWon]], Table1[[GameIsOver]:[GameIsOver]], 1, Table1[[HomeTeam]:[HomeTeam]], $A45, Table1[[AwayTeam]:[AwayTeam]], O$36, Table1[[ActualResult]:[ActualResult]], "OT") + SUMIFS(Table1[[HomeWon]:[HomeWon]], Table1[[GameIsOver]:[GameIsOver]], 1, Table1[[AwayTeam]:[AwayTeam]], $A45, Table1[[HomeTeam]:[HomeTeam]], O$36, Table1[[ActualResult]:[ActualResult]], "SO") + SUMIFS(Table1[[AwayWon]:[AwayWon]], Table1[[GameIsOver]:[GameIsOver]], 1, Table1[[HomeTeam]:[HomeTeam]], $A45, Table1[[AwayTeam]:[AwayTeam]], O$36, Table1[[ActualResult]:[ActualResult]], "SO")))/ (2*((COUNTIFS(Table1[[GameIsOver]:[GameIsOver]],1,Table1[[AwayTeam]:[AwayTeam]],$A45, Table1[[HomeTeam]:[HomeTeam]], O$36)))+( COUNTIFS(Table1[[GameIsOver]:[GameIsOver]],1,Table1[[AwayTeam]:[AwayTeam]],O$36, Table1[[HomeTeam]:[HomeTeam]],$A45))), "")</f>
        <v/>
      </c>
      <c r="P45" s="50" t="str">
        <f>IFERROR(((2 * (SUMIFS(Table1[[AwayWon]:[AwayWon]], Table1[[GameIsOver]:[GameIsOver]], 1, Table1[[AwayTeam]:[AwayTeam]], $A45, Table1[[HomeTeam]:[HomeTeam]], P$36) + SUMIFS(Table1[[HomeWon]:[HomeWon]], Table1[[GameIsOver]:[GameIsOver]], 1, Table1[[HomeTeam]:[HomeTeam]], $A45, Table1[[AwayTeam]:[AwayTeam]], P$36))) + (SUMIFS(Table1[[HomeWon]:[HomeWon]], Table1[[GameIsOver]:[GameIsOver]], 1, Table1[[AwayTeam]:[AwayTeam]], $A45, Table1[[HomeTeam]:[HomeTeam]],  P$36, Table1[[ActualResult]:[ActualResult]], "OT") + SUMIFS(Table1[[AwayWon]:[AwayWon]], Table1[[GameIsOver]:[GameIsOver]], 1, Table1[[HomeTeam]:[HomeTeam]], $A45, Table1[[AwayTeam]:[AwayTeam]], P$36, Table1[[ActualResult]:[ActualResult]], "OT") + SUMIFS(Table1[[HomeWon]:[HomeWon]], Table1[[GameIsOver]:[GameIsOver]], 1, Table1[[AwayTeam]:[AwayTeam]], $A45, Table1[[HomeTeam]:[HomeTeam]], P$36, Table1[[ActualResult]:[ActualResult]], "SO") + SUMIFS(Table1[[AwayWon]:[AwayWon]], Table1[[GameIsOver]:[GameIsOver]], 1, Table1[[HomeTeam]:[HomeTeam]], $A45, Table1[[AwayTeam]:[AwayTeam]], P$36, Table1[[ActualResult]:[ActualResult]], "SO")))/ (2*((COUNTIFS(Table1[[GameIsOver]:[GameIsOver]],1,Table1[[AwayTeam]:[AwayTeam]],$A45, Table1[[HomeTeam]:[HomeTeam]], P$36)))+( COUNTIFS(Table1[[GameIsOver]:[GameIsOver]],1,Table1[[AwayTeam]:[AwayTeam]],P$36, Table1[[HomeTeam]:[HomeTeam]],$A45))), "")</f>
        <v/>
      </c>
      <c r="Q45" s="52" t="str">
        <f>IFERROR(((2 * (SUMIFS(Table1[[AwayWon]:[AwayWon]], Table1[[GameIsOver]:[GameIsOver]], 1, Table1[[AwayTeam]:[AwayTeam]], $A45, Table1[[HomeTeam]:[HomeTeam]], Q$36) + SUMIFS(Table1[[HomeWon]:[HomeWon]], Table1[[GameIsOver]:[GameIsOver]], 1, Table1[[HomeTeam]:[HomeTeam]], $A45, Table1[[AwayTeam]:[AwayTeam]], Q$36))) + (SUMIFS(Table1[[HomeWon]:[HomeWon]], Table1[[GameIsOver]:[GameIsOver]], 1, Table1[[AwayTeam]:[AwayTeam]], $A45, Table1[[HomeTeam]:[HomeTeam]],  Q$36, Table1[[ActualResult]:[ActualResult]], "OT") + SUMIFS(Table1[[AwayWon]:[AwayWon]], Table1[[GameIsOver]:[GameIsOver]], 1, Table1[[HomeTeam]:[HomeTeam]], $A45, Table1[[AwayTeam]:[AwayTeam]], Q$36, Table1[[ActualResult]:[ActualResult]], "OT") + SUMIFS(Table1[[HomeWon]:[HomeWon]], Table1[[GameIsOver]:[GameIsOver]], 1, Table1[[AwayTeam]:[AwayTeam]], $A45, Table1[[HomeTeam]:[HomeTeam]], Q$36, Table1[[ActualResult]:[ActualResult]], "SO") + SUMIFS(Table1[[AwayWon]:[AwayWon]], Table1[[GameIsOver]:[GameIsOver]], 1, Table1[[HomeTeam]:[HomeTeam]], $A45, Table1[[AwayTeam]:[AwayTeam]], Q$36, Table1[[ActualResult]:[ActualResult]], "SO")))/ (2*((COUNTIFS(Table1[[GameIsOver]:[GameIsOver]],1,Table1[[AwayTeam]:[AwayTeam]],$A45, Table1[[HomeTeam]:[HomeTeam]], Q$36)))+( COUNTIFS(Table1[[GameIsOver]:[GameIsOver]],1,Table1[[AwayTeam]:[AwayTeam]],Q$36, Table1[[HomeTeam]:[HomeTeam]],$A45))), "")</f>
        <v/>
      </c>
      <c r="R45" s="50" t="str">
        <f>IFERROR(((2 * (SUMIFS(Table1[[AwayWon]:[AwayWon]], Table1[[GameIsOver]:[GameIsOver]], 1, Table1[[AwayTeam]:[AwayTeam]], $A45, Table1[[HomeTeam]:[HomeTeam]], R$36) + SUMIFS(Table1[[HomeWon]:[HomeWon]], Table1[[GameIsOver]:[GameIsOver]], 1, Table1[[HomeTeam]:[HomeTeam]], $A45, Table1[[AwayTeam]:[AwayTeam]], R$36))) + (SUMIFS(Table1[[HomeWon]:[HomeWon]], Table1[[GameIsOver]:[GameIsOver]], 1, Table1[[AwayTeam]:[AwayTeam]], $A45, Table1[[HomeTeam]:[HomeTeam]],  R$36, Table1[[ActualResult]:[ActualResult]], "OT") + SUMIFS(Table1[[AwayWon]:[AwayWon]], Table1[[GameIsOver]:[GameIsOver]], 1, Table1[[HomeTeam]:[HomeTeam]], $A45, Table1[[AwayTeam]:[AwayTeam]], R$36, Table1[[ActualResult]:[ActualResult]], "OT") + SUMIFS(Table1[[HomeWon]:[HomeWon]], Table1[[GameIsOver]:[GameIsOver]], 1, Table1[[AwayTeam]:[AwayTeam]], $A45, Table1[[HomeTeam]:[HomeTeam]], R$36, Table1[[ActualResult]:[ActualResult]], "SO") + SUMIFS(Table1[[AwayWon]:[AwayWon]], Table1[[GameIsOver]:[GameIsOver]], 1, Table1[[HomeTeam]:[HomeTeam]], $A45, Table1[[AwayTeam]:[AwayTeam]], R$36, Table1[[ActualResult]:[ActualResult]], "SO")))/ (2*((COUNTIFS(Table1[[GameIsOver]:[GameIsOver]],1,Table1[[AwayTeam]:[AwayTeam]],$A45, Table1[[HomeTeam]:[HomeTeam]], R$36)))+( COUNTIFS(Table1[[GameIsOver]:[GameIsOver]],1,Table1[[AwayTeam]:[AwayTeam]],R$36, Table1[[HomeTeam]:[HomeTeam]],$A45))), "")</f>
        <v/>
      </c>
      <c r="S45" s="50" t="str">
        <f>IFERROR(((2 * (SUMIFS(Table1[[AwayWon]:[AwayWon]], Table1[[GameIsOver]:[GameIsOver]], 1, Table1[[AwayTeam]:[AwayTeam]], $A45, Table1[[HomeTeam]:[HomeTeam]], S$36) + SUMIFS(Table1[[HomeWon]:[HomeWon]], Table1[[GameIsOver]:[GameIsOver]], 1, Table1[[HomeTeam]:[HomeTeam]], $A45, Table1[[AwayTeam]:[AwayTeam]], S$36))) + (SUMIFS(Table1[[HomeWon]:[HomeWon]], Table1[[GameIsOver]:[GameIsOver]], 1, Table1[[AwayTeam]:[AwayTeam]], $A45, Table1[[HomeTeam]:[HomeTeam]],  S$36, Table1[[ActualResult]:[ActualResult]], "OT") + SUMIFS(Table1[[AwayWon]:[AwayWon]], Table1[[GameIsOver]:[GameIsOver]], 1, Table1[[HomeTeam]:[HomeTeam]], $A45, Table1[[AwayTeam]:[AwayTeam]], S$36, Table1[[ActualResult]:[ActualResult]], "OT") + SUMIFS(Table1[[HomeWon]:[HomeWon]], Table1[[GameIsOver]:[GameIsOver]], 1, Table1[[AwayTeam]:[AwayTeam]], $A45, Table1[[HomeTeam]:[HomeTeam]], S$36, Table1[[ActualResult]:[ActualResult]], "SO") + SUMIFS(Table1[[AwayWon]:[AwayWon]], Table1[[GameIsOver]:[GameIsOver]], 1, Table1[[HomeTeam]:[HomeTeam]], $A45, Table1[[AwayTeam]:[AwayTeam]], S$36, Table1[[ActualResult]:[ActualResult]], "SO")))/ (2*((COUNTIFS(Table1[[GameIsOver]:[GameIsOver]],1,Table1[[AwayTeam]:[AwayTeam]],$A45, Table1[[HomeTeam]:[HomeTeam]], S$36)))+( COUNTIFS(Table1[[GameIsOver]:[GameIsOver]],1,Table1[[AwayTeam]:[AwayTeam]],S$36, Table1[[HomeTeam]:[HomeTeam]],$A45))), "")</f>
        <v/>
      </c>
      <c r="T45" s="50" t="str">
        <f>IFERROR(((2 * (SUMIFS(Table1[[AwayWon]:[AwayWon]], Table1[[GameIsOver]:[GameIsOver]], 1, Table1[[AwayTeam]:[AwayTeam]], $A45, Table1[[HomeTeam]:[HomeTeam]], T$36) + SUMIFS(Table1[[HomeWon]:[HomeWon]], Table1[[GameIsOver]:[GameIsOver]], 1, Table1[[HomeTeam]:[HomeTeam]], $A45, Table1[[AwayTeam]:[AwayTeam]], T$36))) + (SUMIFS(Table1[[HomeWon]:[HomeWon]], Table1[[GameIsOver]:[GameIsOver]], 1, Table1[[AwayTeam]:[AwayTeam]], $A45, Table1[[HomeTeam]:[HomeTeam]],  T$36, Table1[[ActualResult]:[ActualResult]], "OT") + SUMIFS(Table1[[AwayWon]:[AwayWon]], Table1[[GameIsOver]:[GameIsOver]], 1, Table1[[HomeTeam]:[HomeTeam]], $A45, Table1[[AwayTeam]:[AwayTeam]], T$36, Table1[[ActualResult]:[ActualResult]], "OT") + SUMIFS(Table1[[HomeWon]:[HomeWon]], Table1[[GameIsOver]:[GameIsOver]], 1, Table1[[AwayTeam]:[AwayTeam]], $A45, Table1[[HomeTeam]:[HomeTeam]], T$36, Table1[[ActualResult]:[ActualResult]], "SO") + SUMIFS(Table1[[AwayWon]:[AwayWon]], Table1[[GameIsOver]:[GameIsOver]], 1, Table1[[HomeTeam]:[HomeTeam]], $A45, Table1[[AwayTeam]:[AwayTeam]], T$36, Table1[[ActualResult]:[ActualResult]], "SO")))/ (2*((COUNTIFS(Table1[[GameIsOver]:[GameIsOver]],1,Table1[[AwayTeam]:[AwayTeam]],$A45, Table1[[HomeTeam]:[HomeTeam]], T$36)))+( COUNTIFS(Table1[[GameIsOver]:[GameIsOver]],1,Table1[[AwayTeam]:[AwayTeam]],T$36, Table1[[HomeTeam]:[HomeTeam]],$A45))), "")</f>
        <v/>
      </c>
      <c r="U45" s="50" t="str">
        <f>IFERROR(((2 * (SUMIFS(Table1[[AwayWon]:[AwayWon]], Table1[[GameIsOver]:[GameIsOver]], 1, Table1[[AwayTeam]:[AwayTeam]], $A45, Table1[[HomeTeam]:[HomeTeam]], U$36) + SUMIFS(Table1[[HomeWon]:[HomeWon]], Table1[[GameIsOver]:[GameIsOver]], 1, Table1[[HomeTeam]:[HomeTeam]], $A45, Table1[[AwayTeam]:[AwayTeam]], U$36))) + (SUMIFS(Table1[[HomeWon]:[HomeWon]], Table1[[GameIsOver]:[GameIsOver]], 1, Table1[[AwayTeam]:[AwayTeam]], $A45, Table1[[HomeTeam]:[HomeTeam]],  U$36, Table1[[ActualResult]:[ActualResult]], "OT") + SUMIFS(Table1[[AwayWon]:[AwayWon]], Table1[[GameIsOver]:[GameIsOver]], 1, Table1[[HomeTeam]:[HomeTeam]], $A45, Table1[[AwayTeam]:[AwayTeam]], U$36, Table1[[ActualResult]:[ActualResult]], "OT") + SUMIFS(Table1[[HomeWon]:[HomeWon]], Table1[[GameIsOver]:[GameIsOver]], 1, Table1[[AwayTeam]:[AwayTeam]], $A45, Table1[[HomeTeam]:[HomeTeam]], U$36, Table1[[ActualResult]:[ActualResult]], "SO") + SUMIFS(Table1[[AwayWon]:[AwayWon]], Table1[[GameIsOver]:[GameIsOver]], 1, Table1[[HomeTeam]:[HomeTeam]], $A45, Table1[[AwayTeam]:[AwayTeam]], U$36, Table1[[ActualResult]:[ActualResult]], "SO")))/ (2*((COUNTIFS(Table1[[GameIsOver]:[GameIsOver]],1,Table1[[AwayTeam]:[AwayTeam]],$A45, Table1[[HomeTeam]:[HomeTeam]], U$36)))+( COUNTIFS(Table1[[GameIsOver]:[GameIsOver]],1,Table1[[AwayTeam]:[AwayTeam]],U$36, Table1[[HomeTeam]:[HomeTeam]],$A45))), "")</f>
        <v/>
      </c>
      <c r="V45" s="50" t="str">
        <f>IFERROR(((2 * (SUMIFS(Table1[[AwayWon]:[AwayWon]], Table1[[GameIsOver]:[GameIsOver]], 1, Table1[[AwayTeam]:[AwayTeam]], $A45, Table1[[HomeTeam]:[HomeTeam]], V$36) + SUMIFS(Table1[[HomeWon]:[HomeWon]], Table1[[GameIsOver]:[GameIsOver]], 1, Table1[[HomeTeam]:[HomeTeam]], $A45, Table1[[AwayTeam]:[AwayTeam]], V$36))) + (SUMIFS(Table1[[HomeWon]:[HomeWon]], Table1[[GameIsOver]:[GameIsOver]], 1, Table1[[AwayTeam]:[AwayTeam]], $A45, Table1[[HomeTeam]:[HomeTeam]],  V$36, Table1[[ActualResult]:[ActualResult]], "OT") + SUMIFS(Table1[[AwayWon]:[AwayWon]], Table1[[GameIsOver]:[GameIsOver]], 1, Table1[[HomeTeam]:[HomeTeam]], $A45, Table1[[AwayTeam]:[AwayTeam]], V$36, Table1[[ActualResult]:[ActualResult]], "OT") + SUMIFS(Table1[[HomeWon]:[HomeWon]], Table1[[GameIsOver]:[GameIsOver]], 1, Table1[[AwayTeam]:[AwayTeam]], $A45, Table1[[HomeTeam]:[HomeTeam]], V$36, Table1[[ActualResult]:[ActualResult]], "SO") + SUMIFS(Table1[[AwayWon]:[AwayWon]], Table1[[GameIsOver]:[GameIsOver]], 1, Table1[[HomeTeam]:[HomeTeam]], $A45, Table1[[AwayTeam]:[AwayTeam]], V$36, Table1[[ActualResult]:[ActualResult]], "SO")))/ (2*((COUNTIFS(Table1[[GameIsOver]:[GameIsOver]],1,Table1[[AwayTeam]:[AwayTeam]],$A45, Table1[[HomeTeam]:[HomeTeam]], V$36)))+( COUNTIFS(Table1[[GameIsOver]:[GameIsOver]],1,Table1[[AwayTeam]:[AwayTeam]],V$36, Table1[[HomeTeam]:[HomeTeam]],$A45))), "")</f>
        <v/>
      </c>
      <c r="W45" s="50" t="str">
        <f>IFERROR(((2 * (SUMIFS(Table1[[AwayWon]:[AwayWon]], Table1[[GameIsOver]:[GameIsOver]], 1, Table1[[AwayTeam]:[AwayTeam]], $A45, Table1[[HomeTeam]:[HomeTeam]], W$36) + SUMIFS(Table1[[HomeWon]:[HomeWon]], Table1[[GameIsOver]:[GameIsOver]], 1, Table1[[HomeTeam]:[HomeTeam]], $A45, Table1[[AwayTeam]:[AwayTeam]], W$36))) + (SUMIFS(Table1[[HomeWon]:[HomeWon]], Table1[[GameIsOver]:[GameIsOver]], 1, Table1[[AwayTeam]:[AwayTeam]], $A45, Table1[[HomeTeam]:[HomeTeam]],  W$36, Table1[[ActualResult]:[ActualResult]], "OT") + SUMIFS(Table1[[AwayWon]:[AwayWon]], Table1[[GameIsOver]:[GameIsOver]], 1, Table1[[HomeTeam]:[HomeTeam]], $A45, Table1[[AwayTeam]:[AwayTeam]], W$36, Table1[[ActualResult]:[ActualResult]], "OT") + SUMIFS(Table1[[HomeWon]:[HomeWon]], Table1[[GameIsOver]:[GameIsOver]], 1, Table1[[AwayTeam]:[AwayTeam]], $A45, Table1[[HomeTeam]:[HomeTeam]], W$36, Table1[[ActualResult]:[ActualResult]], "SO") + SUMIFS(Table1[[AwayWon]:[AwayWon]], Table1[[GameIsOver]:[GameIsOver]], 1, Table1[[HomeTeam]:[HomeTeam]], $A45, Table1[[AwayTeam]:[AwayTeam]], W$36, Table1[[ActualResult]:[ActualResult]], "SO")))/ (2*((COUNTIFS(Table1[[GameIsOver]:[GameIsOver]],1,Table1[[AwayTeam]:[AwayTeam]],$A45, Table1[[HomeTeam]:[HomeTeam]], W$36)))+( COUNTIFS(Table1[[GameIsOver]:[GameIsOver]],1,Table1[[AwayTeam]:[AwayTeam]],W$36, Table1[[HomeTeam]:[HomeTeam]],$A45))), "")</f>
        <v/>
      </c>
      <c r="X45" s="50" t="str">
        <f>IFERROR(((2 * (SUMIFS(Table1[[AwayWon]:[AwayWon]], Table1[[GameIsOver]:[GameIsOver]], 1, Table1[[AwayTeam]:[AwayTeam]], $A45, Table1[[HomeTeam]:[HomeTeam]], X$36) + SUMIFS(Table1[[HomeWon]:[HomeWon]], Table1[[GameIsOver]:[GameIsOver]], 1, Table1[[HomeTeam]:[HomeTeam]], $A45, Table1[[AwayTeam]:[AwayTeam]], X$36))) + (SUMIFS(Table1[[HomeWon]:[HomeWon]], Table1[[GameIsOver]:[GameIsOver]], 1, Table1[[AwayTeam]:[AwayTeam]], $A45, Table1[[HomeTeam]:[HomeTeam]],  X$36, Table1[[ActualResult]:[ActualResult]], "OT") + SUMIFS(Table1[[AwayWon]:[AwayWon]], Table1[[GameIsOver]:[GameIsOver]], 1, Table1[[HomeTeam]:[HomeTeam]], $A45, Table1[[AwayTeam]:[AwayTeam]], X$36, Table1[[ActualResult]:[ActualResult]], "OT") + SUMIFS(Table1[[HomeWon]:[HomeWon]], Table1[[GameIsOver]:[GameIsOver]], 1, Table1[[AwayTeam]:[AwayTeam]], $A45, Table1[[HomeTeam]:[HomeTeam]], X$36, Table1[[ActualResult]:[ActualResult]], "SO") + SUMIFS(Table1[[AwayWon]:[AwayWon]], Table1[[GameIsOver]:[GameIsOver]], 1, Table1[[HomeTeam]:[HomeTeam]], $A45, Table1[[AwayTeam]:[AwayTeam]], X$36, Table1[[ActualResult]:[ActualResult]], "SO")))/ (2*((COUNTIFS(Table1[[GameIsOver]:[GameIsOver]],1,Table1[[AwayTeam]:[AwayTeam]],$A45, Table1[[HomeTeam]:[HomeTeam]], X$36)))+( COUNTIFS(Table1[[GameIsOver]:[GameIsOver]],1,Table1[[AwayTeam]:[AwayTeam]],X$36, Table1[[HomeTeam]:[HomeTeam]],$A45))), "")</f>
        <v/>
      </c>
      <c r="Y45" s="52" t="str">
        <f>IFERROR(((2 * (SUMIFS(Table1[[AwayWon]:[AwayWon]], Table1[[GameIsOver]:[GameIsOver]], 1, Table1[[AwayTeam]:[AwayTeam]], $A45, Table1[[HomeTeam]:[HomeTeam]], Y$36) + SUMIFS(Table1[[HomeWon]:[HomeWon]], Table1[[GameIsOver]:[GameIsOver]], 1, Table1[[HomeTeam]:[HomeTeam]], $A45, Table1[[AwayTeam]:[AwayTeam]], Y$36))) + (SUMIFS(Table1[[HomeWon]:[HomeWon]], Table1[[GameIsOver]:[GameIsOver]], 1, Table1[[AwayTeam]:[AwayTeam]], $A45, Table1[[HomeTeam]:[HomeTeam]],  Y$36, Table1[[ActualResult]:[ActualResult]], "OT") + SUMIFS(Table1[[AwayWon]:[AwayWon]], Table1[[GameIsOver]:[GameIsOver]], 1, Table1[[HomeTeam]:[HomeTeam]], $A45, Table1[[AwayTeam]:[AwayTeam]], Y$36, Table1[[ActualResult]:[ActualResult]], "OT") + SUMIFS(Table1[[HomeWon]:[HomeWon]], Table1[[GameIsOver]:[GameIsOver]], 1, Table1[[AwayTeam]:[AwayTeam]], $A45, Table1[[HomeTeam]:[HomeTeam]], Y$36, Table1[[ActualResult]:[ActualResult]], "SO") + SUMIFS(Table1[[AwayWon]:[AwayWon]], Table1[[GameIsOver]:[GameIsOver]], 1, Table1[[HomeTeam]:[HomeTeam]], $A45, Table1[[AwayTeam]:[AwayTeam]], Y$36, Table1[[ActualResult]:[ActualResult]], "SO")))/ (2*((COUNTIFS(Table1[[GameIsOver]:[GameIsOver]],1,Table1[[AwayTeam]:[AwayTeam]],$A45, Table1[[HomeTeam]:[HomeTeam]], Y$36)))+( COUNTIFS(Table1[[GameIsOver]:[GameIsOver]],1,Table1[[AwayTeam]:[AwayTeam]],Y$36, Table1[[HomeTeam]:[HomeTeam]],$A45))), "")</f>
        <v/>
      </c>
      <c r="Z45" s="50" t="str">
        <f>IFERROR(((2 * (SUMIFS(Table1[[AwayWon]:[AwayWon]], Table1[[GameIsOver]:[GameIsOver]], 1, Table1[[AwayTeam]:[AwayTeam]], $A45, Table1[[HomeTeam]:[HomeTeam]], Z$36) + SUMIFS(Table1[[HomeWon]:[HomeWon]], Table1[[GameIsOver]:[GameIsOver]], 1, Table1[[HomeTeam]:[HomeTeam]], $A45, Table1[[AwayTeam]:[AwayTeam]], Z$36))) + (SUMIFS(Table1[[HomeWon]:[HomeWon]], Table1[[GameIsOver]:[GameIsOver]], 1, Table1[[AwayTeam]:[AwayTeam]], $A45, Table1[[HomeTeam]:[HomeTeam]],  Z$36, Table1[[ActualResult]:[ActualResult]], "OT") + SUMIFS(Table1[[AwayWon]:[AwayWon]], Table1[[GameIsOver]:[GameIsOver]], 1, Table1[[HomeTeam]:[HomeTeam]], $A45, Table1[[AwayTeam]:[AwayTeam]], Z$36, Table1[[ActualResult]:[ActualResult]], "OT") + SUMIFS(Table1[[HomeWon]:[HomeWon]], Table1[[GameIsOver]:[GameIsOver]], 1, Table1[[AwayTeam]:[AwayTeam]], $A45, Table1[[HomeTeam]:[HomeTeam]], Z$36, Table1[[ActualResult]:[ActualResult]], "SO") + SUMIFS(Table1[[AwayWon]:[AwayWon]], Table1[[GameIsOver]:[GameIsOver]], 1, Table1[[HomeTeam]:[HomeTeam]], $A45, Table1[[AwayTeam]:[AwayTeam]], Z$36, Table1[[ActualResult]:[ActualResult]], "SO")))/ (2*((COUNTIFS(Table1[[GameIsOver]:[GameIsOver]],1,Table1[[AwayTeam]:[AwayTeam]],$A45, Table1[[HomeTeam]:[HomeTeam]], Z$36)))+( COUNTIFS(Table1[[GameIsOver]:[GameIsOver]],1,Table1[[AwayTeam]:[AwayTeam]],Z$36, Table1[[HomeTeam]:[HomeTeam]],$A45))), "")</f>
        <v/>
      </c>
      <c r="AA45" s="50" t="str">
        <f>IFERROR(((2 * (SUMIFS(Table1[[AwayWon]:[AwayWon]], Table1[[GameIsOver]:[GameIsOver]], 1, Table1[[AwayTeam]:[AwayTeam]], $A45, Table1[[HomeTeam]:[HomeTeam]], AA$36) + SUMIFS(Table1[[HomeWon]:[HomeWon]], Table1[[GameIsOver]:[GameIsOver]], 1, Table1[[HomeTeam]:[HomeTeam]], $A45, Table1[[AwayTeam]:[AwayTeam]], AA$36))) + (SUMIFS(Table1[[HomeWon]:[HomeWon]], Table1[[GameIsOver]:[GameIsOver]], 1, Table1[[AwayTeam]:[AwayTeam]], $A45, Table1[[HomeTeam]:[HomeTeam]],  AA$36, Table1[[ActualResult]:[ActualResult]], "OT") + SUMIFS(Table1[[AwayWon]:[AwayWon]], Table1[[GameIsOver]:[GameIsOver]], 1, Table1[[HomeTeam]:[HomeTeam]], $A45, Table1[[AwayTeam]:[AwayTeam]], AA$36, Table1[[ActualResult]:[ActualResult]], "OT") + SUMIFS(Table1[[HomeWon]:[HomeWon]], Table1[[GameIsOver]:[GameIsOver]], 1, Table1[[AwayTeam]:[AwayTeam]], $A45, Table1[[HomeTeam]:[HomeTeam]], AA$36, Table1[[ActualResult]:[ActualResult]], "SO") + SUMIFS(Table1[[AwayWon]:[AwayWon]], Table1[[GameIsOver]:[GameIsOver]], 1, Table1[[HomeTeam]:[HomeTeam]], $A45, Table1[[AwayTeam]:[AwayTeam]], AA$36, Table1[[ActualResult]:[ActualResult]], "SO")))/ (2*((COUNTIFS(Table1[[GameIsOver]:[GameIsOver]],1,Table1[[AwayTeam]:[AwayTeam]],$A45, Table1[[HomeTeam]:[HomeTeam]], AA$36)))+( COUNTIFS(Table1[[GameIsOver]:[GameIsOver]],1,Table1[[AwayTeam]:[AwayTeam]],AA$36, Table1[[HomeTeam]:[HomeTeam]],$A45))), "")</f>
        <v/>
      </c>
      <c r="AB45" s="50" t="str">
        <f>IFERROR(((2 * (SUMIFS(Table1[[AwayWon]:[AwayWon]], Table1[[GameIsOver]:[GameIsOver]], 1, Table1[[AwayTeam]:[AwayTeam]], $A45, Table1[[HomeTeam]:[HomeTeam]], AB$36) + SUMIFS(Table1[[HomeWon]:[HomeWon]], Table1[[GameIsOver]:[GameIsOver]], 1, Table1[[HomeTeam]:[HomeTeam]], $A45, Table1[[AwayTeam]:[AwayTeam]], AB$36))) + (SUMIFS(Table1[[HomeWon]:[HomeWon]], Table1[[GameIsOver]:[GameIsOver]], 1, Table1[[AwayTeam]:[AwayTeam]], $A45, Table1[[HomeTeam]:[HomeTeam]],  AB$36, Table1[[ActualResult]:[ActualResult]], "OT") + SUMIFS(Table1[[AwayWon]:[AwayWon]], Table1[[GameIsOver]:[GameIsOver]], 1, Table1[[HomeTeam]:[HomeTeam]], $A45, Table1[[AwayTeam]:[AwayTeam]], AB$36, Table1[[ActualResult]:[ActualResult]], "OT") + SUMIFS(Table1[[HomeWon]:[HomeWon]], Table1[[GameIsOver]:[GameIsOver]], 1, Table1[[AwayTeam]:[AwayTeam]], $A45, Table1[[HomeTeam]:[HomeTeam]], AB$36, Table1[[ActualResult]:[ActualResult]], "SO") + SUMIFS(Table1[[AwayWon]:[AwayWon]], Table1[[GameIsOver]:[GameIsOver]], 1, Table1[[HomeTeam]:[HomeTeam]], $A45, Table1[[AwayTeam]:[AwayTeam]], AB$36, Table1[[ActualResult]:[ActualResult]], "SO")))/ (2*((COUNTIFS(Table1[[GameIsOver]:[GameIsOver]],1,Table1[[AwayTeam]:[AwayTeam]],$A45, Table1[[HomeTeam]:[HomeTeam]], AB$36)))+( COUNTIFS(Table1[[GameIsOver]:[GameIsOver]],1,Table1[[AwayTeam]:[AwayTeam]],AB$36, Table1[[HomeTeam]:[HomeTeam]],$A45))), "")</f>
        <v/>
      </c>
      <c r="AC45" s="50">
        <f>IFERROR(((2 * (SUMIFS(Table1[[AwayWon]:[AwayWon]], Table1[[GameIsOver]:[GameIsOver]], 1, Table1[[AwayTeam]:[AwayTeam]], $A45, Table1[[HomeTeam]:[HomeTeam]], AC$36) + SUMIFS(Table1[[HomeWon]:[HomeWon]], Table1[[GameIsOver]:[GameIsOver]], 1, Table1[[HomeTeam]:[HomeTeam]], $A45, Table1[[AwayTeam]:[AwayTeam]], AC$36))) + (SUMIFS(Table1[[HomeWon]:[HomeWon]], Table1[[GameIsOver]:[GameIsOver]], 1, Table1[[AwayTeam]:[AwayTeam]], $A45, Table1[[HomeTeam]:[HomeTeam]],  AC$36, Table1[[ActualResult]:[ActualResult]], "OT") + SUMIFS(Table1[[AwayWon]:[AwayWon]], Table1[[GameIsOver]:[GameIsOver]], 1, Table1[[HomeTeam]:[HomeTeam]], $A45, Table1[[AwayTeam]:[AwayTeam]], AC$36, Table1[[ActualResult]:[ActualResult]], "OT") + SUMIFS(Table1[[HomeWon]:[HomeWon]], Table1[[GameIsOver]:[GameIsOver]], 1, Table1[[AwayTeam]:[AwayTeam]], $A45, Table1[[HomeTeam]:[HomeTeam]], AC$36, Table1[[ActualResult]:[ActualResult]], "SO") + SUMIFS(Table1[[AwayWon]:[AwayWon]], Table1[[GameIsOver]:[GameIsOver]], 1, Table1[[HomeTeam]:[HomeTeam]], $A45, Table1[[AwayTeam]:[AwayTeam]], AC$36, Table1[[ActualResult]:[ActualResult]], "SO")))/ (2*((COUNTIFS(Table1[[GameIsOver]:[GameIsOver]],1,Table1[[AwayTeam]:[AwayTeam]],$A45, Table1[[HomeTeam]:[HomeTeam]], AC$36)))+( COUNTIFS(Table1[[GameIsOver]:[GameIsOver]],1,Table1[[AwayTeam]:[AwayTeam]],AC$36, Table1[[HomeTeam]:[HomeTeam]],$A45))), "")</f>
        <v>1</v>
      </c>
      <c r="AD45" s="50" t="str">
        <f>IFERROR(((2 * (SUMIFS(Table1[[AwayWon]:[AwayWon]], Table1[[GameIsOver]:[GameIsOver]], 1, Table1[[AwayTeam]:[AwayTeam]], $A45, Table1[[HomeTeam]:[HomeTeam]], AD$36) + SUMIFS(Table1[[HomeWon]:[HomeWon]], Table1[[GameIsOver]:[GameIsOver]], 1, Table1[[HomeTeam]:[HomeTeam]], $A45, Table1[[AwayTeam]:[AwayTeam]], AD$36))) + (SUMIFS(Table1[[HomeWon]:[HomeWon]], Table1[[GameIsOver]:[GameIsOver]], 1, Table1[[AwayTeam]:[AwayTeam]], $A45, Table1[[HomeTeam]:[HomeTeam]],  AD$36, Table1[[ActualResult]:[ActualResult]], "OT") + SUMIFS(Table1[[AwayWon]:[AwayWon]], Table1[[GameIsOver]:[GameIsOver]], 1, Table1[[HomeTeam]:[HomeTeam]], $A45, Table1[[AwayTeam]:[AwayTeam]], AD$36, Table1[[ActualResult]:[ActualResult]], "OT") + SUMIFS(Table1[[HomeWon]:[HomeWon]], Table1[[GameIsOver]:[GameIsOver]], 1, Table1[[AwayTeam]:[AwayTeam]], $A45, Table1[[HomeTeam]:[HomeTeam]], AD$36, Table1[[ActualResult]:[ActualResult]], "SO") + SUMIFS(Table1[[AwayWon]:[AwayWon]], Table1[[GameIsOver]:[GameIsOver]], 1, Table1[[HomeTeam]:[HomeTeam]], $A45, Table1[[AwayTeam]:[AwayTeam]], AD$36, Table1[[ActualResult]:[ActualResult]], "SO")))/ (2*((COUNTIFS(Table1[[GameIsOver]:[GameIsOver]],1,Table1[[AwayTeam]:[AwayTeam]],$A45, Table1[[HomeTeam]:[HomeTeam]], AD$36)))+( COUNTIFS(Table1[[GameIsOver]:[GameIsOver]],1,Table1[[AwayTeam]:[AwayTeam]],AD$36, Table1[[HomeTeam]:[HomeTeam]],$A45))), "")</f>
        <v/>
      </c>
      <c r="AE45" s="50" t="str">
        <f>IFERROR(((2 * (SUMIFS(Table1[[AwayWon]:[AwayWon]], Table1[[GameIsOver]:[GameIsOver]], 1, Table1[[AwayTeam]:[AwayTeam]], $A45, Table1[[HomeTeam]:[HomeTeam]], AE$36) + SUMIFS(Table1[[HomeWon]:[HomeWon]], Table1[[GameIsOver]:[GameIsOver]], 1, Table1[[HomeTeam]:[HomeTeam]], $A45, Table1[[AwayTeam]:[AwayTeam]], AE$36))) + (SUMIFS(Table1[[HomeWon]:[HomeWon]], Table1[[GameIsOver]:[GameIsOver]], 1, Table1[[AwayTeam]:[AwayTeam]], $A45, Table1[[HomeTeam]:[HomeTeam]],  AE$36, Table1[[ActualResult]:[ActualResult]], "OT") + SUMIFS(Table1[[AwayWon]:[AwayWon]], Table1[[GameIsOver]:[GameIsOver]], 1, Table1[[HomeTeam]:[HomeTeam]], $A45, Table1[[AwayTeam]:[AwayTeam]], AE$36, Table1[[ActualResult]:[ActualResult]], "OT") + SUMIFS(Table1[[HomeWon]:[HomeWon]], Table1[[GameIsOver]:[GameIsOver]], 1, Table1[[AwayTeam]:[AwayTeam]], $A45, Table1[[HomeTeam]:[HomeTeam]], AE$36, Table1[[ActualResult]:[ActualResult]], "SO") + SUMIFS(Table1[[AwayWon]:[AwayWon]], Table1[[GameIsOver]:[GameIsOver]], 1, Table1[[HomeTeam]:[HomeTeam]], $A45, Table1[[AwayTeam]:[AwayTeam]], AE$36, Table1[[ActualResult]:[ActualResult]], "SO")))/ (2*((COUNTIFS(Table1[[GameIsOver]:[GameIsOver]],1,Table1[[AwayTeam]:[AwayTeam]],$A45, Table1[[HomeTeam]:[HomeTeam]], AE$36)))+( COUNTIFS(Table1[[GameIsOver]:[GameIsOver]],1,Table1[[AwayTeam]:[AwayTeam]],AE$36, Table1[[HomeTeam]:[HomeTeam]],$A45))), "")</f>
        <v/>
      </c>
      <c r="AF45" s="50" t="str">
        <f>IFERROR(((2 * (SUMIFS(Table1[[AwayWon]:[AwayWon]], Table1[[GameIsOver]:[GameIsOver]], 1, Table1[[AwayTeam]:[AwayTeam]], $A45, Table1[[HomeTeam]:[HomeTeam]], AF$36) + SUMIFS(Table1[[HomeWon]:[HomeWon]], Table1[[GameIsOver]:[GameIsOver]], 1, Table1[[HomeTeam]:[HomeTeam]], $A45, Table1[[AwayTeam]:[AwayTeam]], AF$36))) + (SUMIFS(Table1[[HomeWon]:[HomeWon]], Table1[[GameIsOver]:[GameIsOver]], 1, Table1[[AwayTeam]:[AwayTeam]], $A45, Table1[[HomeTeam]:[HomeTeam]],  AF$36, Table1[[ActualResult]:[ActualResult]], "OT") + SUMIFS(Table1[[AwayWon]:[AwayWon]], Table1[[GameIsOver]:[GameIsOver]], 1, Table1[[HomeTeam]:[HomeTeam]], $A45, Table1[[AwayTeam]:[AwayTeam]], AF$36, Table1[[ActualResult]:[ActualResult]], "OT") + SUMIFS(Table1[[HomeWon]:[HomeWon]], Table1[[GameIsOver]:[GameIsOver]], 1, Table1[[AwayTeam]:[AwayTeam]], $A45, Table1[[HomeTeam]:[HomeTeam]], AF$36, Table1[[ActualResult]:[ActualResult]], "SO") + SUMIFS(Table1[[AwayWon]:[AwayWon]], Table1[[GameIsOver]:[GameIsOver]], 1, Table1[[HomeTeam]:[HomeTeam]], $A45, Table1[[AwayTeam]:[AwayTeam]], AF$36, Table1[[ActualResult]:[ActualResult]], "SO")))/ (2*((COUNTIFS(Table1[[GameIsOver]:[GameIsOver]],1,Table1[[AwayTeam]:[AwayTeam]],$A45, Table1[[HomeTeam]:[HomeTeam]], AF$36)))+( COUNTIFS(Table1[[GameIsOver]:[GameIsOver]],1,Table1[[AwayTeam]:[AwayTeam]],AF$36, Table1[[HomeTeam]:[HomeTeam]],$A45))), "")</f>
        <v/>
      </c>
      <c r="AG45" s="50" t="str">
        <f>IFERROR(((2 * (SUMIFS(Table1[[AwayWon]:[AwayWon]], Table1[[GameIsOver]:[GameIsOver]], 1, Table1[[AwayTeam]:[AwayTeam]], $A45, Table1[[HomeTeam]:[HomeTeam]], AG$36) + SUMIFS(Table1[[HomeWon]:[HomeWon]], Table1[[GameIsOver]:[GameIsOver]], 1, Table1[[HomeTeam]:[HomeTeam]], $A45, Table1[[AwayTeam]:[AwayTeam]], AG$36))) + (SUMIFS(Table1[[HomeWon]:[HomeWon]], Table1[[GameIsOver]:[GameIsOver]], 1, Table1[[AwayTeam]:[AwayTeam]], $A45, Table1[[HomeTeam]:[HomeTeam]],  AG$36, Table1[[ActualResult]:[ActualResult]], "OT") + SUMIFS(Table1[[AwayWon]:[AwayWon]], Table1[[GameIsOver]:[GameIsOver]], 1, Table1[[HomeTeam]:[HomeTeam]], $A45, Table1[[AwayTeam]:[AwayTeam]], AG$36, Table1[[ActualResult]:[ActualResult]], "OT") + SUMIFS(Table1[[HomeWon]:[HomeWon]], Table1[[GameIsOver]:[GameIsOver]], 1, Table1[[AwayTeam]:[AwayTeam]], $A45, Table1[[HomeTeam]:[HomeTeam]], AG$36, Table1[[ActualResult]:[ActualResult]], "SO") + SUMIFS(Table1[[AwayWon]:[AwayWon]], Table1[[GameIsOver]:[GameIsOver]], 1, Table1[[HomeTeam]:[HomeTeam]], $A45, Table1[[AwayTeam]:[AwayTeam]], AG$36, Table1[[ActualResult]:[ActualResult]], "SO")))/ (2*((COUNTIFS(Table1[[GameIsOver]:[GameIsOver]],1,Table1[[AwayTeam]:[AwayTeam]],$A45, Table1[[HomeTeam]:[HomeTeam]], AG$36)))+( COUNTIFS(Table1[[GameIsOver]:[GameIsOver]],1,Table1[[AwayTeam]:[AwayTeam]],AG$36, Table1[[HomeTeam]:[HomeTeam]],$A45))), "")</f>
        <v/>
      </c>
      <c r="AH45" s="51">
        <f t="shared" si="0"/>
        <v>1</v>
      </c>
      <c r="AI45" s="51" t="e">
        <f t="shared" si="1"/>
        <v>#DIV/0!</v>
      </c>
      <c r="AJ45" s="52">
        <f t="shared" si="2"/>
        <v>1</v>
      </c>
      <c r="AK45" s="52" t="e">
        <f t="shared" si="3"/>
        <v>#DIV/0!</v>
      </c>
      <c r="AL45" s="52" t="e">
        <f t="shared" si="4"/>
        <v>#DIV/0!</v>
      </c>
      <c r="AM45" s="52" t="e">
        <f t="shared" si="5"/>
        <v>#DIV/0!</v>
      </c>
    </row>
    <row r="46" spans="1:39" x14ac:dyDescent="0.25">
      <c r="A46" s="28" t="s">
        <v>41</v>
      </c>
      <c r="B46" s="50" t="str">
        <f>IFERROR(((2 * (SUMIFS(Table1[[AwayWon]:[AwayWon]], Table1[[GameIsOver]:[GameIsOver]], 1, Table1[[AwayTeam]:[AwayTeam]], $A46, Table1[[HomeTeam]:[HomeTeam]], B$36) + SUMIFS(Table1[[HomeWon]:[HomeWon]], Table1[[GameIsOver]:[GameIsOver]], 1, Table1[[HomeTeam]:[HomeTeam]], $A46, Table1[[AwayTeam]:[AwayTeam]], B$36))) + (SUMIFS(Table1[[HomeWon]:[HomeWon]], Table1[[GameIsOver]:[GameIsOver]], 1, Table1[[AwayTeam]:[AwayTeam]], $A46, Table1[[HomeTeam]:[HomeTeam]],  B$36, Table1[[ActualResult]:[ActualResult]], "OT") + SUMIFS(Table1[[AwayWon]:[AwayWon]], Table1[[GameIsOver]:[GameIsOver]], 1, Table1[[HomeTeam]:[HomeTeam]], $A46, Table1[[AwayTeam]:[AwayTeam]], B$36, Table1[[ActualResult]:[ActualResult]], "OT") + SUMIFS(Table1[[HomeWon]:[HomeWon]], Table1[[GameIsOver]:[GameIsOver]], 1, Table1[[AwayTeam]:[AwayTeam]], $A46, Table1[[HomeTeam]:[HomeTeam]], B$36, Table1[[ActualResult]:[ActualResult]], "SO") + SUMIFS(Table1[[AwayWon]:[AwayWon]], Table1[[GameIsOver]:[GameIsOver]], 1, Table1[[HomeTeam]:[HomeTeam]], $A46, Table1[[AwayTeam]:[AwayTeam]], B$36, Table1[[ActualResult]:[ActualResult]], "SO")))/ (2*((COUNTIFS(Table1[[GameIsOver]:[GameIsOver]],1,Table1[[AwayTeam]:[AwayTeam]],$A46, Table1[[HomeTeam]:[HomeTeam]], B$36)))+( COUNTIFS(Table1[[GameIsOver]:[GameIsOver]],1,Table1[[AwayTeam]:[AwayTeam]],B$36, Table1[[HomeTeam]:[HomeTeam]],$A46))), "")</f>
        <v/>
      </c>
      <c r="C46" s="50" t="str">
        <f>IFERROR(((2 * (SUMIFS(Table1[[AwayWon]:[AwayWon]], Table1[[GameIsOver]:[GameIsOver]], 1, Table1[[AwayTeam]:[AwayTeam]], $A46, Table1[[HomeTeam]:[HomeTeam]], C$36) + SUMIFS(Table1[[HomeWon]:[HomeWon]], Table1[[GameIsOver]:[GameIsOver]], 1, Table1[[HomeTeam]:[HomeTeam]], $A46, Table1[[AwayTeam]:[AwayTeam]], C$36))) + (SUMIFS(Table1[[HomeWon]:[HomeWon]], Table1[[GameIsOver]:[GameIsOver]], 1, Table1[[AwayTeam]:[AwayTeam]], $A46, Table1[[HomeTeam]:[HomeTeam]],  C$36, Table1[[ActualResult]:[ActualResult]], "OT") + SUMIFS(Table1[[AwayWon]:[AwayWon]], Table1[[GameIsOver]:[GameIsOver]], 1, Table1[[HomeTeam]:[HomeTeam]], $A46, Table1[[AwayTeam]:[AwayTeam]], C$36, Table1[[ActualResult]:[ActualResult]], "OT") + SUMIFS(Table1[[HomeWon]:[HomeWon]], Table1[[GameIsOver]:[GameIsOver]], 1, Table1[[AwayTeam]:[AwayTeam]], $A46, Table1[[HomeTeam]:[HomeTeam]], C$36, Table1[[ActualResult]:[ActualResult]], "SO") + SUMIFS(Table1[[AwayWon]:[AwayWon]], Table1[[GameIsOver]:[GameIsOver]], 1, Table1[[HomeTeam]:[HomeTeam]], $A46, Table1[[AwayTeam]:[AwayTeam]], C$36, Table1[[ActualResult]:[ActualResult]], "SO")))/ (2*((COUNTIFS(Table1[[GameIsOver]:[GameIsOver]],1,Table1[[AwayTeam]:[AwayTeam]],$A46, Table1[[HomeTeam]:[HomeTeam]], C$36)))+( COUNTIFS(Table1[[GameIsOver]:[GameIsOver]],1,Table1[[AwayTeam]:[AwayTeam]],C$36, Table1[[HomeTeam]:[HomeTeam]],$A46))), "")</f>
        <v/>
      </c>
      <c r="D46" s="50" t="str">
        <f>IFERROR(((2 * (SUMIFS(Table1[[AwayWon]:[AwayWon]], Table1[[GameIsOver]:[GameIsOver]], 1, Table1[[AwayTeam]:[AwayTeam]], $A46, Table1[[HomeTeam]:[HomeTeam]], D$36) + SUMIFS(Table1[[HomeWon]:[HomeWon]], Table1[[GameIsOver]:[GameIsOver]], 1, Table1[[HomeTeam]:[HomeTeam]], $A46, Table1[[AwayTeam]:[AwayTeam]], D$36))) + (SUMIFS(Table1[[HomeWon]:[HomeWon]], Table1[[GameIsOver]:[GameIsOver]], 1, Table1[[AwayTeam]:[AwayTeam]], $A46, Table1[[HomeTeam]:[HomeTeam]],  D$36, Table1[[ActualResult]:[ActualResult]], "OT") + SUMIFS(Table1[[AwayWon]:[AwayWon]], Table1[[GameIsOver]:[GameIsOver]], 1, Table1[[HomeTeam]:[HomeTeam]], $A46, Table1[[AwayTeam]:[AwayTeam]], D$36, Table1[[ActualResult]:[ActualResult]], "OT") + SUMIFS(Table1[[HomeWon]:[HomeWon]], Table1[[GameIsOver]:[GameIsOver]], 1, Table1[[AwayTeam]:[AwayTeam]], $A46, Table1[[HomeTeam]:[HomeTeam]], D$36, Table1[[ActualResult]:[ActualResult]], "SO") + SUMIFS(Table1[[AwayWon]:[AwayWon]], Table1[[GameIsOver]:[GameIsOver]], 1, Table1[[HomeTeam]:[HomeTeam]], $A46, Table1[[AwayTeam]:[AwayTeam]], D$36, Table1[[ActualResult]:[ActualResult]], "SO")))/ (2*((COUNTIFS(Table1[[GameIsOver]:[GameIsOver]],1,Table1[[AwayTeam]:[AwayTeam]],$A46, Table1[[HomeTeam]:[HomeTeam]], D$36)))+( COUNTIFS(Table1[[GameIsOver]:[GameIsOver]],1,Table1[[AwayTeam]:[AwayTeam]],D$36, Table1[[HomeTeam]:[HomeTeam]],$A46))), "")</f>
        <v/>
      </c>
      <c r="E46" s="50" t="str">
        <f>IFERROR(((2 * (SUMIFS(Table1[[AwayWon]:[AwayWon]], Table1[[GameIsOver]:[GameIsOver]], 1, Table1[[AwayTeam]:[AwayTeam]], $A46, Table1[[HomeTeam]:[HomeTeam]], E$36) + SUMIFS(Table1[[HomeWon]:[HomeWon]], Table1[[GameIsOver]:[GameIsOver]], 1, Table1[[HomeTeam]:[HomeTeam]], $A46, Table1[[AwayTeam]:[AwayTeam]], E$36))) + (SUMIFS(Table1[[HomeWon]:[HomeWon]], Table1[[GameIsOver]:[GameIsOver]], 1, Table1[[AwayTeam]:[AwayTeam]], $A46, Table1[[HomeTeam]:[HomeTeam]],  E$36, Table1[[ActualResult]:[ActualResult]], "OT") + SUMIFS(Table1[[AwayWon]:[AwayWon]], Table1[[GameIsOver]:[GameIsOver]], 1, Table1[[HomeTeam]:[HomeTeam]], $A46, Table1[[AwayTeam]:[AwayTeam]], E$36, Table1[[ActualResult]:[ActualResult]], "OT") + SUMIFS(Table1[[HomeWon]:[HomeWon]], Table1[[GameIsOver]:[GameIsOver]], 1, Table1[[AwayTeam]:[AwayTeam]], $A46, Table1[[HomeTeam]:[HomeTeam]], E$36, Table1[[ActualResult]:[ActualResult]], "SO") + SUMIFS(Table1[[AwayWon]:[AwayWon]], Table1[[GameIsOver]:[GameIsOver]], 1, Table1[[HomeTeam]:[HomeTeam]], $A46, Table1[[AwayTeam]:[AwayTeam]], E$36, Table1[[ActualResult]:[ActualResult]], "SO")))/ (2*((COUNTIFS(Table1[[GameIsOver]:[GameIsOver]],1,Table1[[AwayTeam]:[AwayTeam]],$A46, Table1[[HomeTeam]:[HomeTeam]], E$36)))+( COUNTIFS(Table1[[GameIsOver]:[GameIsOver]],1,Table1[[AwayTeam]:[AwayTeam]],E$36, Table1[[HomeTeam]:[HomeTeam]],$A46))), "")</f>
        <v/>
      </c>
      <c r="F46" s="50" t="str">
        <f>IFERROR(((2 * (SUMIFS(Table1[[AwayWon]:[AwayWon]], Table1[[GameIsOver]:[GameIsOver]], 1, Table1[[AwayTeam]:[AwayTeam]], $A46, Table1[[HomeTeam]:[HomeTeam]], F$36) + SUMIFS(Table1[[HomeWon]:[HomeWon]], Table1[[GameIsOver]:[GameIsOver]], 1, Table1[[HomeTeam]:[HomeTeam]], $A46, Table1[[AwayTeam]:[AwayTeam]], F$36))) + (SUMIFS(Table1[[HomeWon]:[HomeWon]], Table1[[GameIsOver]:[GameIsOver]], 1, Table1[[AwayTeam]:[AwayTeam]], $A46, Table1[[HomeTeam]:[HomeTeam]],  F$36, Table1[[ActualResult]:[ActualResult]], "OT") + SUMIFS(Table1[[AwayWon]:[AwayWon]], Table1[[GameIsOver]:[GameIsOver]], 1, Table1[[HomeTeam]:[HomeTeam]], $A46, Table1[[AwayTeam]:[AwayTeam]], F$36, Table1[[ActualResult]:[ActualResult]], "OT") + SUMIFS(Table1[[HomeWon]:[HomeWon]], Table1[[GameIsOver]:[GameIsOver]], 1, Table1[[AwayTeam]:[AwayTeam]], $A46, Table1[[HomeTeam]:[HomeTeam]], F$36, Table1[[ActualResult]:[ActualResult]], "SO") + SUMIFS(Table1[[AwayWon]:[AwayWon]], Table1[[GameIsOver]:[GameIsOver]], 1, Table1[[HomeTeam]:[HomeTeam]], $A46, Table1[[AwayTeam]:[AwayTeam]], F$36, Table1[[ActualResult]:[ActualResult]], "SO")))/ (2*((COUNTIFS(Table1[[GameIsOver]:[GameIsOver]],1,Table1[[AwayTeam]:[AwayTeam]],$A46, Table1[[HomeTeam]:[HomeTeam]], F$36)))+( COUNTIFS(Table1[[GameIsOver]:[GameIsOver]],1,Table1[[AwayTeam]:[AwayTeam]],F$36, Table1[[HomeTeam]:[HomeTeam]],$A46))), "")</f>
        <v/>
      </c>
      <c r="G46" s="50" t="str">
        <f>IFERROR(((2 * (SUMIFS(Table1[[AwayWon]:[AwayWon]], Table1[[GameIsOver]:[GameIsOver]], 1, Table1[[AwayTeam]:[AwayTeam]], $A46, Table1[[HomeTeam]:[HomeTeam]], G$36) + SUMIFS(Table1[[HomeWon]:[HomeWon]], Table1[[GameIsOver]:[GameIsOver]], 1, Table1[[HomeTeam]:[HomeTeam]], $A46, Table1[[AwayTeam]:[AwayTeam]], G$36))) + (SUMIFS(Table1[[HomeWon]:[HomeWon]], Table1[[GameIsOver]:[GameIsOver]], 1, Table1[[AwayTeam]:[AwayTeam]], $A46, Table1[[HomeTeam]:[HomeTeam]],  G$36, Table1[[ActualResult]:[ActualResult]], "OT") + SUMIFS(Table1[[AwayWon]:[AwayWon]], Table1[[GameIsOver]:[GameIsOver]], 1, Table1[[HomeTeam]:[HomeTeam]], $A46, Table1[[AwayTeam]:[AwayTeam]], G$36, Table1[[ActualResult]:[ActualResult]], "OT") + SUMIFS(Table1[[HomeWon]:[HomeWon]], Table1[[GameIsOver]:[GameIsOver]], 1, Table1[[AwayTeam]:[AwayTeam]], $A46, Table1[[HomeTeam]:[HomeTeam]], G$36, Table1[[ActualResult]:[ActualResult]], "SO") + SUMIFS(Table1[[AwayWon]:[AwayWon]], Table1[[GameIsOver]:[GameIsOver]], 1, Table1[[HomeTeam]:[HomeTeam]], $A46, Table1[[AwayTeam]:[AwayTeam]], G$36, Table1[[ActualResult]:[ActualResult]], "SO")))/ (2*((COUNTIFS(Table1[[GameIsOver]:[GameIsOver]],1,Table1[[AwayTeam]:[AwayTeam]],$A46, Table1[[HomeTeam]:[HomeTeam]], G$36)))+( COUNTIFS(Table1[[GameIsOver]:[GameIsOver]],1,Table1[[AwayTeam]:[AwayTeam]],G$36, Table1[[HomeTeam]:[HomeTeam]],$A46))), "")</f>
        <v/>
      </c>
      <c r="H46" s="50" t="str">
        <f>IFERROR(((2 * (SUMIFS(Table1[[AwayWon]:[AwayWon]], Table1[[GameIsOver]:[GameIsOver]], 1, Table1[[AwayTeam]:[AwayTeam]], $A46, Table1[[HomeTeam]:[HomeTeam]], H$36) + SUMIFS(Table1[[HomeWon]:[HomeWon]], Table1[[GameIsOver]:[GameIsOver]], 1, Table1[[HomeTeam]:[HomeTeam]], $A46, Table1[[AwayTeam]:[AwayTeam]], H$36))) + (SUMIFS(Table1[[HomeWon]:[HomeWon]], Table1[[GameIsOver]:[GameIsOver]], 1, Table1[[AwayTeam]:[AwayTeam]], $A46, Table1[[HomeTeam]:[HomeTeam]],  H$36, Table1[[ActualResult]:[ActualResult]], "OT") + SUMIFS(Table1[[AwayWon]:[AwayWon]], Table1[[GameIsOver]:[GameIsOver]], 1, Table1[[HomeTeam]:[HomeTeam]], $A46, Table1[[AwayTeam]:[AwayTeam]], H$36, Table1[[ActualResult]:[ActualResult]], "OT") + SUMIFS(Table1[[HomeWon]:[HomeWon]], Table1[[GameIsOver]:[GameIsOver]], 1, Table1[[AwayTeam]:[AwayTeam]], $A46, Table1[[HomeTeam]:[HomeTeam]], H$36, Table1[[ActualResult]:[ActualResult]], "SO") + SUMIFS(Table1[[AwayWon]:[AwayWon]], Table1[[GameIsOver]:[GameIsOver]], 1, Table1[[HomeTeam]:[HomeTeam]], $A46, Table1[[AwayTeam]:[AwayTeam]], H$36, Table1[[ActualResult]:[ActualResult]], "SO")))/ (2*((COUNTIFS(Table1[[GameIsOver]:[GameIsOver]],1,Table1[[AwayTeam]:[AwayTeam]],$A46, Table1[[HomeTeam]:[HomeTeam]], H$36)))+( COUNTIFS(Table1[[GameIsOver]:[GameIsOver]],1,Table1[[AwayTeam]:[AwayTeam]],H$36, Table1[[HomeTeam]:[HomeTeam]],$A46))), "")</f>
        <v/>
      </c>
      <c r="I46" s="52" t="str">
        <f>IFERROR(((2 * (SUMIFS(Table1[[AwayWon]:[AwayWon]], Table1[[GameIsOver]:[GameIsOver]], 1, Table1[[AwayTeam]:[AwayTeam]], $A46, Table1[[HomeTeam]:[HomeTeam]], I$36) + SUMIFS(Table1[[HomeWon]:[HomeWon]], Table1[[GameIsOver]:[GameIsOver]], 1, Table1[[HomeTeam]:[HomeTeam]], $A46, Table1[[AwayTeam]:[AwayTeam]], I$36))) + (SUMIFS(Table1[[HomeWon]:[HomeWon]], Table1[[GameIsOver]:[GameIsOver]], 1, Table1[[AwayTeam]:[AwayTeam]], $A46, Table1[[HomeTeam]:[HomeTeam]],  I$36, Table1[[ActualResult]:[ActualResult]], "OT") + SUMIFS(Table1[[AwayWon]:[AwayWon]], Table1[[GameIsOver]:[GameIsOver]], 1, Table1[[HomeTeam]:[HomeTeam]], $A46, Table1[[AwayTeam]:[AwayTeam]], I$36, Table1[[ActualResult]:[ActualResult]], "OT") + SUMIFS(Table1[[HomeWon]:[HomeWon]], Table1[[GameIsOver]:[GameIsOver]], 1, Table1[[AwayTeam]:[AwayTeam]], $A46, Table1[[HomeTeam]:[HomeTeam]], I$36, Table1[[ActualResult]:[ActualResult]], "SO") + SUMIFS(Table1[[AwayWon]:[AwayWon]], Table1[[GameIsOver]:[GameIsOver]], 1, Table1[[HomeTeam]:[HomeTeam]], $A46, Table1[[AwayTeam]:[AwayTeam]], I$36, Table1[[ActualResult]:[ActualResult]], "SO")))/ (2*((COUNTIFS(Table1[[GameIsOver]:[GameIsOver]],1,Table1[[AwayTeam]:[AwayTeam]],$A46, Table1[[HomeTeam]:[HomeTeam]], I$36)))+( COUNTIFS(Table1[[GameIsOver]:[GameIsOver]],1,Table1[[AwayTeam]:[AwayTeam]],I$36, Table1[[HomeTeam]:[HomeTeam]],$A46))), "")</f>
        <v/>
      </c>
      <c r="J46" s="50" t="str">
        <f>IFERROR(((2 * (SUMIFS(Table1[[AwayWon]:[AwayWon]], Table1[[GameIsOver]:[GameIsOver]], 1, Table1[[AwayTeam]:[AwayTeam]], $A46, Table1[[HomeTeam]:[HomeTeam]], J$36) + SUMIFS(Table1[[HomeWon]:[HomeWon]], Table1[[GameIsOver]:[GameIsOver]], 1, Table1[[HomeTeam]:[HomeTeam]], $A46, Table1[[AwayTeam]:[AwayTeam]], J$36))) + (SUMIFS(Table1[[HomeWon]:[HomeWon]], Table1[[GameIsOver]:[GameIsOver]], 1, Table1[[AwayTeam]:[AwayTeam]], $A46, Table1[[HomeTeam]:[HomeTeam]],  J$36, Table1[[ActualResult]:[ActualResult]], "OT") + SUMIFS(Table1[[AwayWon]:[AwayWon]], Table1[[GameIsOver]:[GameIsOver]], 1, Table1[[HomeTeam]:[HomeTeam]], $A46, Table1[[AwayTeam]:[AwayTeam]], J$36, Table1[[ActualResult]:[ActualResult]], "OT") + SUMIFS(Table1[[HomeWon]:[HomeWon]], Table1[[GameIsOver]:[GameIsOver]], 1, Table1[[AwayTeam]:[AwayTeam]], $A46, Table1[[HomeTeam]:[HomeTeam]], J$36, Table1[[ActualResult]:[ActualResult]], "SO") + SUMIFS(Table1[[AwayWon]:[AwayWon]], Table1[[GameIsOver]:[GameIsOver]], 1, Table1[[HomeTeam]:[HomeTeam]], $A46, Table1[[AwayTeam]:[AwayTeam]], J$36, Table1[[ActualResult]:[ActualResult]], "SO")))/ (2*((COUNTIFS(Table1[[GameIsOver]:[GameIsOver]],1,Table1[[AwayTeam]:[AwayTeam]],$A46, Table1[[HomeTeam]:[HomeTeam]], J$36)))+( COUNTIFS(Table1[[GameIsOver]:[GameIsOver]],1,Table1[[AwayTeam]:[AwayTeam]],J$36, Table1[[HomeTeam]:[HomeTeam]],$A46))), "")</f>
        <v/>
      </c>
      <c r="K46" s="50" t="str">
        <f>IFERROR(((2 * (SUMIFS(Table1[[AwayWon]:[AwayWon]], Table1[[GameIsOver]:[GameIsOver]], 1, Table1[[AwayTeam]:[AwayTeam]], $A46, Table1[[HomeTeam]:[HomeTeam]], K$36) + SUMIFS(Table1[[HomeWon]:[HomeWon]], Table1[[GameIsOver]:[GameIsOver]], 1, Table1[[HomeTeam]:[HomeTeam]], $A46, Table1[[AwayTeam]:[AwayTeam]], K$36))) + (SUMIFS(Table1[[HomeWon]:[HomeWon]], Table1[[GameIsOver]:[GameIsOver]], 1, Table1[[AwayTeam]:[AwayTeam]], $A46, Table1[[HomeTeam]:[HomeTeam]],  K$36, Table1[[ActualResult]:[ActualResult]], "OT") + SUMIFS(Table1[[AwayWon]:[AwayWon]], Table1[[GameIsOver]:[GameIsOver]], 1, Table1[[HomeTeam]:[HomeTeam]], $A46, Table1[[AwayTeam]:[AwayTeam]], K$36, Table1[[ActualResult]:[ActualResult]], "OT") + SUMIFS(Table1[[HomeWon]:[HomeWon]], Table1[[GameIsOver]:[GameIsOver]], 1, Table1[[AwayTeam]:[AwayTeam]], $A46, Table1[[HomeTeam]:[HomeTeam]], K$36, Table1[[ActualResult]:[ActualResult]], "SO") + SUMIFS(Table1[[AwayWon]:[AwayWon]], Table1[[GameIsOver]:[GameIsOver]], 1, Table1[[HomeTeam]:[HomeTeam]], $A46, Table1[[AwayTeam]:[AwayTeam]], K$36, Table1[[ActualResult]:[ActualResult]], "SO")))/ (2*((COUNTIFS(Table1[[GameIsOver]:[GameIsOver]],1,Table1[[AwayTeam]:[AwayTeam]],$A46, Table1[[HomeTeam]:[HomeTeam]], K$36)))+( COUNTIFS(Table1[[GameIsOver]:[GameIsOver]],1,Table1[[AwayTeam]:[AwayTeam]],K$36, Table1[[HomeTeam]:[HomeTeam]],$A46))), "")</f>
        <v/>
      </c>
      <c r="L46" s="50" t="str">
        <f>IFERROR(((2 * (SUMIFS(Table1[[AwayWon]:[AwayWon]], Table1[[GameIsOver]:[GameIsOver]], 1, Table1[[AwayTeam]:[AwayTeam]], $A46, Table1[[HomeTeam]:[HomeTeam]], L$36) + SUMIFS(Table1[[HomeWon]:[HomeWon]], Table1[[GameIsOver]:[GameIsOver]], 1, Table1[[HomeTeam]:[HomeTeam]], $A46, Table1[[AwayTeam]:[AwayTeam]], L$36))) + (SUMIFS(Table1[[HomeWon]:[HomeWon]], Table1[[GameIsOver]:[GameIsOver]], 1, Table1[[AwayTeam]:[AwayTeam]], $A46, Table1[[HomeTeam]:[HomeTeam]],  L$36, Table1[[ActualResult]:[ActualResult]], "OT") + SUMIFS(Table1[[AwayWon]:[AwayWon]], Table1[[GameIsOver]:[GameIsOver]], 1, Table1[[HomeTeam]:[HomeTeam]], $A46, Table1[[AwayTeam]:[AwayTeam]], L$36, Table1[[ActualResult]:[ActualResult]], "OT") + SUMIFS(Table1[[HomeWon]:[HomeWon]], Table1[[GameIsOver]:[GameIsOver]], 1, Table1[[AwayTeam]:[AwayTeam]], $A46, Table1[[HomeTeam]:[HomeTeam]], L$36, Table1[[ActualResult]:[ActualResult]], "SO") + SUMIFS(Table1[[AwayWon]:[AwayWon]], Table1[[GameIsOver]:[GameIsOver]], 1, Table1[[HomeTeam]:[HomeTeam]], $A46, Table1[[AwayTeam]:[AwayTeam]], L$36, Table1[[ActualResult]:[ActualResult]], "SO")))/ (2*((COUNTIFS(Table1[[GameIsOver]:[GameIsOver]],1,Table1[[AwayTeam]:[AwayTeam]],$A46, Table1[[HomeTeam]:[HomeTeam]], L$36)))+( COUNTIFS(Table1[[GameIsOver]:[GameIsOver]],1,Table1[[AwayTeam]:[AwayTeam]],L$36, Table1[[HomeTeam]:[HomeTeam]],$A46))), "")</f>
        <v/>
      </c>
      <c r="M46" s="50" t="str">
        <f>IFERROR(((2 * (SUMIFS(Table1[[AwayWon]:[AwayWon]], Table1[[GameIsOver]:[GameIsOver]], 1, Table1[[AwayTeam]:[AwayTeam]], $A46, Table1[[HomeTeam]:[HomeTeam]], M$36) + SUMIFS(Table1[[HomeWon]:[HomeWon]], Table1[[GameIsOver]:[GameIsOver]], 1, Table1[[HomeTeam]:[HomeTeam]], $A46, Table1[[AwayTeam]:[AwayTeam]], M$36))) + (SUMIFS(Table1[[HomeWon]:[HomeWon]], Table1[[GameIsOver]:[GameIsOver]], 1, Table1[[AwayTeam]:[AwayTeam]], $A46, Table1[[HomeTeam]:[HomeTeam]],  M$36, Table1[[ActualResult]:[ActualResult]], "OT") + SUMIFS(Table1[[AwayWon]:[AwayWon]], Table1[[GameIsOver]:[GameIsOver]], 1, Table1[[HomeTeam]:[HomeTeam]], $A46, Table1[[AwayTeam]:[AwayTeam]], M$36, Table1[[ActualResult]:[ActualResult]], "OT") + SUMIFS(Table1[[HomeWon]:[HomeWon]], Table1[[GameIsOver]:[GameIsOver]], 1, Table1[[AwayTeam]:[AwayTeam]], $A46, Table1[[HomeTeam]:[HomeTeam]], M$36, Table1[[ActualResult]:[ActualResult]], "SO") + SUMIFS(Table1[[AwayWon]:[AwayWon]], Table1[[GameIsOver]:[GameIsOver]], 1, Table1[[HomeTeam]:[HomeTeam]], $A46, Table1[[AwayTeam]:[AwayTeam]], M$36, Table1[[ActualResult]:[ActualResult]], "SO")))/ (2*((COUNTIFS(Table1[[GameIsOver]:[GameIsOver]],1,Table1[[AwayTeam]:[AwayTeam]],$A46, Table1[[HomeTeam]:[HomeTeam]], M$36)))+( COUNTIFS(Table1[[GameIsOver]:[GameIsOver]],1,Table1[[AwayTeam]:[AwayTeam]],M$36, Table1[[HomeTeam]:[HomeTeam]],$A46))), "")</f>
        <v/>
      </c>
      <c r="N46" s="50" t="str">
        <f>IFERROR(((2 * (SUMIFS(Table1[[AwayWon]:[AwayWon]], Table1[[GameIsOver]:[GameIsOver]], 1, Table1[[AwayTeam]:[AwayTeam]], $A46, Table1[[HomeTeam]:[HomeTeam]], N$36) + SUMIFS(Table1[[HomeWon]:[HomeWon]], Table1[[GameIsOver]:[GameIsOver]], 1, Table1[[HomeTeam]:[HomeTeam]], $A46, Table1[[AwayTeam]:[AwayTeam]], N$36))) + (SUMIFS(Table1[[HomeWon]:[HomeWon]], Table1[[GameIsOver]:[GameIsOver]], 1, Table1[[AwayTeam]:[AwayTeam]], $A46, Table1[[HomeTeam]:[HomeTeam]],  N$36, Table1[[ActualResult]:[ActualResult]], "OT") + SUMIFS(Table1[[AwayWon]:[AwayWon]], Table1[[GameIsOver]:[GameIsOver]], 1, Table1[[HomeTeam]:[HomeTeam]], $A46, Table1[[AwayTeam]:[AwayTeam]], N$36, Table1[[ActualResult]:[ActualResult]], "OT") + SUMIFS(Table1[[HomeWon]:[HomeWon]], Table1[[GameIsOver]:[GameIsOver]], 1, Table1[[AwayTeam]:[AwayTeam]], $A46, Table1[[HomeTeam]:[HomeTeam]], N$36, Table1[[ActualResult]:[ActualResult]], "SO") + SUMIFS(Table1[[AwayWon]:[AwayWon]], Table1[[GameIsOver]:[GameIsOver]], 1, Table1[[HomeTeam]:[HomeTeam]], $A46, Table1[[AwayTeam]:[AwayTeam]], N$36, Table1[[ActualResult]:[ActualResult]], "SO")))/ (2*((COUNTIFS(Table1[[GameIsOver]:[GameIsOver]],1,Table1[[AwayTeam]:[AwayTeam]],$A46, Table1[[HomeTeam]:[HomeTeam]], N$36)))+( COUNTIFS(Table1[[GameIsOver]:[GameIsOver]],1,Table1[[AwayTeam]:[AwayTeam]],N$36, Table1[[HomeTeam]:[HomeTeam]],$A46))), "")</f>
        <v/>
      </c>
      <c r="O46" s="50" t="str">
        <f>IFERROR(((2 * (SUMIFS(Table1[[AwayWon]:[AwayWon]], Table1[[GameIsOver]:[GameIsOver]], 1, Table1[[AwayTeam]:[AwayTeam]], $A46, Table1[[HomeTeam]:[HomeTeam]], O$36) + SUMIFS(Table1[[HomeWon]:[HomeWon]], Table1[[GameIsOver]:[GameIsOver]], 1, Table1[[HomeTeam]:[HomeTeam]], $A46, Table1[[AwayTeam]:[AwayTeam]], O$36))) + (SUMIFS(Table1[[HomeWon]:[HomeWon]], Table1[[GameIsOver]:[GameIsOver]], 1, Table1[[AwayTeam]:[AwayTeam]], $A46, Table1[[HomeTeam]:[HomeTeam]],  O$36, Table1[[ActualResult]:[ActualResult]], "OT") + SUMIFS(Table1[[AwayWon]:[AwayWon]], Table1[[GameIsOver]:[GameIsOver]], 1, Table1[[HomeTeam]:[HomeTeam]], $A46, Table1[[AwayTeam]:[AwayTeam]], O$36, Table1[[ActualResult]:[ActualResult]], "OT") + SUMIFS(Table1[[HomeWon]:[HomeWon]], Table1[[GameIsOver]:[GameIsOver]], 1, Table1[[AwayTeam]:[AwayTeam]], $A46, Table1[[HomeTeam]:[HomeTeam]], O$36, Table1[[ActualResult]:[ActualResult]], "SO") + SUMIFS(Table1[[AwayWon]:[AwayWon]], Table1[[GameIsOver]:[GameIsOver]], 1, Table1[[HomeTeam]:[HomeTeam]], $A46, Table1[[AwayTeam]:[AwayTeam]], O$36, Table1[[ActualResult]:[ActualResult]], "SO")))/ (2*((COUNTIFS(Table1[[GameIsOver]:[GameIsOver]],1,Table1[[AwayTeam]:[AwayTeam]],$A46, Table1[[HomeTeam]:[HomeTeam]], O$36)))+( COUNTIFS(Table1[[GameIsOver]:[GameIsOver]],1,Table1[[AwayTeam]:[AwayTeam]],O$36, Table1[[HomeTeam]:[HomeTeam]],$A46))), "")</f>
        <v/>
      </c>
      <c r="P46" s="50" t="str">
        <f>IFERROR(((2 * (SUMIFS(Table1[[AwayWon]:[AwayWon]], Table1[[GameIsOver]:[GameIsOver]], 1, Table1[[AwayTeam]:[AwayTeam]], $A46, Table1[[HomeTeam]:[HomeTeam]], P$36) + SUMIFS(Table1[[HomeWon]:[HomeWon]], Table1[[GameIsOver]:[GameIsOver]], 1, Table1[[HomeTeam]:[HomeTeam]], $A46, Table1[[AwayTeam]:[AwayTeam]], P$36))) + (SUMIFS(Table1[[HomeWon]:[HomeWon]], Table1[[GameIsOver]:[GameIsOver]], 1, Table1[[AwayTeam]:[AwayTeam]], $A46, Table1[[HomeTeam]:[HomeTeam]],  P$36, Table1[[ActualResult]:[ActualResult]], "OT") + SUMIFS(Table1[[AwayWon]:[AwayWon]], Table1[[GameIsOver]:[GameIsOver]], 1, Table1[[HomeTeam]:[HomeTeam]], $A46, Table1[[AwayTeam]:[AwayTeam]], P$36, Table1[[ActualResult]:[ActualResult]], "OT") + SUMIFS(Table1[[HomeWon]:[HomeWon]], Table1[[GameIsOver]:[GameIsOver]], 1, Table1[[AwayTeam]:[AwayTeam]], $A46, Table1[[HomeTeam]:[HomeTeam]], P$36, Table1[[ActualResult]:[ActualResult]], "SO") + SUMIFS(Table1[[AwayWon]:[AwayWon]], Table1[[GameIsOver]:[GameIsOver]], 1, Table1[[HomeTeam]:[HomeTeam]], $A46, Table1[[AwayTeam]:[AwayTeam]], P$36, Table1[[ActualResult]:[ActualResult]], "SO")))/ (2*((COUNTIFS(Table1[[GameIsOver]:[GameIsOver]],1,Table1[[AwayTeam]:[AwayTeam]],$A46, Table1[[HomeTeam]:[HomeTeam]], P$36)))+( COUNTIFS(Table1[[GameIsOver]:[GameIsOver]],1,Table1[[AwayTeam]:[AwayTeam]],P$36, Table1[[HomeTeam]:[HomeTeam]],$A46))), "")</f>
        <v/>
      </c>
      <c r="Q46" s="52" t="str">
        <f>IFERROR(((2 * (SUMIFS(Table1[[AwayWon]:[AwayWon]], Table1[[GameIsOver]:[GameIsOver]], 1, Table1[[AwayTeam]:[AwayTeam]], $A46, Table1[[HomeTeam]:[HomeTeam]], Q$36) + SUMIFS(Table1[[HomeWon]:[HomeWon]], Table1[[GameIsOver]:[GameIsOver]], 1, Table1[[HomeTeam]:[HomeTeam]], $A46, Table1[[AwayTeam]:[AwayTeam]], Q$36))) + (SUMIFS(Table1[[HomeWon]:[HomeWon]], Table1[[GameIsOver]:[GameIsOver]], 1, Table1[[AwayTeam]:[AwayTeam]], $A46, Table1[[HomeTeam]:[HomeTeam]],  Q$36, Table1[[ActualResult]:[ActualResult]], "OT") + SUMIFS(Table1[[AwayWon]:[AwayWon]], Table1[[GameIsOver]:[GameIsOver]], 1, Table1[[HomeTeam]:[HomeTeam]], $A46, Table1[[AwayTeam]:[AwayTeam]], Q$36, Table1[[ActualResult]:[ActualResult]], "OT") + SUMIFS(Table1[[HomeWon]:[HomeWon]], Table1[[GameIsOver]:[GameIsOver]], 1, Table1[[AwayTeam]:[AwayTeam]], $A46, Table1[[HomeTeam]:[HomeTeam]], Q$36, Table1[[ActualResult]:[ActualResult]], "SO") + SUMIFS(Table1[[AwayWon]:[AwayWon]], Table1[[GameIsOver]:[GameIsOver]], 1, Table1[[HomeTeam]:[HomeTeam]], $A46, Table1[[AwayTeam]:[AwayTeam]], Q$36, Table1[[ActualResult]:[ActualResult]], "SO")))/ (2*((COUNTIFS(Table1[[GameIsOver]:[GameIsOver]],1,Table1[[AwayTeam]:[AwayTeam]],$A46, Table1[[HomeTeam]:[HomeTeam]], Q$36)))+( COUNTIFS(Table1[[GameIsOver]:[GameIsOver]],1,Table1[[AwayTeam]:[AwayTeam]],Q$36, Table1[[HomeTeam]:[HomeTeam]],$A46))), "")</f>
        <v/>
      </c>
      <c r="R46" s="50" t="str">
        <f>IFERROR(((2 * (SUMIFS(Table1[[AwayWon]:[AwayWon]], Table1[[GameIsOver]:[GameIsOver]], 1, Table1[[AwayTeam]:[AwayTeam]], $A46, Table1[[HomeTeam]:[HomeTeam]], R$36) + SUMIFS(Table1[[HomeWon]:[HomeWon]], Table1[[GameIsOver]:[GameIsOver]], 1, Table1[[HomeTeam]:[HomeTeam]], $A46, Table1[[AwayTeam]:[AwayTeam]], R$36))) + (SUMIFS(Table1[[HomeWon]:[HomeWon]], Table1[[GameIsOver]:[GameIsOver]], 1, Table1[[AwayTeam]:[AwayTeam]], $A46, Table1[[HomeTeam]:[HomeTeam]],  R$36, Table1[[ActualResult]:[ActualResult]], "OT") + SUMIFS(Table1[[AwayWon]:[AwayWon]], Table1[[GameIsOver]:[GameIsOver]], 1, Table1[[HomeTeam]:[HomeTeam]], $A46, Table1[[AwayTeam]:[AwayTeam]], R$36, Table1[[ActualResult]:[ActualResult]], "OT") + SUMIFS(Table1[[HomeWon]:[HomeWon]], Table1[[GameIsOver]:[GameIsOver]], 1, Table1[[AwayTeam]:[AwayTeam]], $A46, Table1[[HomeTeam]:[HomeTeam]], R$36, Table1[[ActualResult]:[ActualResult]], "SO") + SUMIFS(Table1[[AwayWon]:[AwayWon]], Table1[[GameIsOver]:[GameIsOver]], 1, Table1[[HomeTeam]:[HomeTeam]], $A46, Table1[[AwayTeam]:[AwayTeam]], R$36, Table1[[ActualResult]:[ActualResult]], "SO")))/ (2*((COUNTIFS(Table1[[GameIsOver]:[GameIsOver]],1,Table1[[AwayTeam]:[AwayTeam]],$A46, Table1[[HomeTeam]:[HomeTeam]], R$36)))+( COUNTIFS(Table1[[GameIsOver]:[GameIsOver]],1,Table1[[AwayTeam]:[AwayTeam]],R$36, Table1[[HomeTeam]:[HomeTeam]],$A46))), "")</f>
        <v/>
      </c>
      <c r="S46" s="50" t="str">
        <f>IFERROR(((2 * (SUMIFS(Table1[[AwayWon]:[AwayWon]], Table1[[GameIsOver]:[GameIsOver]], 1, Table1[[AwayTeam]:[AwayTeam]], $A46, Table1[[HomeTeam]:[HomeTeam]], S$36) + SUMIFS(Table1[[HomeWon]:[HomeWon]], Table1[[GameIsOver]:[GameIsOver]], 1, Table1[[HomeTeam]:[HomeTeam]], $A46, Table1[[AwayTeam]:[AwayTeam]], S$36))) + (SUMIFS(Table1[[HomeWon]:[HomeWon]], Table1[[GameIsOver]:[GameIsOver]], 1, Table1[[AwayTeam]:[AwayTeam]], $A46, Table1[[HomeTeam]:[HomeTeam]],  S$36, Table1[[ActualResult]:[ActualResult]], "OT") + SUMIFS(Table1[[AwayWon]:[AwayWon]], Table1[[GameIsOver]:[GameIsOver]], 1, Table1[[HomeTeam]:[HomeTeam]], $A46, Table1[[AwayTeam]:[AwayTeam]], S$36, Table1[[ActualResult]:[ActualResult]], "OT") + SUMIFS(Table1[[HomeWon]:[HomeWon]], Table1[[GameIsOver]:[GameIsOver]], 1, Table1[[AwayTeam]:[AwayTeam]], $A46, Table1[[HomeTeam]:[HomeTeam]], S$36, Table1[[ActualResult]:[ActualResult]], "SO") + SUMIFS(Table1[[AwayWon]:[AwayWon]], Table1[[GameIsOver]:[GameIsOver]], 1, Table1[[HomeTeam]:[HomeTeam]], $A46, Table1[[AwayTeam]:[AwayTeam]], S$36, Table1[[ActualResult]:[ActualResult]], "SO")))/ (2*((COUNTIFS(Table1[[GameIsOver]:[GameIsOver]],1,Table1[[AwayTeam]:[AwayTeam]],$A46, Table1[[HomeTeam]:[HomeTeam]], S$36)))+( COUNTIFS(Table1[[GameIsOver]:[GameIsOver]],1,Table1[[AwayTeam]:[AwayTeam]],S$36, Table1[[HomeTeam]:[HomeTeam]],$A46))), "")</f>
        <v/>
      </c>
      <c r="T46" s="50" t="str">
        <f>IFERROR(((2 * (SUMIFS(Table1[[AwayWon]:[AwayWon]], Table1[[GameIsOver]:[GameIsOver]], 1, Table1[[AwayTeam]:[AwayTeam]], $A46, Table1[[HomeTeam]:[HomeTeam]], T$36) + SUMIFS(Table1[[HomeWon]:[HomeWon]], Table1[[GameIsOver]:[GameIsOver]], 1, Table1[[HomeTeam]:[HomeTeam]], $A46, Table1[[AwayTeam]:[AwayTeam]], T$36))) + (SUMIFS(Table1[[HomeWon]:[HomeWon]], Table1[[GameIsOver]:[GameIsOver]], 1, Table1[[AwayTeam]:[AwayTeam]], $A46, Table1[[HomeTeam]:[HomeTeam]],  T$36, Table1[[ActualResult]:[ActualResult]], "OT") + SUMIFS(Table1[[AwayWon]:[AwayWon]], Table1[[GameIsOver]:[GameIsOver]], 1, Table1[[HomeTeam]:[HomeTeam]], $A46, Table1[[AwayTeam]:[AwayTeam]], T$36, Table1[[ActualResult]:[ActualResult]], "OT") + SUMIFS(Table1[[HomeWon]:[HomeWon]], Table1[[GameIsOver]:[GameIsOver]], 1, Table1[[AwayTeam]:[AwayTeam]], $A46, Table1[[HomeTeam]:[HomeTeam]], T$36, Table1[[ActualResult]:[ActualResult]], "SO") + SUMIFS(Table1[[AwayWon]:[AwayWon]], Table1[[GameIsOver]:[GameIsOver]], 1, Table1[[HomeTeam]:[HomeTeam]], $A46, Table1[[AwayTeam]:[AwayTeam]], T$36, Table1[[ActualResult]:[ActualResult]], "SO")))/ (2*((COUNTIFS(Table1[[GameIsOver]:[GameIsOver]],1,Table1[[AwayTeam]:[AwayTeam]],$A46, Table1[[HomeTeam]:[HomeTeam]], T$36)))+( COUNTIFS(Table1[[GameIsOver]:[GameIsOver]],1,Table1[[AwayTeam]:[AwayTeam]],T$36, Table1[[HomeTeam]:[HomeTeam]],$A46))), "")</f>
        <v/>
      </c>
      <c r="U46" s="50" t="str">
        <f>IFERROR(((2 * (SUMIFS(Table1[[AwayWon]:[AwayWon]], Table1[[GameIsOver]:[GameIsOver]], 1, Table1[[AwayTeam]:[AwayTeam]], $A46, Table1[[HomeTeam]:[HomeTeam]], U$36) + SUMIFS(Table1[[HomeWon]:[HomeWon]], Table1[[GameIsOver]:[GameIsOver]], 1, Table1[[HomeTeam]:[HomeTeam]], $A46, Table1[[AwayTeam]:[AwayTeam]], U$36))) + (SUMIFS(Table1[[HomeWon]:[HomeWon]], Table1[[GameIsOver]:[GameIsOver]], 1, Table1[[AwayTeam]:[AwayTeam]], $A46, Table1[[HomeTeam]:[HomeTeam]],  U$36, Table1[[ActualResult]:[ActualResult]], "OT") + SUMIFS(Table1[[AwayWon]:[AwayWon]], Table1[[GameIsOver]:[GameIsOver]], 1, Table1[[HomeTeam]:[HomeTeam]], $A46, Table1[[AwayTeam]:[AwayTeam]], U$36, Table1[[ActualResult]:[ActualResult]], "OT") + SUMIFS(Table1[[HomeWon]:[HomeWon]], Table1[[GameIsOver]:[GameIsOver]], 1, Table1[[AwayTeam]:[AwayTeam]], $A46, Table1[[HomeTeam]:[HomeTeam]], U$36, Table1[[ActualResult]:[ActualResult]], "SO") + SUMIFS(Table1[[AwayWon]:[AwayWon]], Table1[[GameIsOver]:[GameIsOver]], 1, Table1[[HomeTeam]:[HomeTeam]], $A46, Table1[[AwayTeam]:[AwayTeam]], U$36, Table1[[ActualResult]:[ActualResult]], "SO")))/ (2*((COUNTIFS(Table1[[GameIsOver]:[GameIsOver]],1,Table1[[AwayTeam]:[AwayTeam]],$A46, Table1[[HomeTeam]:[HomeTeam]], U$36)))+( COUNTIFS(Table1[[GameIsOver]:[GameIsOver]],1,Table1[[AwayTeam]:[AwayTeam]],U$36, Table1[[HomeTeam]:[HomeTeam]],$A46))), "")</f>
        <v/>
      </c>
      <c r="V46" s="50" t="str">
        <f>IFERROR(((2 * (SUMIFS(Table1[[AwayWon]:[AwayWon]], Table1[[GameIsOver]:[GameIsOver]], 1, Table1[[AwayTeam]:[AwayTeam]], $A46, Table1[[HomeTeam]:[HomeTeam]], V$36) + SUMIFS(Table1[[HomeWon]:[HomeWon]], Table1[[GameIsOver]:[GameIsOver]], 1, Table1[[HomeTeam]:[HomeTeam]], $A46, Table1[[AwayTeam]:[AwayTeam]], V$36))) + (SUMIFS(Table1[[HomeWon]:[HomeWon]], Table1[[GameIsOver]:[GameIsOver]], 1, Table1[[AwayTeam]:[AwayTeam]], $A46, Table1[[HomeTeam]:[HomeTeam]],  V$36, Table1[[ActualResult]:[ActualResult]], "OT") + SUMIFS(Table1[[AwayWon]:[AwayWon]], Table1[[GameIsOver]:[GameIsOver]], 1, Table1[[HomeTeam]:[HomeTeam]], $A46, Table1[[AwayTeam]:[AwayTeam]], V$36, Table1[[ActualResult]:[ActualResult]], "OT") + SUMIFS(Table1[[HomeWon]:[HomeWon]], Table1[[GameIsOver]:[GameIsOver]], 1, Table1[[AwayTeam]:[AwayTeam]], $A46, Table1[[HomeTeam]:[HomeTeam]], V$36, Table1[[ActualResult]:[ActualResult]], "SO") + SUMIFS(Table1[[AwayWon]:[AwayWon]], Table1[[GameIsOver]:[GameIsOver]], 1, Table1[[HomeTeam]:[HomeTeam]], $A46, Table1[[AwayTeam]:[AwayTeam]], V$36, Table1[[ActualResult]:[ActualResult]], "SO")))/ (2*((COUNTIFS(Table1[[GameIsOver]:[GameIsOver]],1,Table1[[AwayTeam]:[AwayTeam]],$A46, Table1[[HomeTeam]:[HomeTeam]], V$36)))+( COUNTIFS(Table1[[GameIsOver]:[GameIsOver]],1,Table1[[AwayTeam]:[AwayTeam]],V$36, Table1[[HomeTeam]:[HomeTeam]],$A46))), "")</f>
        <v/>
      </c>
      <c r="W46" s="50" t="str">
        <f>IFERROR(((2 * (SUMIFS(Table1[[AwayWon]:[AwayWon]], Table1[[GameIsOver]:[GameIsOver]], 1, Table1[[AwayTeam]:[AwayTeam]], $A46, Table1[[HomeTeam]:[HomeTeam]], W$36) + SUMIFS(Table1[[HomeWon]:[HomeWon]], Table1[[GameIsOver]:[GameIsOver]], 1, Table1[[HomeTeam]:[HomeTeam]], $A46, Table1[[AwayTeam]:[AwayTeam]], W$36))) + (SUMIFS(Table1[[HomeWon]:[HomeWon]], Table1[[GameIsOver]:[GameIsOver]], 1, Table1[[AwayTeam]:[AwayTeam]], $A46, Table1[[HomeTeam]:[HomeTeam]],  W$36, Table1[[ActualResult]:[ActualResult]], "OT") + SUMIFS(Table1[[AwayWon]:[AwayWon]], Table1[[GameIsOver]:[GameIsOver]], 1, Table1[[HomeTeam]:[HomeTeam]], $A46, Table1[[AwayTeam]:[AwayTeam]], W$36, Table1[[ActualResult]:[ActualResult]], "OT") + SUMIFS(Table1[[HomeWon]:[HomeWon]], Table1[[GameIsOver]:[GameIsOver]], 1, Table1[[AwayTeam]:[AwayTeam]], $A46, Table1[[HomeTeam]:[HomeTeam]], W$36, Table1[[ActualResult]:[ActualResult]], "SO") + SUMIFS(Table1[[AwayWon]:[AwayWon]], Table1[[GameIsOver]:[GameIsOver]], 1, Table1[[HomeTeam]:[HomeTeam]], $A46, Table1[[AwayTeam]:[AwayTeam]], W$36, Table1[[ActualResult]:[ActualResult]], "SO")))/ (2*((COUNTIFS(Table1[[GameIsOver]:[GameIsOver]],1,Table1[[AwayTeam]:[AwayTeam]],$A46, Table1[[HomeTeam]:[HomeTeam]], W$36)))+( COUNTIFS(Table1[[GameIsOver]:[GameIsOver]],1,Table1[[AwayTeam]:[AwayTeam]],W$36, Table1[[HomeTeam]:[HomeTeam]],$A46))), "")</f>
        <v/>
      </c>
      <c r="X46" s="50" t="str">
        <f>IFERROR(((2 * (SUMIFS(Table1[[AwayWon]:[AwayWon]], Table1[[GameIsOver]:[GameIsOver]], 1, Table1[[AwayTeam]:[AwayTeam]], $A46, Table1[[HomeTeam]:[HomeTeam]], X$36) + SUMIFS(Table1[[HomeWon]:[HomeWon]], Table1[[GameIsOver]:[GameIsOver]], 1, Table1[[HomeTeam]:[HomeTeam]], $A46, Table1[[AwayTeam]:[AwayTeam]], X$36))) + (SUMIFS(Table1[[HomeWon]:[HomeWon]], Table1[[GameIsOver]:[GameIsOver]], 1, Table1[[AwayTeam]:[AwayTeam]], $A46, Table1[[HomeTeam]:[HomeTeam]],  X$36, Table1[[ActualResult]:[ActualResult]], "OT") + SUMIFS(Table1[[AwayWon]:[AwayWon]], Table1[[GameIsOver]:[GameIsOver]], 1, Table1[[HomeTeam]:[HomeTeam]], $A46, Table1[[AwayTeam]:[AwayTeam]], X$36, Table1[[ActualResult]:[ActualResult]], "OT") + SUMIFS(Table1[[HomeWon]:[HomeWon]], Table1[[GameIsOver]:[GameIsOver]], 1, Table1[[AwayTeam]:[AwayTeam]], $A46, Table1[[HomeTeam]:[HomeTeam]], X$36, Table1[[ActualResult]:[ActualResult]], "SO") + SUMIFS(Table1[[AwayWon]:[AwayWon]], Table1[[GameIsOver]:[GameIsOver]], 1, Table1[[HomeTeam]:[HomeTeam]], $A46, Table1[[AwayTeam]:[AwayTeam]], X$36, Table1[[ActualResult]:[ActualResult]], "SO")))/ (2*((COUNTIFS(Table1[[GameIsOver]:[GameIsOver]],1,Table1[[AwayTeam]:[AwayTeam]],$A46, Table1[[HomeTeam]:[HomeTeam]], X$36)))+( COUNTIFS(Table1[[GameIsOver]:[GameIsOver]],1,Table1[[AwayTeam]:[AwayTeam]],X$36, Table1[[HomeTeam]:[HomeTeam]],$A46))), "")</f>
        <v/>
      </c>
      <c r="Y46" s="52">
        <f>IFERROR(((2 * (SUMIFS(Table1[[AwayWon]:[AwayWon]], Table1[[GameIsOver]:[GameIsOver]], 1, Table1[[AwayTeam]:[AwayTeam]], $A46, Table1[[HomeTeam]:[HomeTeam]], Y$36) + SUMIFS(Table1[[HomeWon]:[HomeWon]], Table1[[GameIsOver]:[GameIsOver]], 1, Table1[[HomeTeam]:[HomeTeam]], $A46, Table1[[AwayTeam]:[AwayTeam]], Y$36))) + (SUMIFS(Table1[[HomeWon]:[HomeWon]], Table1[[GameIsOver]:[GameIsOver]], 1, Table1[[AwayTeam]:[AwayTeam]], $A46, Table1[[HomeTeam]:[HomeTeam]],  Y$36, Table1[[ActualResult]:[ActualResult]], "OT") + SUMIFS(Table1[[AwayWon]:[AwayWon]], Table1[[GameIsOver]:[GameIsOver]], 1, Table1[[HomeTeam]:[HomeTeam]], $A46, Table1[[AwayTeam]:[AwayTeam]], Y$36, Table1[[ActualResult]:[ActualResult]], "OT") + SUMIFS(Table1[[HomeWon]:[HomeWon]], Table1[[GameIsOver]:[GameIsOver]], 1, Table1[[AwayTeam]:[AwayTeam]], $A46, Table1[[HomeTeam]:[HomeTeam]], Y$36, Table1[[ActualResult]:[ActualResult]], "SO") + SUMIFS(Table1[[AwayWon]:[AwayWon]], Table1[[GameIsOver]:[GameIsOver]], 1, Table1[[HomeTeam]:[HomeTeam]], $A46, Table1[[AwayTeam]:[AwayTeam]], Y$36, Table1[[ActualResult]:[ActualResult]], "SO")))/ (2*((COUNTIFS(Table1[[GameIsOver]:[GameIsOver]],1,Table1[[AwayTeam]:[AwayTeam]],$A46, Table1[[HomeTeam]:[HomeTeam]], Y$36)))+( COUNTIFS(Table1[[GameIsOver]:[GameIsOver]],1,Table1[[AwayTeam]:[AwayTeam]],Y$36, Table1[[HomeTeam]:[HomeTeam]],$A46))), "")</f>
        <v>1</v>
      </c>
      <c r="Z46" s="50" t="str">
        <f>IFERROR(((2 * (SUMIFS(Table1[[AwayWon]:[AwayWon]], Table1[[GameIsOver]:[GameIsOver]], 1, Table1[[AwayTeam]:[AwayTeam]], $A46, Table1[[HomeTeam]:[HomeTeam]], Z$36) + SUMIFS(Table1[[HomeWon]:[HomeWon]], Table1[[GameIsOver]:[GameIsOver]], 1, Table1[[HomeTeam]:[HomeTeam]], $A46, Table1[[AwayTeam]:[AwayTeam]], Z$36))) + (SUMIFS(Table1[[HomeWon]:[HomeWon]], Table1[[GameIsOver]:[GameIsOver]], 1, Table1[[AwayTeam]:[AwayTeam]], $A46, Table1[[HomeTeam]:[HomeTeam]],  Z$36, Table1[[ActualResult]:[ActualResult]], "OT") + SUMIFS(Table1[[AwayWon]:[AwayWon]], Table1[[GameIsOver]:[GameIsOver]], 1, Table1[[HomeTeam]:[HomeTeam]], $A46, Table1[[AwayTeam]:[AwayTeam]], Z$36, Table1[[ActualResult]:[ActualResult]], "OT") + SUMIFS(Table1[[HomeWon]:[HomeWon]], Table1[[GameIsOver]:[GameIsOver]], 1, Table1[[AwayTeam]:[AwayTeam]], $A46, Table1[[HomeTeam]:[HomeTeam]], Z$36, Table1[[ActualResult]:[ActualResult]], "SO") + SUMIFS(Table1[[AwayWon]:[AwayWon]], Table1[[GameIsOver]:[GameIsOver]], 1, Table1[[HomeTeam]:[HomeTeam]], $A46, Table1[[AwayTeam]:[AwayTeam]], Z$36, Table1[[ActualResult]:[ActualResult]], "SO")))/ (2*((COUNTIFS(Table1[[GameIsOver]:[GameIsOver]],1,Table1[[AwayTeam]:[AwayTeam]],$A46, Table1[[HomeTeam]:[HomeTeam]], Z$36)))+( COUNTIFS(Table1[[GameIsOver]:[GameIsOver]],1,Table1[[AwayTeam]:[AwayTeam]],Z$36, Table1[[HomeTeam]:[HomeTeam]],$A46))), "")</f>
        <v/>
      </c>
      <c r="AA46" s="50" t="str">
        <f>IFERROR(((2 * (SUMIFS(Table1[[AwayWon]:[AwayWon]], Table1[[GameIsOver]:[GameIsOver]], 1, Table1[[AwayTeam]:[AwayTeam]], $A46, Table1[[HomeTeam]:[HomeTeam]], AA$36) + SUMIFS(Table1[[HomeWon]:[HomeWon]], Table1[[GameIsOver]:[GameIsOver]], 1, Table1[[HomeTeam]:[HomeTeam]], $A46, Table1[[AwayTeam]:[AwayTeam]], AA$36))) + (SUMIFS(Table1[[HomeWon]:[HomeWon]], Table1[[GameIsOver]:[GameIsOver]], 1, Table1[[AwayTeam]:[AwayTeam]], $A46, Table1[[HomeTeam]:[HomeTeam]],  AA$36, Table1[[ActualResult]:[ActualResult]], "OT") + SUMIFS(Table1[[AwayWon]:[AwayWon]], Table1[[GameIsOver]:[GameIsOver]], 1, Table1[[HomeTeam]:[HomeTeam]], $A46, Table1[[AwayTeam]:[AwayTeam]], AA$36, Table1[[ActualResult]:[ActualResult]], "OT") + SUMIFS(Table1[[HomeWon]:[HomeWon]], Table1[[GameIsOver]:[GameIsOver]], 1, Table1[[AwayTeam]:[AwayTeam]], $A46, Table1[[HomeTeam]:[HomeTeam]], AA$36, Table1[[ActualResult]:[ActualResult]], "SO") + SUMIFS(Table1[[AwayWon]:[AwayWon]], Table1[[GameIsOver]:[GameIsOver]], 1, Table1[[HomeTeam]:[HomeTeam]], $A46, Table1[[AwayTeam]:[AwayTeam]], AA$36, Table1[[ActualResult]:[ActualResult]], "SO")))/ (2*((COUNTIFS(Table1[[GameIsOver]:[GameIsOver]],1,Table1[[AwayTeam]:[AwayTeam]],$A46, Table1[[HomeTeam]:[HomeTeam]], AA$36)))+( COUNTIFS(Table1[[GameIsOver]:[GameIsOver]],1,Table1[[AwayTeam]:[AwayTeam]],AA$36, Table1[[HomeTeam]:[HomeTeam]],$A46))), "")</f>
        <v/>
      </c>
      <c r="AB46" s="50" t="str">
        <f>IFERROR(((2 * (SUMIFS(Table1[[AwayWon]:[AwayWon]], Table1[[GameIsOver]:[GameIsOver]], 1, Table1[[AwayTeam]:[AwayTeam]], $A46, Table1[[HomeTeam]:[HomeTeam]], AB$36) + SUMIFS(Table1[[HomeWon]:[HomeWon]], Table1[[GameIsOver]:[GameIsOver]], 1, Table1[[HomeTeam]:[HomeTeam]], $A46, Table1[[AwayTeam]:[AwayTeam]], AB$36))) + (SUMIFS(Table1[[HomeWon]:[HomeWon]], Table1[[GameIsOver]:[GameIsOver]], 1, Table1[[AwayTeam]:[AwayTeam]], $A46, Table1[[HomeTeam]:[HomeTeam]],  AB$36, Table1[[ActualResult]:[ActualResult]], "OT") + SUMIFS(Table1[[AwayWon]:[AwayWon]], Table1[[GameIsOver]:[GameIsOver]], 1, Table1[[HomeTeam]:[HomeTeam]], $A46, Table1[[AwayTeam]:[AwayTeam]], AB$36, Table1[[ActualResult]:[ActualResult]], "OT") + SUMIFS(Table1[[HomeWon]:[HomeWon]], Table1[[GameIsOver]:[GameIsOver]], 1, Table1[[AwayTeam]:[AwayTeam]], $A46, Table1[[HomeTeam]:[HomeTeam]], AB$36, Table1[[ActualResult]:[ActualResult]], "SO") + SUMIFS(Table1[[AwayWon]:[AwayWon]], Table1[[GameIsOver]:[GameIsOver]], 1, Table1[[HomeTeam]:[HomeTeam]], $A46, Table1[[AwayTeam]:[AwayTeam]], AB$36, Table1[[ActualResult]:[ActualResult]], "SO")))/ (2*((COUNTIFS(Table1[[GameIsOver]:[GameIsOver]],1,Table1[[AwayTeam]:[AwayTeam]],$A46, Table1[[HomeTeam]:[HomeTeam]], AB$36)))+( COUNTIFS(Table1[[GameIsOver]:[GameIsOver]],1,Table1[[AwayTeam]:[AwayTeam]],AB$36, Table1[[HomeTeam]:[HomeTeam]],$A46))), "")</f>
        <v/>
      </c>
      <c r="AC46" s="50" t="str">
        <f>IFERROR(((2 * (SUMIFS(Table1[[AwayWon]:[AwayWon]], Table1[[GameIsOver]:[GameIsOver]], 1, Table1[[AwayTeam]:[AwayTeam]], $A46, Table1[[HomeTeam]:[HomeTeam]], AC$36) + SUMIFS(Table1[[HomeWon]:[HomeWon]], Table1[[GameIsOver]:[GameIsOver]], 1, Table1[[HomeTeam]:[HomeTeam]], $A46, Table1[[AwayTeam]:[AwayTeam]], AC$36))) + (SUMIFS(Table1[[HomeWon]:[HomeWon]], Table1[[GameIsOver]:[GameIsOver]], 1, Table1[[AwayTeam]:[AwayTeam]], $A46, Table1[[HomeTeam]:[HomeTeam]],  AC$36, Table1[[ActualResult]:[ActualResult]], "OT") + SUMIFS(Table1[[AwayWon]:[AwayWon]], Table1[[GameIsOver]:[GameIsOver]], 1, Table1[[HomeTeam]:[HomeTeam]], $A46, Table1[[AwayTeam]:[AwayTeam]], AC$36, Table1[[ActualResult]:[ActualResult]], "OT") + SUMIFS(Table1[[HomeWon]:[HomeWon]], Table1[[GameIsOver]:[GameIsOver]], 1, Table1[[AwayTeam]:[AwayTeam]], $A46, Table1[[HomeTeam]:[HomeTeam]], AC$36, Table1[[ActualResult]:[ActualResult]], "SO") + SUMIFS(Table1[[AwayWon]:[AwayWon]], Table1[[GameIsOver]:[GameIsOver]], 1, Table1[[HomeTeam]:[HomeTeam]], $A46, Table1[[AwayTeam]:[AwayTeam]], AC$36, Table1[[ActualResult]:[ActualResult]], "SO")))/ (2*((COUNTIFS(Table1[[GameIsOver]:[GameIsOver]],1,Table1[[AwayTeam]:[AwayTeam]],$A46, Table1[[HomeTeam]:[HomeTeam]], AC$36)))+( COUNTIFS(Table1[[GameIsOver]:[GameIsOver]],1,Table1[[AwayTeam]:[AwayTeam]],AC$36, Table1[[HomeTeam]:[HomeTeam]],$A46))), "")</f>
        <v/>
      </c>
      <c r="AD46" s="50" t="str">
        <f>IFERROR(((2 * (SUMIFS(Table1[[AwayWon]:[AwayWon]], Table1[[GameIsOver]:[GameIsOver]], 1, Table1[[AwayTeam]:[AwayTeam]], $A46, Table1[[HomeTeam]:[HomeTeam]], AD$36) + SUMIFS(Table1[[HomeWon]:[HomeWon]], Table1[[GameIsOver]:[GameIsOver]], 1, Table1[[HomeTeam]:[HomeTeam]], $A46, Table1[[AwayTeam]:[AwayTeam]], AD$36))) + (SUMIFS(Table1[[HomeWon]:[HomeWon]], Table1[[GameIsOver]:[GameIsOver]], 1, Table1[[AwayTeam]:[AwayTeam]], $A46, Table1[[HomeTeam]:[HomeTeam]],  AD$36, Table1[[ActualResult]:[ActualResult]], "OT") + SUMIFS(Table1[[AwayWon]:[AwayWon]], Table1[[GameIsOver]:[GameIsOver]], 1, Table1[[HomeTeam]:[HomeTeam]], $A46, Table1[[AwayTeam]:[AwayTeam]], AD$36, Table1[[ActualResult]:[ActualResult]], "OT") + SUMIFS(Table1[[HomeWon]:[HomeWon]], Table1[[GameIsOver]:[GameIsOver]], 1, Table1[[AwayTeam]:[AwayTeam]], $A46, Table1[[HomeTeam]:[HomeTeam]], AD$36, Table1[[ActualResult]:[ActualResult]], "SO") + SUMIFS(Table1[[AwayWon]:[AwayWon]], Table1[[GameIsOver]:[GameIsOver]], 1, Table1[[HomeTeam]:[HomeTeam]], $A46, Table1[[AwayTeam]:[AwayTeam]], AD$36, Table1[[ActualResult]:[ActualResult]], "SO")))/ (2*((COUNTIFS(Table1[[GameIsOver]:[GameIsOver]],1,Table1[[AwayTeam]:[AwayTeam]],$A46, Table1[[HomeTeam]:[HomeTeam]], AD$36)))+( COUNTIFS(Table1[[GameIsOver]:[GameIsOver]],1,Table1[[AwayTeam]:[AwayTeam]],AD$36, Table1[[HomeTeam]:[HomeTeam]],$A46))), "")</f>
        <v/>
      </c>
      <c r="AE46" s="50" t="str">
        <f>IFERROR(((2 * (SUMIFS(Table1[[AwayWon]:[AwayWon]], Table1[[GameIsOver]:[GameIsOver]], 1, Table1[[AwayTeam]:[AwayTeam]], $A46, Table1[[HomeTeam]:[HomeTeam]], AE$36) + SUMIFS(Table1[[HomeWon]:[HomeWon]], Table1[[GameIsOver]:[GameIsOver]], 1, Table1[[HomeTeam]:[HomeTeam]], $A46, Table1[[AwayTeam]:[AwayTeam]], AE$36))) + (SUMIFS(Table1[[HomeWon]:[HomeWon]], Table1[[GameIsOver]:[GameIsOver]], 1, Table1[[AwayTeam]:[AwayTeam]], $A46, Table1[[HomeTeam]:[HomeTeam]],  AE$36, Table1[[ActualResult]:[ActualResult]], "OT") + SUMIFS(Table1[[AwayWon]:[AwayWon]], Table1[[GameIsOver]:[GameIsOver]], 1, Table1[[HomeTeam]:[HomeTeam]], $A46, Table1[[AwayTeam]:[AwayTeam]], AE$36, Table1[[ActualResult]:[ActualResult]], "OT") + SUMIFS(Table1[[HomeWon]:[HomeWon]], Table1[[GameIsOver]:[GameIsOver]], 1, Table1[[AwayTeam]:[AwayTeam]], $A46, Table1[[HomeTeam]:[HomeTeam]], AE$36, Table1[[ActualResult]:[ActualResult]], "SO") + SUMIFS(Table1[[AwayWon]:[AwayWon]], Table1[[GameIsOver]:[GameIsOver]], 1, Table1[[HomeTeam]:[HomeTeam]], $A46, Table1[[AwayTeam]:[AwayTeam]], AE$36, Table1[[ActualResult]:[ActualResult]], "SO")))/ (2*((COUNTIFS(Table1[[GameIsOver]:[GameIsOver]],1,Table1[[AwayTeam]:[AwayTeam]],$A46, Table1[[HomeTeam]:[HomeTeam]], AE$36)))+( COUNTIFS(Table1[[GameIsOver]:[GameIsOver]],1,Table1[[AwayTeam]:[AwayTeam]],AE$36, Table1[[HomeTeam]:[HomeTeam]],$A46))), "")</f>
        <v/>
      </c>
      <c r="AF46" s="50" t="str">
        <f>IFERROR(((2 * (SUMIFS(Table1[[AwayWon]:[AwayWon]], Table1[[GameIsOver]:[GameIsOver]], 1, Table1[[AwayTeam]:[AwayTeam]], $A46, Table1[[HomeTeam]:[HomeTeam]], AF$36) + SUMIFS(Table1[[HomeWon]:[HomeWon]], Table1[[GameIsOver]:[GameIsOver]], 1, Table1[[HomeTeam]:[HomeTeam]], $A46, Table1[[AwayTeam]:[AwayTeam]], AF$36))) + (SUMIFS(Table1[[HomeWon]:[HomeWon]], Table1[[GameIsOver]:[GameIsOver]], 1, Table1[[AwayTeam]:[AwayTeam]], $A46, Table1[[HomeTeam]:[HomeTeam]],  AF$36, Table1[[ActualResult]:[ActualResult]], "OT") + SUMIFS(Table1[[AwayWon]:[AwayWon]], Table1[[GameIsOver]:[GameIsOver]], 1, Table1[[HomeTeam]:[HomeTeam]], $A46, Table1[[AwayTeam]:[AwayTeam]], AF$36, Table1[[ActualResult]:[ActualResult]], "OT") + SUMIFS(Table1[[HomeWon]:[HomeWon]], Table1[[GameIsOver]:[GameIsOver]], 1, Table1[[AwayTeam]:[AwayTeam]], $A46, Table1[[HomeTeam]:[HomeTeam]], AF$36, Table1[[ActualResult]:[ActualResult]], "SO") + SUMIFS(Table1[[AwayWon]:[AwayWon]], Table1[[GameIsOver]:[GameIsOver]], 1, Table1[[HomeTeam]:[HomeTeam]], $A46, Table1[[AwayTeam]:[AwayTeam]], AF$36, Table1[[ActualResult]:[ActualResult]], "SO")))/ (2*((COUNTIFS(Table1[[GameIsOver]:[GameIsOver]],1,Table1[[AwayTeam]:[AwayTeam]],$A46, Table1[[HomeTeam]:[HomeTeam]], AF$36)))+( COUNTIFS(Table1[[GameIsOver]:[GameIsOver]],1,Table1[[AwayTeam]:[AwayTeam]],AF$36, Table1[[HomeTeam]:[HomeTeam]],$A46))), "")</f>
        <v/>
      </c>
      <c r="AG46" s="50" t="str">
        <f>IFERROR(((2 * (SUMIFS(Table1[[AwayWon]:[AwayWon]], Table1[[GameIsOver]:[GameIsOver]], 1, Table1[[AwayTeam]:[AwayTeam]], $A46, Table1[[HomeTeam]:[HomeTeam]], AG$36) + SUMIFS(Table1[[HomeWon]:[HomeWon]], Table1[[GameIsOver]:[GameIsOver]], 1, Table1[[HomeTeam]:[HomeTeam]], $A46, Table1[[AwayTeam]:[AwayTeam]], AG$36))) + (SUMIFS(Table1[[HomeWon]:[HomeWon]], Table1[[GameIsOver]:[GameIsOver]], 1, Table1[[AwayTeam]:[AwayTeam]], $A46, Table1[[HomeTeam]:[HomeTeam]],  AG$36, Table1[[ActualResult]:[ActualResult]], "OT") + SUMIFS(Table1[[AwayWon]:[AwayWon]], Table1[[GameIsOver]:[GameIsOver]], 1, Table1[[HomeTeam]:[HomeTeam]], $A46, Table1[[AwayTeam]:[AwayTeam]], AG$36, Table1[[ActualResult]:[ActualResult]], "OT") + SUMIFS(Table1[[HomeWon]:[HomeWon]], Table1[[GameIsOver]:[GameIsOver]], 1, Table1[[AwayTeam]:[AwayTeam]], $A46, Table1[[HomeTeam]:[HomeTeam]], AG$36, Table1[[ActualResult]:[ActualResult]], "SO") + SUMIFS(Table1[[AwayWon]:[AwayWon]], Table1[[GameIsOver]:[GameIsOver]], 1, Table1[[HomeTeam]:[HomeTeam]], $A46, Table1[[AwayTeam]:[AwayTeam]], AG$36, Table1[[ActualResult]:[ActualResult]], "SO")))/ (2*((COUNTIFS(Table1[[GameIsOver]:[GameIsOver]],1,Table1[[AwayTeam]:[AwayTeam]],$A46, Table1[[HomeTeam]:[HomeTeam]], AG$36)))+( COUNTIFS(Table1[[GameIsOver]:[GameIsOver]],1,Table1[[AwayTeam]:[AwayTeam]],AG$36, Table1[[HomeTeam]:[HomeTeam]],$A46))), "")</f>
        <v/>
      </c>
      <c r="AH46" s="51">
        <f t="shared" si="0"/>
        <v>1</v>
      </c>
      <c r="AI46" s="51" t="e">
        <f t="shared" si="1"/>
        <v>#DIV/0!</v>
      </c>
      <c r="AJ46" s="52" t="e">
        <f t="shared" si="2"/>
        <v>#DIV/0!</v>
      </c>
      <c r="AK46" s="52">
        <f t="shared" si="3"/>
        <v>1</v>
      </c>
      <c r="AL46" s="52" t="e">
        <f t="shared" si="4"/>
        <v>#DIV/0!</v>
      </c>
      <c r="AM46" s="52" t="e">
        <f t="shared" si="5"/>
        <v>#DIV/0!</v>
      </c>
    </row>
    <row r="47" spans="1:39" x14ac:dyDescent="0.25">
      <c r="A47" s="28" t="s">
        <v>43</v>
      </c>
      <c r="B47" s="50" t="str">
        <f>IFERROR(((2 * (SUMIFS(Table1[[AwayWon]:[AwayWon]], Table1[[GameIsOver]:[GameIsOver]], 1, Table1[[AwayTeam]:[AwayTeam]], $A47, Table1[[HomeTeam]:[HomeTeam]], B$36) + SUMIFS(Table1[[HomeWon]:[HomeWon]], Table1[[GameIsOver]:[GameIsOver]], 1, Table1[[HomeTeam]:[HomeTeam]], $A47, Table1[[AwayTeam]:[AwayTeam]], B$36))) + (SUMIFS(Table1[[HomeWon]:[HomeWon]], Table1[[GameIsOver]:[GameIsOver]], 1, Table1[[AwayTeam]:[AwayTeam]], $A47, Table1[[HomeTeam]:[HomeTeam]],  B$36, Table1[[ActualResult]:[ActualResult]], "OT") + SUMIFS(Table1[[AwayWon]:[AwayWon]], Table1[[GameIsOver]:[GameIsOver]], 1, Table1[[HomeTeam]:[HomeTeam]], $A47, Table1[[AwayTeam]:[AwayTeam]], B$36, Table1[[ActualResult]:[ActualResult]], "OT") + SUMIFS(Table1[[HomeWon]:[HomeWon]], Table1[[GameIsOver]:[GameIsOver]], 1, Table1[[AwayTeam]:[AwayTeam]], $A47, Table1[[HomeTeam]:[HomeTeam]], B$36, Table1[[ActualResult]:[ActualResult]], "SO") + SUMIFS(Table1[[AwayWon]:[AwayWon]], Table1[[GameIsOver]:[GameIsOver]], 1, Table1[[HomeTeam]:[HomeTeam]], $A47, Table1[[AwayTeam]:[AwayTeam]], B$36, Table1[[ActualResult]:[ActualResult]], "SO")))/ (2*((COUNTIFS(Table1[[GameIsOver]:[GameIsOver]],1,Table1[[AwayTeam]:[AwayTeam]],$A47, Table1[[HomeTeam]:[HomeTeam]], B$36)))+( COUNTIFS(Table1[[GameIsOver]:[GameIsOver]],1,Table1[[AwayTeam]:[AwayTeam]],B$36, Table1[[HomeTeam]:[HomeTeam]],$A47))), "")</f>
        <v/>
      </c>
      <c r="C47" s="50" t="str">
        <f>IFERROR(((2 * (SUMIFS(Table1[[AwayWon]:[AwayWon]], Table1[[GameIsOver]:[GameIsOver]], 1, Table1[[AwayTeam]:[AwayTeam]], $A47, Table1[[HomeTeam]:[HomeTeam]], C$36) + SUMIFS(Table1[[HomeWon]:[HomeWon]], Table1[[GameIsOver]:[GameIsOver]], 1, Table1[[HomeTeam]:[HomeTeam]], $A47, Table1[[AwayTeam]:[AwayTeam]], C$36))) + (SUMIFS(Table1[[HomeWon]:[HomeWon]], Table1[[GameIsOver]:[GameIsOver]], 1, Table1[[AwayTeam]:[AwayTeam]], $A47, Table1[[HomeTeam]:[HomeTeam]],  C$36, Table1[[ActualResult]:[ActualResult]], "OT") + SUMIFS(Table1[[AwayWon]:[AwayWon]], Table1[[GameIsOver]:[GameIsOver]], 1, Table1[[HomeTeam]:[HomeTeam]], $A47, Table1[[AwayTeam]:[AwayTeam]], C$36, Table1[[ActualResult]:[ActualResult]], "OT") + SUMIFS(Table1[[HomeWon]:[HomeWon]], Table1[[GameIsOver]:[GameIsOver]], 1, Table1[[AwayTeam]:[AwayTeam]], $A47, Table1[[HomeTeam]:[HomeTeam]], C$36, Table1[[ActualResult]:[ActualResult]], "SO") + SUMIFS(Table1[[AwayWon]:[AwayWon]], Table1[[GameIsOver]:[GameIsOver]], 1, Table1[[HomeTeam]:[HomeTeam]], $A47, Table1[[AwayTeam]:[AwayTeam]], C$36, Table1[[ActualResult]:[ActualResult]], "SO")))/ (2*((COUNTIFS(Table1[[GameIsOver]:[GameIsOver]],1,Table1[[AwayTeam]:[AwayTeam]],$A47, Table1[[HomeTeam]:[HomeTeam]], C$36)))+( COUNTIFS(Table1[[GameIsOver]:[GameIsOver]],1,Table1[[AwayTeam]:[AwayTeam]],C$36, Table1[[HomeTeam]:[HomeTeam]],$A47))), "")</f>
        <v/>
      </c>
      <c r="D47" s="50" t="str">
        <f>IFERROR(((2 * (SUMIFS(Table1[[AwayWon]:[AwayWon]], Table1[[GameIsOver]:[GameIsOver]], 1, Table1[[AwayTeam]:[AwayTeam]], $A47, Table1[[HomeTeam]:[HomeTeam]], D$36) + SUMIFS(Table1[[HomeWon]:[HomeWon]], Table1[[GameIsOver]:[GameIsOver]], 1, Table1[[HomeTeam]:[HomeTeam]], $A47, Table1[[AwayTeam]:[AwayTeam]], D$36))) + (SUMIFS(Table1[[HomeWon]:[HomeWon]], Table1[[GameIsOver]:[GameIsOver]], 1, Table1[[AwayTeam]:[AwayTeam]], $A47, Table1[[HomeTeam]:[HomeTeam]],  D$36, Table1[[ActualResult]:[ActualResult]], "OT") + SUMIFS(Table1[[AwayWon]:[AwayWon]], Table1[[GameIsOver]:[GameIsOver]], 1, Table1[[HomeTeam]:[HomeTeam]], $A47, Table1[[AwayTeam]:[AwayTeam]], D$36, Table1[[ActualResult]:[ActualResult]], "OT") + SUMIFS(Table1[[HomeWon]:[HomeWon]], Table1[[GameIsOver]:[GameIsOver]], 1, Table1[[AwayTeam]:[AwayTeam]], $A47, Table1[[HomeTeam]:[HomeTeam]], D$36, Table1[[ActualResult]:[ActualResult]], "SO") + SUMIFS(Table1[[AwayWon]:[AwayWon]], Table1[[GameIsOver]:[GameIsOver]], 1, Table1[[HomeTeam]:[HomeTeam]], $A47, Table1[[AwayTeam]:[AwayTeam]], D$36, Table1[[ActualResult]:[ActualResult]], "SO")))/ (2*((COUNTIFS(Table1[[GameIsOver]:[GameIsOver]],1,Table1[[AwayTeam]:[AwayTeam]],$A47, Table1[[HomeTeam]:[HomeTeam]], D$36)))+( COUNTIFS(Table1[[GameIsOver]:[GameIsOver]],1,Table1[[AwayTeam]:[AwayTeam]],D$36, Table1[[HomeTeam]:[HomeTeam]],$A47))), "")</f>
        <v/>
      </c>
      <c r="E47" s="50" t="str">
        <f>IFERROR(((2 * (SUMIFS(Table1[[AwayWon]:[AwayWon]], Table1[[GameIsOver]:[GameIsOver]], 1, Table1[[AwayTeam]:[AwayTeam]], $A47, Table1[[HomeTeam]:[HomeTeam]], E$36) + SUMIFS(Table1[[HomeWon]:[HomeWon]], Table1[[GameIsOver]:[GameIsOver]], 1, Table1[[HomeTeam]:[HomeTeam]], $A47, Table1[[AwayTeam]:[AwayTeam]], E$36))) + (SUMIFS(Table1[[HomeWon]:[HomeWon]], Table1[[GameIsOver]:[GameIsOver]], 1, Table1[[AwayTeam]:[AwayTeam]], $A47, Table1[[HomeTeam]:[HomeTeam]],  E$36, Table1[[ActualResult]:[ActualResult]], "OT") + SUMIFS(Table1[[AwayWon]:[AwayWon]], Table1[[GameIsOver]:[GameIsOver]], 1, Table1[[HomeTeam]:[HomeTeam]], $A47, Table1[[AwayTeam]:[AwayTeam]], E$36, Table1[[ActualResult]:[ActualResult]], "OT") + SUMIFS(Table1[[HomeWon]:[HomeWon]], Table1[[GameIsOver]:[GameIsOver]], 1, Table1[[AwayTeam]:[AwayTeam]], $A47, Table1[[HomeTeam]:[HomeTeam]], E$36, Table1[[ActualResult]:[ActualResult]], "SO") + SUMIFS(Table1[[AwayWon]:[AwayWon]], Table1[[GameIsOver]:[GameIsOver]], 1, Table1[[HomeTeam]:[HomeTeam]], $A47, Table1[[AwayTeam]:[AwayTeam]], E$36, Table1[[ActualResult]:[ActualResult]], "SO")))/ (2*((COUNTIFS(Table1[[GameIsOver]:[GameIsOver]],1,Table1[[AwayTeam]:[AwayTeam]],$A47, Table1[[HomeTeam]:[HomeTeam]], E$36)))+( COUNTIFS(Table1[[GameIsOver]:[GameIsOver]],1,Table1[[AwayTeam]:[AwayTeam]],E$36, Table1[[HomeTeam]:[HomeTeam]],$A47))), "")</f>
        <v/>
      </c>
      <c r="F47" s="50">
        <f>IFERROR(((2 * (SUMIFS(Table1[[AwayWon]:[AwayWon]], Table1[[GameIsOver]:[GameIsOver]], 1, Table1[[AwayTeam]:[AwayTeam]], $A47, Table1[[HomeTeam]:[HomeTeam]], F$36) + SUMIFS(Table1[[HomeWon]:[HomeWon]], Table1[[GameIsOver]:[GameIsOver]], 1, Table1[[HomeTeam]:[HomeTeam]], $A47, Table1[[AwayTeam]:[AwayTeam]], F$36))) + (SUMIFS(Table1[[HomeWon]:[HomeWon]], Table1[[GameIsOver]:[GameIsOver]], 1, Table1[[AwayTeam]:[AwayTeam]], $A47, Table1[[HomeTeam]:[HomeTeam]],  F$36, Table1[[ActualResult]:[ActualResult]], "OT") + SUMIFS(Table1[[AwayWon]:[AwayWon]], Table1[[GameIsOver]:[GameIsOver]], 1, Table1[[HomeTeam]:[HomeTeam]], $A47, Table1[[AwayTeam]:[AwayTeam]], F$36, Table1[[ActualResult]:[ActualResult]], "OT") + SUMIFS(Table1[[HomeWon]:[HomeWon]], Table1[[GameIsOver]:[GameIsOver]], 1, Table1[[AwayTeam]:[AwayTeam]], $A47, Table1[[HomeTeam]:[HomeTeam]], F$36, Table1[[ActualResult]:[ActualResult]], "SO") + SUMIFS(Table1[[AwayWon]:[AwayWon]], Table1[[GameIsOver]:[GameIsOver]], 1, Table1[[HomeTeam]:[HomeTeam]], $A47, Table1[[AwayTeam]:[AwayTeam]], F$36, Table1[[ActualResult]:[ActualResult]], "SO")))/ (2*((COUNTIFS(Table1[[GameIsOver]:[GameIsOver]],1,Table1[[AwayTeam]:[AwayTeam]],$A47, Table1[[HomeTeam]:[HomeTeam]], F$36)))+( COUNTIFS(Table1[[GameIsOver]:[GameIsOver]],1,Table1[[AwayTeam]:[AwayTeam]],F$36, Table1[[HomeTeam]:[HomeTeam]],$A47))), "")</f>
        <v>0</v>
      </c>
      <c r="G47" s="50" t="str">
        <f>IFERROR(((2 * (SUMIFS(Table1[[AwayWon]:[AwayWon]], Table1[[GameIsOver]:[GameIsOver]], 1, Table1[[AwayTeam]:[AwayTeam]], $A47, Table1[[HomeTeam]:[HomeTeam]], G$36) + SUMIFS(Table1[[HomeWon]:[HomeWon]], Table1[[GameIsOver]:[GameIsOver]], 1, Table1[[HomeTeam]:[HomeTeam]], $A47, Table1[[AwayTeam]:[AwayTeam]], G$36))) + (SUMIFS(Table1[[HomeWon]:[HomeWon]], Table1[[GameIsOver]:[GameIsOver]], 1, Table1[[AwayTeam]:[AwayTeam]], $A47, Table1[[HomeTeam]:[HomeTeam]],  G$36, Table1[[ActualResult]:[ActualResult]], "OT") + SUMIFS(Table1[[AwayWon]:[AwayWon]], Table1[[GameIsOver]:[GameIsOver]], 1, Table1[[HomeTeam]:[HomeTeam]], $A47, Table1[[AwayTeam]:[AwayTeam]], G$36, Table1[[ActualResult]:[ActualResult]], "OT") + SUMIFS(Table1[[HomeWon]:[HomeWon]], Table1[[GameIsOver]:[GameIsOver]], 1, Table1[[AwayTeam]:[AwayTeam]], $A47, Table1[[HomeTeam]:[HomeTeam]], G$36, Table1[[ActualResult]:[ActualResult]], "SO") + SUMIFS(Table1[[AwayWon]:[AwayWon]], Table1[[GameIsOver]:[GameIsOver]], 1, Table1[[HomeTeam]:[HomeTeam]], $A47, Table1[[AwayTeam]:[AwayTeam]], G$36, Table1[[ActualResult]:[ActualResult]], "SO")))/ (2*((COUNTIFS(Table1[[GameIsOver]:[GameIsOver]],1,Table1[[AwayTeam]:[AwayTeam]],$A47, Table1[[HomeTeam]:[HomeTeam]], G$36)))+( COUNTIFS(Table1[[GameIsOver]:[GameIsOver]],1,Table1[[AwayTeam]:[AwayTeam]],G$36, Table1[[HomeTeam]:[HomeTeam]],$A47))), "")</f>
        <v/>
      </c>
      <c r="H47" s="50" t="str">
        <f>IFERROR(((2 * (SUMIFS(Table1[[AwayWon]:[AwayWon]], Table1[[GameIsOver]:[GameIsOver]], 1, Table1[[AwayTeam]:[AwayTeam]], $A47, Table1[[HomeTeam]:[HomeTeam]], H$36) + SUMIFS(Table1[[HomeWon]:[HomeWon]], Table1[[GameIsOver]:[GameIsOver]], 1, Table1[[HomeTeam]:[HomeTeam]], $A47, Table1[[AwayTeam]:[AwayTeam]], H$36))) + (SUMIFS(Table1[[HomeWon]:[HomeWon]], Table1[[GameIsOver]:[GameIsOver]], 1, Table1[[AwayTeam]:[AwayTeam]], $A47, Table1[[HomeTeam]:[HomeTeam]],  H$36, Table1[[ActualResult]:[ActualResult]], "OT") + SUMIFS(Table1[[AwayWon]:[AwayWon]], Table1[[GameIsOver]:[GameIsOver]], 1, Table1[[HomeTeam]:[HomeTeam]], $A47, Table1[[AwayTeam]:[AwayTeam]], H$36, Table1[[ActualResult]:[ActualResult]], "OT") + SUMIFS(Table1[[HomeWon]:[HomeWon]], Table1[[GameIsOver]:[GameIsOver]], 1, Table1[[AwayTeam]:[AwayTeam]], $A47, Table1[[HomeTeam]:[HomeTeam]], H$36, Table1[[ActualResult]:[ActualResult]], "SO") + SUMIFS(Table1[[AwayWon]:[AwayWon]], Table1[[GameIsOver]:[GameIsOver]], 1, Table1[[HomeTeam]:[HomeTeam]], $A47, Table1[[AwayTeam]:[AwayTeam]], H$36, Table1[[ActualResult]:[ActualResult]], "SO")))/ (2*((COUNTIFS(Table1[[GameIsOver]:[GameIsOver]],1,Table1[[AwayTeam]:[AwayTeam]],$A47, Table1[[HomeTeam]:[HomeTeam]], H$36)))+( COUNTIFS(Table1[[GameIsOver]:[GameIsOver]],1,Table1[[AwayTeam]:[AwayTeam]],H$36, Table1[[HomeTeam]:[HomeTeam]],$A47))), "")</f>
        <v/>
      </c>
      <c r="I47" s="52" t="str">
        <f>IFERROR(((2 * (SUMIFS(Table1[[AwayWon]:[AwayWon]], Table1[[GameIsOver]:[GameIsOver]], 1, Table1[[AwayTeam]:[AwayTeam]], $A47, Table1[[HomeTeam]:[HomeTeam]], I$36) + SUMIFS(Table1[[HomeWon]:[HomeWon]], Table1[[GameIsOver]:[GameIsOver]], 1, Table1[[HomeTeam]:[HomeTeam]], $A47, Table1[[AwayTeam]:[AwayTeam]], I$36))) + (SUMIFS(Table1[[HomeWon]:[HomeWon]], Table1[[GameIsOver]:[GameIsOver]], 1, Table1[[AwayTeam]:[AwayTeam]], $A47, Table1[[HomeTeam]:[HomeTeam]],  I$36, Table1[[ActualResult]:[ActualResult]], "OT") + SUMIFS(Table1[[AwayWon]:[AwayWon]], Table1[[GameIsOver]:[GameIsOver]], 1, Table1[[HomeTeam]:[HomeTeam]], $A47, Table1[[AwayTeam]:[AwayTeam]], I$36, Table1[[ActualResult]:[ActualResult]], "OT") + SUMIFS(Table1[[HomeWon]:[HomeWon]], Table1[[GameIsOver]:[GameIsOver]], 1, Table1[[AwayTeam]:[AwayTeam]], $A47, Table1[[HomeTeam]:[HomeTeam]], I$36, Table1[[ActualResult]:[ActualResult]], "SO") + SUMIFS(Table1[[AwayWon]:[AwayWon]], Table1[[GameIsOver]:[GameIsOver]], 1, Table1[[HomeTeam]:[HomeTeam]], $A47, Table1[[AwayTeam]:[AwayTeam]], I$36, Table1[[ActualResult]:[ActualResult]], "SO")))/ (2*((COUNTIFS(Table1[[GameIsOver]:[GameIsOver]],1,Table1[[AwayTeam]:[AwayTeam]],$A47, Table1[[HomeTeam]:[HomeTeam]], I$36)))+( COUNTIFS(Table1[[GameIsOver]:[GameIsOver]],1,Table1[[AwayTeam]:[AwayTeam]],I$36, Table1[[HomeTeam]:[HomeTeam]],$A47))), "")</f>
        <v/>
      </c>
      <c r="J47" s="50" t="str">
        <f>IFERROR(((2 * (SUMIFS(Table1[[AwayWon]:[AwayWon]], Table1[[GameIsOver]:[GameIsOver]], 1, Table1[[AwayTeam]:[AwayTeam]], $A47, Table1[[HomeTeam]:[HomeTeam]], J$36) + SUMIFS(Table1[[HomeWon]:[HomeWon]], Table1[[GameIsOver]:[GameIsOver]], 1, Table1[[HomeTeam]:[HomeTeam]], $A47, Table1[[AwayTeam]:[AwayTeam]], J$36))) + (SUMIFS(Table1[[HomeWon]:[HomeWon]], Table1[[GameIsOver]:[GameIsOver]], 1, Table1[[AwayTeam]:[AwayTeam]], $A47, Table1[[HomeTeam]:[HomeTeam]],  J$36, Table1[[ActualResult]:[ActualResult]], "OT") + SUMIFS(Table1[[AwayWon]:[AwayWon]], Table1[[GameIsOver]:[GameIsOver]], 1, Table1[[HomeTeam]:[HomeTeam]], $A47, Table1[[AwayTeam]:[AwayTeam]], J$36, Table1[[ActualResult]:[ActualResult]], "OT") + SUMIFS(Table1[[HomeWon]:[HomeWon]], Table1[[GameIsOver]:[GameIsOver]], 1, Table1[[AwayTeam]:[AwayTeam]], $A47, Table1[[HomeTeam]:[HomeTeam]], J$36, Table1[[ActualResult]:[ActualResult]], "SO") + SUMIFS(Table1[[AwayWon]:[AwayWon]], Table1[[GameIsOver]:[GameIsOver]], 1, Table1[[HomeTeam]:[HomeTeam]], $A47, Table1[[AwayTeam]:[AwayTeam]], J$36, Table1[[ActualResult]:[ActualResult]], "SO")))/ (2*((COUNTIFS(Table1[[GameIsOver]:[GameIsOver]],1,Table1[[AwayTeam]:[AwayTeam]],$A47, Table1[[HomeTeam]:[HomeTeam]], J$36)))+( COUNTIFS(Table1[[GameIsOver]:[GameIsOver]],1,Table1[[AwayTeam]:[AwayTeam]],J$36, Table1[[HomeTeam]:[HomeTeam]],$A47))), "")</f>
        <v/>
      </c>
      <c r="K47" s="50" t="str">
        <f>IFERROR(((2 * (SUMIFS(Table1[[AwayWon]:[AwayWon]], Table1[[GameIsOver]:[GameIsOver]], 1, Table1[[AwayTeam]:[AwayTeam]], $A47, Table1[[HomeTeam]:[HomeTeam]], K$36) + SUMIFS(Table1[[HomeWon]:[HomeWon]], Table1[[GameIsOver]:[GameIsOver]], 1, Table1[[HomeTeam]:[HomeTeam]], $A47, Table1[[AwayTeam]:[AwayTeam]], K$36))) + (SUMIFS(Table1[[HomeWon]:[HomeWon]], Table1[[GameIsOver]:[GameIsOver]], 1, Table1[[AwayTeam]:[AwayTeam]], $A47, Table1[[HomeTeam]:[HomeTeam]],  K$36, Table1[[ActualResult]:[ActualResult]], "OT") + SUMIFS(Table1[[AwayWon]:[AwayWon]], Table1[[GameIsOver]:[GameIsOver]], 1, Table1[[HomeTeam]:[HomeTeam]], $A47, Table1[[AwayTeam]:[AwayTeam]], K$36, Table1[[ActualResult]:[ActualResult]], "OT") + SUMIFS(Table1[[HomeWon]:[HomeWon]], Table1[[GameIsOver]:[GameIsOver]], 1, Table1[[AwayTeam]:[AwayTeam]], $A47, Table1[[HomeTeam]:[HomeTeam]], K$36, Table1[[ActualResult]:[ActualResult]], "SO") + SUMIFS(Table1[[AwayWon]:[AwayWon]], Table1[[GameIsOver]:[GameIsOver]], 1, Table1[[HomeTeam]:[HomeTeam]], $A47, Table1[[AwayTeam]:[AwayTeam]], K$36, Table1[[ActualResult]:[ActualResult]], "SO")))/ (2*((COUNTIFS(Table1[[GameIsOver]:[GameIsOver]],1,Table1[[AwayTeam]:[AwayTeam]],$A47, Table1[[HomeTeam]:[HomeTeam]], K$36)))+( COUNTIFS(Table1[[GameIsOver]:[GameIsOver]],1,Table1[[AwayTeam]:[AwayTeam]],K$36, Table1[[HomeTeam]:[HomeTeam]],$A47))), "")</f>
        <v/>
      </c>
      <c r="L47" s="50" t="str">
        <f>IFERROR(((2 * (SUMIFS(Table1[[AwayWon]:[AwayWon]], Table1[[GameIsOver]:[GameIsOver]], 1, Table1[[AwayTeam]:[AwayTeam]], $A47, Table1[[HomeTeam]:[HomeTeam]], L$36) + SUMIFS(Table1[[HomeWon]:[HomeWon]], Table1[[GameIsOver]:[GameIsOver]], 1, Table1[[HomeTeam]:[HomeTeam]], $A47, Table1[[AwayTeam]:[AwayTeam]], L$36))) + (SUMIFS(Table1[[HomeWon]:[HomeWon]], Table1[[GameIsOver]:[GameIsOver]], 1, Table1[[AwayTeam]:[AwayTeam]], $A47, Table1[[HomeTeam]:[HomeTeam]],  L$36, Table1[[ActualResult]:[ActualResult]], "OT") + SUMIFS(Table1[[AwayWon]:[AwayWon]], Table1[[GameIsOver]:[GameIsOver]], 1, Table1[[HomeTeam]:[HomeTeam]], $A47, Table1[[AwayTeam]:[AwayTeam]], L$36, Table1[[ActualResult]:[ActualResult]], "OT") + SUMIFS(Table1[[HomeWon]:[HomeWon]], Table1[[GameIsOver]:[GameIsOver]], 1, Table1[[AwayTeam]:[AwayTeam]], $A47, Table1[[HomeTeam]:[HomeTeam]], L$36, Table1[[ActualResult]:[ActualResult]], "SO") + SUMIFS(Table1[[AwayWon]:[AwayWon]], Table1[[GameIsOver]:[GameIsOver]], 1, Table1[[HomeTeam]:[HomeTeam]], $A47, Table1[[AwayTeam]:[AwayTeam]], L$36, Table1[[ActualResult]:[ActualResult]], "SO")))/ (2*((COUNTIFS(Table1[[GameIsOver]:[GameIsOver]],1,Table1[[AwayTeam]:[AwayTeam]],$A47, Table1[[HomeTeam]:[HomeTeam]], L$36)))+( COUNTIFS(Table1[[GameIsOver]:[GameIsOver]],1,Table1[[AwayTeam]:[AwayTeam]],L$36, Table1[[HomeTeam]:[HomeTeam]],$A47))), "")</f>
        <v/>
      </c>
      <c r="M47" s="50" t="str">
        <f>IFERROR(((2 * (SUMIFS(Table1[[AwayWon]:[AwayWon]], Table1[[GameIsOver]:[GameIsOver]], 1, Table1[[AwayTeam]:[AwayTeam]], $A47, Table1[[HomeTeam]:[HomeTeam]], M$36) + SUMIFS(Table1[[HomeWon]:[HomeWon]], Table1[[GameIsOver]:[GameIsOver]], 1, Table1[[HomeTeam]:[HomeTeam]], $A47, Table1[[AwayTeam]:[AwayTeam]], M$36))) + (SUMIFS(Table1[[HomeWon]:[HomeWon]], Table1[[GameIsOver]:[GameIsOver]], 1, Table1[[AwayTeam]:[AwayTeam]], $A47, Table1[[HomeTeam]:[HomeTeam]],  M$36, Table1[[ActualResult]:[ActualResult]], "OT") + SUMIFS(Table1[[AwayWon]:[AwayWon]], Table1[[GameIsOver]:[GameIsOver]], 1, Table1[[HomeTeam]:[HomeTeam]], $A47, Table1[[AwayTeam]:[AwayTeam]], M$36, Table1[[ActualResult]:[ActualResult]], "OT") + SUMIFS(Table1[[HomeWon]:[HomeWon]], Table1[[GameIsOver]:[GameIsOver]], 1, Table1[[AwayTeam]:[AwayTeam]], $A47, Table1[[HomeTeam]:[HomeTeam]], M$36, Table1[[ActualResult]:[ActualResult]], "SO") + SUMIFS(Table1[[AwayWon]:[AwayWon]], Table1[[GameIsOver]:[GameIsOver]], 1, Table1[[HomeTeam]:[HomeTeam]], $A47, Table1[[AwayTeam]:[AwayTeam]], M$36, Table1[[ActualResult]:[ActualResult]], "SO")))/ (2*((COUNTIFS(Table1[[GameIsOver]:[GameIsOver]],1,Table1[[AwayTeam]:[AwayTeam]],$A47, Table1[[HomeTeam]:[HomeTeam]], M$36)))+( COUNTIFS(Table1[[GameIsOver]:[GameIsOver]],1,Table1[[AwayTeam]:[AwayTeam]],M$36, Table1[[HomeTeam]:[HomeTeam]],$A47))), "")</f>
        <v/>
      </c>
      <c r="N47" s="50" t="str">
        <f>IFERROR(((2 * (SUMIFS(Table1[[AwayWon]:[AwayWon]], Table1[[GameIsOver]:[GameIsOver]], 1, Table1[[AwayTeam]:[AwayTeam]], $A47, Table1[[HomeTeam]:[HomeTeam]], N$36) + SUMIFS(Table1[[HomeWon]:[HomeWon]], Table1[[GameIsOver]:[GameIsOver]], 1, Table1[[HomeTeam]:[HomeTeam]], $A47, Table1[[AwayTeam]:[AwayTeam]], N$36))) + (SUMIFS(Table1[[HomeWon]:[HomeWon]], Table1[[GameIsOver]:[GameIsOver]], 1, Table1[[AwayTeam]:[AwayTeam]], $A47, Table1[[HomeTeam]:[HomeTeam]],  N$36, Table1[[ActualResult]:[ActualResult]], "OT") + SUMIFS(Table1[[AwayWon]:[AwayWon]], Table1[[GameIsOver]:[GameIsOver]], 1, Table1[[HomeTeam]:[HomeTeam]], $A47, Table1[[AwayTeam]:[AwayTeam]], N$36, Table1[[ActualResult]:[ActualResult]], "OT") + SUMIFS(Table1[[HomeWon]:[HomeWon]], Table1[[GameIsOver]:[GameIsOver]], 1, Table1[[AwayTeam]:[AwayTeam]], $A47, Table1[[HomeTeam]:[HomeTeam]], N$36, Table1[[ActualResult]:[ActualResult]], "SO") + SUMIFS(Table1[[AwayWon]:[AwayWon]], Table1[[GameIsOver]:[GameIsOver]], 1, Table1[[HomeTeam]:[HomeTeam]], $A47, Table1[[AwayTeam]:[AwayTeam]], N$36, Table1[[ActualResult]:[ActualResult]], "SO")))/ (2*((COUNTIFS(Table1[[GameIsOver]:[GameIsOver]],1,Table1[[AwayTeam]:[AwayTeam]],$A47, Table1[[HomeTeam]:[HomeTeam]], N$36)))+( COUNTIFS(Table1[[GameIsOver]:[GameIsOver]],1,Table1[[AwayTeam]:[AwayTeam]],N$36, Table1[[HomeTeam]:[HomeTeam]],$A47))), "")</f>
        <v/>
      </c>
      <c r="O47" s="50" t="str">
        <f>IFERROR(((2 * (SUMIFS(Table1[[AwayWon]:[AwayWon]], Table1[[GameIsOver]:[GameIsOver]], 1, Table1[[AwayTeam]:[AwayTeam]], $A47, Table1[[HomeTeam]:[HomeTeam]], O$36) + SUMIFS(Table1[[HomeWon]:[HomeWon]], Table1[[GameIsOver]:[GameIsOver]], 1, Table1[[HomeTeam]:[HomeTeam]], $A47, Table1[[AwayTeam]:[AwayTeam]], O$36))) + (SUMIFS(Table1[[HomeWon]:[HomeWon]], Table1[[GameIsOver]:[GameIsOver]], 1, Table1[[AwayTeam]:[AwayTeam]], $A47, Table1[[HomeTeam]:[HomeTeam]],  O$36, Table1[[ActualResult]:[ActualResult]], "OT") + SUMIFS(Table1[[AwayWon]:[AwayWon]], Table1[[GameIsOver]:[GameIsOver]], 1, Table1[[HomeTeam]:[HomeTeam]], $A47, Table1[[AwayTeam]:[AwayTeam]], O$36, Table1[[ActualResult]:[ActualResult]], "OT") + SUMIFS(Table1[[HomeWon]:[HomeWon]], Table1[[GameIsOver]:[GameIsOver]], 1, Table1[[AwayTeam]:[AwayTeam]], $A47, Table1[[HomeTeam]:[HomeTeam]], O$36, Table1[[ActualResult]:[ActualResult]], "SO") + SUMIFS(Table1[[AwayWon]:[AwayWon]], Table1[[GameIsOver]:[GameIsOver]], 1, Table1[[HomeTeam]:[HomeTeam]], $A47, Table1[[AwayTeam]:[AwayTeam]], O$36, Table1[[ActualResult]:[ActualResult]], "SO")))/ (2*((COUNTIFS(Table1[[GameIsOver]:[GameIsOver]],1,Table1[[AwayTeam]:[AwayTeam]],$A47, Table1[[HomeTeam]:[HomeTeam]], O$36)))+( COUNTIFS(Table1[[GameIsOver]:[GameIsOver]],1,Table1[[AwayTeam]:[AwayTeam]],O$36, Table1[[HomeTeam]:[HomeTeam]],$A47))), "")</f>
        <v/>
      </c>
      <c r="P47" s="50" t="str">
        <f>IFERROR(((2 * (SUMIFS(Table1[[AwayWon]:[AwayWon]], Table1[[GameIsOver]:[GameIsOver]], 1, Table1[[AwayTeam]:[AwayTeam]], $A47, Table1[[HomeTeam]:[HomeTeam]], P$36) + SUMIFS(Table1[[HomeWon]:[HomeWon]], Table1[[GameIsOver]:[GameIsOver]], 1, Table1[[HomeTeam]:[HomeTeam]], $A47, Table1[[AwayTeam]:[AwayTeam]], P$36))) + (SUMIFS(Table1[[HomeWon]:[HomeWon]], Table1[[GameIsOver]:[GameIsOver]], 1, Table1[[AwayTeam]:[AwayTeam]], $A47, Table1[[HomeTeam]:[HomeTeam]],  P$36, Table1[[ActualResult]:[ActualResult]], "OT") + SUMIFS(Table1[[AwayWon]:[AwayWon]], Table1[[GameIsOver]:[GameIsOver]], 1, Table1[[HomeTeam]:[HomeTeam]], $A47, Table1[[AwayTeam]:[AwayTeam]], P$36, Table1[[ActualResult]:[ActualResult]], "OT") + SUMIFS(Table1[[HomeWon]:[HomeWon]], Table1[[GameIsOver]:[GameIsOver]], 1, Table1[[AwayTeam]:[AwayTeam]], $A47, Table1[[HomeTeam]:[HomeTeam]], P$36, Table1[[ActualResult]:[ActualResult]], "SO") + SUMIFS(Table1[[AwayWon]:[AwayWon]], Table1[[GameIsOver]:[GameIsOver]], 1, Table1[[HomeTeam]:[HomeTeam]], $A47, Table1[[AwayTeam]:[AwayTeam]], P$36, Table1[[ActualResult]:[ActualResult]], "SO")))/ (2*((COUNTIFS(Table1[[GameIsOver]:[GameIsOver]],1,Table1[[AwayTeam]:[AwayTeam]],$A47, Table1[[HomeTeam]:[HomeTeam]], P$36)))+( COUNTIFS(Table1[[GameIsOver]:[GameIsOver]],1,Table1[[AwayTeam]:[AwayTeam]],P$36, Table1[[HomeTeam]:[HomeTeam]],$A47))), "")</f>
        <v/>
      </c>
      <c r="Q47" s="52" t="str">
        <f>IFERROR(((2 * (SUMIFS(Table1[[AwayWon]:[AwayWon]], Table1[[GameIsOver]:[GameIsOver]], 1, Table1[[AwayTeam]:[AwayTeam]], $A47, Table1[[HomeTeam]:[HomeTeam]], Q$36) + SUMIFS(Table1[[HomeWon]:[HomeWon]], Table1[[GameIsOver]:[GameIsOver]], 1, Table1[[HomeTeam]:[HomeTeam]], $A47, Table1[[AwayTeam]:[AwayTeam]], Q$36))) + (SUMIFS(Table1[[HomeWon]:[HomeWon]], Table1[[GameIsOver]:[GameIsOver]], 1, Table1[[AwayTeam]:[AwayTeam]], $A47, Table1[[HomeTeam]:[HomeTeam]],  Q$36, Table1[[ActualResult]:[ActualResult]], "OT") + SUMIFS(Table1[[AwayWon]:[AwayWon]], Table1[[GameIsOver]:[GameIsOver]], 1, Table1[[HomeTeam]:[HomeTeam]], $A47, Table1[[AwayTeam]:[AwayTeam]], Q$36, Table1[[ActualResult]:[ActualResult]], "OT") + SUMIFS(Table1[[HomeWon]:[HomeWon]], Table1[[GameIsOver]:[GameIsOver]], 1, Table1[[AwayTeam]:[AwayTeam]], $A47, Table1[[HomeTeam]:[HomeTeam]], Q$36, Table1[[ActualResult]:[ActualResult]], "SO") + SUMIFS(Table1[[AwayWon]:[AwayWon]], Table1[[GameIsOver]:[GameIsOver]], 1, Table1[[HomeTeam]:[HomeTeam]], $A47, Table1[[AwayTeam]:[AwayTeam]], Q$36, Table1[[ActualResult]:[ActualResult]], "SO")))/ (2*((COUNTIFS(Table1[[GameIsOver]:[GameIsOver]],1,Table1[[AwayTeam]:[AwayTeam]],$A47, Table1[[HomeTeam]:[HomeTeam]], Q$36)))+( COUNTIFS(Table1[[GameIsOver]:[GameIsOver]],1,Table1[[AwayTeam]:[AwayTeam]],Q$36, Table1[[HomeTeam]:[HomeTeam]],$A47))), "")</f>
        <v/>
      </c>
      <c r="R47" s="50" t="str">
        <f>IFERROR(((2 * (SUMIFS(Table1[[AwayWon]:[AwayWon]], Table1[[GameIsOver]:[GameIsOver]], 1, Table1[[AwayTeam]:[AwayTeam]], $A47, Table1[[HomeTeam]:[HomeTeam]], R$36) + SUMIFS(Table1[[HomeWon]:[HomeWon]], Table1[[GameIsOver]:[GameIsOver]], 1, Table1[[HomeTeam]:[HomeTeam]], $A47, Table1[[AwayTeam]:[AwayTeam]], R$36))) + (SUMIFS(Table1[[HomeWon]:[HomeWon]], Table1[[GameIsOver]:[GameIsOver]], 1, Table1[[AwayTeam]:[AwayTeam]], $A47, Table1[[HomeTeam]:[HomeTeam]],  R$36, Table1[[ActualResult]:[ActualResult]], "OT") + SUMIFS(Table1[[AwayWon]:[AwayWon]], Table1[[GameIsOver]:[GameIsOver]], 1, Table1[[HomeTeam]:[HomeTeam]], $A47, Table1[[AwayTeam]:[AwayTeam]], R$36, Table1[[ActualResult]:[ActualResult]], "OT") + SUMIFS(Table1[[HomeWon]:[HomeWon]], Table1[[GameIsOver]:[GameIsOver]], 1, Table1[[AwayTeam]:[AwayTeam]], $A47, Table1[[HomeTeam]:[HomeTeam]], R$36, Table1[[ActualResult]:[ActualResult]], "SO") + SUMIFS(Table1[[AwayWon]:[AwayWon]], Table1[[GameIsOver]:[GameIsOver]], 1, Table1[[HomeTeam]:[HomeTeam]], $A47, Table1[[AwayTeam]:[AwayTeam]], R$36, Table1[[ActualResult]:[ActualResult]], "SO")))/ (2*((COUNTIFS(Table1[[GameIsOver]:[GameIsOver]],1,Table1[[AwayTeam]:[AwayTeam]],$A47, Table1[[HomeTeam]:[HomeTeam]], R$36)))+( COUNTIFS(Table1[[GameIsOver]:[GameIsOver]],1,Table1[[AwayTeam]:[AwayTeam]],R$36, Table1[[HomeTeam]:[HomeTeam]],$A47))), "")</f>
        <v/>
      </c>
      <c r="S47" s="50" t="str">
        <f>IFERROR(((2 * (SUMIFS(Table1[[AwayWon]:[AwayWon]], Table1[[GameIsOver]:[GameIsOver]], 1, Table1[[AwayTeam]:[AwayTeam]], $A47, Table1[[HomeTeam]:[HomeTeam]], S$36) + SUMIFS(Table1[[HomeWon]:[HomeWon]], Table1[[GameIsOver]:[GameIsOver]], 1, Table1[[HomeTeam]:[HomeTeam]], $A47, Table1[[AwayTeam]:[AwayTeam]], S$36))) + (SUMIFS(Table1[[HomeWon]:[HomeWon]], Table1[[GameIsOver]:[GameIsOver]], 1, Table1[[AwayTeam]:[AwayTeam]], $A47, Table1[[HomeTeam]:[HomeTeam]],  S$36, Table1[[ActualResult]:[ActualResult]], "OT") + SUMIFS(Table1[[AwayWon]:[AwayWon]], Table1[[GameIsOver]:[GameIsOver]], 1, Table1[[HomeTeam]:[HomeTeam]], $A47, Table1[[AwayTeam]:[AwayTeam]], S$36, Table1[[ActualResult]:[ActualResult]], "OT") + SUMIFS(Table1[[HomeWon]:[HomeWon]], Table1[[GameIsOver]:[GameIsOver]], 1, Table1[[AwayTeam]:[AwayTeam]], $A47, Table1[[HomeTeam]:[HomeTeam]], S$36, Table1[[ActualResult]:[ActualResult]], "SO") + SUMIFS(Table1[[AwayWon]:[AwayWon]], Table1[[GameIsOver]:[GameIsOver]], 1, Table1[[HomeTeam]:[HomeTeam]], $A47, Table1[[AwayTeam]:[AwayTeam]], S$36, Table1[[ActualResult]:[ActualResult]], "SO")))/ (2*((COUNTIFS(Table1[[GameIsOver]:[GameIsOver]],1,Table1[[AwayTeam]:[AwayTeam]],$A47, Table1[[HomeTeam]:[HomeTeam]], S$36)))+( COUNTIFS(Table1[[GameIsOver]:[GameIsOver]],1,Table1[[AwayTeam]:[AwayTeam]],S$36, Table1[[HomeTeam]:[HomeTeam]],$A47))), "")</f>
        <v/>
      </c>
      <c r="T47" s="50" t="str">
        <f>IFERROR(((2 * (SUMIFS(Table1[[AwayWon]:[AwayWon]], Table1[[GameIsOver]:[GameIsOver]], 1, Table1[[AwayTeam]:[AwayTeam]], $A47, Table1[[HomeTeam]:[HomeTeam]], T$36) + SUMIFS(Table1[[HomeWon]:[HomeWon]], Table1[[GameIsOver]:[GameIsOver]], 1, Table1[[HomeTeam]:[HomeTeam]], $A47, Table1[[AwayTeam]:[AwayTeam]], T$36))) + (SUMIFS(Table1[[HomeWon]:[HomeWon]], Table1[[GameIsOver]:[GameIsOver]], 1, Table1[[AwayTeam]:[AwayTeam]], $A47, Table1[[HomeTeam]:[HomeTeam]],  T$36, Table1[[ActualResult]:[ActualResult]], "OT") + SUMIFS(Table1[[AwayWon]:[AwayWon]], Table1[[GameIsOver]:[GameIsOver]], 1, Table1[[HomeTeam]:[HomeTeam]], $A47, Table1[[AwayTeam]:[AwayTeam]], T$36, Table1[[ActualResult]:[ActualResult]], "OT") + SUMIFS(Table1[[HomeWon]:[HomeWon]], Table1[[GameIsOver]:[GameIsOver]], 1, Table1[[AwayTeam]:[AwayTeam]], $A47, Table1[[HomeTeam]:[HomeTeam]], T$36, Table1[[ActualResult]:[ActualResult]], "SO") + SUMIFS(Table1[[AwayWon]:[AwayWon]], Table1[[GameIsOver]:[GameIsOver]], 1, Table1[[HomeTeam]:[HomeTeam]], $A47, Table1[[AwayTeam]:[AwayTeam]], T$36, Table1[[ActualResult]:[ActualResult]], "SO")))/ (2*((COUNTIFS(Table1[[GameIsOver]:[GameIsOver]],1,Table1[[AwayTeam]:[AwayTeam]],$A47, Table1[[HomeTeam]:[HomeTeam]], T$36)))+( COUNTIFS(Table1[[GameIsOver]:[GameIsOver]],1,Table1[[AwayTeam]:[AwayTeam]],T$36, Table1[[HomeTeam]:[HomeTeam]],$A47))), "")</f>
        <v/>
      </c>
      <c r="U47" s="50" t="str">
        <f>IFERROR(((2 * (SUMIFS(Table1[[AwayWon]:[AwayWon]], Table1[[GameIsOver]:[GameIsOver]], 1, Table1[[AwayTeam]:[AwayTeam]], $A47, Table1[[HomeTeam]:[HomeTeam]], U$36) + SUMIFS(Table1[[HomeWon]:[HomeWon]], Table1[[GameIsOver]:[GameIsOver]], 1, Table1[[HomeTeam]:[HomeTeam]], $A47, Table1[[AwayTeam]:[AwayTeam]], U$36))) + (SUMIFS(Table1[[HomeWon]:[HomeWon]], Table1[[GameIsOver]:[GameIsOver]], 1, Table1[[AwayTeam]:[AwayTeam]], $A47, Table1[[HomeTeam]:[HomeTeam]],  U$36, Table1[[ActualResult]:[ActualResult]], "OT") + SUMIFS(Table1[[AwayWon]:[AwayWon]], Table1[[GameIsOver]:[GameIsOver]], 1, Table1[[HomeTeam]:[HomeTeam]], $A47, Table1[[AwayTeam]:[AwayTeam]], U$36, Table1[[ActualResult]:[ActualResult]], "OT") + SUMIFS(Table1[[HomeWon]:[HomeWon]], Table1[[GameIsOver]:[GameIsOver]], 1, Table1[[AwayTeam]:[AwayTeam]], $A47, Table1[[HomeTeam]:[HomeTeam]], U$36, Table1[[ActualResult]:[ActualResult]], "SO") + SUMIFS(Table1[[AwayWon]:[AwayWon]], Table1[[GameIsOver]:[GameIsOver]], 1, Table1[[HomeTeam]:[HomeTeam]], $A47, Table1[[AwayTeam]:[AwayTeam]], U$36, Table1[[ActualResult]:[ActualResult]], "SO")))/ (2*((COUNTIFS(Table1[[GameIsOver]:[GameIsOver]],1,Table1[[AwayTeam]:[AwayTeam]],$A47, Table1[[HomeTeam]:[HomeTeam]], U$36)))+( COUNTIFS(Table1[[GameIsOver]:[GameIsOver]],1,Table1[[AwayTeam]:[AwayTeam]],U$36, Table1[[HomeTeam]:[HomeTeam]],$A47))), "")</f>
        <v/>
      </c>
      <c r="V47" s="50" t="str">
        <f>IFERROR(((2 * (SUMIFS(Table1[[AwayWon]:[AwayWon]], Table1[[GameIsOver]:[GameIsOver]], 1, Table1[[AwayTeam]:[AwayTeam]], $A47, Table1[[HomeTeam]:[HomeTeam]], V$36) + SUMIFS(Table1[[HomeWon]:[HomeWon]], Table1[[GameIsOver]:[GameIsOver]], 1, Table1[[HomeTeam]:[HomeTeam]], $A47, Table1[[AwayTeam]:[AwayTeam]], V$36))) + (SUMIFS(Table1[[HomeWon]:[HomeWon]], Table1[[GameIsOver]:[GameIsOver]], 1, Table1[[AwayTeam]:[AwayTeam]], $A47, Table1[[HomeTeam]:[HomeTeam]],  V$36, Table1[[ActualResult]:[ActualResult]], "OT") + SUMIFS(Table1[[AwayWon]:[AwayWon]], Table1[[GameIsOver]:[GameIsOver]], 1, Table1[[HomeTeam]:[HomeTeam]], $A47, Table1[[AwayTeam]:[AwayTeam]], V$36, Table1[[ActualResult]:[ActualResult]], "OT") + SUMIFS(Table1[[HomeWon]:[HomeWon]], Table1[[GameIsOver]:[GameIsOver]], 1, Table1[[AwayTeam]:[AwayTeam]], $A47, Table1[[HomeTeam]:[HomeTeam]], V$36, Table1[[ActualResult]:[ActualResult]], "SO") + SUMIFS(Table1[[AwayWon]:[AwayWon]], Table1[[GameIsOver]:[GameIsOver]], 1, Table1[[HomeTeam]:[HomeTeam]], $A47, Table1[[AwayTeam]:[AwayTeam]], V$36, Table1[[ActualResult]:[ActualResult]], "SO")))/ (2*((COUNTIFS(Table1[[GameIsOver]:[GameIsOver]],1,Table1[[AwayTeam]:[AwayTeam]],$A47, Table1[[HomeTeam]:[HomeTeam]], V$36)))+( COUNTIFS(Table1[[GameIsOver]:[GameIsOver]],1,Table1[[AwayTeam]:[AwayTeam]],V$36, Table1[[HomeTeam]:[HomeTeam]],$A47))), "")</f>
        <v/>
      </c>
      <c r="W47" s="50" t="str">
        <f>IFERROR(((2 * (SUMIFS(Table1[[AwayWon]:[AwayWon]], Table1[[GameIsOver]:[GameIsOver]], 1, Table1[[AwayTeam]:[AwayTeam]], $A47, Table1[[HomeTeam]:[HomeTeam]], W$36) + SUMIFS(Table1[[HomeWon]:[HomeWon]], Table1[[GameIsOver]:[GameIsOver]], 1, Table1[[HomeTeam]:[HomeTeam]], $A47, Table1[[AwayTeam]:[AwayTeam]], W$36))) + (SUMIFS(Table1[[HomeWon]:[HomeWon]], Table1[[GameIsOver]:[GameIsOver]], 1, Table1[[AwayTeam]:[AwayTeam]], $A47, Table1[[HomeTeam]:[HomeTeam]],  W$36, Table1[[ActualResult]:[ActualResult]], "OT") + SUMIFS(Table1[[AwayWon]:[AwayWon]], Table1[[GameIsOver]:[GameIsOver]], 1, Table1[[HomeTeam]:[HomeTeam]], $A47, Table1[[AwayTeam]:[AwayTeam]], W$36, Table1[[ActualResult]:[ActualResult]], "OT") + SUMIFS(Table1[[HomeWon]:[HomeWon]], Table1[[GameIsOver]:[GameIsOver]], 1, Table1[[AwayTeam]:[AwayTeam]], $A47, Table1[[HomeTeam]:[HomeTeam]], W$36, Table1[[ActualResult]:[ActualResult]], "SO") + SUMIFS(Table1[[AwayWon]:[AwayWon]], Table1[[GameIsOver]:[GameIsOver]], 1, Table1[[HomeTeam]:[HomeTeam]], $A47, Table1[[AwayTeam]:[AwayTeam]], W$36, Table1[[ActualResult]:[ActualResult]], "SO")))/ (2*((COUNTIFS(Table1[[GameIsOver]:[GameIsOver]],1,Table1[[AwayTeam]:[AwayTeam]],$A47, Table1[[HomeTeam]:[HomeTeam]], W$36)))+( COUNTIFS(Table1[[GameIsOver]:[GameIsOver]],1,Table1[[AwayTeam]:[AwayTeam]],W$36, Table1[[HomeTeam]:[HomeTeam]],$A47))), "")</f>
        <v/>
      </c>
      <c r="X47" s="50" t="str">
        <f>IFERROR(((2 * (SUMIFS(Table1[[AwayWon]:[AwayWon]], Table1[[GameIsOver]:[GameIsOver]], 1, Table1[[AwayTeam]:[AwayTeam]], $A47, Table1[[HomeTeam]:[HomeTeam]], X$36) + SUMIFS(Table1[[HomeWon]:[HomeWon]], Table1[[GameIsOver]:[GameIsOver]], 1, Table1[[HomeTeam]:[HomeTeam]], $A47, Table1[[AwayTeam]:[AwayTeam]], X$36))) + (SUMIFS(Table1[[HomeWon]:[HomeWon]], Table1[[GameIsOver]:[GameIsOver]], 1, Table1[[AwayTeam]:[AwayTeam]], $A47, Table1[[HomeTeam]:[HomeTeam]],  X$36, Table1[[ActualResult]:[ActualResult]], "OT") + SUMIFS(Table1[[AwayWon]:[AwayWon]], Table1[[GameIsOver]:[GameIsOver]], 1, Table1[[HomeTeam]:[HomeTeam]], $A47, Table1[[AwayTeam]:[AwayTeam]], X$36, Table1[[ActualResult]:[ActualResult]], "OT") + SUMIFS(Table1[[HomeWon]:[HomeWon]], Table1[[GameIsOver]:[GameIsOver]], 1, Table1[[AwayTeam]:[AwayTeam]], $A47, Table1[[HomeTeam]:[HomeTeam]], X$36, Table1[[ActualResult]:[ActualResult]], "SO") + SUMIFS(Table1[[AwayWon]:[AwayWon]], Table1[[GameIsOver]:[GameIsOver]], 1, Table1[[HomeTeam]:[HomeTeam]], $A47, Table1[[AwayTeam]:[AwayTeam]], X$36, Table1[[ActualResult]:[ActualResult]], "SO")))/ (2*((COUNTIFS(Table1[[GameIsOver]:[GameIsOver]],1,Table1[[AwayTeam]:[AwayTeam]],$A47, Table1[[HomeTeam]:[HomeTeam]], X$36)))+( COUNTIFS(Table1[[GameIsOver]:[GameIsOver]],1,Table1[[AwayTeam]:[AwayTeam]],X$36, Table1[[HomeTeam]:[HomeTeam]],$A47))), "")</f>
        <v/>
      </c>
      <c r="Y47" s="52" t="str">
        <f>IFERROR(((2 * (SUMIFS(Table1[[AwayWon]:[AwayWon]], Table1[[GameIsOver]:[GameIsOver]], 1, Table1[[AwayTeam]:[AwayTeam]], $A47, Table1[[HomeTeam]:[HomeTeam]], Y$36) + SUMIFS(Table1[[HomeWon]:[HomeWon]], Table1[[GameIsOver]:[GameIsOver]], 1, Table1[[HomeTeam]:[HomeTeam]], $A47, Table1[[AwayTeam]:[AwayTeam]], Y$36))) + (SUMIFS(Table1[[HomeWon]:[HomeWon]], Table1[[GameIsOver]:[GameIsOver]], 1, Table1[[AwayTeam]:[AwayTeam]], $A47, Table1[[HomeTeam]:[HomeTeam]],  Y$36, Table1[[ActualResult]:[ActualResult]], "OT") + SUMIFS(Table1[[AwayWon]:[AwayWon]], Table1[[GameIsOver]:[GameIsOver]], 1, Table1[[HomeTeam]:[HomeTeam]], $A47, Table1[[AwayTeam]:[AwayTeam]], Y$36, Table1[[ActualResult]:[ActualResult]], "OT") + SUMIFS(Table1[[HomeWon]:[HomeWon]], Table1[[GameIsOver]:[GameIsOver]], 1, Table1[[AwayTeam]:[AwayTeam]], $A47, Table1[[HomeTeam]:[HomeTeam]], Y$36, Table1[[ActualResult]:[ActualResult]], "SO") + SUMIFS(Table1[[AwayWon]:[AwayWon]], Table1[[GameIsOver]:[GameIsOver]], 1, Table1[[HomeTeam]:[HomeTeam]], $A47, Table1[[AwayTeam]:[AwayTeam]], Y$36, Table1[[ActualResult]:[ActualResult]], "SO")))/ (2*((COUNTIFS(Table1[[GameIsOver]:[GameIsOver]],1,Table1[[AwayTeam]:[AwayTeam]],$A47, Table1[[HomeTeam]:[HomeTeam]], Y$36)))+( COUNTIFS(Table1[[GameIsOver]:[GameIsOver]],1,Table1[[AwayTeam]:[AwayTeam]],Y$36, Table1[[HomeTeam]:[HomeTeam]],$A47))), "")</f>
        <v/>
      </c>
      <c r="Z47" s="50" t="str">
        <f>IFERROR(((2 * (SUMIFS(Table1[[AwayWon]:[AwayWon]], Table1[[GameIsOver]:[GameIsOver]], 1, Table1[[AwayTeam]:[AwayTeam]], $A47, Table1[[HomeTeam]:[HomeTeam]], Z$36) + SUMIFS(Table1[[HomeWon]:[HomeWon]], Table1[[GameIsOver]:[GameIsOver]], 1, Table1[[HomeTeam]:[HomeTeam]], $A47, Table1[[AwayTeam]:[AwayTeam]], Z$36))) + (SUMIFS(Table1[[HomeWon]:[HomeWon]], Table1[[GameIsOver]:[GameIsOver]], 1, Table1[[AwayTeam]:[AwayTeam]], $A47, Table1[[HomeTeam]:[HomeTeam]],  Z$36, Table1[[ActualResult]:[ActualResult]], "OT") + SUMIFS(Table1[[AwayWon]:[AwayWon]], Table1[[GameIsOver]:[GameIsOver]], 1, Table1[[HomeTeam]:[HomeTeam]], $A47, Table1[[AwayTeam]:[AwayTeam]], Z$36, Table1[[ActualResult]:[ActualResult]], "OT") + SUMIFS(Table1[[HomeWon]:[HomeWon]], Table1[[GameIsOver]:[GameIsOver]], 1, Table1[[AwayTeam]:[AwayTeam]], $A47, Table1[[HomeTeam]:[HomeTeam]], Z$36, Table1[[ActualResult]:[ActualResult]], "SO") + SUMIFS(Table1[[AwayWon]:[AwayWon]], Table1[[GameIsOver]:[GameIsOver]], 1, Table1[[HomeTeam]:[HomeTeam]], $A47, Table1[[AwayTeam]:[AwayTeam]], Z$36, Table1[[ActualResult]:[ActualResult]], "SO")))/ (2*((COUNTIFS(Table1[[GameIsOver]:[GameIsOver]],1,Table1[[AwayTeam]:[AwayTeam]],$A47, Table1[[HomeTeam]:[HomeTeam]], Z$36)))+( COUNTIFS(Table1[[GameIsOver]:[GameIsOver]],1,Table1[[AwayTeam]:[AwayTeam]],Z$36, Table1[[HomeTeam]:[HomeTeam]],$A47))), "")</f>
        <v/>
      </c>
      <c r="AA47" s="50" t="str">
        <f>IFERROR(((2 * (SUMIFS(Table1[[AwayWon]:[AwayWon]], Table1[[GameIsOver]:[GameIsOver]], 1, Table1[[AwayTeam]:[AwayTeam]], $A47, Table1[[HomeTeam]:[HomeTeam]], AA$36) + SUMIFS(Table1[[HomeWon]:[HomeWon]], Table1[[GameIsOver]:[GameIsOver]], 1, Table1[[HomeTeam]:[HomeTeam]], $A47, Table1[[AwayTeam]:[AwayTeam]], AA$36))) + (SUMIFS(Table1[[HomeWon]:[HomeWon]], Table1[[GameIsOver]:[GameIsOver]], 1, Table1[[AwayTeam]:[AwayTeam]], $A47, Table1[[HomeTeam]:[HomeTeam]],  AA$36, Table1[[ActualResult]:[ActualResult]], "OT") + SUMIFS(Table1[[AwayWon]:[AwayWon]], Table1[[GameIsOver]:[GameIsOver]], 1, Table1[[HomeTeam]:[HomeTeam]], $A47, Table1[[AwayTeam]:[AwayTeam]], AA$36, Table1[[ActualResult]:[ActualResult]], "OT") + SUMIFS(Table1[[HomeWon]:[HomeWon]], Table1[[GameIsOver]:[GameIsOver]], 1, Table1[[AwayTeam]:[AwayTeam]], $A47, Table1[[HomeTeam]:[HomeTeam]], AA$36, Table1[[ActualResult]:[ActualResult]], "SO") + SUMIFS(Table1[[AwayWon]:[AwayWon]], Table1[[GameIsOver]:[GameIsOver]], 1, Table1[[HomeTeam]:[HomeTeam]], $A47, Table1[[AwayTeam]:[AwayTeam]], AA$36, Table1[[ActualResult]:[ActualResult]], "SO")))/ (2*((COUNTIFS(Table1[[GameIsOver]:[GameIsOver]],1,Table1[[AwayTeam]:[AwayTeam]],$A47, Table1[[HomeTeam]:[HomeTeam]], AA$36)))+( COUNTIFS(Table1[[GameIsOver]:[GameIsOver]],1,Table1[[AwayTeam]:[AwayTeam]],AA$36, Table1[[HomeTeam]:[HomeTeam]],$A47))), "")</f>
        <v/>
      </c>
      <c r="AB47" s="50" t="str">
        <f>IFERROR(((2 * (SUMIFS(Table1[[AwayWon]:[AwayWon]], Table1[[GameIsOver]:[GameIsOver]], 1, Table1[[AwayTeam]:[AwayTeam]], $A47, Table1[[HomeTeam]:[HomeTeam]], AB$36) + SUMIFS(Table1[[HomeWon]:[HomeWon]], Table1[[GameIsOver]:[GameIsOver]], 1, Table1[[HomeTeam]:[HomeTeam]], $A47, Table1[[AwayTeam]:[AwayTeam]], AB$36))) + (SUMIFS(Table1[[HomeWon]:[HomeWon]], Table1[[GameIsOver]:[GameIsOver]], 1, Table1[[AwayTeam]:[AwayTeam]], $A47, Table1[[HomeTeam]:[HomeTeam]],  AB$36, Table1[[ActualResult]:[ActualResult]], "OT") + SUMIFS(Table1[[AwayWon]:[AwayWon]], Table1[[GameIsOver]:[GameIsOver]], 1, Table1[[HomeTeam]:[HomeTeam]], $A47, Table1[[AwayTeam]:[AwayTeam]], AB$36, Table1[[ActualResult]:[ActualResult]], "OT") + SUMIFS(Table1[[HomeWon]:[HomeWon]], Table1[[GameIsOver]:[GameIsOver]], 1, Table1[[AwayTeam]:[AwayTeam]], $A47, Table1[[HomeTeam]:[HomeTeam]], AB$36, Table1[[ActualResult]:[ActualResult]], "SO") + SUMIFS(Table1[[AwayWon]:[AwayWon]], Table1[[GameIsOver]:[GameIsOver]], 1, Table1[[HomeTeam]:[HomeTeam]], $A47, Table1[[AwayTeam]:[AwayTeam]], AB$36, Table1[[ActualResult]:[ActualResult]], "SO")))/ (2*((COUNTIFS(Table1[[GameIsOver]:[GameIsOver]],1,Table1[[AwayTeam]:[AwayTeam]],$A47, Table1[[HomeTeam]:[HomeTeam]], AB$36)))+( COUNTIFS(Table1[[GameIsOver]:[GameIsOver]],1,Table1[[AwayTeam]:[AwayTeam]],AB$36, Table1[[HomeTeam]:[HomeTeam]],$A47))), "")</f>
        <v/>
      </c>
      <c r="AC47" s="50" t="str">
        <f>IFERROR(((2 * (SUMIFS(Table1[[AwayWon]:[AwayWon]], Table1[[GameIsOver]:[GameIsOver]], 1, Table1[[AwayTeam]:[AwayTeam]], $A47, Table1[[HomeTeam]:[HomeTeam]], AC$36) + SUMIFS(Table1[[HomeWon]:[HomeWon]], Table1[[GameIsOver]:[GameIsOver]], 1, Table1[[HomeTeam]:[HomeTeam]], $A47, Table1[[AwayTeam]:[AwayTeam]], AC$36))) + (SUMIFS(Table1[[HomeWon]:[HomeWon]], Table1[[GameIsOver]:[GameIsOver]], 1, Table1[[AwayTeam]:[AwayTeam]], $A47, Table1[[HomeTeam]:[HomeTeam]],  AC$36, Table1[[ActualResult]:[ActualResult]], "OT") + SUMIFS(Table1[[AwayWon]:[AwayWon]], Table1[[GameIsOver]:[GameIsOver]], 1, Table1[[HomeTeam]:[HomeTeam]], $A47, Table1[[AwayTeam]:[AwayTeam]], AC$36, Table1[[ActualResult]:[ActualResult]], "OT") + SUMIFS(Table1[[HomeWon]:[HomeWon]], Table1[[GameIsOver]:[GameIsOver]], 1, Table1[[AwayTeam]:[AwayTeam]], $A47, Table1[[HomeTeam]:[HomeTeam]], AC$36, Table1[[ActualResult]:[ActualResult]], "SO") + SUMIFS(Table1[[AwayWon]:[AwayWon]], Table1[[GameIsOver]:[GameIsOver]], 1, Table1[[HomeTeam]:[HomeTeam]], $A47, Table1[[AwayTeam]:[AwayTeam]], AC$36, Table1[[ActualResult]:[ActualResult]], "SO")))/ (2*((COUNTIFS(Table1[[GameIsOver]:[GameIsOver]],1,Table1[[AwayTeam]:[AwayTeam]],$A47, Table1[[HomeTeam]:[HomeTeam]], AC$36)))+( COUNTIFS(Table1[[GameIsOver]:[GameIsOver]],1,Table1[[AwayTeam]:[AwayTeam]],AC$36, Table1[[HomeTeam]:[HomeTeam]],$A47))), "")</f>
        <v/>
      </c>
      <c r="AD47" s="50" t="str">
        <f>IFERROR(((2 * (SUMIFS(Table1[[AwayWon]:[AwayWon]], Table1[[GameIsOver]:[GameIsOver]], 1, Table1[[AwayTeam]:[AwayTeam]], $A47, Table1[[HomeTeam]:[HomeTeam]], AD$36) + SUMIFS(Table1[[HomeWon]:[HomeWon]], Table1[[GameIsOver]:[GameIsOver]], 1, Table1[[HomeTeam]:[HomeTeam]], $A47, Table1[[AwayTeam]:[AwayTeam]], AD$36))) + (SUMIFS(Table1[[HomeWon]:[HomeWon]], Table1[[GameIsOver]:[GameIsOver]], 1, Table1[[AwayTeam]:[AwayTeam]], $A47, Table1[[HomeTeam]:[HomeTeam]],  AD$36, Table1[[ActualResult]:[ActualResult]], "OT") + SUMIFS(Table1[[AwayWon]:[AwayWon]], Table1[[GameIsOver]:[GameIsOver]], 1, Table1[[HomeTeam]:[HomeTeam]], $A47, Table1[[AwayTeam]:[AwayTeam]], AD$36, Table1[[ActualResult]:[ActualResult]], "OT") + SUMIFS(Table1[[HomeWon]:[HomeWon]], Table1[[GameIsOver]:[GameIsOver]], 1, Table1[[AwayTeam]:[AwayTeam]], $A47, Table1[[HomeTeam]:[HomeTeam]], AD$36, Table1[[ActualResult]:[ActualResult]], "SO") + SUMIFS(Table1[[AwayWon]:[AwayWon]], Table1[[GameIsOver]:[GameIsOver]], 1, Table1[[HomeTeam]:[HomeTeam]], $A47, Table1[[AwayTeam]:[AwayTeam]], AD$36, Table1[[ActualResult]:[ActualResult]], "SO")))/ (2*((COUNTIFS(Table1[[GameIsOver]:[GameIsOver]],1,Table1[[AwayTeam]:[AwayTeam]],$A47, Table1[[HomeTeam]:[HomeTeam]], AD$36)))+( COUNTIFS(Table1[[GameIsOver]:[GameIsOver]],1,Table1[[AwayTeam]:[AwayTeam]],AD$36, Table1[[HomeTeam]:[HomeTeam]],$A47))), "")</f>
        <v/>
      </c>
      <c r="AE47" s="50" t="str">
        <f>IFERROR(((2 * (SUMIFS(Table1[[AwayWon]:[AwayWon]], Table1[[GameIsOver]:[GameIsOver]], 1, Table1[[AwayTeam]:[AwayTeam]], $A47, Table1[[HomeTeam]:[HomeTeam]], AE$36) + SUMIFS(Table1[[HomeWon]:[HomeWon]], Table1[[GameIsOver]:[GameIsOver]], 1, Table1[[HomeTeam]:[HomeTeam]], $A47, Table1[[AwayTeam]:[AwayTeam]], AE$36))) + (SUMIFS(Table1[[HomeWon]:[HomeWon]], Table1[[GameIsOver]:[GameIsOver]], 1, Table1[[AwayTeam]:[AwayTeam]], $A47, Table1[[HomeTeam]:[HomeTeam]],  AE$36, Table1[[ActualResult]:[ActualResult]], "OT") + SUMIFS(Table1[[AwayWon]:[AwayWon]], Table1[[GameIsOver]:[GameIsOver]], 1, Table1[[HomeTeam]:[HomeTeam]], $A47, Table1[[AwayTeam]:[AwayTeam]], AE$36, Table1[[ActualResult]:[ActualResult]], "OT") + SUMIFS(Table1[[HomeWon]:[HomeWon]], Table1[[GameIsOver]:[GameIsOver]], 1, Table1[[AwayTeam]:[AwayTeam]], $A47, Table1[[HomeTeam]:[HomeTeam]], AE$36, Table1[[ActualResult]:[ActualResult]], "SO") + SUMIFS(Table1[[AwayWon]:[AwayWon]], Table1[[GameIsOver]:[GameIsOver]], 1, Table1[[HomeTeam]:[HomeTeam]], $A47, Table1[[AwayTeam]:[AwayTeam]], AE$36, Table1[[ActualResult]:[ActualResult]], "SO")))/ (2*((COUNTIFS(Table1[[GameIsOver]:[GameIsOver]],1,Table1[[AwayTeam]:[AwayTeam]],$A47, Table1[[HomeTeam]:[HomeTeam]], AE$36)))+( COUNTIFS(Table1[[GameIsOver]:[GameIsOver]],1,Table1[[AwayTeam]:[AwayTeam]],AE$36, Table1[[HomeTeam]:[HomeTeam]],$A47))), "")</f>
        <v/>
      </c>
      <c r="AF47" s="50" t="str">
        <f>IFERROR(((2 * (SUMIFS(Table1[[AwayWon]:[AwayWon]], Table1[[GameIsOver]:[GameIsOver]], 1, Table1[[AwayTeam]:[AwayTeam]], $A47, Table1[[HomeTeam]:[HomeTeam]], AF$36) + SUMIFS(Table1[[HomeWon]:[HomeWon]], Table1[[GameIsOver]:[GameIsOver]], 1, Table1[[HomeTeam]:[HomeTeam]], $A47, Table1[[AwayTeam]:[AwayTeam]], AF$36))) + (SUMIFS(Table1[[HomeWon]:[HomeWon]], Table1[[GameIsOver]:[GameIsOver]], 1, Table1[[AwayTeam]:[AwayTeam]], $A47, Table1[[HomeTeam]:[HomeTeam]],  AF$36, Table1[[ActualResult]:[ActualResult]], "OT") + SUMIFS(Table1[[AwayWon]:[AwayWon]], Table1[[GameIsOver]:[GameIsOver]], 1, Table1[[HomeTeam]:[HomeTeam]], $A47, Table1[[AwayTeam]:[AwayTeam]], AF$36, Table1[[ActualResult]:[ActualResult]], "OT") + SUMIFS(Table1[[HomeWon]:[HomeWon]], Table1[[GameIsOver]:[GameIsOver]], 1, Table1[[AwayTeam]:[AwayTeam]], $A47, Table1[[HomeTeam]:[HomeTeam]], AF$36, Table1[[ActualResult]:[ActualResult]], "SO") + SUMIFS(Table1[[AwayWon]:[AwayWon]], Table1[[GameIsOver]:[GameIsOver]], 1, Table1[[HomeTeam]:[HomeTeam]], $A47, Table1[[AwayTeam]:[AwayTeam]], AF$36, Table1[[ActualResult]:[ActualResult]], "SO")))/ (2*((COUNTIFS(Table1[[GameIsOver]:[GameIsOver]],1,Table1[[AwayTeam]:[AwayTeam]],$A47, Table1[[HomeTeam]:[HomeTeam]], AF$36)))+( COUNTIFS(Table1[[GameIsOver]:[GameIsOver]],1,Table1[[AwayTeam]:[AwayTeam]],AF$36, Table1[[HomeTeam]:[HomeTeam]],$A47))), "")</f>
        <v/>
      </c>
      <c r="AG47" s="50" t="str">
        <f>IFERROR(((2 * (SUMIFS(Table1[[AwayWon]:[AwayWon]], Table1[[GameIsOver]:[GameIsOver]], 1, Table1[[AwayTeam]:[AwayTeam]], $A47, Table1[[HomeTeam]:[HomeTeam]], AG$36) + SUMIFS(Table1[[HomeWon]:[HomeWon]], Table1[[GameIsOver]:[GameIsOver]], 1, Table1[[HomeTeam]:[HomeTeam]], $A47, Table1[[AwayTeam]:[AwayTeam]], AG$36))) + (SUMIFS(Table1[[HomeWon]:[HomeWon]], Table1[[GameIsOver]:[GameIsOver]], 1, Table1[[AwayTeam]:[AwayTeam]], $A47, Table1[[HomeTeam]:[HomeTeam]],  AG$36, Table1[[ActualResult]:[ActualResult]], "OT") + SUMIFS(Table1[[AwayWon]:[AwayWon]], Table1[[GameIsOver]:[GameIsOver]], 1, Table1[[HomeTeam]:[HomeTeam]], $A47, Table1[[AwayTeam]:[AwayTeam]], AG$36, Table1[[ActualResult]:[ActualResult]], "OT") + SUMIFS(Table1[[HomeWon]:[HomeWon]], Table1[[GameIsOver]:[GameIsOver]], 1, Table1[[AwayTeam]:[AwayTeam]], $A47, Table1[[HomeTeam]:[HomeTeam]], AG$36, Table1[[ActualResult]:[ActualResult]], "SO") + SUMIFS(Table1[[AwayWon]:[AwayWon]], Table1[[GameIsOver]:[GameIsOver]], 1, Table1[[HomeTeam]:[HomeTeam]], $A47, Table1[[AwayTeam]:[AwayTeam]], AG$36, Table1[[ActualResult]:[ActualResult]], "SO")))/ (2*((COUNTIFS(Table1[[GameIsOver]:[GameIsOver]],1,Table1[[AwayTeam]:[AwayTeam]],$A47, Table1[[HomeTeam]:[HomeTeam]], AG$36)))+( COUNTIFS(Table1[[GameIsOver]:[GameIsOver]],1,Table1[[AwayTeam]:[AwayTeam]],AG$36, Table1[[HomeTeam]:[HomeTeam]],$A47))), "")</f>
        <v/>
      </c>
      <c r="AH47" s="51" t="e">
        <f t="shared" si="0"/>
        <v>#DIV/0!</v>
      </c>
      <c r="AI47" s="51">
        <f t="shared" si="1"/>
        <v>0</v>
      </c>
      <c r="AJ47" s="52" t="e">
        <f t="shared" si="2"/>
        <v>#DIV/0!</v>
      </c>
      <c r="AK47" s="52" t="e">
        <f t="shared" si="3"/>
        <v>#DIV/0!</v>
      </c>
      <c r="AL47" s="52" t="e">
        <f t="shared" si="4"/>
        <v>#DIV/0!</v>
      </c>
      <c r="AM47" s="52">
        <f t="shared" si="5"/>
        <v>0</v>
      </c>
    </row>
    <row r="48" spans="1:39" x14ac:dyDescent="0.25">
      <c r="A48" s="28" t="s">
        <v>22</v>
      </c>
      <c r="B48" s="50" t="str">
        <f>IFERROR(((2 * (SUMIFS(Table1[[AwayWon]:[AwayWon]], Table1[[GameIsOver]:[GameIsOver]], 1, Table1[[AwayTeam]:[AwayTeam]], $A48, Table1[[HomeTeam]:[HomeTeam]], B$36) + SUMIFS(Table1[[HomeWon]:[HomeWon]], Table1[[GameIsOver]:[GameIsOver]], 1, Table1[[HomeTeam]:[HomeTeam]], $A48, Table1[[AwayTeam]:[AwayTeam]], B$36))) + (SUMIFS(Table1[[HomeWon]:[HomeWon]], Table1[[GameIsOver]:[GameIsOver]], 1, Table1[[AwayTeam]:[AwayTeam]], $A48, Table1[[HomeTeam]:[HomeTeam]],  B$36, Table1[[ActualResult]:[ActualResult]], "OT") + SUMIFS(Table1[[AwayWon]:[AwayWon]], Table1[[GameIsOver]:[GameIsOver]], 1, Table1[[HomeTeam]:[HomeTeam]], $A48, Table1[[AwayTeam]:[AwayTeam]], B$36, Table1[[ActualResult]:[ActualResult]], "OT") + SUMIFS(Table1[[HomeWon]:[HomeWon]], Table1[[GameIsOver]:[GameIsOver]], 1, Table1[[AwayTeam]:[AwayTeam]], $A48, Table1[[HomeTeam]:[HomeTeam]], B$36, Table1[[ActualResult]:[ActualResult]], "SO") + SUMIFS(Table1[[AwayWon]:[AwayWon]], Table1[[GameIsOver]:[GameIsOver]], 1, Table1[[HomeTeam]:[HomeTeam]], $A48, Table1[[AwayTeam]:[AwayTeam]], B$36, Table1[[ActualResult]:[ActualResult]], "SO")))/ (2*((COUNTIFS(Table1[[GameIsOver]:[GameIsOver]],1,Table1[[AwayTeam]:[AwayTeam]],$A48, Table1[[HomeTeam]:[HomeTeam]], B$36)))+( COUNTIFS(Table1[[GameIsOver]:[GameIsOver]],1,Table1[[AwayTeam]:[AwayTeam]],B$36, Table1[[HomeTeam]:[HomeTeam]],$A48))), "")</f>
        <v/>
      </c>
      <c r="C48" s="50" t="str">
        <f>IFERROR(((2 * (SUMIFS(Table1[[AwayWon]:[AwayWon]], Table1[[GameIsOver]:[GameIsOver]], 1, Table1[[AwayTeam]:[AwayTeam]], $A48, Table1[[HomeTeam]:[HomeTeam]], C$36) + SUMIFS(Table1[[HomeWon]:[HomeWon]], Table1[[GameIsOver]:[GameIsOver]], 1, Table1[[HomeTeam]:[HomeTeam]], $A48, Table1[[AwayTeam]:[AwayTeam]], C$36))) + (SUMIFS(Table1[[HomeWon]:[HomeWon]], Table1[[GameIsOver]:[GameIsOver]], 1, Table1[[AwayTeam]:[AwayTeam]], $A48, Table1[[HomeTeam]:[HomeTeam]],  C$36, Table1[[ActualResult]:[ActualResult]], "OT") + SUMIFS(Table1[[AwayWon]:[AwayWon]], Table1[[GameIsOver]:[GameIsOver]], 1, Table1[[HomeTeam]:[HomeTeam]], $A48, Table1[[AwayTeam]:[AwayTeam]], C$36, Table1[[ActualResult]:[ActualResult]], "OT") + SUMIFS(Table1[[HomeWon]:[HomeWon]], Table1[[GameIsOver]:[GameIsOver]], 1, Table1[[AwayTeam]:[AwayTeam]], $A48, Table1[[HomeTeam]:[HomeTeam]], C$36, Table1[[ActualResult]:[ActualResult]], "SO") + SUMIFS(Table1[[AwayWon]:[AwayWon]], Table1[[GameIsOver]:[GameIsOver]], 1, Table1[[HomeTeam]:[HomeTeam]], $A48, Table1[[AwayTeam]:[AwayTeam]], C$36, Table1[[ActualResult]:[ActualResult]], "SO")))/ (2*((COUNTIFS(Table1[[GameIsOver]:[GameIsOver]],1,Table1[[AwayTeam]:[AwayTeam]],$A48, Table1[[HomeTeam]:[HomeTeam]], C$36)))+( COUNTIFS(Table1[[GameIsOver]:[GameIsOver]],1,Table1[[AwayTeam]:[AwayTeam]],C$36, Table1[[HomeTeam]:[HomeTeam]],$A48))), "")</f>
        <v/>
      </c>
      <c r="D48" s="50" t="str">
        <f>IFERROR(((2 * (SUMIFS(Table1[[AwayWon]:[AwayWon]], Table1[[GameIsOver]:[GameIsOver]], 1, Table1[[AwayTeam]:[AwayTeam]], $A48, Table1[[HomeTeam]:[HomeTeam]], D$36) + SUMIFS(Table1[[HomeWon]:[HomeWon]], Table1[[GameIsOver]:[GameIsOver]], 1, Table1[[HomeTeam]:[HomeTeam]], $A48, Table1[[AwayTeam]:[AwayTeam]], D$36))) + (SUMIFS(Table1[[HomeWon]:[HomeWon]], Table1[[GameIsOver]:[GameIsOver]], 1, Table1[[AwayTeam]:[AwayTeam]], $A48, Table1[[HomeTeam]:[HomeTeam]],  D$36, Table1[[ActualResult]:[ActualResult]], "OT") + SUMIFS(Table1[[AwayWon]:[AwayWon]], Table1[[GameIsOver]:[GameIsOver]], 1, Table1[[HomeTeam]:[HomeTeam]], $A48, Table1[[AwayTeam]:[AwayTeam]], D$36, Table1[[ActualResult]:[ActualResult]], "OT") + SUMIFS(Table1[[HomeWon]:[HomeWon]], Table1[[GameIsOver]:[GameIsOver]], 1, Table1[[AwayTeam]:[AwayTeam]], $A48, Table1[[HomeTeam]:[HomeTeam]], D$36, Table1[[ActualResult]:[ActualResult]], "SO") + SUMIFS(Table1[[AwayWon]:[AwayWon]], Table1[[GameIsOver]:[GameIsOver]], 1, Table1[[HomeTeam]:[HomeTeam]], $A48, Table1[[AwayTeam]:[AwayTeam]], D$36, Table1[[ActualResult]:[ActualResult]], "SO")))/ (2*((COUNTIFS(Table1[[GameIsOver]:[GameIsOver]],1,Table1[[AwayTeam]:[AwayTeam]],$A48, Table1[[HomeTeam]:[HomeTeam]], D$36)))+( COUNTIFS(Table1[[GameIsOver]:[GameIsOver]],1,Table1[[AwayTeam]:[AwayTeam]],D$36, Table1[[HomeTeam]:[HomeTeam]],$A48))), "")</f>
        <v/>
      </c>
      <c r="E48" s="50" t="str">
        <f>IFERROR(((2 * (SUMIFS(Table1[[AwayWon]:[AwayWon]], Table1[[GameIsOver]:[GameIsOver]], 1, Table1[[AwayTeam]:[AwayTeam]], $A48, Table1[[HomeTeam]:[HomeTeam]], E$36) + SUMIFS(Table1[[HomeWon]:[HomeWon]], Table1[[GameIsOver]:[GameIsOver]], 1, Table1[[HomeTeam]:[HomeTeam]], $A48, Table1[[AwayTeam]:[AwayTeam]], E$36))) + (SUMIFS(Table1[[HomeWon]:[HomeWon]], Table1[[GameIsOver]:[GameIsOver]], 1, Table1[[AwayTeam]:[AwayTeam]], $A48, Table1[[HomeTeam]:[HomeTeam]],  E$36, Table1[[ActualResult]:[ActualResult]], "OT") + SUMIFS(Table1[[AwayWon]:[AwayWon]], Table1[[GameIsOver]:[GameIsOver]], 1, Table1[[HomeTeam]:[HomeTeam]], $A48, Table1[[AwayTeam]:[AwayTeam]], E$36, Table1[[ActualResult]:[ActualResult]], "OT") + SUMIFS(Table1[[HomeWon]:[HomeWon]], Table1[[GameIsOver]:[GameIsOver]], 1, Table1[[AwayTeam]:[AwayTeam]], $A48, Table1[[HomeTeam]:[HomeTeam]], E$36, Table1[[ActualResult]:[ActualResult]], "SO") + SUMIFS(Table1[[AwayWon]:[AwayWon]], Table1[[GameIsOver]:[GameIsOver]], 1, Table1[[HomeTeam]:[HomeTeam]], $A48, Table1[[AwayTeam]:[AwayTeam]], E$36, Table1[[ActualResult]:[ActualResult]], "SO")))/ (2*((COUNTIFS(Table1[[GameIsOver]:[GameIsOver]],1,Table1[[AwayTeam]:[AwayTeam]],$A48, Table1[[HomeTeam]:[HomeTeam]], E$36)))+( COUNTIFS(Table1[[GameIsOver]:[GameIsOver]],1,Table1[[AwayTeam]:[AwayTeam]],E$36, Table1[[HomeTeam]:[HomeTeam]],$A48))), "")</f>
        <v/>
      </c>
      <c r="F48" s="50" t="str">
        <f>IFERROR(((2 * (SUMIFS(Table1[[AwayWon]:[AwayWon]], Table1[[GameIsOver]:[GameIsOver]], 1, Table1[[AwayTeam]:[AwayTeam]], $A48, Table1[[HomeTeam]:[HomeTeam]], F$36) + SUMIFS(Table1[[HomeWon]:[HomeWon]], Table1[[GameIsOver]:[GameIsOver]], 1, Table1[[HomeTeam]:[HomeTeam]], $A48, Table1[[AwayTeam]:[AwayTeam]], F$36))) + (SUMIFS(Table1[[HomeWon]:[HomeWon]], Table1[[GameIsOver]:[GameIsOver]], 1, Table1[[AwayTeam]:[AwayTeam]], $A48, Table1[[HomeTeam]:[HomeTeam]],  F$36, Table1[[ActualResult]:[ActualResult]], "OT") + SUMIFS(Table1[[AwayWon]:[AwayWon]], Table1[[GameIsOver]:[GameIsOver]], 1, Table1[[HomeTeam]:[HomeTeam]], $A48, Table1[[AwayTeam]:[AwayTeam]], F$36, Table1[[ActualResult]:[ActualResult]], "OT") + SUMIFS(Table1[[HomeWon]:[HomeWon]], Table1[[GameIsOver]:[GameIsOver]], 1, Table1[[AwayTeam]:[AwayTeam]], $A48, Table1[[HomeTeam]:[HomeTeam]], F$36, Table1[[ActualResult]:[ActualResult]], "SO") + SUMIFS(Table1[[AwayWon]:[AwayWon]], Table1[[GameIsOver]:[GameIsOver]], 1, Table1[[HomeTeam]:[HomeTeam]], $A48, Table1[[AwayTeam]:[AwayTeam]], F$36, Table1[[ActualResult]:[ActualResult]], "SO")))/ (2*((COUNTIFS(Table1[[GameIsOver]:[GameIsOver]],1,Table1[[AwayTeam]:[AwayTeam]],$A48, Table1[[HomeTeam]:[HomeTeam]], F$36)))+( COUNTIFS(Table1[[GameIsOver]:[GameIsOver]],1,Table1[[AwayTeam]:[AwayTeam]],F$36, Table1[[HomeTeam]:[HomeTeam]],$A48))), "")</f>
        <v/>
      </c>
      <c r="G48" s="50" t="str">
        <f>IFERROR(((2 * (SUMIFS(Table1[[AwayWon]:[AwayWon]], Table1[[GameIsOver]:[GameIsOver]], 1, Table1[[AwayTeam]:[AwayTeam]], $A48, Table1[[HomeTeam]:[HomeTeam]], G$36) + SUMIFS(Table1[[HomeWon]:[HomeWon]], Table1[[GameIsOver]:[GameIsOver]], 1, Table1[[HomeTeam]:[HomeTeam]], $A48, Table1[[AwayTeam]:[AwayTeam]], G$36))) + (SUMIFS(Table1[[HomeWon]:[HomeWon]], Table1[[GameIsOver]:[GameIsOver]], 1, Table1[[AwayTeam]:[AwayTeam]], $A48, Table1[[HomeTeam]:[HomeTeam]],  G$36, Table1[[ActualResult]:[ActualResult]], "OT") + SUMIFS(Table1[[AwayWon]:[AwayWon]], Table1[[GameIsOver]:[GameIsOver]], 1, Table1[[HomeTeam]:[HomeTeam]], $A48, Table1[[AwayTeam]:[AwayTeam]], G$36, Table1[[ActualResult]:[ActualResult]], "OT") + SUMIFS(Table1[[HomeWon]:[HomeWon]], Table1[[GameIsOver]:[GameIsOver]], 1, Table1[[AwayTeam]:[AwayTeam]], $A48, Table1[[HomeTeam]:[HomeTeam]], G$36, Table1[[ActualResult]:[ActualResult]], "SO") + SUMIFS(Table1[[AwayWon]:[AwayWon]], Table1[[GameIsOver]:[GameIsOver]], 1, Table1[[HomeTeam]:[HomeTeam]], $A48, Table1[[AwayTeam]:[AwayTeam]], G$36, Table1[[ActualResult]:[ActualResult]], "SO")))/ (2*((COUNTIFS(Table1[[GameIsOver]:[GameIsOver]],1,Table1[[AwayTeam]:[AwayTeam]],$A48, Table1[[HomeTeam]:[HomeTeam]], G$36)))+( COUNTIFS(Table1[[GameIsOver]:[GameIsOver]],1,Table1[[AwayTeam]:[AwayTeam]],G$36, Table1[[HomeTeam]:[HomeTeam]],$A48))), "")</f>
        <v/>
      </c>
      <c r="H48" s="50" t="str">
        <f>IFERROR(((2 * (SUMIFS(Table1[[AwayWon]:[AwayWon]], Table1[[GameIsOver]:[GameIsOver]], 1, Table1[[AwayTeam]:[AwayTeam]], $A48, Table1[[HomeTeam]:[HomeTeam]], H$36) + SUMIFS(Table1[[HomeWon]:[HomeWon]], Table1[[GameIsOver]:[GameIsOver]], 1, Table1[[HomeTeam]:[HomeTeam]], $A48, Table1[[AwayTeam]:[AwayTeam]], H$36))) + (SUMIFS(Table1[[HomeWon]:[HomeWon]], Table1[[GameIsOver]:[GameIsOver]], 1, Table1[[AwayTeam]:[AwayTeam]], $A48, Table1[[HomeTeam]:[HomeTeam]],  H$36, Table1[[ActualResult]:[ActualResult]], "OT") + SUMIFS(Table1[[AwayWon]:[AwayWon]], Table1[[GameIsOver]:[GameIsOver]], 1, Table1[[HomeTeam]:[HomeTeam]], $A48, Table1[[AwayTeam]:[AwayTeam]], H$36, Table1[[ActualResult]:[ActualResult]], "OT") + SUMIFS(Table1[[HomeWon]:[HomeWon]], Table1[[GameIsOver]:[GameIsOver]], 1, Table1[[AwayTeam]:[AwayTeam]], $A48, Table1[[HomeTeam]:[HomeTeam]], H$36, Table1[[ActualResult]:[ActualResult]], "SO") + SUMIFS(Table1[[AwayWon]:[AwayWon]], Table1[[GameIsOver]:[GameIsOver]], 1, Table1[[HomeTeam]:[HomeTeam]], $A48, Table1[[AwayTeam]:[AwayTeam]], H$36, Table1[[ActualResult]:[ActualResult]], "SO")))/ (2*((COUNTIFS(Table1[[GameIsOver]:[GameIsOver]],1,Table1[[AwayTeam]:[AwayTeam]],$A48, Table1[[HomeTeam]:[HomeTeam]], H$36)))+( COUNTIFS(Table1[[GameIsOver]:[GameIsOver]],1,Table1[[AwayTeam]:[AwayTeam]],H$36, Table1[[HomeTeam]:[HomeTeam]],$A48))), "")</f>
        <v/>
      </c>
      <c r="I48" s="52" t="str">
        <f>IFERROR(((2 * (SUMIFS(Table1[[AwayWon]:[AwayWon]], Table1[[GameIsOver]:[GameIsOver]], 1, Table1[[AwayTeam]:[AwayTeam]], $A48, Table1[[HomeTeam]:[HomeTeam]], I$36) + SUMIFS(Table1[[HomeWon]:[HomeWon]], Table1[[GameIsOver]:[GameIsOver]], 1, Table1[[HomeTeam]:[HomeTeam]], $A48, Table1[[AwayTeam]:[AwayTeam]], I$36))) + (SUMIFS(Table1[[HomeWon]:[HomeWon]], Table1[[GameIsOver]:[GameIsOver]], 1, Table1[[AwayTeam]:[AwayTeam]], $A48, Table1[[HomeTeam]:[HomeTeam]],  I$36, Table1[[ActualResult]:[ActualResult]], "OT") + SUMIFS(Table1[[AwayWon]:[AwayWon]], Table1[[GameIsOver]:[GameIsOver]], 1, Table1[[HomeTeam]:[HomeTeam]], $A48, Table1[[AwayTeam]:[AwayTeam]], I$36, Table1[[ActualResult]:[ActualResult]], "OT") + SUMIFS(Table1[[HomeWon]:[HomeWon]], Table1[[GameIsOver]:[GameIsOver]], 1, Table1[[AwayTeam]:[AwayTeam]], $A48, Table1[[HomeTeam]:[HomeTeam]], I$36, Table1[[ActualResult]:[ActualResult]], "SO") + SUMIFS(Table1[[AwayWon]:[AwayWon]], Table1[[GameIsOver]:[GameIsOver]], 1, Table1[[HomeTeam]:[HomeTeam]], $A48, Table1[[AwayTeam]:[AwayTeam]], I$36, Table1[[ActualResult]:[ActualResult]], "SO")))/ (2*((COUNTIFS(Table1[[GameIsOver]:[GameIsOver]],1,Table1[[AwayTeam]:[AwayTeam]],$A48, Table1[[HomeTeam]:[HomeTeam]], I$36)))+( COUNTIFS(Table1[[GameIsOver]:[GameIsOver]],1,Table1[[AwayTeam]:[AwayTeam]],I$36, Table1[[HomeTeam]:[HomeTeam]],$A48))), "")</f>
        <v/>
      </c>
      <c r="J48" s="50" t="str">
        <f>IFERROR(((2 * (SUMIFS(Table1[[AwayWon]:[AwayWon]], Table1[[GameIsOver]:[GameIsOver]], 1, Table1[[AwayTeam]:[AwayTeam]], $A48, Table1[[HomeTeam]:[HomeTeam]], J$36) + SUMIFS(Table1[[HomeWon]:[HomeWon]], Table1[[GameIsOver]:[GameIsOver]], 1, Table1[[HomeTeam]:[HomeTeam]], $A48, Table1[[AwayTeam]:[AwayTeam]], J$36))) + (SUMIFS(Table1[[HomeWon]:[HomeWon]], Table1[[GameIsOver]:[GameIsOver]], 1, Table1[[AwayTeam]:[AwayTeam]], $A48, Table1[[HomeTeam]:[HomeTeam]],  J$36, Table1[[ActualResult]:[ActualResult]], "OT") + SUMIFS(Table1[[AwayWon]:[AwayWon]], Table1[[GameIsOver]:[GameIsOver]], 1, Table1[[HomeTeam]:[HomeTeam]], $A48, Table1[[AwayTeam]:[AwayTeam]], J$36, Table1[[ActualResult]:[ActualResult]], "OT") + SUMIFS(Table1[[HomeWon]:[HomeWon]], Table1[[GameIsOver]:[GameIsOver]], 1, Table1[[AwayTeam]:[AwayTeam]], $A48, Table1[[HomeTeam]:[HomeTeam]], J$36, Table1[[ActualResult]:[ActualResult]], "SO") + SUMIFS(Table1[[AwayWon]:[AwayWon]], Table1[[GameIsOver]:[GameIsOver]], 1, Table1[[HomeTeam]:[HomeTeam]], $A48, Table1[[AwayTeam]:[AwayTeam]], J$36, Table1[[ActualResult]:[ActualResult]], "SO")))/ (2*((COUNTIFS(Table1[[GameIsOver]:[GameIsOver]],1,Table1[[AwayTeam]:[AwayTeam]],$A48, Table1[[HomeTeam]:[HomeTeam]], J$36)))+( COUNTIFS(Table1[[GameIsOver]:[GameIsOver]],1,Table1[[AwayTeam]:[AwayTeam]],J$36, Table1[[HomeTeam]:[HomeTeam]],$A48))), "")</f>
        <v/>
      </c>
      <c r="K48" s="50" t="str">
        <f>IFERROR(((2 * (SUMIFS(Table1[[AwayWon]:[AwayWon]], Table1[[GameIsOver]:[GameIsOver]], 1, Table1[[AwayTeam]:[AwayTeam]], $A48, Table1[[HomeTeam]:[HomeTeam]], K$36) + SUMIFS(Table1[[HomeWon]:[HomeWon]], Table1[[GameIsOver]:[GameIsOver]], 1, Table1[[HomeTeam]:[HomeTeam]], $A48, Table1[[AwayTeam]:[AwayTeam]], K$36))) + (SUMIFS(Table1[[HomeWon]:[HomeWon]], Table1[[GameIsOver]:[GameIsOver]], 1, Table1[[AwayTeam]:[AwayTeam]], $A48, Table1[[HomeTeam]:[HomeTeam]],  K$36, Table1[[ActualResult]:[ActualResult]], "OT") + SUMIFS(Table1[[AwayWon]:[AwayWon]], Table1[[GameIsOver]:[GameIsOver]], 1, Table1[[HomeTeam]:[HomeTeam]], $A48, Table1[[AwayTeam]:[AwayTeam]], K$36, Table1[[ActualResult]:[ActualResult]], "OT") + SUMIFS(Table1[[HomeWon]:[HomeWon]], Table1[[GameIsOver]:[GameIsOver]], 1, Table1[[AwayTeam]:[AwayTeam]], $A48, Table1[[HomeTeam]:[HomeTeam]], K$36, Table1[[ActualResult]:[ActualResult]], "SO") + SUMIFS(Table1[[AwayWon]:[AwayWon]], Table1[[GameIsOver]:[GameIsOver]], 1, Table1[[HomeTeam]:[HomeTeam]], $A48, Table1[[AwayTeam]:[AwayTeam]], K$36, Table1[[ActualResult]:[ActualResult]], "SO")))/ (2*((COUNTIFS(Table1[[GameIsOver]:[GameIsOver]],1,Table1[[AwayTeam]:[AwayTeam]],$A48, Table1[[HomeTeam]:[HomeTeam]], K$36)))+( COUNTIFS(Table1[[GameIsOver]:[GameIsOver]],1,Table1[[AwayTeam]:[AwayTeam]],K$36, Table1[[HomeTeam]:[HomeTeam]],$A48))), "")</f>
        <v/>
      </c>
      <c r="L48" s="50" t="str">
        <f>IFERROR(((2 * (SUMIFS(Table1[[AwayWon]:[AwayWon]], Table1[[GameIsOver]:[GameIsOver]], 1, Table1[[AwayTeam]:[AwayTeam]], $A48, Table1[[HomeTeam]:[HomeTeam]], L$36) + SUMIFS(Table1[[HomeWon]:[HomeWon]], Table1[[GameIsOver]:[GameIsOver]], 1, Table1[[HomeTeam]:[HomeTeam]], $A48, Table1[[AwayTeam]:[AwayTeam]], L$36))) + (SUMIFS(Table1[[HomeWon]:[HomeWon]], Table1[[GameIsOver]:[GameIsOver]], 1, Table1[[AwayTeam]:[AwayTeam]], $A48, Table1[[HomeTeam]:[HomeTeam]],  L$36, Table1[[ActualResult]:[ActualResult]], "OT") + SUMIFS(Table1[[AwayWon]:[AwayWon]], Table1[[GameIsOver]:[GameIsOver]], 1, Table1[[HomeTeam]:[HomeTeam]], $A48, Table1[[AwayTeam]:[AwayTeam]], L$36, Table1[[ActualResult]:[ActualResult]], "OT") + SUMIFS(Table1[[HomeWon]:[HomeWon]], Table1[[GameIsOver]:[GameIsOver]], 1, Table1[[AwayTeam]:[AwayTeam]], $A48, Table1[[HomeTeam]:[HomeTeam]], L$36, Table1[[ActualResult]:[ActualResult]], "SO") + SUMIFS(Table1[[AwayWon]:[AwayWon]], Table1[[GameIsOver]:[GameIsOver]], 1, Table1[[HomeTeam]:[HomeTeam]], $A48, Table1[[AwayTeam]:[AwayTeam]], L$36, Table1[[ActualResult]:[ActualResult]], "SO")))/ (2*((COUNTIFS(Table1[[GameIsOver]:[GameIsOver]],1,Table1[[AwayTeam]:[AwayTeam]],$A48, Table1[[HomeTeam]:[HomeTeam]], L$36)))+( COUNTIFS(Table1[[GameIsOver]:[GameIsOver]],1,Table1[[AwayTeam]:[AwayTeam]],L$36, Table1[[HomeTeam]:[HomeTeam]],$A48))), "")</f>
        <v/>
      </c>
      <c r="M48" s="50" t="str">
        <f>IFERROR(((2 * (SUMIFS(Table1[[AwayWon]:[AwayWon]], Table1[[GameIsOver]:[GameIsOver]], 1, Table1[[AwayTeam]:[AwayTeam]], $A48, Table1[[HomeTeam]:[HomeTeam]], M$36) + SUMIFS(Table1[[HomeWon]:[HomeWon]], Table1[[GameIsOver]:[GameIsOver]], 1, Table1[[HomeTeam]:[HomeTeam]], $A48, Table1[[AwayTeam]:[AwayTeam]], M$36))) + (SUMIFS(Table1[[HomeWon]:[HomeWon]], Table1[[GameIsOver]:[GameIsOver]], 1, Table1[[AwayTeam]:[AwayTeam]], $A48, Table1[[HomeTeam]:[HomeTeam]],  M$36, Table1[[ActualResult]:[ActualResult]], "OT") + SUMIFS(Table1[[AwayWon]:[AwayWon]], Table1[[GameIsOver]:[GameIsOver]], 1, Table1[[HomeTeam]:[HomeTeam]], $A48, Table1[[AwayTeam]:[AwayTeam]], M$36, Table1[[ActualResult]:[ActualResult]], "OT") + SUMIFS(Table1[[HomeWon]:[HomeWon]], Table1[[GameIsOver]:[GameIsOver]], 1, Table1[[AwayTeam]:[AwayTeam]], $A48, Table1[[HomeTeam]:[HomeTeam]], M$36, Table1[[ActualResult]:[ActualResult]], "SO") + SUMIFS(Table1[[AwayWon]:[AwayWon]], Table1[[GameIsOver]:[GameIsOver]], 1, Table1[[HomeTeam]:[HomeTeam]], $A48, Table1[[AwayTeam]:[AwayTeam]], M$36, Table1[[ActualResult]:[ActualResult]], "SO")))/ (2*((COUNTIFS(Table1[[GameIsOver]:[GameIsOver]],1,Table1[[AwayTeam]:[AwayTeam]],$A48, Table1[[HomeTeam]:[HomeTeam]], M$36)))+( COUNTIFS(Table1[[GameIsOver]:[GameIsOver]],1,Table1[[AwayTeam]:[AwayTeam]],M$36, Table1[[HomeTeam]:[HomeTeam]],$A48))), "")</f>
        <v/>
      </c>
      <c r="N48" s="50" t="str">
        <f>IFERROR(((2 * (SUMIFS(Table1[[AwayWon]:[AwayWon]], Table1[[GameIsOver]:[GameIsOver]], 1, Table1[[AwayTeam]:[AwayTeam]], $A48, Table1[[HomeTeam]:[HomeTeam]], N$36) + SUMIFS(Table1[[HomeWon]:[HomeWon]], Table1[[GameIsOver]:[GameIsOver]], 1, Table1[[HomeTeam]:[HomeTeam]], $A48, Table1[[AwayTeam]:[AwayTeam]], N$36))) + (SUMIFS(Table1[[HomeWon]:[HomeWon]], Table1[[GameIsOver]:[GameIsOver]], 1, Table1[[AwayTeam]:[AwayTeam]], $A48, Table1[[HomeTeam]:[HomeTeam]],  N$36, Table1[[ActualResult]:[ActualResult]], "OT") + SUMIFS(Table1[[AwayWon]:[AwayWon]], Table1[[GameIsOver]:[GameIsOver]], 1, Table1[[HomeTeam]:[HomeTeam]], $A48, Table1[[AwayTeam]:[AwayTeam]], N$36, Table1[[ActualResult]:[ActualResult]], "OT") + SUMIFS(Table1[[HomeWon]:[HomeWon]], Table1[[GameIsOver]:[GameIsOver]], 1, Table1[[AwayTeam]:[AwayTeam]], $A48, Table1[[HomeTeam]:[HomeTeam]], N$36, Table1[[ActualResult]:[ActualResult]], "SO") + SUMIFS(Table1[[AwayWon]:[AwayWon]], Table1[[GameIsOver]:[GameIsOver]], 1, Table1[[HomeTeam]:[HomeTeam]], $A48, Table1[[AwayTeam]:[AwayTeam]], N$36, Table1[[ActualResult]:[ActualResult]], "SO")))/ (2*((COUNTIFS(Table1[[GameIsOver]:[GameIsOver]],1,Table1[[AwayTeam]:[AwayTeam]],$A48, Table1[[HomeTeam]:[HomeTeam]], N$36)))+( COUNTIFS(Table1[[GameIsOver]:[GameIsOver]],1,Table1[[AwayTeam]:[AwayTeam]],N$36, Table1[[HomeTeam]:[HomeTeam]],$A48))), "")</f>
        <v/>
      </c>
      <c r="O48" s="50" t="str">
        <f>IFERROR(((2 * (SUMIFS(Table1[[AwayWon]:[AwayWon]], Table1[[GameIsOver]:[GameIsOver]], 1, Table1[[AwayTeam]:[AwayTeam]], $A48, Table1[[HomeTeam]:[HomeTeam]], O$36) + SUMIFS(Table1[[HomeWon]:[HomeWon]], Table1[[GameIsOver]:[GameIsOver]], 1, Table1[[HomeTeam]:[HomeTeam]], $A48, Table1[[AwayTeam]:[AwayTeam]], O$36))) + (SUMIFS(Table1[[HomeWon]:[HomeWon]], Table1[[GameIsOver]:[GameIsOver]], 1, Table1[[AwayTeam]:[AwayTeam]], $A48, Table1[[HomeTeam]:[HomeTeam]],  O$36, Table1[[ActualResult]:[ActualResult]], "OT") + SUMIFS(Table1[[AwayWon]:[AwayWon]], Table1[[GameIsOver]:[GameIsOver]], 1, Table1[[HomeTeam]:[HomeTeam]], $A48, Table1[[AwayTeam]:[AwayTeam]], O$36, Table1[[ActualResult]:[ActualResult]], "OT") + SUMIFS(Table1[[HomeWon]:[HomeWon]], Table1[[GameIsOver]:[GameIsOver]], 1, Table1[[AwayTeam]:[AwayTeam]], $A48, Table1[[HomeTeam]:[HomeTeam]], O$36, Table1[[ActualResult]:[ActualResult]], "SO") + SUMIFS(Table1[[AwayWon]:[AwayWon]], Table1[[GameIsOver]:[GameIsOver]], 1, Table1[[HomeTeam]:[HomeTeam]], $A48, Table1[[AwayTeam]:[AwayTeam]], O$36, Table1[[ActualResult]:[ActualResult]], "SO")))/ (2*((COUNTIFS(Table1[[GameIsOver]:[GameIsOver]],1,Table1[[AwayTeam]:[AwayTeam]],$A48, Table1[[HomeTeam]:[HomeTeam]], O$36)))+( COUNTIFS(Table1[[GameIsOver]:[GameIsOver]],1,Table1[[AwayTeam]:[AwayTeam]],O$36, Table1[[HomeTeam]:[HomeTeam]],$A48))), "")</f>
        <v/>
      </c>
      <c r="P48" s="50" t="str">
        <f>IFERROR(((2 * (SUMIFS(Table1[[AwayWon]:[AwayWon]], Table1[[GameIsOver]:[GameIsOver]], 1, Table1[[AwayTeam]:[AwayTeam]], $A48, Table1[[HomeTeam]:[HomeTeam]], P$36) + SUMIFS(Table1[[HomeWon]:[HomeWon]], Table1[[GameIsOver]:[GameIsOver]], 1, Table1[[HomeTeam]:[HomeTeam]], $A48, Table1[[AwayTeam]:[AwayTeam]], P$36))) + (SUMIFS(Table1[[HomeWon]:[HomeWon]], Table1[[GameIsOver]:[GameIsOver]], 1, Table1[[AwayTeam]:[AwayTeam]], $A48, Table1[[HomeTeam]:[HomeTeam]],  P$36, Table1[[ActualResult]:[ActualResult]], "OT") + SUMIFS(Table1[[AwayWon]:[AwayWon]], Table1[[GameIsOver]:[GameIsOver]], 1, Table1[[HomeTeam]:[HomeTeam]], $A48, Table1[[AwayTeam]:[AwayTeam]], P$36, Table1[[ActualResult]:[ActualResult]], "OT") + SUMIFS(Table1[[HomeWon]:[HomeWon]], Table1[[GameIsOver]:[GameIsOver]], 1, Table1[[AwayTeam]:[AwayTeam]], $A48, Table1[[HomeTeam]:[HomeTeam]], P$36, Table1[[ActualResult]:[ActualResult]], "SO") + SUMIFS(Table1[[AwayWon]:[AwayWon]], Table1[[GameIsOver]:[GameIsOver]], 1, Table1[[HomeTeam]:[HomeTeam]], $A48, Table1[[AwayTeam]:[AwayTeam]], P$36, Table1[[ActualResult]:[ActualResult]], "SO")))/ (2*((COUNTIFS(Table1[[GameIsOver]:[GameIsOver]],1,Table1[[AwayTeam]:[AwayTeam]],$A48, Table1[[HomeTeam]:[HomeTeam]], P$36)))+( COUNTIFS(Table1[[GameIsOver]:[GameIsOver]],1,Table1[[AwayTeam]:[AwayTeam]],P$36, Table1[[HomeTeam]:[HomeTeam]],$A48))), "")</f>
        <v/>
      </c>
      <c r="Q48" s="52" t="str">
        <f>IFERROR(((2 * (SUMIFS(Table1[[AwayWon]:[AwayWon]], Table1[[GameIsOver]:[GameIsOver]], 1, Table1[[AwayTeam]:[AwayTeam]], $A48, Table1[[HomeTeam]:[HomeTeam]], Q$36) + SUMIFS(Table1[[HomeWon]:[HomeWon]], Table1[[GameIsOver]:[GameIsOver]], 1, Table1[[HomeTeam]:[HomeTeam]], $A48, Table1[[AwayTeam]:[AwayTeam]], Q$36))) + (SUMIFS(Table1[[HomeWon]:[HomeWon]], Table1[[GameIsOver]:[GameIsOver]], 1, Table1[[AwayTeam]:[AwayTeam]], $A48, Table1[[HomeTeam]:[HomeTeam]],  Q$36, Table1[[ActualResult]:[ActualResult]], "OT") + SUMIFS(Table1[[AwayWon]:[AwayWon]], Table1[[GameIsOver]:[GameIsOver]], 1, Table1[[HomeTeam]:[HomeTeam]], $A48, Table1[[AwayTeam]:[AwayTeam]], Q$36, Table1[[ActualResult]:[ActualResult]], "OT") + SUMIFS(Table1[[HomeWon]:[HomeWon]], Table1[[GameIsOver]:[GameIsOver]], 1, Table1[[AwayTeam]:[AwayTeam]], $A48, Table1[[HomeTeam]:[HomeTeam]], Q$36, Table1[[ActualResult]:[ActualResult]], "SO") + SUMIFS(Table1[[AwayWon]:[AwayWon]], Table1[[GameIsOver]:[GameIsOver]], 1, Table1[[HomeTeam]:[HomeTeam]], $A48, Table1[[AwayTeam]:[AwayTeam]], Q$36, Table1[[ActualResult]:[ActualResult]], "SO")))/ (2*((COUNTIFS(Table1[[GameIsOver]:[GameIsOver]],1,Table1[[AwayTeam]:[AwayTeam]],$A48, Table1[[HomeTeam]:[HomeTeam]], Q$36)))+( COUNTIFS(Table1[[GameIsOver]:[GameIsOver]],1,Table1[[AwayTeam]:[AwayTeam]],Q$36, Table1[[HomeTeam]:[HomeTeam]],$A48))), "")</f>
        <v/>
      </c>
      <c r="R48" s="50" t="str">
        <f>IFERROR(((2 * (SUMIFS(Table1[[AwayWon]:[AwayWon]], Table1[[GameIsOver]:[GameIsOver]], 1, Table1[[AwayTeam]:[AwayTeam]], $A48, Table1[[HomeTeam]:[HomeTeam]], R$36) + SUMIFS(Table1[[HomeWon]:[HomeWon]], Table1[[GameIsOver]:[GameIsOver]], 1, Table1[[HomeTeam]:[HomeTeam]], $A48, Table1[[AwayTeam]:[AwayTeam]], R$36))) + (SUMIFS(Table1[[HomeWon]:[HomeWon]], Table1[[GameIsOver]:[GameIsOver]], 1, Table1[[AwayTeam]:[AwayTeam]], $A48, Table1[[HomeTeam]:[HomeTeam]],  R$36, Table1[[ActualResult]:[ActualResult]], "OT") + SUMIFS(Table1[[AwayWon]:[AwayWon]], Table1[[GameIsOver]:[GameIsOver]], 1, Table1[[HomeTeam]:[HomeTeam]], $A48, Table1[[AwayTeam]:[AwayTeam]], R$36, Table1[[ActualResult]:[ActualResult]], "OT") + SUMIFS(Table1[[HomeWon]:[HomeWon]], Table1[[GameIsOver]:[GameIsOver]], 1, Table1[[AwayTeam]:[AwayTeam]], $A48, Table1[[HomeTeam]:[HomeTeam]], R$36, Table1[[ActualResult]:[ActualResult]], "SO") + SUMIFS(Table1[[AwayWon]:[AwayWon]], Table1[[GameIsOver]:[GameIsOver]], 1, Table1[[HomeTeam]:[HomeTeam]], $A48, Table1[[AwayTeam]:[AwayTeam]], R$36, Table1[[ActualResult]:[ActualResult]], "SO")))/ (2*((COUNTIFS(Table1[[GameIsOver]:[GameIsOver]],1,Table1[[AwayTeam]:[AwayTeam]],$A48, Table1[[HomeTeam]:[HomeTeam]], R$36)))+( COUNTIFS(Table1[[GameIsOver]:[GameIsOver]],1,Table1[[AwayTeam]:[AwayTeam]],R$36, Table1[[HomeTeam]:[HomeTeam]],$A48))), "")</f>
        <v/>
      </c>
      <c r="S48" s="50" t="str">
        <f>IFERROR(((2 * (SUMIFS(Table1[[AwayWon]:[AwayWon]], Table1[[GameIsOver]:[GameIsOver]], 1, Table1[[AwayTeam]:[AwayTeam]], $A48, Table1[[HomeTeam]:[HomeTeam]], S$36) + SUMIFS(Table1[[HomeWon]:[HomeWon]], Table1[[GameIsOver]:[GameIsOver]], 1, Table1[[HomeTeam]:[HomeTeam]], $A48, Table1[[AwayTeam]:[AwayTeam]], S$36))) + (SUMIFS(Table1[[HomeWon]:[HomeWon]], Table1[[GameIsOver]:[GameIsOver]], 1, Table1[[AwayTeam]:[AwayTeam]], $A48, Table1[[HomeTeam]:[HomeTeam]],  S$36, Table1[[ActualResult]:[ActualResult]], "OT") + SUMIFS(Table1[[AwayWon]:[AwayWon]], Table1[[GameIsOver]:[GameIsOver]], 1, Table1[[HomeTeam]:[HomeTeam]], $A48, Table1[[AwayTeam]:[AwayTeam]], S$36, Table1[[ActualResult]:[ActualResult]], "OT") + SUMIFS(Table1[[HomeWon]:[HomeWon]], Table1[[GameIsOver]:[GameIsOver]], 1, Table1[[AwayTeam]:[AwayTeam]], $A48, Table1[[HomeTeam]:[HomeTeam]], S$36, Table1[[ActualResult]:[ActualResult]], "SO") + SUMIFS(Table1[[AwayWon]:[AwayWon]], Table1[[GameIsOver]:[GameIsOver]], 1, Table1[[HomeTeam]:[HomeTeam]], $A48, Table1[[AwayTeam]:[AwayTeam]], S$36, Table1[[ActualResult]:[ActualResult]], "SO")))/ (2*((COUNTIFS(Table1[[GameIsOver]:[GameIsOver]],1,Table1[[AwayTeam]:[AwayTeam]],$A48, Table1[[HomeTeam]:[HomeTeam]], S$36)))+( COUNTIFS(Table1[[GameIsOver]:[GameIsOver]],1,Table1[[AwayTeam]:[AwayTeam]],S$36, Table1[[HomeTeam]:[HomeTeam]],$A48))), "")</f>
        <v/>
      </c>
      <c r="T48" s="50" t="str">
        <f>IFERROR(((2 * (SUMIFS(Table1[[AwayWon]:[AwayWon]], Table1[[GameIsOver]:[GameIsOver]], 1, Table1[[AwayTeam]:[AwayTeam]], $A48, Table1[[HomeTeam]:[HomeTeam]], T$36) + SUMIFS(Table1[[HomeWon]:[HomeWon]], Table1[[GameIsOver]:[GameIsOver]], 1, Table1[[HomeTeam]:[HomeTeam]], $A48, Table1[[AwayTeam]:[AwayTeam]], T$36))) + (SUMIFS(Table1[[HomeWon]:[HomeWon]], Table1[[GameIsOver]:[GameIsOver]], 1, Table1[[AwayTeam]:[AwayTeam]], $A48, Table1[[HomeTeam]:[HomeTeam]],  T$36, Table1[[ActualResult]:[ActualResult]], "OT") + SUMIFS(Table1[[AwayWon]:[AwayWon]], Table1[[GameIsOver]:[GameIsOver]], 1, Table1[[HomeTeam]:[HomeTeam]], $A48, Table1[[AwayTeam]:[AwayTeam]], T$36, Table1[[ActualResult]:[ActualResult]], "OT") + SUMIFS(Table1[[HomeWon]:[HomeWon]], Table1[[GameIsOver]:[GameIsOver]], 1, Table1[[AwayTeam]:[AwayTeam]], $A48, Table1[[HomeTeam]:[HomeTeam]], T$36, Table1[[ActualResult]:[ActualResult]], "SO") + SUMIFS(Table1[[AwayWon]:[AwayWon]], Table1[[GameIsOver]:[GameIsOver]], 1, Table1[[HomeTeam]:[HomeTeam]], $A48, Table1[[AwayTeam]:[AwayTeam]], T$36, Table1[[ActualResult]:[ActualResult]], "SO")))/ (2*((COUNTIFS(Table1[[GameIsOver]:[GameIsOver]],1,Table1[[AwayTeam]:[AwayTeam]],$A48, Table1[[HomeTeam]:[HomeTeam]], T$36)))+( COUNTIFS(Table1[[GameIsOver]:[GameIsOver]],1,Table1[[AwayTeam]:[AwayTeam]],T$36, Table1[[HomeTeam]:[HomeTeam]],$A48))), "")</f>
        <v/>
      </c>
      <c r="U48" s="50" t="str">
        <f>IFERROR(((2 * (SUMIFS(Table1[[AwayWon]:[AwayWon]], Table1[[GameIsOver]:[GameIsOver]], 1, Table1[[AwayTeam]:[AwayTeam]], $A48, Table1[[HomeTeam]:[HomeTeam]], U$36) + SUMIFS(Table1[[HomeWon]:[HomeWon]], Table1[[GameIsOver]:[GameIsOver]], 1, Table1[[HomeTeam]:[HomeTeam]], $A48, Table1[[AwayTeam]:[AwayTeam]], U$36))) + (SUMIFS(Table1[[HomeWon]:[HomeWon]], Table1[[GameIsOver]:[GameIsOver]], 1, Table1[[AwayTeam]:[AwayTeam]], $A48, Table1[[HomeTeam]:[HomeTeam]],  U$36, Table1[[ActualResult]:[ActualResult]], "OT") + SUMIFS(Table1[[AwayWon]:[AwayWon]], Table1[[GameIsOver]:[GameIsOver]], 1, Table1[[HomeTeam]:[HomeTeam]], $A48, Table1[[AwayTeam]:[AwayTeam]], U$36, Table1[[ActualResult]:[ActualResult]], "OT") + SUMIFS(Table1[[HomeWon]:[HomeWon]], Table1[[GameIsOver]:[GameIsOver]], 1, Table1[[AwayTeam]:[AwayTeam]], $A48, Table1[[HomeTeam]:[HomeTeam]], U$36, Table1[[ActualResult]:[ActualResult]], "SO") + SUMIFS(Table1[[AwayWon]:[AwayWon]], Table1[[GameIsOver]:[GameIsOver]], 1, Table1[[HomeTeam]:[HomeTeam]], $A48, Table1[[AwayTeam]:[AwayTeam]], U$36, Table1[[ActualResult]:[ActualResult]], "SO")))/ (2*((COUNTIFS(Table1[[GameIsOver]:[GameIsOver]],1,Table1[[AwayTeam]:[AwayTeam]],$A48, Table1[[HomeTeam]:[HomeTeam]], U$36)))+( COUNTIFS(Table1[[GameIsOver]:[GameIsOver]],1,Table1[[AwayTeam]:[AwayTeam]],U$36, Table1[[HomeTeam]:[HomeTeam]],$A48))), "")</f>
        <v/>
      </c>
      <c r="V48" s="50" t="str">
        <f>IFERROR(((2 * (SUMIFS(Table1[[AwayWon]:[AwayWon]], Table1[[GameIsOver]:[GameIsOver]], 1, Table1[[AwayTeam]:[AwayTeam]], $A48, Table1[[HomeTeam]:[HomeTeam]], V$36) + SUMIFS(Table1[[HomeWon]:[HomeWon]], Table1[[GameIsOver]:[GameIsOver]], 1, Table1[[HomeTeam]:[HomeTeam]], $A48, Table1[[AwayTeam]:[AwayTeam]], V$36))) + (SUMIFS(Table1[[HomeWon]:[HomeWon]], Table1[[GameIsOver]:[GameIsOver]], 1, Table1[[AwayTeam]:[AwayTeam]], $A48, Table1[[HomeTeam]:[HomeTeam]],  V$36, Table1[[ActualResult]:[ActualResult]], "OT") + SUMIFS(Table1[[AwayWon]:[AwayWon]], Table1[[GameIsOver]:[GameIsOver]], 1, Table1[[HomeTeam]:[HomeTeam]], $A48, Table1[[AwayTeam]:[AwayTeam]], V$36, Table1[[ActualResult]:[ActualResult]], "OT") + SUMIFS(Table1[[HomeWon]:[HomeWon]], Table1[[GameIsOver]:[GameIsOver]], 1, Table1[[AwayTeam]:[AwayTeam]], $A48, Table1[[HomeTeam]:[HomeTeam]], V$36, Table1[[ActualResult]:[ActualResult]], "SO") + SUMIFS(Table1[[AwayWon]:[AwayWon]], Table1[[GameIsOver]:[GameIsOver]], 1, Table1[[HomeTeam]:[HomeTeam]], $A48, Table1[[AwayTeam]:[AwayTeam]], V$36, Table1[[ActualResult]:[ActualResult]], "SO")))/ (2*((COUNTIFS(Table1[[GameIsOver]:[GameIsOver]],1,Table1[[AwayTeam]:[AwayTeam]],$A48, Table1[[HomeTeam]:[HomeTeam]], V$36)))+( COUNTIFS(Table1[[GameIsOver]:[GameIsOver]],1,Table1[[AwayTeam]:[AwayTeam]],V$36, Table1[[HomeTeam]:[HomeTeam]],$A48))), "")</f>
        <v/>
      </c>
      <c r="W48" s="50" t="str">
        <f>IFERROR(((2 * (SUMIFS(Table1[[AwayWon]:[AwayWon]], Table1[[GameIsOver]:[GameIsOver]], 1, Table1[[AwayTeam]:[AwayTeam]], $A48, Table1[[HomeTeam]:[HomeTeam]], W$36) + SUMIFS(Table1[[HomeWon]:[HomeWon]], Table1[[GameIsOver]:[GameIsOver]], 1, Table1[[HomeTeam]:[HomeTeam]], $A48, Table1[[AwayTeam]:[AwayTeam]], W$36))) + (SUMIFS(Table1[[HomeWon]:[HomeWon]], Table1[[GameIsOver]:[GameIsOver]], 1, Table1[[AwayTeam]:[AwayTeam]], $A48, Table1[[HomeTeam]:[HomeTeam]],  W$36, Table1[[ActualResult]:[ActualResult]], "OT") + SUMIFS(Table1[[AwayWon]:[AwayWon]], Table1[[GameIsOver]:[GameIsOver]], 1, Table1[[HomeTeam]:[HomeTeam]], $A48, Table1[[AwayTeam]:[AwayTeam]], W$36, Table1[[ActualResult]:[ActualResult]], "OT") + SUMIFS(Table1[[HomeWon]:[HomeWon]], Table1[[GameIsOver]:[GameIsOver]], 1, Table1[[AwayTeam]:[AwayTeam]], $A48, Table1[[HomeTeam]:[HomeTeam]], W$36, Table1[[ActualResult]:[ActualResult]], "SO") + SUMIFS(Table1[[AwayWon]:[AwayWon]], Table1[[GameIsOver]:[GameIsOver]], 1, Table1[[HomeTeam]:[HomeTeam]], $A48, Table1[[AwayTeam]:[AwayTeam]], W$36, Table1[[ActualResult]:[ActualResult]], "SO")))/ (2*((COUNTIFS(Table1[[GameIsOver]:[GameIsOver]],1,Table1[[AwayTeam]:[AwayTeam]],$A48, Table1[[HomeTeam]:[HomeTeam]], W$36)))+( COUNTIFS(Table1[[GameIsOver]:[GameIsOver]],1,Table1[[AwayTeam]:[AwayTeam]],W$36, Table1[[HomeTeam]:[HomeTeam]],$A48))), "")</f>
        <v/>
      </c>
      <c r="X48" s="50" t="str">
        <f>IFERROR(((2 * (SUMIFS(Table1[[AwayWon]:[AwayWon]], Table1[[GameIsOver]:[GameIsOver]], 1, Table1[[AwayTeam]:[AwayTeam]], $A48, Table1[[HomeTeam]:[HomeTeam]], X$36) + SUMIFS(Table1[[HomeWon]:[HomeWon]], Table1[[GameIsOver]:[GameIsOver]], 1, Table1[[HomeTeam]:[HomeTeam]], $A48, Table1[[AwayTeam]:[AwayTeam]], X$36))) + (SUMIFS(Table1[[HomeWon]:[HomeWon]], Table1[[GameIsOver]:[GameIsOver]], 1, Table1[[AwayTeam]:[AwayTeam]], $A48, Table1[[HomeTeam]:[HomeTeam]],  X$36, Table1[[ActualResult]:[ActualResult]], "OT") + SUMIFS(Table1[[AwayWon]:[AwayWon]], Table1[[GameIsOver]:[GameIsOver]], 1, Table1[[HomeTeam]:[HomeTeam]], $A48, Table1[[AwayTeam]:[AwayTeam]], X$36, Table1[[ActualResult]:[ActualResult]], "OT") + SUMIFS(Table1[[HomeWon]:[HomeWon]], Table1[[GameIsOver]:[GameIsOver]], 1, Table1[[AwayTeam]:[AwayTeam]], $A48, Table1[[HomeTeam]:[HomeTeam]], X$36, Table1[[ActualResult]:[ActualResult]], "SO") + SUMIFS(Table1[[AwayWon]:[AwayWon]], Table1[[GameIsOver]:[GameIsOver]], 1, Table1[[HomeTeam]:[HomeTeam]], $A48, Table1[[AwayTeam]:[AwayTeam]], X$36, Table1[[ActualResult]:[ActualResult]], "SO")))/ (2*((COUNTIFS(Table1[[GameIsOver]:[GameIsOver]],1,Table1[[AwayTeam]:[AwayTeam]],$A48, Table1[[HomeTeam]:[HomeTeam]], X$36)))+( COUNTIFS(Table1[[GameIsOver]:[GameIsOver]],1,Table1[[AwayTeam]:[AwayTeam]],X$36, Table1[[HomeTeam]:[HomeTeam]],$A48))), "")</f>
        <v/>
      </c>
      <c r="Y48" s="52" t="str">
        <f>IFERROR(((2 * (SUMIFS(Table1[[AwayWon]:[AwayWon]], Table1[[GameIsOver]:[GameIsOver]], 1, Table1[[AwayTeam]:[AwayTeam]], $A48, Table1[[HomeTeam]:[HomeTeam]], Y$36) + SUMIFS(Table1[[HomeWon]:[HomeWon]], Table1[[GameIsOver]:[GameIsOver]], 1, Table1[[HomeTeam]:[HomeTeam]], $A48, Table1[[AwayTeam]:[AwayTeam]], Y$36))) + (SUMIFS(Table1[[HomeWon]:[HomeWon]], Table1[[GameIsOver]:[GameIsOver]], 1, Table1[[AwayTeam]:[AwayTeam]], $A48, Table1[[HomeTeam]:[HomeTeam]],  Y$36, Table1[[ActualResult]:[ActualResult]], "OT") + SUMIFS(Table1[[AwayWon]:[AwayWon]], Table1[[GameIsOver]:[GameIsOver]], 1, Table1[[HomeTeam]:[HomeTeam]], $A48, Table1[[AwayTeam]:[AwayTeam]], Y$36, Table1[[ActualResult]:[ActualResult]], "OT") + SUMIFS(Table1[[HomeWon]:[HomeWon]], Table1[[GameIsOver]:[GameIsOver]], 1, Table1[[AwayTeam]:[AwayTeam]], $A48, Table1[[HomeTeam]:[HomeTeam]], Y$36, Table1[[ActualResult]:[ActualResult]], "SO") + SUMIFS(Table1[[AwayWon]:[AwayWon]], Table1[[GameIsOver]:[GameIsOver]], 1, Table1[[HomeTeam]:[HomeTeam]], $A48, Table1[[AwayTeam]:[AwayTeam]], Y$36, Table1[[ActualResult]:[ActualResult]], "SO")))/ (2*((COUNTIFS(Table1[[GameIsOver]:[GameIsOver]],1,Table1[[AwayTeam]:[AwayTeam]],$A48, Table1[[HomeTeam]:[HomeTeam]], Y$36)))+( COUNTIFS(Table1[[GameIsOver]:[GameIsOver]],1,Table1[[AwayTeam]:[AwayTeam]],Y$36, Table1[[HomeTeam]:[HomeTeam]],$A48))), "")</f>
        <v/>
      </c>
      <c r="Z48" s="50" t="str">
        <f>IFERROR(((2 * (SUMIFS(Table1[[AwayWon]:[AwayWon]], Table1[[GameIsOver]:[GameIsOver]], 1, Table1[[AwayTeam]:[AwayTeam]], $A48, Table1[[HomeTeam]:[HomeTeam]], Z$36) + SUMIFS(Table1[[HomeWon]:[HomeWon]], Table1[[GameIsOver]:[GameIsOver]], 1, Table1[[HomeTeam]:[HomeTeam]], $A48, Table1[[AwayTeam]:[AwayTeam]], Z$36))) + (SUMIFS(Table1[[HomeWon]:[HomeWon]], Table1[[GameIsOver]:[GameIsOver]], 1, Table1[[AwayTeam]:[AwayTeam]], $A48, Table1[[HomeTeam]:[HomeTeam]],  Z$36, Table1[[ActualResult]:[ActualResult]], "OT") + SUMIFS(Table1[[AwayWon]:[AwayWon]], Table1[[GameIsOver]:[GameIsOver]], 1, Table1[[HomeTeam]:[HomeTeam]], $A48, Table1[[AwayTeam]:[AwayTeam]], Z$36, Table1[[ActualResult]:[ActualResult]], "OT") + SUMIFS(Table1[[HomeWon]:[HomeWon]], Table1[[GameIsOver]:[GameIsOver]], 1, Table1[[AwayTeam]:[AwayTeam]], $A48, Table1[[HomeTeam]:[HomeTeam]], Z$36, Table1[[ActualResult]:[ActualResult]], "SO") + SUMIFS(Table1[[AwayWon]:[AwayWon]], Table1[[GameIsOver]:[GameIsOver]], 1, Table1[[HomeTeam]:[HomeTeam]], $A48, Table1[[AwayTeam]:[AwayTeam]], Z$36, Table1[[ActualResult]:[ActualResult]], "SO")))/ (2*((COUNTIFS(Table1[[GameIsOver]:[GameIsOver]],1,Table1[[AwayTeam]:[AwayTeam]],$A48, Table1[[HomeTeam]:[HomeTeam]], Z$36)))+( COUNTIFS(Table1[[GameIsOver]:[GameIsOver]],1,Table1[[AwayTeam]:[AwayTeam]],Z$36, Table1[[HomeTeam]:[HomeTeam]],$A48))), "")</f>
        <v/>
      </c>
      <c r="AA48" s="50" t="str">
        <f>IFERROR(((2 * (SUMIFS(Table1[[AwayWon]:[AwayWon]], Table1[[GameIsOver]:[GameIsOver]], 1, Table1[[AwayTeam]:[AwayTeam]], $A48, Table1[[HomeTeam]:[HomeTeam]], AA$36) + SUMIFS(Table1[[HomeWon]:[HomeWon]], Table1[[GameIsOver]:[GameIsOver]], 1, Table1[[HomeTeam]:[HomeTeam]], $A48, Table1[[AwayTeam]:[AwayTeam]], AA$36))) + (SUMIFS(Table1[[HomeWon]:[HomeWon]], Table1[[GameIsOver]:[GameIsOver]], 1, Table1[[AwayTeam]:[AwayTeam]], $A48, Table1[[HomeTeam]:[HomeTeam]],  AA$36, Table1[[ActualResult]:[ActualResult]], "OT") + SUMIFS(Table1[[AwayWon]:[AwayWon]], Table1[[GameIsOver]:[GameIsOver]], 1, Table1[[HomeTeam]:[HomeTeam]], $A48, Table1[[AwayTeam]:[AwayTeam]], AA$36, Table1[[ActualResult]:[ActualResult]], "OT") + SUMIFS(Table1[[HomeWon]:[HomeWon]], Table1[[GameIsOver]:[GameIsOver]], 1, Table1[[AwayTeam]:[AwayTeam]], $A48, Table1[[HomeTeam]:[HomeTeam]], AA$36, Table1[[ActualResult]:[ActualResult]], "SO") + SUMIFS(Table1[[AwayWon]:[AwayWon]], Table1[[GameIsOver]:[GameIsOver]], 1, Table1[[HomeTeam]:[HomeTeam]], $A48, Table1[[AwayTeam]:[AwayTeam]], AA$36, Table1[[ActualResult]:[ActualResult]], "SO")))/ (2*((COUNTIFS(Table1[[GameIsOver]:[GameIsOver]],1,Table1[[AwayTeam]:[AwayTeam]],$A48, Table1[[HomeTeam]:[HomeTeam]], AA$36)))+( COUNTIFS(Table1[[GameIsOver]:[GameIsOver]],1,Table1[[AwayTeam]:[AwayTeam]],AA$36, Table1[[HomeTeam]:[HomeTeam]],$A48))), "")</f>
        <v/>
      </c>
      <c r="AB48" s="50" t="str">
        <f>IFERROR(((2 * (SUMIFS(Table1[[AwayWon]:[AwayWon]], Table1[[GameIsOver]:[GameIsOver]], 1, Table1[[AwayTeam]:[AwayTeam]], $A48, Table1[[HomeTeam]:[HomeTeam]], AB$36) + SUMIFS(Table1[[HomeWon]:[HomeWon]], Table1[[GameIsOver]:[GameIsOver]], 1, Table1[[HomeTeam]:[HomeTeam]], $A48, Table1[[AwayTeam]:[AwayTeam]], AB$36))) + (SUMIFS(Table1[[HomeWon]:[HomeWon]], Table1[[GameIsOver]:[GameIsOver]], 1, Table1[[AwayTeam]:[AwayTeam]], $A48, Table1[[HomeTeam]:[HomeTeam]],  AB$36, Table1[[ActualResult]:[ActualResult]], "OT") + SUMIFS(Table1[[AwayWon]:[AwayWon]], Table1[[GameIsOver]:[GameIsOver]], 1, Table1[[HomeTeam]:[HomeTeam]], $A48, Table1[[AwayTeam]:[AwayTeam]], AB$36, Table1[[ActualResult]:[ActualResult]], "OT") + SUMIFS(Table1[[HomeWon]:[HomeWon]], Table1[[GameIsOver]:[GameIsOver]], 1, Table1[[AwayTeam]:[AwayTeam]], $A48, Table1[[HomeTeam]:[HomeTeam]], AB$36, Table1[[ActualResult]:[ActualResult]], "SO") + SUMIFS(Table1[[AwayWon]:[AwayWon]], Table1[[GameIsOver]:[GameIsOver]], 1, Table1[[HomeTeam]:[HomeTeam]], $A48, Table1[[AwayTeam]:[AwayTeam]], AB$36, Table1[[ActualResult]:[ActualResult]], "SO")))/ (2*((COUNTIFS(Table1[[GameIsOver]:[GameIsOver]],1,Table1[[AwayTeam]:[AwayTeam]],$A48, Table1[[HomeTeam]:[HomeTeam]], AB$36)))+( COUNTIFS(Table1[[GameIsOver]:[GameIsOver]],1,Table1[[AwayTeam]:[AwayTeam]],AB$36, Table1[[HomeTeam]:[HomeTeam]],$A48))), "")</f>
        <v/>
      </c>
      <c r="AC48" s="50" t="str">
        <f>IFERROR(((2 * (SUMIFS(Table1[[AwayWon]:[AwayWon]], Table1[[GameIsOver]:[GameIsOver]], 1, Table1[[AwayTeam]:[AwayTeam]], $A48, Table1[[HomeTeam]:[HomeTeam]], AC$36) + SUMIFS(Table1[[HomeWon]:[HomeWon]], Table1[[GameIsOver]:[GameIsOver]], 1, Table1[[HomeTeam]:[HomeTeam]], $A48, Table1[[AwayTeam]:[AwayTeam]], AC$36))) + (SUMIFS(Table1[[HomeWon]:[HomeWon]], Table1[[GameIsOver]:[GameIsOver]], 1, Table1[[AwayTeam]:[AwayTeam]], $A48, Table1[[HomeTeam]:[HomeTeam]],  AC$36, Table1[[ActualResult]:[ActualResult]], "OT") + SUMIFS(Table1[[AwayWon]:[AwayWon]], Table1[[GameIsOver]:[GameIsOver]], 1, Table1[[HomeTeam]:[HomeTeam]], $A48, Table1[[AwayTeam]:[AwayTeam]], AC$36, Table1[[ActualResult]:[ActualResult]], "OT") + SUMIFS(Table1[[HomeWon]:[HomeWon]], Table1[[GameIsOver]:[GameIsOver]], 1, Table1[[AwayTeam]:[AwayTeam]], $A48, Table1[[HomeTeam]:[HomeTeam]], AC$36, Table1[[ActualResult]:[ActualResult]], "SO") + SUMIFS(Table1[[AwayWon]:[AwayWon]], Table1[[GameIsOver]:[GameIsOver]], 1, Table1[[HomeTeam]:[HomeTeam]], $A48, Table1[[AwayTeam]:[AwayTeam]], AC$36, Table1[[ActualResult]:[ActualResult]], "SO")))/ (2*((COUNTIFS(Table1[[GameIsOver]:[GameIsOver]],1,Table1[[AwayTeam]:[AwayTeam]],$A48, Table1[[HomeTeam]:[HomeTeam]], AC$36)))+( COUNTIFS(Table1[[GameIsOver]:[GameIsOver]],1,Table1[[AwayTeam]:[AwayTeam]],AC$36, Table1[[HomeTeam]:[HomeTeam]],$A48))), "")</f>
        <v/>
      </c>
      <c r="AD48" s="50" t="str">
        <f>IFERROR(((2 * (SUMIFS(Table1[[AwayWon]:[AwayWon]], Table1[[GameIsOver]:[GameIsOver]], 1, Table1[[AwayTeam]:[AwayTeam]], $A48, Table1[[HomeTeam]:[HomeTeam]], AD$36) + SUMIFS(Table1[[HomeWon]:[HomeWon]], Table1[[GameIsOver]:[GameIsOver]], 1, Table1[[HomeTeam]:[HomeTeam]], $A48, Table1[[AwayTeam]:[AwayTeam]], AD$36))) + (SUMIFS(Table1[[HomeWon]:[HomeWon]], Table1[[GameIsOver]:[GameIsOver]], 1, Table1[[AwayTeam]:[AwayTeam]], $A48, Table1[[HomeTeam]:[HomeTeam]],  AD$36, Table1[[ActualResult]:[ActualResult]], "OT") + SUMIFS(Table1[[AwayWon]:[AwayWon]], Table1[[GameIsOver]:[GameIsOver]], 1, Table1[[HomeTeam]:[HomeTeam]], $A48, Table1[[AwayTeam]:[AwayTeam]], AD$36, Table1[[ActualResult]:[ActualResult]], "OT") + SUMIFS(Table1[[HomeWon]:[HomeWon]], Table1[[GameIsOver]:[GameIsOver]], 1, Table1[[AwayTeam]:[AwayTeam]], $A48, Table1[[HomeTeam]:[HomeTeam]], AD$36, Table1[[ActualResult]:[ActualResult]], "SO") + SUMIFS(Table1[[AwayWon]:[AwayWon]], Table1[[GameIsOver]:[GameIsOver]], 1, Table1[[HomeTeam]:[HomeTeam]], $A48, Table1[[AwayTeam]:[AwayTeam]], AD$36, Table1[[ActualResult]:[ActualResult]], "SO")))/ (2*((COUNTIFS(Table1[[GameIsOver]:[GameIsOver]],1,Table1[[AwayTeam]:[AwayTeam]],$A48, Table1[[HomeTeam]:[HomeTeam]], AD$36)))+( COUNTIFS(Table1[[GameIsOver]:[GameIsOver]],1,Table1[[AwayTeam]:[AwayTeam]],AD$36, Table1[[HomeTeam]:[HomeTeam]],$A48))), "")</f>
        <v/>
      </c>
      <c r="AE48" s="50" t="str">
        <f>IFERROR(((2 * (SUMIFS(Table1[[AwayWon]:[AwayWon]], Table1[[GameIsOver]:[GameIsOver]], 1, Table1[[AwayTeam]:[AwayTeam]], $A48, Table1[[HomeTeam]:[HomeTeam]], AE$36) + SUMIFS(Table1[[HomeWon]:[HomeWon]], Table1[[GameIsOver]:[GameIsOver]], 1, Table1[[HomeTeam]:[HomeTeam]], $A48, Table1[[AwayTeam]:[AwayTeam]], AE$36))) + (SUMIFS(Table1[[HomeWon]:[HomeWon]], Table1[[GameIsOver]:[GameIsOver]], 1, Table1[[AwayTeam]:[AwayTeam]], $A48, Table1[[HomeTeam]:[HomeTeam]],  AE$36, Table1[[ActualResult]:[ActualResult]], "OT") + SUMIFS(Table1[[AwayWon]:[AwayWon]], Table1[[GameIsOver]:[GameIsOver]], 1, Table1[[HomeTeam]:[HomeTeam]], $A48, Table1[[AwayTeam]:[AwayTeam]], AE$36, Table1[[ActualResult]:[ActualResult]], "OT") + SUMIFS(Table1[[HomeWon]:[HomeWon]], Table1[[GameIsOver]:[GameIsOver]], 1, Table1[[AwayTeam]:[AwayTeam]], $A48, Table1[[HomeTeam]:[HomeTeam]], AE$36, Table1[[ActualResult]:[ActualResult]], "SO") + SUMIFS(Table1[[AwayWon]:[AwayWon]], Table1[[GameIsOver]:[GameIsOver]], 1, Table1[[HomeTeam]:[HomeTeam]], $A48, Table1[[AwayTeam]:[AwayTeam]], AE$36, Table1[[ActualResult]:[ActualResult]], "SO")))/ (2*((COUNTIFS(Table1[[GameIsOver]:[GameIsOver]],1,Table1[[AwayTeam]:[AwayTeam]],$A48, Table1[[HomeTeam]:[HomeTeam]], AE$36)))+( COUNTIFS(Table1[[GameIsOver]:[GameIsOver]],1,Table1[[AwayTeam]:[AwayTeam]],AE$36, Table1[[HomeTeam]:[HomeTeam]],$A48))), "")</f>
        <v/>
      </c>
      <c r="AF48" s="50" t="str">
        <f>IFERROR(((2 * (SUMIFS(Table1[[AwayWon]:[AwayWon]], Table1[[GameIsOver]:[GameIsOver]], 1, Table1[[AwayTeam]:[AwayTeam]], $A48, Table1[[HomeTeam]:[HomeTeam]], AF$36) + SUMIFS(Table1[[HomeWon]:[HomeWon]], Table1[[GameIsOver]:[GameIsOver]], 1, Table1[[HomeTeam]:[HomeTeam]], $A48, Table1[[AwayTeam]:[AwayTeam]], AF$36))) + (SUMIFS(Table1[[HomeWon]:[HomeWon]], Table1[[GameIsOver]:[GameIsOver]], 1, Table1[[AwayTeam]:[AwayTeam]], $A48, Table1[[HomeTeam]:[HomeTeam]],  AF$36, Table1[[ActualResult]:[ActualResult]], "OT") + SUMIFS(Table1[[AwayWon]:[AwayWon]], Table1[[GameIsOver]:[GameIsOver]], 1, Table1[[HomeTeam]:[HomeTeam]], $A48, Table1[[AwayTeam]:[AwayTeam]], AF$36, Table1[[ActualResult]:[ActualResult]], "OT") + SUMIFS(Table1[[HomeWon]:[HomeWon]], Table1[[GameIsOver]:[GameIsOver]], 1, Table1[[AwayTeam]:[AwayTeam]], $A48, Table1[[HomeTeam]:[HomeTeam]], AF$36, Table1[[ActualResult]:[ActualResult]], "SO") + SUMIFS(Table1[[AwayWon]:[AwayWon]], Table1[[GameIsOver]:[GameIsOver]], 1, Table1[[HomeTeam]:[HomeTeam]], $A48, Table1[[AwayTeam]:[AwayTeam]], AF$36, Table1[[ActualResult]:[ActualResult]], "SO")))/ (2*((COUNTIFS(Table1[[GameIsOver]:[GameIsOver]],1,Table1[[AwayTeam]:[AwayTeam]],$A48, Table1[[HomeTeam]:[HomeTeam]], AF$36)))+( COUNTIFS(Table1[[GameIsOver]:[GameIsOver]],1,Table1[[AwayTeam]:[AwayTeam]],AF$36, Table1[[HomeTeam]:[HomeTeam]],$A48))), "")</f>
        <v/>
      </c>
      <c r="AG48" s="50">
        <f>IFERROR(((2 * (SUMIFS(Table1[[AwayWon]:[AwayWon]], Table1[[GameIsOver]:[GameIsOver]], 1, Table1[[AwayTeam]:[AwayTeam]], $A48, Table1[[HomeTeam]:[HomeTeam]], AG$36) + SUMIFS(Table1[[HomeWon]:[HomeWon]], Table1[[GameIsOver]:[GameIsOver]], 1, Table1[[HomeTeam]:[HomeTeam]], $A48, Table1[[AwayTeam]:[AwayTeam]], AG$36))) + (SUMIFS(Table1[[HomeWon]:[HomeWon]], Table1[[GameIsOver]:[GameIsOver]], 1, Table1[[AwayTeam]:[AwayTeam]], $A48, Table1[[HomeTeam]:[HomeTeam]],  AG$36, Table1[[ActualResult]:[ActualResult]], "OT") + SUMIFS(Table1[[AwayWon]:[AwayWon]], Table1[[GameIsOver]:[GameIsOver]], 1, Table1[[HomeTeam]:[HomeTeam]], $A48, Table1[[AwayTeam]:[AwayTeam]], AG$36, Table1[[ActualResult]:[ActualResult]], "OT") + SUMIFS(Table1[[HomeWon]:[HomeWon]], Table1[[GameIsOver]:[GameIsOver]], 1, Table1[[AwayTeam]:[AwayTeam]], $A48, Table1[[HomeTeam]:[HomeTeam]], AG$36, Table1[[ActualResult]:[ActualResult]], "SO") + SUMIFS(Table1[[AwayWon]:[AwayWon]], Table1[[GameIsOver]:[GameIsOver]], 1, Table1[[HomeTeam]:[HomeTeam]], $A48, Table1[[AwayTeam]:[AwayTeam]], AG$36, Table1[[ActualResult]:[ActualResult]], "SO")))/ (2*((COUNTIFS(Table1[[GameIsOver]:[GameIsOver]],1,Table1[[AwayTeam]:[AwayTeam]],$A48, Table1[[HomeTeam]:[HomeTeam]], AG$36)))+( COUNTIFS(Table1[[GameIsOver]:[GameIsOver]],1,Table1[[AwayTeam]:[AwayTeam]],AG$36, Table1[[HomeTeam]:[HomeTeam]],$A48))), "")</f>
        <v>0</v>
      </c>
      <c r="AH48" s="51">
        <f t="shared" si="0"/>
        <v>0</v>
      </c>
      <c r="AI48" s="51" t="e">
        <f t="shared" si="1"/>
        <v>#DIV/0!</v>
      </c>
      <c r="AJ48" s="52">
        <f t="shared" si="2"/>
        <v>0</v>
      </c>
      <c r="AK48" s="52" t="e">
        <f t="shared" si="3"/>
        <v>#DIV/0!</v>
      </c>
      <c r="AL48" s="52" t="e">
        <f t="shared" si="4"/>
        <v>#DIV/0!</v>
      </c>
      <c r="AM48" s="52" t="e">
        <f t="shared" si="5"/>
        <v>#DIV/0!</v>
      </c>
    </row>
    <row r="49" spans="1:39" x14ac:dyDescent="0.25">
      <c r="A49" s="28" t="s">
        <v>48</v>
      </c>
      <c r="B49" s="50" t="str">
        <f>IFERROR(((2 * (SUMIFS(Table1[[AwayWon]:[AwayWon]], Table1[[GameIsOver]:[GameIsOver]], 1, Table1[[AwayTeam]:[AwayTeam]], $A49, Table1[[HomeTeam]:[HomeTeam]], B$36) + SUMIFS(Table1[[HomeWon]:[HomeWon]], Table1[[GameIsOver]:[GameIsOver]], 1, Table1[[HomeTeam]:[HomeTeam]], $A49, Table1[[AwayTeam]:[AwayTeam]], B$36))) + (SUMIFS(Table1[[HomeWon]:[HomeWon]], Table1[[GameIsOver]:[GameIsOver]], 1, Table1[[AwayTeam]:[AwayTeam]], $A49, Table1[[HomeTeam]:[HomeTeam]],  B$36, Table1[[ActualResult]:[ActualResult]], "OT") + SUMIFS(Table1[[AwayWon]:[AwayWon]], Table1[[GameIsOver]:[GameIsOver]], 1, Table1[[HomeTeam]:[HomeTeam]], $A49, Table1[[AwayTeam]:[AwayTeam]], B$36, Table1[[ActualResult]:[ActualResult]], "OT") + SUMIFS(Table1[[HomeWon]:[HomeWon]], Table1[[GameIsOver]:[GameIsOver]], 1, Table1[[AwayTeam]:[AwayTeam]], $A49, Table1[[HomeTeam]:[HomeTeam]], B$36, Table1[[ActualResult]:[ActualResult]], "SO") + SUMIFS(Table1[[AwayWon]:[AwayWon]], Table1[[GameIsOver]:[GameIsOver]], 1, Table1[[HomeTeam]:[HomeTeam]], $A49, Table1[[AwayTeam]:[AwayTeam]], B$36, Table1[[ActualResult]:[ActualResult]], "SO")))/ (2*((COUNTIFS(Table1[[GameIsOver]:[GameIsOver]],1,Table1[[AwayTeam]:[AwayTeam]],$A49, Table1[[HomeTeam]:[HomeTeam]], B$36)))+( COUNTIFS(Table1[[GameIsOver]:[GameIsOver]],1,Table1[[AwayTeam]:[AwayTeam]],B$36, Table1[[HomeTeam]:[HomeTeam]],$A49))), "")</f>
        <v/>
      </c>
      <c r="C49" s="50" t="str">
        <f>IFERROR(((2 * (SUMIFS(Table1[[AwayWon]:[AwayWon]], Table1[[GameIsOver]:[GameIsOver]], 1, Table1[[AwayTeam]:[AwayTeam]], $A49, Table1[[HomeTeam]:[HomeTeam]], C$36) + SUMIFS(Table1[[HomeWon]:[HomeWon]], Table1[[GameIsOver]:[GameIsOver]], 1, Table1[[HomeTeam]:[HomeTeam]], $A49, Table1[[AwayTeam]:[AwayTeam]], C$36))) + (SUMIFS(Table1[[HomeWon]:[HomeWon]], Table1[[GameIsOver]:[GameIsOver]], 1, Table1[[AwayTeam]:[AwayTeam]], $A49, Table1[[HomeTeam]:[HomeTeam]],  C$36, Table1[[ActualResult]:[ActualResult]], "OT") + SUMIFS(Table1[[AwayWon]:[AwayWon]], Table1[[GameIsOver]:[GameIsOver]], 1, Table1[[HomeTeam]:[HomeTeam]], $A49, Table1[[AwayTeam]:[AwayTeam]], C$36, Table1[[ActualResult]:[ActualResult]], "OT") + SUMIFS(Table1[[HomeWon]:[HomeWon]], Table1[[GameIsOver]:[GameIsOver]], 1, Table1[[AwayTeam]:[AwayTeam]], $A49, Table1[[HomeTeam]:[HomeTeam]], C$36, Table1[[ActualResult]:[ActualResult]], "SO") + SUMIFS(Table1[[AwayWon]:[AwayWon]], Table1[[GameIsOver]:[GameIsOver]], 1, Table1[[HomeTeam]:[HomeTeam]], $A49, Table1[[AwayTeam]:[AwayTeam]], C$36, Table1[[ActualResult]:[ActualResult]], "SO")))/ (2*((COUNTIFS(Table1[[GameIsOver]:[GameIsOver]],1,Table1[[AwayTeam]:[AwayTeam]],$A49, Table1[[HomeTeam]:[HomeTeam]], C$36)))+( COUNTIFS(Table1[[GameIsOver]:[GameIsOver]],1,Table1[[AwayTeam]:[AwayTeam]],C$36, Table1[[HomeTeam]:[HomeTeam]],$A49))), "")</f>
        <v/>
      </c>
      <c r="D49" s="50" t="str">
        <f>IFERROR(((2 * (SUMIFS(Table1[[AwayWon]:[AwayWon]], Table1[[GameIsOver]:[GameIsOver]], 1, Table1[[AwayTeam]:[AwayTeam]], $A49, Table1[[HomeTeam]:[HomeTeam]], D$36) + SUMIFS(Table1[[HomeWon]:[HomeWon]], Table1[[GameIsOver]:[GameIsOver]], 1, Table1[[HomeTeam]:[HomeTeam]], $A49, Table1[[AwayTeam]:[AwayTeam]], D$36))) + (SUMIFS(Table1[[HomeWon]:[HomeWon]], Table1[[GameIsOver]:[GameIsOver]], 1, Table1[[AwayTeam]:[AwayTeam]], $A49, Table1[[HomeTeam]:[HomeTeam]],  D$36, Table1[[ActualResult]:[ActualResult]], "OT") + SUMIFS(Table1[[AwayWon]:[AwayWon]], Table1[[GameIsOver]:[GameIsOver]], 1, Table1[[HomeTeam]:[HomeTeam]], $A49, Table1[[AwayTeam]:[AwayTeam]], D$36, Table1[[ActualResult]:[ActualResult]], "OT") + SUMIFS(Table1[[HomeWon]:[HomeWon]], Table1[[GameIsOver]:[GameIsOver]], 1, Table1[[AwayTeam]:[AwayTeam]], $A49, Table1[[HomeTeam]:[HomeTeam]], D$36, Table1[[ActualResult]:[ActualResult]], "SO") + SUMIFS(Table1[[AwayWon]:[AwayWon]], Table1[[GameIsOver]:[GameIsOver]], 1, Table1[[HomeTeam]:[HomeTeam]], $A49, Table1[[AwayTeam]:[AwayTeam]], D$36, Table1[[ActualResult]:[ActualResult]], "SO")))/ (2*((COUNTIFS(Table1[[GameIsOver]:[GameIsOver]],1,Table1[[AwayTeam]:[AwayTeam]],$A49, Table1[[HomeTeam]:[HomeTeam]], D$36)))+( COUNTIFS(Table1[[GameIsOver]:[GameIsOver]],1,Table1[[AwayTeam]:[AwayTeam]],D$36, Table1[[HomeTeam]:[HomeTeam]],$A49))), "")</f>
        <v/>
      </c>
      <c r="E49" s="50" t="str">
        <f>IFERROR(((2 * (SUMIFS(Table1[[AwayWon]:[AwayWon]], Table1[[GameIsOver]:[GameIsOver]], 1, Table1[[AwayTeam]:[AwayTeam]], $A49, Table1[[HomeTeam]:[HomeTeam]], E$36) + SUMIFS(Table1[[HomeWon]:[HomeWon]], Table1[[GameIsOver]:[GameIsOver]], 1, Table1[[HomeTeam]:[HomeTeam]], $A49, Table1[[AwayTeam]:[AwayTeam]], E$36))) + (SUMIFS(Table1[[HomeWon]:[HomeWon]], Table1[[GameIsOver]:[GameIsOver]], 1, Table1[[AwayTeam]:[AwayTeam]], $A49, Table1[[HomeTeam]:[HomeTeam]],  E$36, Table1[[ActualResult]:[ActualResult]], "OT") + SUMIFS(Table1[[AwayWon]:[AwayWon]], Table1[[GameIsOver]:[GameIsOver]], 1, Table1[[HomeTeam]:[HomeTeam]], $A49, Table1[[AwayTeam]:[AwayTeam]], E$36, Table1[[ActualResult]:[ActualResult]], "OT") + SUMIFS(Table1[[HomeWon]:[HomeWon]], Table1[[GameIsOver]:[GameIsOver]], 1, Table1[[AwayTeam]:[AwayTeam]], $A49, Table1[[HomeTeam]:[HomeTeam]], E$36, Table1[[ActualResult]:[ActualResult]], "SO") + SUMIFS(Table1[[AwayWon]:[AwayWon]], Table1[[GameIsOver]:[GameIsOver]], 1, Table1[[HomeTeam]:[HomeTeam]], $A49, Table1[[AwayTeam]:[AwayTeam]], E$36, Table1[[ActualResult]:[ActualResult]], "SO")))/ (2*((COUNTIFS(Table1[[GameIsOver]:[GameIsOver]],1,Table1[[AwayTeam]:[AwayTeam]],$A49, Table1[[HomeTeam]:[HomeTeam]], E$36)))+( COUNTIFS(Table1[[GameIsOver]:[GameIsOver]],1,Table1[[AwayTeam]:[AwayTeam]],E$36, Table1[[HomeTeam]:[HomeTeam]],$A49))), "")</f>
        <v/>
      </c>
      <c r="F49" s="50" t="str">
        <f>IFERROR(((2 * (SUMIFS(Table1[[AwayWon]:[AwayWon]], Table1[[GameIsOver]:[GameIsOver]], 1, Table1[[AwayTeam]:[AwayTeam]], $A49, Table1[[HomeTeam]:[HomeTeam]], F$36) + SUMIFS(Table1[[HomeWon]:[HomeWon]], Table1[[GameIsOver]:[GameIsOver]], 1, Table1[[HomeTeam]:[HomeTeam]], $A49, Table1[[AwayTeam]:[AwayTeam]], F$36))) + (SUMIFS(Table1[[HomeWon]:[HomeWon]], Table1[[GameIsOver]:[GameIsOver]], 1, Table1[[AwayTeam]:[AwayTeam]], $A49, Table1[[HomeTeam]:[HomeTeam]],  F$36, Table1[[ActualResult]:[ActualResult]], "OT") + SUMIFS(Table1[[AwayWon]:[AwayWon]], Table1[[GameIsOver]:[GameIsOver]], 1, Table1[[HomeTeam]:[HomeTeam]], $A49, Table1[[AwayTeam]:[AwayTeam]], F$36, Table1[[ActualResult]:[ActualResult]], "OT") + SUMIFS(Table1[[HomeWon]:[HomeWon]], Table1[[GameIsOver]:[GameIsOver]], 1, Table1[[AwayTeam]:[AwayTeam]], $A49, Table1[[HomeTeam]:[HomeTeam]], F$36, Table1[[ActualResult]:[ActualResult]], "SO") + SUMIFS(Table1[[AwayWon]:[AwayWon]], Table1[[GameIsOver]:[GameIsOver]], 1, Table1[[HomeTeam]:[HomeTeam]], $A49, Table1[[AwayTeam]:[AwayTeam]], F$36, Table1[[ActualResult]:[ActualResult]], "SO")))/ (2*((COUNTIFS(Table1[[GameIsOver]:[GameIsOver]],1,Table1[[AwayTeam]:[AwayTeam]],$A49, Table1[[HomeTeam]:[HomeTeam]], F$36)))+( COUNTIFS(Table1[[GameIsOver]:[GameIsOver]],1,Table1[[AwayTeam]:[AwayTeam]],F$36, Table1[[HomeTeam]:[HomeTeam]],$A49))), "")</f>
        <v/>
      </c>
      <c r="G49" s="50" t="str">
        <f>IFERROR(((2 * (SUMIFS(Table1[[AwayWon]:[AwayWon]], Table1[[GameIsOver]:[GameIsOver]], 1, Table1[[AwayTeam]:[AwayTeam]], $A49, Table1[[HomeTeam]:[HomeTeam]], G$36) + SUMIFS(Table1[[HomeWon]:[HomeWon]], Table1[[GameIsOver]:[GameIsOver]], 1, Table1[[HomeTeam]:[HomeTeam]], $A49, Table1[[AwayTeam]:[AwayTeam]], G$36))) + (SUMIFS(Table1[[HomeWon]:[HomeWon]], Table1[[GameIsOver]:[GameIsOver]], 1, Table1[[AwayTeam]:[AwayTeam]], $A49, Table1[[HomeTeam]:[HomeTeam]],  G$36, Table1[[ActualResult]:[ActualResult]], "OT") + SUMIFS(Table1[[AwayWon]:[AwayWon]], Table1[[GameIsOver]:[GameIsOver]], 1, Table1[[HomeTeam]:[HomeTeam]], $A49, Table1[[AwayTeam]:[AwayTeam]], G$36, Table1[[ActualResult]:[ActualResult]], "OT") + SUMIFS(Table1[[HomeWon]:[HomeWon]], Table1[[GameIsOver]:[GameIsOver]], 1, Table1[[AwayTeam]:[AwayTeam]], $A49, Table1[[HomeTeam]:[HomeTeam]], G$36, Table1[[ActualResult]:[ActualResult]], "SO") + SUMIFS(Table1[[AwayWon]:[AwayWon]], Table1[[GameIsOver]:[GameIsOver]], 1, Table1[[HomeTeam]:[HomeTeam]], $A49, Table1[[AwayTeam]:[AwayTeam]], G$36, Table1[[ActualResult]:[ActualResult]], "SO")))/ (2*((COUNTIFS(Table1[[GameIsOver]:[GameIsOver]],1,Table1[[AwayTeam]:[AwayTeam]],$A49, Table1[[HomeTeam]:[HomeTeam]], G$36)))+( COUNTIFS(Table1[[GameIsOver]:[GameIsOver]],1,Table1[[AwayTeam]:[AwayTeam]],G$36, Table1[[HomeTeam]:[HomeTeam]],$A49))), "")</f>
        <v/>
      </c>
      <c r="H49" s="50" t="str">
        <f>IFERROR(((2 * (SUMIFS(Table1[[AwayWon]:[AwayWon]], Table1[[GameIsOver]:[GameIsOver]], 1, Table1[[AwayTeam]:[AwayTeam]], $A49, Table1[[HomeTeam]:[HomeTeam]], H$36) + SUMIFS(Table1[[HomeWon]:[HomeWon]], Table1[[GameIsOver]:[GameIsOver]], 1, Table1[[HomeTeam]:[HomeTeam]], $A49, Table1[[AwayTeam]:[AwayTeam]], H$36))) + (SUMIFS(Table1[[HomeWon]:[HomeWon]], Table1[[GameIsOver]:[GameIsOver]], 1, Table1[[AwayTeam]:[AwayTeam]], $A49, Table1[[HomeTeam]:[HomeTeam]],  H$36, Table1[[ActualResult]:[ActualResult]], "OT") + SUMIFS(Table1[[AwayWon]:[AwayWon]], Table1[[GameIsOver]:[GameIsOver]], 1, Table1[[HomeTeam]:[HomeTeam]], $A49, Table1[[AwayTeam]:[AwayTeam]], H$36, Table1[[ActualResult]:[ActualResult]], "OT") + SUMIFS(Table1[[HomeWon]:[HomeWon]], Table1[[GameIsOver]:[GameIsOver]], 1, Table1[[AwayTeam]:[AwayTeam]], $A49, Table1[[HomeTeam]:[HomeTeam]], H$36, Table1[[ActualResult]:[ActualResult]], "SO") + SUMIFS(Table1[[AwayWon]:[AwayWon]], Table1[[GameIsOver]:[GameIsOver]], 1, Table1[[HomeTeam]:[HomeTeam]], $A49, Table1[[AwayTeam]:[AwayTeam]], H$36, Table1[[ActualResult]:[ActualResult]], "SO")))/ (2*((COUNTIFS(Table1[[GameIsOver]:[GameIsOver]],1,Table1[[AwayTeam]:[AwayTeam]],$A49, Table1[[HomeTeam]:[HomeTeam]], H$36)))+( COUNTIFS(Table1[[GameIsOver]:[GameIsOver]],1,Table1[[AwayTeam]:[AwayTeam]],H$36, Table1[[HomeTeam]:[HomeTeam]],$A49))), "")</f>
        <v/>
      </c>
      <c r="I49" s="52" t="str">
        <f>IFERROR(((2 * (SUMIFS(Table1[[AwayWon]:[AwayWon]], Table1[[GameIsOver]:[GameIsOver]], 1, Table1[[AwayTeam]:[AwayTeam]], $A49, Table1[[HomeTeam]:[HomeTeam]], I$36) + SUMIFS(Table1[[HomeWon]:[HomeWon]], Table1[[GameIsOver]:[GameIsOver]], 1, Table1[[HomeTeam]:[HomeTeam]], $A49, Table1[[AwayTeam]:[AwayTeam]], I$36))) + (SUMIFS(Table1[[HomeWon]:[HomeWon]], Table1[[GameIsOver]:[GameIsOver]], 1, Table1[[AwayTeam]:[AwayTeam]], $A49, Table1[[HomeTeam]:[HomeTeam]],  I$36, Table1[[ActualResult]:[ActualResult]], "OT") + SUMIFS(Table1[[AwayWon]:[AwayWon]], Table1[[GameIsOver]:[GameIsOver]], 1, Table1[[HomeTeam]:[HomeTeam]], $A49, Table1[[AwayTeam]:[AwayTeam]], I$36, Table1[[ActualResult]:[ActualResult]], "OT") + SUMIFS(Table1[[HomeWon]:[HomeWon]], Table1[[GameIsOver]:[GameIsOver]], 1, Table1[[AwayTeam]:[AwayTeam]], $A49, Table1[[HomeTeam]:[HomeTeam]], I$36, Table1[[ActualResult]:[ActualResult]], "SO") + SUMIFS(Table1[[AwayWon]:[AwayWon]], Table1[[GameIsOver]:[GameIsOver]], 1, Table1[[HomeTeam]:[HomeTeam]], $A49, Table1[[AwayTeam]:[AwayTeam]], I$36, Table1[[ActualResult]:[ActualResult]], "SO")))/ (2*((COUNTIFS(Table1[[GameIsOver]:[GameIsOver]],1,Table1[[AwayTeam]:[AwayTeam]],$A49, Table1[[HomeTeam]:[HomeTeam]], I$36)))+( COUNTIFS(Table1[[GameIsOver]:[GameIsOver]],1,Table1[[AwayTeam]:[AwayTeam]],I$36, Table1[[HomeTeam]:[HomeTeam]],$A49))), "")</f>
        <v/>
      </c>
      <c r="J49" s="50" t="str">
        <f>IFERROR(((2 * (SUMIFS(Table1[[AwayWon]:[AwayWon]], Table1[[GameIsOver]:[GameIsOver]], 1, Table1[[AwayTeam]:[AwayTeam]], $A49, Table1[[HomeTeam]:[HomeTeam]], J$36) + SUMIFS(Table1[[HomeWon]:[HomeWon]], Table1[[GameIsOver]:[GameIsOver]], 1, Table1[[HomeTeam]:[HomeTeam]], $A49, Table1[[AwayTeam]:[AwayTeam]], J$36))) + (SUMIFS(Table1[[HomeWon]:[HomeWon]], Table1[[GameIsOver]:[GameIsOver]], 1, Table1[[AwayTeam]:[AwayTeam]], $A49, Table1[[HomeTeam]:[HomeTeam]],  J$36, Table1[[ActualResult]:[ActualResult]], "OT") + SUMIFS(Table1[[AwayWon]:[AwayWon]], Table1[[GameIsOver]:[GameIsOver]], 1, Table1[[HomeTeam]:[HomeTeam]], $A49, Table1[[AwayTeam]:[AwayTeam]], J$36, Table1[[ActualResult]:[ActualResult]], "OT") + SUMIFS(Table1[[HomeWon]:[HomeWon]], Table1[[GameIsOver]:[GameIsOver]], 1, Table1[[AwayTeam]:[AwayTeam]], $A49, Table1[[HomeTeam]:[HomeTeam]], J$36, Table1[[ActualResult]:[ActualResult]], "SO") + SUMIFS(Table1[[AwayWon]:[AwayWon]], Table1[[GameIsOver]:[GameIsOver]], 1, Table1[[HomeTeam]:[HomeTeam]], $A49, Table1[[AwayTeam]:[AwayTeam]], J$36, Table1[[ActualResult]:[ActualResult]], "SO")))/ (2*((COUNTIFS(Table1[[GameIsOver]:[GameIsOver]],1,Table1[[AwayTeam]:[AwayTeam]],$A49, Table1[[HomeTeam]:[HomeTeam]], J$36)))+( COUNTIFS(Table1[[GameIsOver]:[GameIsOver]],1,Table1[[AwayTeam]:[AwayTeam]],J$36, Table1[[HomeTeam]:[HomeTeam]],$A49))), "")</f>
        <v/>
      </c>
      <c r="K49" s="50" t="str">
        <f>IFERROR(((2 * (SUMIFS(Table1[[AwayWon]:[AwayWon]], Table1[[GameIsOver]:[GameIsOver]], 1, Table1[[AwayTeam]:[AwayTeam]], $A49, Table1[[HomeTeam]:[HomeTeam]], K$36) + SUMIFS(Table1[[HomeWon]:[HomeWon]], Table1[[GameIsOver]:[GameIsOver]], 1, Table1[[HomeTeam]:[HomeTeam]], $A49, Table1[[AwayTeam]:[AwayTeam]], K$36))) + (SUMIFS(Table1[[HomeWon]:[HomeWon]], Table1[[GameIsOver]:[GameIsOver]], 1, Table1[[AwayTeam]:[AwayTeam]], $A49, Table1[[HomeTeam]:[HomeTeam]],  K$36, Table1[[ActualResult]:[ActualResult]], "OT") + SUMIFS(Table1[[AwayWon]:[AwayWon]], Table1[[GameIsOver]:[GameIsOver]], 1, Table1[[HomeTeam]:[HomeTeam]], $A49, Table1[[AwayTeam]:[AwayTeam]], K$36, Table1[[ActualResult]:[ActualResult]], "OT") + SUMIFS(Table1[[HomeWon]:[HomeWon]], Table1[[GameIsOver]:[GameIsOver]], 1, Table1[[AwayTeam]:[AwayTeam]], $A49, Table1[[HomeTeam]:[HomeTeam]], K$36, Table1[[ActualResult]:[ActualResult]], "SO") + SUMIFS(Table1[[AwayWon]:[AwayWon]], Table1[[GameIsOver]:[GameIsOver]], 1, Table1[[HomeTeam]:[HomeTeam]], $A49, Table1[[AwayTeam]:[AwayTeam]], K$36, Table1[[ActualResult]:[ActualResult]], "SO")))/ (2*((COUNTIFS(Table1[[GameIsOver]:[GameIsOver]],1,Table1[[AwayTeam]:[AwayTeam]],$A49, Table1[[HomeTeam]:[HomeTeam]], K$36)))+( COUNTIFS(Table1[[GameIsOver]:[GameIsOver]],1,Table1[[AwayTeam]:[AwayTeam]],K$36, Table1[[HomeTeam]:[HomeTeam]],$A49))), "")</f>
        <v/>
      </c>
      <c r="L49" s="50" t="str">
        <f>IFERROR(((2 * (SUMIFS(Table1[[AwayWon]:[AwayWon]], Table1[[GameIsOver]:[GameIsOver]], 1, Table1[[AwayTeam]:[AwayTeam]], $A49, Table1[[HomeTeam]:[HomeTeam]], L$36) + SUMIFS(Table1[[HomeWon]:[HomeWon]], Table1[[GameIsOver]:[GameIsOver]], 1, Table1[[HomeTeam]:[HomeTeam]], $A49, Table1[[AwayTeam]:[AwayTeam]], L$36))) + (SUMIFS(Table1[[HomeWon]:[HomeWon]], Table1[[GameIsOver]:[GameIsOver]], 1, Table1[[AwayTeam]:[AwayTeam]], $A49, Table1[[HomeTeam]:[HomeTeam]],  L$36, Table1[[ActualResult]:[ActualResult]], "OT") + SUMIFS(Table1[[AwayWon]:[AwayWon]], Table1[[GameIsOver]:[GameIsOver]], 1, Table1[[HomeTeam]:[HomeTeam]], $A49, Table1[[AwayTeam]:[AwayTeam]], L$36, Table1[[ActualResult]:[ActualResult]], "OT") + SUMIFS(Table1[[HomeWon]:[HomeWon]], Table1[[GameIsOver]:[GameIsOver]], 1, Table1[[AwayTeam]:[AwayTeam]], $A49, Table1[[HomeTeam]:[HomeTeam]], L$36, Table1[[ActualResult]:[ActualResult]], "SO") + SUMIFS(Table1[[AwayWon]:[AwayWon]], Table1[[GameIsOver]:[GameIsOver]], 1, Table1[[HomeTeam]:[HomeTeam]], $A49, Table1[[AwayTeam]:[AwayTeam]], L$36, Table1[[ActualResult]:[ActualResult]], "SO")))/ (2*((COUNTIFS(Table1[[GameIsOver]:[GameIsOver]],1,Table1[[AwayTeam]:[AwayTeam]],$A49, Table1[[HomeTeam]:[HomeTeam]], L$36)))+( COUNTIFS(Table1[[GameIsOver]:[GameIsOver]],1,Table1[[AwayTeam]:[AwayTeam]],L$36, Table1[[HomeTeam]:[HomeTeam]],$A49))), "")</f>
        <v/>
      </c>
      <c r="M49" s="50" t="str">
        <f>IFERROR(((2 * (SUMIFS(Table1[[AwayWon]:[AwayWon]], Table1[[GameIsOver]:[GameIsOver]], 1, Table1[[AwayTeam]:[AwayTeam]], $A49, Table1[[HomeTeam]:[HomeTeam]], M$36) + SUMIFS(Table1[[HomeWon]:[HomeWon]], Table1[[GameIsOver]:[GameIsOver]], 1, Table1[[HomeTeam]:[HomeTeam]], $A49, Table1[[AwayTeam]:[AwayTeam]], M$36))) + (SUMIFS(Table1[[HomeWon]:[HomeWon]], Table1[[GameIsOver]:[GameIsOver]], 1, Table1[[AwayTeam]:[AwayTeam]], $A49, Table1[[HomeTeam]:[HomeTeam]],  M$36, Table1[[ActualResult]:[ActualResult]], "OT") + SUMIFS(Table1[[AwayWon]:[AwayWon]], Table1[[GameIsOver]:[GameIsOver]], 1, Table1[[HomeTeam]:[HomeTeam]], $A49, Table1[[AwayTeam]:[AwayTeam]], M$36, Table1[[ActualResult]:[ActualResult]], "OT") + SUMIFS(Table1[[HomeWon]:[HomeWon]], Table1[[GameIsOver]:[GameIsOver]], 1, Table1[[AwayTeam]:[AwayTeam]], $A49, Table1[[HomeTeam]:[HomeTeam]], M$36, Table1[[ActualResult]:[ActualResult]], "SO") + SUMIFS(Table1[[AwayWon]:[AwayWon]], Table1[[GameIsOver]:[GameIsOver]], 1, Table1[[HomeTeam]:[HomeTeam]], $A49, Table1[[AwayTeam]:[AwayTeam]], M$36, Table1[[ActualResult]:[ActualResult]], "SO")))/ (2*((COUNTIFS(Table1[[GameIsOver]:[GameIsOver]],1,Table1[[AwayTeam]:[AwayTeam]],$A49, Table1[[HomeTeam]:[HomeTeam]], M$36)))+( COUNTIFS(Table1[[GameIsOver]:[GameIsOver]],1,Table1[[AwayTeam]:[AwayTeam]],M$36, Table1[[HomeTeam]:[HomeTeam]],$A49))), "")</f>
        <v/>
      </c>
      <c r="N49" s="50" t="str">
        <f>IFERROR(((2 * (SUMIFS(Table1[[AwayWon]:[AwayWon]], Table1[[GameIsOver]:[GameIsOver]], 1, Table1[[AwayTeam]:[AwayTeam]], $A49, Table1[[HomeTeam]:[HomeTeam]], N$36) + SUMIFS(Table1[[HomeWon]:[HomeWon]], Table1[[GameIsOver]:[GameIsOver]], 1, Table1[[HomeTeam]:[HomeTeam]], $A49, Table1[[AwayTeam]:[AwayTeam]], N$36))) + (SUMIFS(Table1[[HomeWon]:[HomeWon]], Table1[[GameIsOver]:[GameIsOver]], 1, Table1[[AwayTeam]:[AwayTeam]], $A49, Table1[[HomeTeam]:[HomeTeam]],  N$36, Table1[[ActualResult]:[ActualResult]], "OT") + SUMIFS(Table1[[AwayWon]:[AwayWon]], Table1[[GameIsOver]:[GameIsOver]], 1, Table1[[HomeTeam]:[HomeTeam]], $A49, Table1[[AwayTeam]:[AwayTeam]], N$36, Table1[[ActualResult]:[ActualResult]], "OT") + SUMIFS(Table1[[HomeWon]:[HomeWon]], Table1[[GameIsOver]:[GameIsOver]], 1, Table1[[AwayTeam]:[AwayTeam]], $A49, Table1[[HomeTeam]:[HomeTeam]], N$36, Table1[[ActualResult]:[ActualResult]], "SO") + SUMIFS(Table1[[AwayWon]:[AwayWon]], Table1[[GameIsOver]:[GameIsOver]], 1, Table1[[HomeTeam]:[HomeTeam]], $A49, Table1[[AwayTeam]:[AwayTeam]], N$36, Table1[[ActualResult]:[ActualResult]], "SO")))/ (2*((COUNTIFS(Table1[[GameIsOver]:[GameIsOver]],1,Table1[[AwayTeam]:[AwayTeam]],$A49, Table1[[HomeTeam]:[HomeTeam]], N$36)))+( COUNTIFS(Table1[[GameIsOver]:[GameIsOver]],1,Table1[[AwayTeam]:[AwayTeam]],N$36, Table1[[HomeTeam]:[HomeTeam]],$A49))), "")</f>
        <v/>
      </c>
      <c r="O49" s="50" t="str">
        <f>IFERROR(((2 * (SUMIFS(Table1[[AwayWon]:[AwayWon]], Table1[[GameIsOver]:[GameIsOver]], 1, Table1[[AwayTeam]:[AwayTeam]], $A49, Table1[[HomeTeam]:[HomeTeam]], O$36) + SUMIFS(Table1[[HomeWon]:[HomeWon]], Table1[[GameIsOver]:[GameIsOver]], 1, Table1[[HomeTeam]:[HomeTeam]], $A49, Table1[[AwayTeam]:[AwayTeam]], O$36))) + (SUMIFS(Table1[[HomeWon]:[HomeWon]], Table1[[GameIsOver]:[GameIsOver]], 1, Table1[[AwayTeam]:[AwayTeam]], $A49, Table1[[HomeTeam]:[HomeTeam]],  O$36, Table1[[ActualResult]:[ActualResult]], "OT") + SUMIFS(Table1[[AwayWon]:[AwayWon]], Table1[[GameIsOver]:[GameIsOver]], 1, Table1[[HomeTeam]:[HomeTeam]], $A49, Table1[[AwayTeam]:[AwayTeam]], O$36, Table1[[ActualResult]:[ActualResult]], "OT") + SUMIFS(Table1[[HomeWon]:[HomeWon]], Table1[[GameIsOver]:[GameIsOver]], 1, Table1[[AwayTeam]:[AwayTeam]], $A49, Table1[[HomeTeam]:[HomeTeam]], O$36, Table1[[ActualResult]:[ActualResult]], "SO") + SUMIFS(Table1[[AwayWon]:[AwayWon]], Table1[[GameIsOver]:[GameIsOver]], 1, Table1[[HomeTeam]:[HomeTeam]], $A49, Table1[[AwayTeam]:[AwayTeam]], O$36, Table1[[ActualResult]:[ActualResult]], "SO")))/ (2*((COUNTIFS(Table1[[GameIsOver]:[GameIsOver]],1,Table1[[AwayTeam]:[AwayTeam]],$A49, Table1[[HomeTeam]:[HomeTeam]], O$36)))+( COUNTIFS(Table1[[GameIsOver]:[GameIsOver]],1,Table1[[AwayTeam]:[AwayTeam]],O$36, Table1[[HomeTeam]:[HomeTeam]],$A49))), "")</f>
        <v/>
      </c>
      <c r="P49" s="50" t="str">
        <f>IFERROR(((2 * (SUMIFS(Table1[[AwayWon]:[AwayWon]], Table1[[GameIsOver]:[GameIsOver]], 1, Table1[[AwayTeam]:[AwayTeam]], $A49, Table1[[HomeTeam]:[HomeTeam]], P$36) + SUMIFS(Table1[[HomeWon]:[HomeWon]], Table1[[GameIsOver]:[GameIsOver]], 1, Table1[[HomeTeam]:[HomeTeam]], $A49, Table1[[AwayTeam]:[AwayTeam]], P$36))) + (SUMIFS(Table1[[HomeWon]:[HomeWon]], Table1[[GameIsOver]:[GameIsOver]], 1, Table1[[AwayTeam]:[AwayTeam]], $A49, Table1[[HomeTeam]:[HomeTeam]],  P$36, Table1[[ActualResult]:[ActualResult]], "OT") + SUMIFS(Table1[[AwayWon]:[AwayWon]], Table1[[GameIsOver]:[GameIsOver]], 1, Table1[[HomeTeam]:[HomeTeam]], $A49, Table1[[AwayTeam]:[AwayTeam]], P$36, Table1[[ActualResult]:[ActualResult]], "OT") + SUMIFS(Table1[[HomeWon]:[HomeWon]], Table1[[GameIsOver]:[GameIsOver]], 1, Table1[[AwayTeam]:[AwayTeam]], $A49, Table1[[HomeTeam]:[HomeTeam]], P$36, Table1[[ActualResult]:[ActualResult]], "SO") + SUMIFS(Table1[[AwayWon]:[AwayWon]], Table1[[GameIsOver]:[GameIsOver]], 1, Table1[[HomeTeam]:[HomeTeam]], $A49, Table1[[AwayTeam]:[AwayTeam]], P$36, Table1[[ActualResult]:[ActualResult]], "SO")))/ (2*((COUNTIFS(Table1[[GameIsOver]:[GameIsOver]],1,Table1[[AwayTeam]:[AwayTeam]],$A49, Table1[[HomeTeam]:[HomeTeam]], P$36)))+( COUNTIFS(Table1[[GameIsOver]:[GameIsOver]],1,Table1[[AwayTeam]:[AwayTeam]],P$36, Table1[[HomeTeam]:[HomeTeam]],$A49))), "")</f>
        <v/>
      </c>
      <c r="Q49" s="52" t="str">
        <f>IFERROR(((2 * (SUMIFS(Table1[[AwayWon]:[AwayWon]], Table1[[GameIsOver]:[GameIsOver]], 1, Table1[[AwayTeam]:[AwayTeam]], $A49, Table1[[HomeTeam]:[HomeTeam]], Q$36) + SUMIFS(Table1[[HomeWon]:[HomeWon]], Table1[[GameIsOver]:[GameIsOver]], 1, Table1[[HomeTeam]:[HomeTeam]], $A49, Table1[[AwayTeam]:[AwayTeam]], Q$36))) + (SUMIFS(Table1[[HomeWon]:[HomeWon]], Table1[[GameIsOver]:[GameIsOver]], 1, Table1[[AwayTeam]:[AwayTeam]], $A49, Table1[[HomeTeam]:[HomeTeam]],  Q$36, Table1[[ActualResult]:[ActualResult]], "OT") + SUMIFS(Table1[[AwayWon]:[AwayWon]], Table1[[GameIsOver]:[GameIsOver]], 1, Table1[[HomeTeam]:[HomeTeam]], $A49, Table1[[AwayTeam]:[AwayTeam]], Q$36, Table1[[ActualResult]:[ActualResult]], "OT") + SUMIFS(Table1[[HomeWon]:[HomeWon]], Table1[[GameIsOver]:[GameIsOver]], 1, Table1[[AwayTeam]:[AwayTeam]], $A49, Table1[[HomeTeam]:[HomeTeam]], Q$36, Table1[[ActualResult]:[ActualResult]], "SO") + SUMIFS(Table1[[AwayWon]:[AwayWon]], Table1[[GameIsOver]:[GameIsOver]], 1, Table1[[HomeTeam]:[HomeTeam]], $A49, Table1[[AwayTeam]:[AwayTeam]], Q$36, Table1[[ActualResult]:[ActualResult]], "SO")))/ (2*((COUNTIFS(Table1[[GameIsOver]:[GameIsOver]],1,Table1[[AwayTeam]:[AwayTeam]],$A49, Table1[[HomeTeam]:[HomeTeam]], Q$36)))+( COUNTIFS(Table1[[GameIsOver]:[GameIsOver]],1,Table1[[AwayTeam]:[AwayTeam]],Q$36, Table1[[HomeTeam]:[HomeTeam]],$A49))), "")</f>
        <v/>
      </c>
      <c r="R49" s="50" t="str">
        <f>IFERROR(((2 * (SUMIFS(Table1[[AwayWon]:[AwayWon]], Table1[[GameIsOver]:[GameIsOver]], 1, Table1[[AwayTeam]:[AwayTeam]], $A49, Table1[[HomeTeam]:[HomeTeam]], R$36) + SUMIFS(Table1[[HomeWon]:[HomeWon]], Table1[[GameIsOver]:[GameIsOver]], 1, Table1[[HomeTeam]:[HomeTeam]], $A49, Table1[[AwayTeam]:[AwayTeam]], R$36))) + (SUMIFS(Table1[[HomeWon]:[HomeWon]], Table1[[GameIsOver]:[GameIsOver]], 1, Table1[[AwayTeam]:[AwayTeam]], $A49, Table1[[HomeTeam]:[HomeTeam]],  R$36, Table1[[ActualResult]:[ActualResult]], "OT") + SUMIFS(Table1[[AwayWon]:[AwayWon]], Table1[[GameIsOver]:[GameIsOver]], 1, Table1[[HomeTeam]:[HomeTeam]], $A49, Table1[[AwayTeam]:[AwayTeam]], R$36, Table1[[ActualResult]:[ActualResult]], "OT") + SUMIFS(Table1[[HomeWon]:[HomeWon]], Table1[[GameIsOver]:[GameIsOver]], 1, Table1[[AwayTeam]:[AwayTeam]], $A49, Table1[[HomeTeam]:[HomeTeam]], R$36, Table1[[ActualResult]:[ActualResult]], "SO") + SUMIFS(Table1[[AwayWon]:[AwayWon]], Table1[[GameIsOver]:[GameIsOver]], 1, Table1[[HomeTeam]:[HomeTeam]], $A49, Table1[[AwayTeam]:[AwayTeam]], R$36, Table1[[ActualResult]:[ActualResult]], "SO")))/ (2*((COUNTIFS(Table1[[GameIsOver]:[GameIsOver]],1,Table1[[AwayTeam]:[AwayTeam]],$A49, Table1[[HomeTeam]:[HomeTeam]], R$36)))+( COUNTIFS(Table1[[GameIsOver]:[GameIsOver]],1,Table1[[AwayTeam]:[AwayTeam]],R$36, Table1[[HomeTeam]:[HomeTeam]],$A49))), "")</f>
        <v/>
      </c>
      <c r="S49" s="50" t="str">
        <f>IFERROR(((2 * (SUMIFS(Table1[[AwayWon]:[AwayWon]], Table1[[GameIsOver]:[GameIsOver]], 1, Table1[[AwayTeam]:[AwayTeam]], $A49, Table1[[HomeTeam]:[HomeTeam]], S$36) + SUMIFS(Table1[[HomeWon]:[HomeWon]], Table1[[GameIsOver]:[GameIsOver]], 1, Table1[[HomeTeam]:[HomeTeam]], $A49, Table1[[AwayTeam]:[AwayTeam]], S$36))) + (SUMIFS(Table1[[HomeWon]:[HomeWon]], Table1[[GameIsOver]:[GameIsOver]], 1, Table1[[AwayTeam]:[AwayTeam]], $A49, Table1[[HomeTeam]:[HomeTeam]],  S$36, Table1[[ActualResult]:[ActualResult]], "OT") + SUMIFS(Table1[[AwayWon]:[AwayWon]], Table1[[GameIsOver]:[GameIsOver]], 1, Table1[[HomeTeam]:[HomeTeam]], $A49, Table1[[AwayTeam]:[AwayTeam]], S$36, Table1[[ActualResult]:[ActualResult]], "OT") + SUMIFS(Table1[[HomeWon]:[HomeWon]], Table1[[GameIsOver]:[GameIsOver]], 1, Table1[[AwayTeam]:[AwayTeam]], $A49, Table1[[HomeTeam]:[HomeTeam]], S$36, Table1[[ActualResult]:[ActualResult]], "SO") + SUMIFS(Table1[[AwayWon]:[AwayWon]], Table1[[GameIsOver]:[GameIsOver]], 1, Table1[[HomeTeam]:[HomeTeam]], $A49, Table1[[AwayTeam]:[AwayTeam]], S$36, Table1[[ActualResult]:[ActualResult]], "SO")))/ (2*((COUNTIFS(Table1[[GameIsOver]:[GameIsOver]],1,Table1[[AwayTeam]:[AwayTeam]],$A49, Table1[[HomeTeam]:[HomeTeam]], S$36)))+( COUNTIFS(Table1[[GameIsOver]:[GameIsOver]],1,Table1[[AwayTeam]:[AwayTeam]],S$36, Table1[[HomeTeam]:[HomeTeam]],$A49))), "")</f>
        <v/>
      </c>
      <c r="T49" s="50" t="str">
        <f>IFERROR(((2 * (SUMIFS(Table1[[AwayWon]:[AwayWon]], Table1[[GameIsOver]:[GameIsOver]], 1, Table1[[AwayTeam]:[AwayTeam]], $A49, Table1[[HomeTeam]:[HomeTeam]], T$36) + SUMIFS(Table1[[HomeWon]:[HomeWon]], Table1[[GameIsOver]:[GameIsOver]], 1, Table1[[HomeTeam]:[HomeTeam]], $A49, Table1[[AwayTeam]:[AwayTeam]], T$36))) + (SUMIFS(Table1[[HomeWon]:[HomeWon]], Table1[[GameIsOver]:[GameIsOver]], 1, Table1[[AwayTeam]:[AwayTeam]], $A49, Table1[[HomeTeam]:[HomeTeam]],  T$36, Table1[[ActualResult]:[ActualResult]], "OT") + SUMIFS(Table1[[AwayWon]:[AwayWon]], Table1[[GameIsOver]:[GameIsOver]], 1, Table1[[HomeTeam]:[HomeTeam]], $A49, Table1[[AwayTeam]:[AwayTeam]], T$36, Table1[[ActualResult]:[ActualResult]], "OT") + SUMIFS(Table1[[HomeWon]:[HomeWon]], Table1[[GameIsOver]:[GameIsOver]], 1, Table1[[AwayTeam]:[AwayTeam]], $A49, Table1[[HomeTeam]:[HomeTeam]], T$36, Table1[[ActualResult]:[ActualResult]], "SO") + SUMIFS(Table1[[AwayWon]:[AwayWon]], Table1[[GameIsOver]:[GameIsOver]], 1, Table1[[HomeTeam]:[HomeTeam]], $A49, Table1[[AwayTeam]:[AwayTeam]], T$36, Table1[[ActualResult]:[ActualResult]], "SO")))/ (2*((COUNTIFS(Table1[[GameIsOver]:[GameIsOver]],1,Table1[[AwayTeam]:[AwayTeam]],$A49, Table1[[HomeTeam]:[HomeTeam]], T$36)))+( COUNTIFS(Table1[[GameIsOver]:[GameIsOver]],1,Table1[[AwayTeam]:[AwayTeam]],T$36, Table1[[HomeTeam]:[HomeTeam]],$A49))), "")</f>
        <v/>
      </c>
      <c r="U49" s="50" t="str">
        <f>IFERROR(((2 * (SUMIFS(Table1[[AwayWon]:[AwayWon]], Table1[[GameIsOver]:[GameIsOver]], 1, Table1[[AwayTeam]:[AwayTeam]], $A49, Table1[[HomeTeam]:[HomeTeam]], U$36) + SUMIFS(Table1[[HomeWon]:[HomeWon]], Table1[[GameIsOver]:[GameIsOver]], 1, Table1[[HomeTeam]:[HomeTeam]], $A49, Table1[[AwayTeam]:[AwayTeam]], U$36))) + (SUMIFS(Table1[[HomeWon]:[HomeWon]], Table1[[GameIsOver]:[GameIsOver]], 1, Table1[[AwayTeam]:[AwayTeam]], $A49, Table1[[HomeTeam]:[HomeTeam]],  U$36, Table1[[ActualResult]:[ActualResult]], "OT") + SUMIFS(Table1[[AwayWon]:[AwayWon]], Table1[[GameIsOver]:[GameIsOver]], 1, Table1[[HomeTeam]:[HomeTeam]], $A49, Table1[[AwayTeam]:[AwayTeam]], U$36, Table1[[ActualResult]:[ActualResult]], "OT") + SUMIFS(Table1[[HomeWon]:[HomeWon]], Table1[[GameIsOver]:[GameIsOver]], 1, Table1[[AwayTeam]:[AwayTeam]], $A49, Table1[[HomeTeam]:[HomeTeam]], U$36, Table1[[ActualResult]:[ActualResult]], "SO") + SUMIFS(Table1[[AwayWon]:[AwayWon]], Table1[[GameIsOver]:[GameIsOver]], 1, Table1[[HomeTeam]:[HomeTeam]], $A49, Table1[[AwayTeam]:[AwayTeam]], U$36, Table1[[ActualResult]:[ActualResult]], "SO")))/ (2*((COUNTIFS(Table1[[GameIsOver]:[GameIsOver]],1,Table1[[AwayTeam]:[AwayTeam]],$A49, Table1[[HomeTeam]:[HomeTeam]], U$36)))+( COUNTIFS(Table1[[GameIsOver]:[GameIsOver]],1,Table1[[AwayTeam]:[AwayTeam]],U$36, Table1[[HomeTeam]:[HomeTeam]],$A49))), "")</f>
        <v/>
      </c>
      <c r="V49" s="50" t="str">
        <f>IFERROR(((2 * (SUMIFS(Table1[[AwayWon]:[AwayWon]], Table1[[GameIsOver]:[GameIsOver]], 1, Table1[[AwayTeam]:[AwayTeam]], $A49, Table1[[HomeTeam]:[HomeTeam]], V$36) + SUMIFS(Table1[[HomeWon]:[HomeWon]], Table1[[GameIsOver]:[GameIsOver]], 1, Table1[[HomeTeam]:[HomeTeam]], $A49, Table1[[AwayTeam]:[AwayTeam]], V$36))) + (SUMIFS(Table1[[HomeWon]:[HomeWon]], Table1[[GameIsOver]:[GameIsOver]], 1, Table1[[AwayTeam]:[AwayTeam]], $A49, Table1[[HomeTeam]:[HomeTeam]],  V$36, Table1[[ActualResult]:[ActualResult]], "OT") + SUMIFS(Table1[[AwayWon]:[AwayWon]], Table1[[GameIsOver]:[GameIsOver]], 1, Table1[[HomeTeam]:[HomeTeam]], $A49, Table1[[AwayTeam]:[AwayTeam]], V$36, Table1[[ActualResult]:[ActualResult]], "OT") + SUMIFS(Table1[[HomeWon]:[HomeWon]], Table1[[GameIsOver]:[GameIsOver]], 1, Table1[[AwayTeam]:[AwayTeam]], $A49, Table1[[HomeTeam]:[HomeTeam]], V$36, Table1[[ActualResult]:[ActualResult]], "SO") + SUMIFS(Table1[[AwayWon]:[AwayWon]], Table1[[GameIsOver]:[GameIsOver]], 1, Table1[[HomeTeam]:[HomeTeam]], $A49, Table1[[AwayTeam]:[AwayTeam]], V$36, Table1[[ActualResult]:[ActualResult]], "SO")))/ (2*((COUNTIFS(Table1[[GameIsOver]:[GameIsOver]],1,Table1[[AwayTeam]:[AwayTeam]],$A49, Table1[[HomeTeam]:[HomeTeam]], V$36)))+( COUNTIFS(Table1[[GameIsOver]:[GameIsOver]],1,Table1[[AwayTeam]:[AwayTeam]],V$36, Table1[[HomeTeam]:[HomeTeam]],$A49))), "")</f>
        <v/>
      </c>
      <c r="W49" s="50" t="str">
        <f>IFERROR(((2 * (SUMIFS(Table1[[AwayWon]:[AwayWon]], Table1[[GameIsOver]:[GameIsOver]], 1, Table1[[AwayTeam]:[AwayTeam]], $A49, Table1[[HomeTeam]:[HomeTeam]], W$36) + SUMIFS(Table1[[HomeWon]:[HomeWon]], Table1[[GameIsOver]:[GameIsOver]], 1, Table1[[HomeTeam]:[HomeTeam]], $A49, Table1[[AwayTeam]:[AwayTeam]], W$36))) + (SUMIFS(Table1[[HomeWon]:[HomeWon]], Table1[[GameIsOver]:[GameIsOver]], 1, Table1[[AwayTeam]:[AwayTeam]], $A49, Table1[[HomeTeam]:[HomeTeam]],  W$36, Table1[[ActualResult]:[ActualResult]], "OT") + SUMIFS(Table1[[AwayWon]:[AwayWon]], Table1[[GameIsOver]:[GameIsOver]], 1, Table1[[HomeTeam]:[HomeTeam]], $A49, Table1[[AwayTeam]:[AwayTeam]], W$36, Table1[[ActualResult]:[ActualResult]], "OT") + SUMIFS(Table1[[HomeWon]:[HomeWon]], Table1[[GameIsOver]:[GameIsOver]], 1, Table1[[AwayTeam]:[AwayTeam]], $A49, Table1[[HomeTeam]:[HomeTeam]], W$36, Table1[[ActualResult]:[ActualResult]], "SO") + SUMIFS(Table1[[AwayWon]:[AwayWon]], Table1[[GameIsOver]:[GameIsOver]], 1, Table1[[HomeTeam]:[HomeTeam]], $A49, Table1[[AwayTeam]:[AwayTeam]], W$36, Table1[[ActualResult]:[ActualResult]], "SO")))/ (2*((COUNTIFS(Table1[[GameIsOver]:[GameIsOver]],1,Table1[[AwayTeam]:[AwayTeam]],$A49, Table1[[HomeTeam]:[HomeTeam]], W$36)))+( COUNTIFS(Table1[[GameIsOver]:[GameIsOver]],1,Table1[[AwayTeam]:[AwayTeam]],W$36, Table1[[HomeTeam]:[HomeTeam]],$A49))), "")</f>
        <v/>
      </c>
      <c r="X49" s="50" t="str">
        <f>IFERROR(((2 * (SUMIFS(Table1[[AwayWon]:[AwayWon]], Table1[[GameIsOver]:[GameIsOver]], 1, Table1[[AwayTeam]:[AwayTeam]], $A49, Table1[[HomeTeam]:[HomeTeam]], X$36) + SUMIFS(Table1[[HomeWon]:[HomeWon]], Table1[[GameIsOver]:[GameIsOver]], 1, Table1[[HomeTeam]:[HomeTeam]], $A49, Table1[[AwayTeam]:[AwayTeam]], X$36))) + (SUMIFS(Table1[[HomeWon]:[HomeWon]], Table1[[GameIsOver]:[GameIsOver]], 1, Table1[[AwayTeam]:[AwayTeam]], $A49, Table1[[HomeTeam]:[HomeTeam]],  X$36, Table1[[ActualResult]:[ActualResult]], "OT") + SUMIFS(Table1[[AwayWon]:[AwayWon]], Table1[[GameIsOver]:[GameIsOver]], 1, Table1[[HomeTeam]:[HomeTeam]], $A49, Table1[[AwayTeam]:[AwayTeam]], X$36, Table1[[ActualResult]:[ActualResult]], "OT") + SUMIFS(Table1[[HomeWon]:[HomeWon]], Table1[[GameIsOver]:[GameIsOver]], 1, Table1[[AwayTeam]:[AwayTeam]], $A49, Table1[[HomeTeam]:[HomeTeam]], X$36, Table1[[ActualResult]:[ActualResult]], "SO") + SUMIFS(Table1[[AwayWon]:[AwayWon]], Table1[[GameIsOver]:[GameIsOver]], 1, Table1[[HomeTeam]:[HomeTeam]], $A49, Table1[[AwayTeam]:[AwayTeam]], X$36, Table1[[ActualResult]:[ActualResult]], "SO")))/ (2*((COUNTIFS(Table1[[GameIsOver]:[GameIsOver]],1,Table1[[AwayTeam]:[AwayTeam]],$A49, Table1[[HomeTeam]:[HomeTeam]], X$36)))+( COUNTIFS(Table1[[GameIsOver]:[GameIsOver]],1,Table1[[AwayTeam]:[AwayTeam]],X$36, Table1[[HomeTeam]:[HomeTeam]],$A49))), "")</f>
        <v/>
      </c>
      <c r="Y49" s="52" t="str">
        <f>IFERROR(((2 * (SUMIFS(Table1[[AwayWon]:[AwayWon]], Table1[[GameIsOver]:[GameIsOver]], 1, Table1[[AwayTeam]:[AwayTeam]], $A49, Table1[[HomeTeam]:[HomeTeam]], Y$36) + SUMIFS(Table1[[HomeWon]:[HomeWon]], Table1[[GameIsOver]:[GameIsOver]], 1, Table1[[HomeTeam]:[HomeTeam]], $A49, Table1[[AwayTeam]:[AwayTeam]], Y$36))) + (SUMIFS(Table1[[HomeWon]:[HomeWon]], Table1[[GameIsOver]:[GameIsOver]], 1, Table1[[AwayTeam]:[AwayTeam]], $A49, Table1[[HomeTeam]:[HomeTeam]],  Y$36, Table1[[ActualResult]:[ActualResult]], "OT") + SUMIFS(Table1[[AwayWon]:[AwayWon]], Table1[[GameIsOver]:[GameIsOver]], 1, Table1[[HomeTeam]:[HomeTeam]], $A49, Table1[[AwayTeam]:[AwayTeam]], Y$36, Table1[[ActualResult]:[ActualResult]], "OT") + SUMIFS(Table1[[HomeWon]:[HomeWon]], Table1[[GameIsOver]:[GameIsOver]], 1, Table1[[AwayTeam]:[AwayTeam]], $A49, Table1[[HomeTeam]:[HomeTeam]], Y$36, Table1[[ActualResult]:[ActualResult]], "SO") + SUMIFS(Table1[[AwayWon]:[AwayWon]], Table1[[GameIsOver]:[GameIsOver]], 1, Table1[[HomeTeam]:[HomeTeam]], $A49, Table1[[AwayTeam]:[AwayTeam]], Y$36, Table1[[ActualResult]:[ActualResult]], "SO")))/ (2*((COUNTIFS(Table1[[GameIsOver]:[GameIsOver]],1,Table1[[AwayTeam]:[AwayTeam]],$A49, Table1[[HomeTeam]:[HomeTeam]], Y$36)))+( COUNTIFS(Table1[[GameIsOver]:[GameIsOver]],1,Table1[[AwayTeam]:[AwayTeam]],Y$36, Table1[[HomeTeam]:[HomeTeam]],$A49))), "")</f>
        <v/>
      </c>
      <c r="Z49" s="50" t="str">
        <f>IFERROR(((2 * (SUMIFS(Table1[[AwayWon]:[AwayWon]], Table1[[GameIsOver]:[GameIsOver]], 1, Table1[[AwayTeam]:[AwayTeam]], $A49, Table1[[HomeTeam]:[HomeTeam]], Z$36) + SUMIFS(Table1[[HomeWon]:[HomeWon]], Table1[[GameIsOver]:[GameIsOver]], 1, Table1[[HomeTeam]:[HomeTeam]], $A49, Table1[[AwayTeam]:[AwayTeam]], Z$36))) + (SUMIFS(Table1[[HomeWon]:[HomeWon]], Table1[[GameIsOver]:[GameIsOver]], 1, Table1[[AwayTeam]:[AwayTeam]], $A49, Table1[[HomeTeam]:[HomeTeam]],  Z$36, Table1[[ActualResult]:[ActualResult]], "OT") + SUMIFS(Table1[[AwayWon]:[AwayWon]], Table1[[GameIsOver]:[GameIsOver]], 1, Table1[[HomeTeam]:[HomeTeam]], $A49, Table1[[AwayTeam]:[AwayTeam]], Z$36, Table1[[ActualResult]:[ActualResult]], "OT") + SUMIFS(Table1[[HomeWon]:[HomeWon]], Table1[[GameIsOver]:[GameIsOver]], 1, Table1[[AwayTeam]:[AwayTeam]], $A49, Table1[[HomeTeam]:[HomeTeam]], Z$36, Table1[[ActualResult]:[ActualResult]], "SO") + SUMIFS(Table1[[AwayWon]:[AwayWon]], Table1[[GameIsOver]:[GameIsOver]], 1, Table1[[HomeTeam]:[HomeTeam]], $A49, Table1[[AwayTeam]:[AwayTeam]], Z$36, Table1[[ActualResult]:[ActualResult]], "SO")))/ (2*((COUNTIFS(Table1[[GameIsOver]:[GameIsOver]],1,Table1[[AwayTeam]:[AwayTeam]],$A49, Table1[[HomeTeam]:[HomeTeam]], Z$36)))+( COUNTIFS(Table1[[GameIsOver]:[GameIsOver]],1,Table1[[AwayTeam]:[AwayTeam]],Z$36, Table1[[HomeTeam]:[HomeTeam]],$A49))), "")</f>
        <v/>
      </c>
      <c r="AA49" s="50" t="str">
        <f>IFERROR(((2 * (SUMIFS(Table1[[AwayWon]:[AwayWon]], Table1[[GameIsOver]:[GameIsOver]], 1, Table1[[AwayTeam]:[AwayTeam]], $A49, Table1[[HomeTeam]:[HomeTeam]], AA$36) + SUMIFS(Table1[[HomeWon]:[HomeWon]], Table1[[GameIsOver]:[GameIsOver]], 1, Table1[[HomeTeam]:[HomeTeam]], $A49, Table1[[AwayTeam]:[AwayTeam]], AA$36))) + (SUMIFS(Table1[[HomeWon]:[HomeWon]], Table1[[GameIsOver]:[GameIsOver]], 1, Table1[[AwayTeam]:[AwayTeam]], $A49, Table1[[HomeTeam]:[HomeTeam]],  AA$36, Table1[[ActualResult]:[ActualResult]], "OT") + SUMIFS(Table1[[AwayWon]:[AwayWon]], Table1[[GameIsOver]:[GameIsOver]], 1, Table1[[HomeTeam]:[HomeTeam]], $A49, Table1[[AwayTeam]:[AwayTeam]], AA$36, Table1[[ActualResult]:[ActualResult]], "OT") + SUMIFS(Table1[[HomeWon]:[HomeWon]], Table1[[GameIsOver]:[GameIsOver]], 1, Table1[[AwayTeam]:[AwayTeam]], $A49, Table1[[HomeTeam]:[HomeTeam]], AA$36, Table1[[ActualResult]:[ActualResult]], "SO") + SUMIFS(Table1[[AwayWon]:[AwayWon]], Table1[[GameIsOver]:[GameIsOver]], 1, Table1[[HomeTeam]:[HomeTeam]], $A49, Table1[[AwayTeam]:[AwayTeam]], AA$36, Table1[[ActualResult]:[ActualResult]], "SO")))/ (2*((COUNTIFS(Table1[[GameIsOver]:[GameIsOver]],1,Table1[[AwayTeam]:[AwayTeam]],$A49, Table1[[HomeTeam]:[HomeTeam]], AA$36)))+( COUNTIFS(Table1[[GameIsOver]:[GameIsOver]],1,Table1[[AwayTeam]:[AwayTeam]],AA$36, Table1[[HomeTeam]:[HomeTeam]],$A49))), "")</f>
        <v/>
      </c>
      <c r="AB49" s="50">
        <f>IFERROR(((2 * (SUMIFS(Table1[[AwayWon]:[AwayWon]], Table1[[GameIsOver]:[GameIsOver]], 1, Table1[[AwayTeam]:[AwayTeam]], $A49, Table1[[HomeTeam]:[HomeTeam]], AB$36) + SUMIFS(Table1[[HomeWon]:[HomeWon]], Table1[[GameIsOver]:[GameIsOver]], 1, Table1[[HomeTeam]:[HomeTeam]], $A49, Table1[[AwayTeam]:[AwayTeam]], AB$36))) + (SUMIFS(Table1[[HomeWon]:[HomeWon]], Table1[[GameIsOver]:[GameIsOver]], 1, Table1[[AwayTeam]:[AwayTeam]], $A49, Table1[[HomeTeam]:[HomeTeam]],  AB$36, Table1[[ActualResult]:[ActualResult]], "OT") + SUMIFS(Table1[[AwayWon]:[AwayWon]], Table1[[GameIsOver]:[GameIsOver]], 1, Table1[[HomeTeam]:[HomeTeam]], $A49, Table1[[AwayTeam]:[AwayTeam]], AB$36, Table1[[ActualResult]:[ActualResult]], "OT") + SUMIFS(Table1[[HomeWon]:[HomeWon]], Table1[[GameIsOver]:[GameIsOver]], 1, Table1[[AwayTeam]:[AwayTeam]], $A49, Table1[[HomeTeam]:[HomeTeam]], AB$36, Table1[[ActualResult]:[ActualResult]], "SO") + SUMIFS(Table1[[AwayWon]:[AwayWon]], Table1[[GameIsOver]:[GameIsOver]], 1, Table1[[HomeTeam]:[HomeTeam]], $A49, Table1[[AwayTeam]:[AwayTeam]], AB$36, Table1[[ActualResult]:[ActualResult]], "SO")))/ (2*((COUNTIFS(Table1[[GameIsOver]:[GameIsOver]],1,Table1[[AwayTeam]:[AwayTeam]],$A49, Table1[[HomeTeam]:[HomeTeam]], AB$36)))+( COUNTIFS(Table1[[GameIsOver]:[GameIsOver]],1,Table1[[AwayTeam]:[AwayTeam]],AB$36, Table1[[HomeTeam]:[HomeTeam]],$A49))), "")</f>
        <v>0</v>
      </c>
      <c r="AC49" s="50" t="str">
        <f>IFERROR(((2 * (SUMIFS(Table1[[AwayWon]:[AwayWon]], Table1[[GameIsOver]:[GameIsOver]], 1, Table1[[AwayTeam]:[AwayTeam]], $A49, Table1[[HomeTeam]:[HomeTeam]], AC$36) + SUMIFS(Table1[[HomeWon]:[HomeWon]], Table1[[GameIsOver]:[GameIsOver]], 1, Table1[[HomeTeam]:[HomeTeam]], $A49, Table1[[AwayTeam]:[AwayTeam]], AC$36))) + (SUMIFS(Table1[[HomeWon]:[HomeWon]], Table1[[GameIsOver]:[GameIsOver]], 1, Table1[[AwayTeam]:[AwayTeam]], $A49, Table1[[HomeTeam]:[HomeTeam]],  AC$36, Table1[[ActualResult]:[ActualResult]], "OT") + SUMIFS(Table1[[AwayWon]:[AwayWon]], Table1[[GameIsOver]:[GameIsOver]], 1, Table1[[HomeTeam]:[HomeTeam]], $A49, Table1[[AwayTeam]:[AwayTeam]], AC$36, Table1[[ActualResult]:[ActualResult]], "OT") + SUMIFS(Table1[[HomeWon]:[HomeWon]], Table1[[GameIsOver]:[GameIsOver]], 1, Table1[[AwayTeam]:[AwayTeam]], $A49, Table1[[HomeTeam]:[HomeTeam]], AC$36, Table1[[ActualResult]:[ActualResult]], "SO") + SUMIFS(Table1[[AwayWon]:[AwayWon]], Table1[[GameIsOver]:[GameIsOver]], 1, Table1[[HomeTeam]:[HomeTeam]], $A49, Table1[[AwayTeam]:[AwayTeam]], AC$36, Table1[[ActualResult]:[ActualResult]], "SO")))/ (2*((COUNTIFS(Table1[[GameIsOver]:[GameIsOver]],1,Table1[[AwayTeam]:[AwayTeam]],$A49, Table1[[HomeTeam]:[HomeTeam]], AC$36)))+( COUNTIFS(Table1[[GameIsOver]:[GameIsOver]],1,Table1[[AwayTeam]:[AwayTeam]],AC$36, Table1[[HomeTeam]:[HomeTeam]],$A49))), "")</f>
        <v/>
      </c>
      <c r="AD49" s="50" t="str">
        <f>IFERROR(((2 * (SUMIFS(Table1[[AwayWon]:[AwayWon]], Table1[[GameIsOver]:[GameIsOver]], 1, Table1[[AwayTeam]:[AwayTeam]], $A49, Table1[[HomeTeam]:[HomeTeam]], AD$36) + SUMIFS(Table1[[HomeWon]:[HomeWon]], Table1[[GameIsOver]:[GameIsOver]], 1, Table1[[HomeTeam]:[HomeTeam]], $A49, Table1[[AwayTeam]:[AwayTeam]], AD$36))) + (SUMIFS(Table1[[HomeWon]:[HomeWon]], Table1[[GameIsOver]:[GameIsOver]], 1, Table1[[AwayTeam]:[AwayTeam]], $A49, Table1[[HomeTeam]:[HomeTeam]],  AD$36, Table1[[ActualResult]:[ActualResult]], "OT") + SUMIFS(Table1[[AwayWon]:[AwayWon]], Table1[[GameIsOver]:[GameIsOver]], 1, Table1[[HomeTeam]:[HomeTeam]], $A49, Table1[[AwayTeam]:[AwayTeam]], AD$36, Table1[[ActualResult]:[ActualResult]], "OT") + SUMIFS(Table1[[HomeWon]:[HomeWon]], Table1[[GameIsOver]:[GameIsOver]], 1, Table1[[AwayTeam]:[AwayTeam]], $A49, Table1[[HomeTeam]:[HomeTeam]], AD$36, Table1[[ActualResult]:[ActualResult]], "SO") + SUMIFS(Table1[[AwayWon]:[AwayWon]], Table1[[GameIsOver]:[GameIsOver]], 1, Table1[[HomeTeam]:[HomeTeam]], $A49, Table1[[AwayTeam]:[AwayTeam]], AD$36, Table1[[ActualResult]:[ActualResult]], "SO")))/ (2*((COUNTIFS(Table1[[GameIsOver]:[GameIsOver]],1,Table1[[AwayTeam]:[AwayTeam]],$A49, Table1[[HomeTeam]:[HomeTeam]], AD$36)))+( COUNTIFS(Table1[[GameIsOver]:[GameIsOver]],1,Table1[[AwayTeam]:[AwayTeam]],AD$36, Table1[[HomeTeam]:[HomeTeam]],$A49))), "")</f>
        <v/>
      </c>
      <c r="AE49" s="50" t="str">
        <f>IFERROR(((2 * (SUMIFS(Table1[[AwayWon]:[AwayWon]], Table1[[GameIsOver]:[GameIsOver]], 1, Table1[[AwayTeam]:[AwayTeam]], $A49, Table1[[HomeTeam]:[HomeTeam]], AE$36) + SUMIFS(Table1[[HomeWon]:[HomeWon]], Table1[[GameIsOver]:[GameIsOver]], 1, Table1[[HomeTeam]:[HomeTeam]], $A49, Table1[[AwayTeam]:[AwayTeam]], AE$36))) + (SUMIFS(Table1[[HomeWon]:[HomeWon]], Table1[[GameIsOver]:[GameIsOver]], 1, Table1[[AwayTeam]:[AwayTeam]], $A49, Table1[[HomeTeam]:[HomeTeam]],  AE$36, Table1[[ActualResult]:[ActualResult]], "OT") + SUMIFS(Table1[[AwayWon]:[AwayWon]], Table1[[GameIsOver]:[GameIsOver]], 1, Table1[[HomeTeam]:[HomeTeam]], $A49, Table1[[AwayTeam]:[AwayTeam]], AE$36, Table1[[ActualResult]:[ActualResult]], "OT") + SUMIFS(Table1[[HomeWon]:[HomeWon]], Table1[[GameIsOver]:[GameIsOver]], 1, Table1[[AwayTeam]:[AwayTeam]], $A49, Table1[[HomeTeam]:[HomeTeam]], AE$36, Table1[[ActualResult]:[ActualResult]], "SO") + SUMIFS(Table1[[AwayWon]:[AwayWon]], Table1[[GameIsOver]:[GameIsOver]], 1, Table1[[HomeTeam]:[HomeTeam]], $A49, Table1[[AwayTeam]:[AwayTeam]], AE$36, Table1[[ActualResult]:[ActualResult]], "SO")))/ (2*((COUNTIFS(Table1[[GameIsOver]:[GameIsOver]],1,Table1[[AwayTeam]:[AwayTeam]],$A49, Table1[[HomeTeam]:[HomeTeam]], AE$36)))+( COUNTIFS(Table1[[GameIsOver]:[GameIsOver]],1,Table1[[AwayTeam]:[AwayTeam]],AE$36, Table1[[HomeTeam]:[HomeTeam]],$A49))), "")</f>
        <v/>
      </c>
      <c r="AF49" s="50" t="str">
        <f>IFERROR(((2 * (SUMIFS(Table1[[AwayWon]:[AwayWon]], Table1[[GameIsOver]:[GameIsOver]], 1, Table1[[AwayTeam]:[AwayTeam]], $A49, Table1[[HomeTeam]:[HomeTeam]], AF$36) + SUMIFS(Table1[[HomeWon]:[HomeWon]], Table1[[GameIsOver]:[GameIsOver]], 1, Table1[[HomeTeam]:[HomeTeam]], $A49, Table1[[AwayTeam]:[AwayTeam]], AF$36))) + (SUMIFS(Table1[[HomeWon]:[HomeWon]], Table1[[GameIsOver]:[GameIsOver]], 1, Table1[[AwayTeam]:[AwayTeam]], $A49, Table1[[HomeTeam]:[HomeTeam]],  AF$36, Table1[[ActualResult]:[ActualResult]], "OT") + SUMIFS(Table1[[AwayWon]:[AwayWon]], Table1[[GameIsOver]:[GameIsOver]], 1, Table1[[HomeTeam]:[HomeTeam]], $A49, Table1[[AwayTeam]:[AwayTeam]], AF$36, Table1[[ActualResult]:[ActualResult]], "OT") + SUMIFS(Table1[[HomeWon]:[HomeWon]], Table1[[GameIsOver]:[GameIsOver]], 1, Table1[[AwayTeam]:[AwayTeam]], $A49, Table1[[HomeTeam]:[HomeTeam]], AF$36, Table1[[ActualResult]:[ActualResult]], "SO") + SUMIFS(Table1[[AwayWon]:[AwayWon]], Table1[[GameIsOver]:[GameIsOver]], 1, Table1[[HomeTeam]:[HomeTeam]], $A49, Table1[[AwayTeam]:[AwayTeam]], AF$36, Table1[[ActualResult]:[ActualResult]], "SO")))/ (2*((COUNTIFS(Table1[[GameIsOver]:[GameIsOver]],1,Table1[[AwayTeam]:[AwayTeam]],$A49, Table1[[HomeTeam]:[HomeTeam]], AF$36)))+( COUNTIFS(Table1[[GameIsOver]:[GameIsOver]],1,Table1[[AwayTeam]:[AwayTeam]],AF$36, Table1[[HomeTeam]:[HomeTeam]],$A49))), "")</f>
        <v/>
      </c>
      <c r="AG49" s="50" t="str">
        <f>IFERROR(((2 * (SUMIFS(Table1[[AwayWon]:[AwayWon]], Table1[[GameIsOver]:[GameIsOver]], 1, Table1[[AwayTeam]:[AwayTeam]], $A49, Table1[[HomeTeam]:[HomeTeam]], AG$36) + SUMIFS(Table1[[HomeWon]:[HomeWon]], Table1[[GameIsOver]:[GameIsOver]], 1, Table1[[HomeTeam]:[HomeTeam]], $A49, Table1[[AwayTeam]:[AwayTeam]], AG$36))) + (SUMIFS(Table1[[HomeWon]:[HomeWon]], Table1[[GameIsOver]:[GameIsOver]], 1, Table1[[AwayTeam]:[AwayTeam]], $A49, Table1[[HomeTeam]:[HomeTeam]],  AG$36, Table1[[ActualResult]:[ActualResult]], "OT") + SUMIFS(Table1[[AwayWon]:[AwayWon]], Table1[[GameIsOver]:[GameIsOver]], 1, Table1[[HomeTeam]:[HomeTeam]], $A49, Table1[[AwayTeam]:[AwayTeam]], AG$36, Table1[[ActualResult]:[ActualResult]], "OT") + SUMIFS(Table1[[HomeWon]:[HomeWon]], Table1[[GameIsOver]:[GameIsOver]], 1, Table1[[AwayTeam]:[AwayTeam]], $A49, Table1[[HomeTeam]:[HomeTeam]], AG$36, Table1[[ActualResult]:[ActualResult]], "SO") + SUMIFS(Table1[[AwayWon]:[AwayWon]], Table1[[GameIsOver]:[GameIsOver]], 1, Table1[[HomeTeam]:[HomeTeam]], $A49, Table1[[AwayTeam]:[AwayTeam]], AG$36, Table1[[ActualResult]:[ActualResult]], "SO")))/ (2*((COUNTIFS(Table1[[GameIsOver]:[GameIsOver]],1,Table1[[AwayTeam]:[AwayTeam]],$A49, Table1[[HomeTeam]:[HomeTeam]], AG$36)))+( COUNTIFS(Table1[[GameIsOver]:[GameIsOver]],1,Table1[[AwayTeam]:[AwayTeam]],AG$36, Table1[[HomeTeam]:[HomeTeam]],$A49))), "")</f>
        <v/>
      </c>
      <c r="AH49" s="51">
        <f t="shared" si="0"/>
        <v>0</v>
      </c>
      <c r="AI49" s="51" t="e">
        <f t="shared" si="1"/>
        <v>#DIV/0!</v>
      </c>
      <c r="AJ49" s="52">
        <f t="shared" si="2"/>
        <v>0</v>
      </c>
      <c r="AK49" s="52" t="e">
        <f t="shared" si="3"/>
        <v>#DIV/0!</v>
      </c>
      <c r="AL49" s="52" t="e">
        <f t="shared" si="4"/>
        <v>#DIV/0!</v>
      </c>
      <c r="AM49" s="52" t="e">
        <f t="shared" si="5"/>
        <v>#DIV/0!</v>
      </c>
    </row>
    <row r="50" spans="1:39" x14ac:dyDescent="0.25">
      <c r="A50" s="28" t="s">
        <v>61</v>
      </c>
      <c r="B50" s="50" t="str">
        <f>IFERROR(((2 * (SUMIFS(Table1[[AwayWon]:[AwayWon]], Table1[[GameIsOver]:[GameIsOver]], 1, Table1[[AwayTeam]:[AwayTeam]], $A50, Table1[[HomeTeam]:[HomeTeam]], B$36) + SUMIFS(Table1[[HomeWon]:[HomeWon]], Table1[[GameIsOver]:[GameIsOver]], 1, Table1[[HomeTeam]:[HomeTeam]], $A50, Table1[[AwayTeam]:[AwayTeam]], B$36))) + (SUMIFS(Table1[[HomeWon]:[HomeWon]], Table1[[GameIsOver]:[GameIsOver]], 1, Table1[[AwayTeam]:[AwayTeam]], $A50, Table1[[HomeTeam]:[HomeTeam]],  B$36, Table1[[ActualResult]:[ActualResult]], "OT") + SUMIFS(Table1[[AwayWon]:[AwayWon]], Table1[[GameIsOver]:[GameIsOver]], 1, Table1[[HomeTeam]:[HomeTeam]], $A50, Table1[[AwayTeam]:[AwayTeam]], B$36, Table1[[ActualResult]:[ActualResult]], "OT") + SUMIFS(Table1[[HomeWon]:[HomeWon]], Table1[[GameIsOver]:[GameIsOver]], 1, Table1[[AwayTeam]:[AwayTeam]], $A50, Table1[[HomeTeam]:[HomeTeam]], B$36, Table1[[ActualResult]:[ActualResult]], "SO") + SUMIFS(Table1[[AwayWon]:[AwayWon]], Table1[[GameIsOver]:[GameIsOver]], 1, Table1[[HomeTeam]:[HomeTeam]], $A50, Table1[[AwayTeam]:[AwayTeam]], B$36, Table1[[ActualResult]:[ActualResult]], "SO")))/ (2*((COUNTIFS(Table1[[GameIsOver]:[GameIsOver]],1,Table1[[AwayTeam]:[AwayTeam]],$A50, Table1[[HomeTeam]:[HomeTeam]], B$36)))+( COUNTIFS(Table1[[GameIsOver]:[GameIsOver]],1,Table1[[AwayTeam]:[AwayTeam]],B$36, Table1[[HomeTeam]:[HomeTeam]],$A50))), "")</f>
        <v/>
      </c>
      <c r="C50" s="50" t="str">
        <f>IFERROR(((2 * (SUMIFS(Table1[[AwayWon]:[AwayWon]], Table1[[GameIsOver]:[GameIsOver]], 1, Table1[[AwayTeam]:[AwayTeam]], $A50, Table1[[HomeTeam]:[HomeTeam]], C$36) + SUMIFS(Table1[[HomeWon]:[HomeWon]], Table1[[GameIsOver]:[GameIsOver]], 1, Table1[[HomeTeam]:[HomeTeam]], $A50, Table1[[AwayTeam]:[AwayTeam]], C$36))) + (SUMIFS(Table1[[HomeWon]:[HomeWon]], Table1[[GameIsOver]:[GameIsOver]], 1, Table1[[AwayTeam]:[AwayTeam]], $A50, Table1[[HomeTeam]:[HomeTeam]],  C$36, Table1[[ActualResult]:[ActualResult]], "OT") + SUMIFS(Table1[[AwayWon]:[AwayWon]], Table1[[GameIsOver]:[GameIsOver]], 1, Table1[[HomeTeam]:[HomeTeam]], $A50, Table1[[AwayTeam]:[AwayTeam]], C$36, Table1[[ActualResult]:[ActualResult]], "OT") + SUMIFS(Table1[[HomeWon]:[HomeWon]], Table1[[GameIsOver]:[GameIsOver]], 1, Table1[[AwayTeam]:[AwayTeam]], $A50, Table1[[HomeTeam]:[HomeTeam]], C$36, Table1[[ActualResult]:[ActualResult]], "SO") + SUMIFS(Table1[[AwayWon]:[AwayWon]], Table1[[GameIsOver]:[GameIsOver]], 1, Table1[[HomeTeam]:[HomeTeam]], $A50, Table1[[AwayTeam]:[AwayTeam]], C$36, Table1[[ActualResult]:[ActualResult]], "SO")))/ (2*((COUNTIFS(Table1[[GameIsOver]:[GameIsOver]],1,Table1[[AwayTeam]:[AwayTeam]],$A50, Table1[[HomeTeam]:[HomeTeam]], C$36)))+( COUNTIFS(Table1[[GameIsOver]:[GameIsOver]],1,Table1[[AwayTeam]:[AwayTeam]],C$36, Table1[[HomeTeam]:[HomeTeam]],$A50))), "")</f>
        <v/>
      </c>
      <c r="D50" s="50" t="str">
        <f>IFERROR(((2 * (SUMIFS(Table1[[AwayWon]:[AwayWon]], Table1[[GameIsOver]:[GameIsOver]], 1, Table1[[AwayTeam]:[AwayTeam]], $A50, Table1[[HomeTeam]:[HomeTeam]], D$36) + SUMIFS(Table1[[HomeWon]:[HomeWon]], Table1[[GameIsOver]:[GameIsOver]], 1, Table1[[HomeTeam]:[HomeTeam]], $A50, Table1[[AwayTeam]:[AwayTeam]], D$36))) + (SUMIFS(Table1[[HomeWon]:[HomeWon]], Table1[[GameIsOver]:[GameIsOver]], 1, Table1[[AwayTeam]:[AwayTeam]], $A50, Table1[[HomeTeam]:[HomeTeam]],  D$36, Table1[[ActualResult]:[ActualResult]], "OT") + SUMIFS(Table1[[AwayWon]:[AwayWon]], Table1[[GameIsOver]:[GameIsOver]], 1, Table1[[HomeTeam]:[HomeTeam]], $A50, Table1[[AwayTeam]:[AwayTeam]], D$36, Table1[[ActualResult]:[ActualResult]], "OT") + SUMIFS(Table1[[HomeWon]:[HomeWon]], Table1[[GameIsOver]:[GameIsOver]], 1, Table1[[AwayTeam]:[AwayTeam]], $A50, Table1[[HomeTeam]:[HomeTeam]], D$36, Table1[[ActualResult]:[ActualResult]], "SO") + SUMIFS(Table1[[AwayWon]:[AwayWon]], Table1[[GameIsOver]:[GameIsOver]], 1, Table1[[HomeTeam]:[HomeTeam]], $A50, Table1[[AwayTeam]:[AwayTeam]], D$36, Table1[[ActualResult]:[ActualResult]], "SO")))/ (2*((COUNTIFS(Table1[[GameIsOver]:[GameIsOver]],1,Table1[[AwayTeam]:[AwayTeam]],$A50, Table1[[HomeTeam]:[HomeTeam]], D$36)))+( COUNTIFS(Table1[[GameIsOver]:[GameIsOver]],1,Table1[[AwayTeam]:[AwayTeam]],D$36, Table1[[HomeTeam]:[HomeTeam]],$A50))), "")</f>
        <v/>
      </c>
      <c r="E50" s="50" t="str">
        <f>IFERROR(((2 * (SUMIFS(Table1[[AwayWon]:[AwayWon]], Table1[[GameIsOver]:[GameIsOver]], 1, Table1[[AwayTeam]:[AwayTeam]], $A50, Table1[[HomeTeam]:[HomeTeam]], E$36) + SUMIFS(Table1[[HomeWon]:[HomeWon]], Table1[[GameIsOver]:[GameIsOver]], 1, Table1[[HomeTeam]:[HomeTeam]], $A50, Table1[[AwayTeam]:[AwayTeam]], E$36))) + (SUMIFS(Table1[[HomeWon]:[HomeWon]], Table1[[GameIsOver]:[GameIsOver]], 1, Table1[[AwayTeam]:[AwayTeam]], $A50, Table1[[HomeTeam]:[HomeTeam]],  E$36, Table1[[ActualResult]:[ActualResult]], "OT") + SUMIFS(Table1[[AwayWon]:[AwayWon]], Table1[[GameIsOver]:[GameIsOver]], 1, Table1[[HomeTeam]:[HomeTeam]], $A50, Table1[[AwayTeam]:[AwayTeam]], E$36, Table1[[ActualResult]:[ActualResult]], "OT") + SUMIFS(Table1[[HomeWon]:[HomeWon]], Table1[[GameIsOver]:[GameIsOver]], 1, Table1[[AwayTeam]:[AwayTeam]], $A50, Table1[[HomeTeam]:[HomeTeam]], E$36, Table1[[ActualResult]:[ActualResult]], "SO") + SUMIFS(Table1[[AwayWon]:[AwayWon]], Table1[[GameIsOver]:[GameIsOver]], 1, Table1[[HomeTeam]:[HomeTeam]], $A50, Table1[[AwayTeam]:[AwayTeam]], E$36, Table1[[ActualResult]:[ActualResult]], "SO")))/ (2*((COUNTIFS(Table1[[GameIsOver]:[GameIsOver]],1,Table1[[AwayTeam]:[AwayTeam]],$A50, Table1[[HomeTeam]:[HomeTeam]], E$36)))+( COUNTIFS(Table1[[GameIsOver]:[GameIsOver]],1,Table1[[AwayTeam]:[AwayTeam]],E$36, Table1[[HomeTeam]:[HomeTeam]],$A50))), "")</f>
        <v/>
      </c>
      <c r="F50" s="50" t="str">
        <f>IFERROR(((2 * (SUMIFS(Table1[[AwayWon]:[AwayWon]], Table1[[GameIsOver]:[GameIsOver]], 1, Table1[[AwayTeam]:[AwayTeam]], $A50, Table1[[HomeTeam]:[HomeTeam]], F$36) + SUMIFS(Table1[[HomeWon]:[HomeWon]], Table1[[GameIsOver]:[GameIsOver]], 1, Table1[[HomeTeam]:[HomeTeam]], $A50, Table1[[AwayTeam]:[AwayTeam]], F$36))) + (SUMIFS(Table1[[HomeWon]:[HomeWon]], Table1[[GameIsOver]:[GameIsOver]], 1, Table1[[AwayTeam]:[AwayTeam]], $A50, Table1[[HomeTeam]:[HomeTeam]],  F$36, Table1[[ActualResult]:[ActualResult]], "OT") + SUMIFS(Table1[[AwayWon]:[AwayWon]], Table1[[GameIsOver]:[GameIsOver]], 1, Table1[[HomeTeam]:[HomeTeam]], $A50, Table1[[AwayTeam]:[AwayTeam]], F$36, Table1[[ActualResult]:[ActualResult]], "OT") + SUMIFS(Table1[[HomeWon]:[HomeWon]], Table1[[GameIsOver]:[GameIsOver]], 1, Table1[[AwayTeam]:[AwayTeam]], $A50, Table1[[HomeTeam]:[HomeTeam]], F$36, Table1[[ActualResult]:[ActualResult]], "SO") + SUMIFS(Table1[[AwayWon]:[AwayWon]], Table1[[GameIsOver]:[GameIsOver]], 1, Table1[[HomeTeam]:[HomeTeam]], $A50, Table1[[AwayTeam]:[AwayTeam]], F$36, Table1[[ActualResult]:[ActualResult]], "SO")))/ (2*((COUNTIFS(Table1[[GameIsOver]:[GameIsOver]],1,Table1[[AwayTeam]:[AwayTeam]],$A50, Table1[[HomeTeam]:[HomeTeam]], F$36)))+( COUNTIFS(Table1[[GameIsOver]:[GameIsOver]],1,Table1[[AwayTeam]:[AwayTeam]],F$36, Table1[[HomeTeam]:[HomeTeam]],$A50))), "")</f>
        <v/>
      </c>
      <c r="G50" s="50" t="str">
        <f>IFERROR(((2 * (SUMIFS(Table1[[AwayWon]:[AwayWon]], Table1[[GameIsOver]:[GameIsOver]], 1, Table1[[AwayTeam]:[AwayTeam]], $A50, Table1[[HomeTeam]:[HomeTeam]], G$36) + SUMIFS(Table1[[HomeWon]:[HomeWon]], Table1[[GameIsOver]:[GameIsOver]], 1, Table1[[HomeTeam]:[HomeTeam]], $A50, Table1[[AwayTeam]:[AwayTeam]], G$36))) + (SUMIFS(Table1[[HomeWon]:[HomeWon]], Table1[[GameIsOver]:[GameIsOver]], 1, Table1[[AwayTeam]:[AwayTeam]], $A50, Table1[[HomeTeam]:[HomeTeam]],  G$36, Table1[[ActualResult]:[ActualResult]], "OT") + SUMIFS(Table1[[AwayWon]:[AwayWon]], Table1[[GameIsOver]:[GameIsOver]], 1, Table1[[HomeTeam]:[HomeTeam]], $A50, Table1[[AwayTeam]:[AwayTeam]], G$36, Table1[[ActualResult]:[ActualResult]], "OT") + SUMIFS(Table1[[HomeWon]:[HomeWon]], Table1[[GameIsOver]:[GameIsOver]], 1, Table1[[AwayTeam]:[AwayTeam]], $A50, Table1[[HomeTeam]:[HomeTeam]], G$36, Table1[[ActualResult]:[ActualResult]], "SO") + SUMIFS(Table1[[AwayWon]:[AwayWon]], Table1[[GameIsOver]:[GameIsOver]], 1, Table1[[HomeTeam]:[HomeTeam]], $A50, Table1[[AwayTeam]:[AwayTeam]], G$36, Table1[[ActualResult]:[ActualResult]], "SO")))/ (2*((COUNTIFS(Table1[[GameIsOver]:[GameIsOver]],1,Table1[[AwayTeam]:[AwayTeam]],$A50, Table1[[HomeTeam]:[HomeTeam]], G$36)))+( COUNTIFS(Table1[[GameIsOver]:[GameIsOver]],1,Table1[[AwayTeam]:[AwayTeam]],G$36, Table1[[HomeTeam]:[HomeTeam]],$A50))), "")</f>
        <v/>
      </c>
      <c r="H50" s="50" t="str">
        <f>IFERROR(((2 * (SUMIFS(Table1[[AwayWon]:[AwayWon]], Table1[[GameIsOver]:[GameIsOver]], 1, Table1[[AwayTeam]:[AwayTeam]], $A50, Table1[[HomeTeam]:[HomeTeam]], H$36) + SUMIFS(Table1[[HomeWon]:[HomeWon]], Table1[[GameIsOver]:[GameIsOver]], 1, Table1[[HomeTeam]:[HomeTeam]], $A50, Table1[[AwayTeam]:[AwayTeam]], H$36))) + (SUMIFS(Table1[[HomeWon]:[HomeWon]], Table1[[GameIsOver]:[GameIsOver]], 1, Table1[[AwayTeam]:[AwayTeam]], $A50, Table1[[HomeTeam]:[HomeTeam]],  H$36, Table1[[ActualResult]:[ActualResult]], "OT") + SUMIFS(Table1[[AwayWon]:[AwayWon]], Table1[[GameIsOver]:[GameIsOver]], 1, Table1[[HomeTeam]:[HomeTeam]], $A50, Table1[[AwayTeam]:[AwayTeam]], H$36, Table1[[ActualResult]:[ActualResult]], "OT") + SUMIFS(Table1[[HomeWon]:[HomeWon]], Table1[[GameIsOver]:[GameIsOver]], 1, Table1[[AwayTeam]:[AwayTeam]], $A50, Table1[[HomeTeam]:[HomeTeam]], H$36, Table1[[ActualResult]:[ActualResult]], "SO") + SUMIFS(Table1[[AwayWon]:[AwayWon]], Table1[[GameIsOver]:[GameIsOver]], 1, Table1[[HomeTeam]:[HomeTeam]], $A50, Table1[[AwayTeam]:[AwayTeam]], H$36, Table1[[ActualResult]:[ActualResult]], "SO")))/ (2*((COUNTIFS(Table1[[GameIsOver]:[GameIsOver]],1,Table1[[AwayTeam]:[AwayTeam]],$A50, Table1[[HomeTeam]:[HomeTeam]], H$36)))+( COUNTIFS(Table1[[GameIsOver]:[GameIsOver]],1,Table1[[AwayTeam]:[AwayTeam]],H$36, Table1[[HomeTeam]:[HomeTeam]],$A50))), "")</f>
        <v/>
      </c>
      <c r="I50" s="52" t="str">
        <f>IFERROR(((2 * (SUMIFS(Table1[[AwayWon]:[AwayWon]], Table1[[GameIsOver]:[GameIsOver]], 1, Table1[[AwayTeam]:[AwayTeam]], $A50, Table1[[HomeTeam]:[HomeTeam]], I$36) + SUMIFS(Table1[[HomeWon]:[HomeWon]], Table1[[GameIsOver]:[GameIsOver]], 1, Table1[[HomeTeam]:[HomeTeam]], $A50, Table1[[AwayTeam]:[AwayTeam]], I$36))) + (SUMIFS(Table1[[HomeWon]:[HomeWon]], Table1[[GameIsOver]:[GameIsOver]], 1, Table1[[AwayTeam]:[AwayTeam]], $A50, Table1[[HomeTeam]:[HomeTeam]],  I$36, Table1[[ActualResult]:[ActualResult]], "OT") + SUMIFS(Table1[[AwayWon]:[AwayWon]], Table1[[GameIsOver]:[GameIsOver]], 1, Table1[[HomeTeam]:[HomeTeam]], $A50, Table1[[AwayTeam]:[AwayTeam]], I$36, Table1[[ActualResult]:[ActualResult]], "OT") + SUMIFS(Table1[[HomeWon]:[HomeWon]], Table1[[GameIsOver]:[GameIsOver]], 1, Table1[[AwayTeam]:[AwayTeam]], $A50, Table1[[HomeTeam]:[HomeTeam]], I$36, Table1[[ActualResult]:[ActualResult]], "SO") + SUMIFS(Table1[[AwayWon]:[AwayWon]], Table1[[GameIsOver]:[GameIsOver]], 1, Table1[[HomeTeam]:[HomeTeam]], $A50, Table1[[AwayTeam]:[AwayTeam]], I$36, Table1[[ActualResult]:[ActualResult]], "SO")))/ (2*((COUNTIFS(Table1[[GameIsOver]:[GameIsOver]],1,Table1[[AwayTeam]:[AwayTeam]],$A50, Table1[[HomeTeam]:[HomeTeam]], I$36)))+( COUNTIFS(Table1[[GameIsOver]:[GameIsOver]],1,Table1[[AwayTeam]:[AwayTeam]],I$36, Table1[[HomeTeam]:[HomeTeam]],$A50))), "")</f>
        <v/>
      </c>
      <c r="J50" s="50" t="str">
        <f>IFERROR(((2 * (SUMIFS(Table1[[AwayWon]:[AwayWon]], Table1[[GameIsOver]:[GameIsOver]], 1, Table1[[AwayTeam]:[AwayTeam]], $A50, Table1[[HomeTeam]:[HomeTeam]], J$36) + SUMIFS(Table1[[HomeWon]:[HomeWon]], Table1[[GameIsOver]:[GameIsOver]], 1, Table1[[HomeTeam]:[HomeTeam]], $A50, Table1[[AwayTeam]:[AwayTeam]], J$36))) + (SUMIFS(Table1[[HomeWon]:[HomeWon]], Table1[[GameIsOver]:[GameIsOver]], 1, Table1[[AwayTeam]:[AwayTeam]], $A50, Table1[[HomeTeam]:[HomeTeam]],  J$36, Table1[[ActualResult]:[ActualResult]], "OT") + SUMIFS(Table1[[AwayWon]:[AwayWon]], Table1[[GameIsOver]:[GameIsOver]], 1, Table1[[HomeTeam]:[HomeTeam]], $A50, Table1[[AwayTeam]:[AwayTeam]], J$36, Table1[[ActualResult]:[ActualResult]], "OT") + SUMIFS(Table1[[HomeWon]:[HomeWon]], Table1[[GameIsOver]:[GameIsOver]], 1, Table1[[AwayTeam]:[AwayTeam]], $A50, Table1[[HomeTeam]:[HomeTeam]], J$36, Table1[[ActualResult]:[ActualResult]], "SO") + SUMIFS(Table1[[AwayWon]:[AwayWon]], Table1[[GameIsOver]:[GameIsOver]], 1, Table1[[HomeTeam]:[HomeTeam]], $A50, Table1[[AwayTeam]:[AwayTeam]], J$36, Table1[[ActualResult]:[ActualResult]], "SO")))/ (2*((COUNTIFS(Table1[[GameIsOver]:[GameIsOver]],1,Table1[[AwayTeam]:[AwayTeam]],$A50, Table1[[HomeTeam]:[HomeTeam]], J$36)))+( COUNTIFS(Table1[[GameIsOver]:[GameIsOver]],1,Table1[[AwayTeam]:[AwayTeam]],J$36, Table1[[HomeTeam]:[HomeTeam]],$A50))), "")</f>
        <v/>
      </c>
      <c r="K50" s="50" t="str">
        <f>IFERROR(((2 * (SUMIFS(Table1[[AwayWon]:[AwayWon]], Table1[[GameIsOver]:[GameIsOver]], 1, Table1[[AwayTeam]:[AwayTeam]], $A50, Table1[[HomeTeam]:[HomeTeam]], K$36) + SUMIFS(Table1[[HomeWon]:[HomeWon]], Table1[[GameIsOver]:[GameIsOver]], 1, Table1[[HomeTeam]:[HomeTeam]], $A50, Table1[[AwayTeam]:[AwayTeam]], K$36))) + (SUMIFS(Table1[[HomeWon]:[HomeWon]], Table1[[GameIsOver]:[GameIsOver]], 1, Table1[[AwayTeam]:[AwayTeam]], $A50, Table1[[HomeTeam]:[HomeTeam]],  K$36, Table1[[ActualResult]:[ActualResult]], "OT") + SUMIFS(Table1[[AwayWon]:[AwayWon]], Table1[[GameIsOver]:[GameIsOver]], 1, Table1[[HomeTeam]:[HomeTeam]], $A50, Table1[[AwayTeam]:[AwayTeam]], K$36, Table1[[ActualResult]:[ActualResult]], "OT") + SUMIFS(Table1[[HomeWon]:[HomeWon]], Table1[[GameIsOver]:[GameIsOver]], 1, Table1[[AwayTeam]:[AwayTeam]], $A50, Table1[[HomeTeam]:[HomeTeam]], K$36, Table1[[ActualResult]:[ActualResult]], "SO") + SUMIFS(Table1[[AwayWon]:[AwayWon]], Table1[[GameIsOver]:[GameIsOver]], 1, Table1[[HomeTeam]:[HomeTeam]], $A50, Table1[[AwayTeam]:[AwayTeam]], K$36, Table1[[ActualResult]:[ActualResult]], "SO")))/ (2*((COUNTIFS(Table1[[GameIsOver]:[GameIsOver]],1,Table1[[AwayTeam]:[AwayTeam]],$A50, Table1[[HomeTeam]:[HomeTeam]], K$36)))+( COUNTIFS(Table1[[GameIsOver]:[GameIsOver]],1,Table1[[AwayTeam]:[AwayTeam]],K$36, Table1[[HomeTeam]:[HomeTeam]],$A50))), "")</f>
        <v/>
      </c>
      <c r="L50" s="50" t="str">
        <f>IFERROR(((2 * (SUMIFS(Table1[[AwayWon]:[AwayWon]], Table1[[GameIsOver]:[GameIsOver]], 1, Table1[[AwayTeam]:[AwayTeam]], $A50, Table1[[HomeTeam]:[HomeTeam]], L$36) + SUMIFS(Table1[[HomeWon]:[HomeWon]], Table1[[GameIsOver]:[GameIsOver]], 1, Table1[[HomeTeam]:[HomeTeam]], $A50, Table1[[AwayTeam]:[AwayTeam]], L$36))) + (SUMIFS(Table1[[HomeWon]:[HomeWon]], Table1[[GameIsOver]:[GameIsOver]], 1, Table1[[AwayTeam]:[AwayTeam]], $A50, Table1[[HomeTeam]:[HomeTeam]],  L$36, Table1[[ActualResult]:[ActualResult]], "OT") + SUMIFS(Table1[[AwayWon]:[AwayWon]], Table1[[GameIsOver]:[GameIsOver]], 1, Table1[[HomeTeam]:[HomeTeam]], $A50, Table1[[AwayTeam]:[AwayTeam]], L$36, Table1[[ActualResult]:[ActualResult]], "OT") + SUMIFS(Table1[[HomeWon]:[HomeWon]], Table1[[GameIsOver]:[GameIsOver]], 1, Table1[[AwayTeam]:[AwayTeam]], $A50, Table1[[HomeTeam]:[HomeTeam]], L$36, Table1[[ActualResult]:[ActualResult]], "SO") + SUMIFS(Table1[[AwayWon]:[AwayWon]], Table1[[GameIsOver]:[GameIsOver]], 1, Table1[[HomeTeam]:[HomeTeam]], $A50, Table1[[AwayTeam]:[AwayTeam]], L$36, Table1[[ActualResult]:[ActualResult]], "SO")))/ (2*((COUNTIFS(Table1[[GameIsOver]:[GameIsOver]],1,Table1[[AwayTeam]:[AwayTeam]],$A50, Table1[[HomeTeam]:[HomeTeam]], L$36)))+( COUNTIFS(Table1[[GameIsOver]:[GameIsOver]],1,Table1[[AwayTeam]:[AwayTeam]],L$36, Table1[[HomeTeam]:[HomeTeam]],$A50))), "")</f>
        <v/>
      </c>
      <c r="M50" s="50" t="str">
        <f>IFERROR(((2 * (SUMIFS(Table1[[AwayWon]:[AwayWon]], Table1[[GameIsOver]:[GameIsOver]], 1, Table1[[AwayTeam]:[AwayTeam]], $A50, Table1[[HomeTeam]:[HomeTeam]], M$36) + SUMIFS(Table1[[HomeWon]:[HomeWon]], Table1[[GameIsOver]:[GameIsOver]], 1, Table1[[HomeTeam]:[HomeTeam]], $A50, Table1[[AwayTeam]:[AwayTeam]], M$36))) + (SUMIFS(Table1[[HomeWon]:[HomeWon]], Table1[[GameIsOver]:[GameIsOver]], 1, Table1[[AwayTeam]:[AwayTeam]], $A50, Table1[[HomeTeam]:[HomeTeam]],  M$36, Table1[[ActualResult]:[ActualResult]], "OT") + SUMIFS(Table1[[AwayWon]:[AwayWon]], Table1[[GameIsOver]:[GameIsOver]], 1, Table1[[HomeTeam]:[HomeTeam]], $A50, Table1[[AwayTeam]:[AwayTeam]], M$36, Table1[[ActualResult]:[ActualResult]], "OT") + SUMIFS(Table1[[HomeWon]:[HomeWon]], Table1[[GameIsOver]:[GameIsOver]], 1, Table1[[AwayTeam]:[AwayTeam]], $A50, Table1[[HomeTeam]:[HomeTeam]], M$36, Table1[[ActualResult]:[ActualResult]], "SO") + SUMIFS(Table1[[AwayWon]:[AwayWon]], Table1[[GameIsOver]:[GameIsOver]], 1, Table1[[HomeTeam]:[HomeTeam]], $A50, Table1[[AwayTeam]:[AwayTeam]], M$36, Table1[[ActualResult]:[ActualResult]], "SO")))/ (2*((COUNTIFS(Table1[[GameIsOver]:[GameIsOver]],1,Table1[[AwayTeam]:[AwayTeam]],$A50, Table1[[HomeTeam]:[HomeTeam]], M$36)))+( COUNTIFS(Table1[[GameIsOver]:[GameIsOver]],1,Table1[[AwayTeam]:[AwayTeam]],M$36, Table1[[HomeTeam]:[HomeTeam]],$A50))), "")</f>
        <v/>
      </c>
      <c r="N50" s="50" t="str">
        <f>IFERROR(((2 * (SUMIFS(Table1[[AwayWon]:[AwayWon]], Table1[[GameIsOver]:[GameIsOver]], 1, Table1[[AwayTeam]:[AwayTeam]], $A50, Table1[[HomeTeam]:[HomeTeam]], N$36) + SUMIFS(Table1[[HomeWon]:[HomeWon]], Table1[[GameIsOver]:[GameIsOver]], 1, Table1[[HomeTeam]:[HomeTeam]], $A50, Table1[[AwayTeam]:[AwayTeam]], N$36))) + (SUMIFS(Table1[[HomeWon]:[HomeWon]], Table1[[GameIsOver]:[GameIsOver]], 1, Table1[[AwayTeam]:[AwayTeam]], $A50, Table1[[HomeTeam]:[HomeTeam]],  N$36, Table1[[ActualResult]:[ActualResult]], "OT") + SUMIFS(Table1[[AwayWon]:[AwayWon]], Table1[[GameIsOver]:[GameIsOver]], 1, Table1[[HomeTeam]:[HomeTeam]], $A50, Table1[[AwayTeam]:[AwayTeam]], N$36, Table1[[ActualResult]:[ActualResult]], "OT") + SUMIFS(Table1[[HomeWon]:[HomeWon]], Table1[[GameIsOver]:[GameIsOver]], 1, Table1[[AwayTeam]:[AwayTeam]], $A50, Table1[[HomeTeam]:[HomeTeam]], N$36, Table1[[ActualResult]:[ActualResult]], "SO") + SUMIFS(Table1[[AwayWon]:[AwayWon]], Table1[[GameIsOver]:[GameIsOver]], 1, Table1[[HomeTeam]:[HomeTeam]], $A50, Table1[[AwayTeam]:[AwayTeam]], N$36, Table1[[ActualResult]:[ActualResult]], "SO")))/ (2*((COUNTIFS(Table1[[GameIsOver]:[GameIsOver]],1,Table1[[AwayTeam]:[AwayTeam]],$A50, Table1[[HomeTeam]:[HomeTeam]], N$36)))+( COUNTIFS(Table1[[GameIsOver]:[GameIsOver]],1,Table1[[AwayTeam]:[AwayTeam]],N$36, Table1[[HomeTeam]:[HomeTeam]],$A50))), "")</f>
        <v/>
      </c>
      <c r="O50" s="50" t="str">
        <f>IFERROR(((2 * (SUMIFS(Table1[[AwayWon]:[AwayWon]], Table1[[GameIsOver]:[GameIsOver]], 1, Table1[[AwayTeam]:[AwayTeam]], $A50, Table1[[HomeTeam]:[HomeTeam]], O$36) + SUMIFS(Table1[[HomeWon]:[HomeWon]], Table1[[GameIsOver]:[GameIsOver]], 1, Table1[[HomeTeam]:[HomeTeam]], $A50, Table1[[AwayTeam]:[AwayTeam]], O$36))) + (SUMIFS(Table1[[HomeWon]:[HomeWon]], Table1[[GameIsOver]:[GameIsOver]], 1, Table1[[AwayTeam]:[AwayTeam]], $A50, Table1[[HomeTeam]:[HomeTeam]],  O$36, Table1[[ActualResult]:[ActualResult]], "OT") + SUMIFS(Table1[[AwayWon]:[AwayWon]], Table1[[GameIsOver]:[GameIsOver]], 1, Table1[[HomeTeam]:[HomeTeam]], $A50, Table1[[AwayTeam]:[AwayTeam]], O$36, Table1[[ActualResult]:[ActualResult]], "OT") + SUMIFS(Table1[[HomeWon]:[HomeWon]], Table1[[GameIsOver]:[GameIsOver]], 1, Table1[[AwayTeam]:[AwayTeam]], $A50, Table1[[HomeTeam]:[HomeTeam]], O$36, Table1[[ActualResult]:[ActualResult]], "SO") + SUMIFS(Table1[[AwayWon]:[AwayWon]], Table1[[GameIsOver]:[GameIsOver]], 1, Table1[[HomeTeam]:[HomeTeam]], $A50, Table1[[AwayTeam]:[AwayTeam]], O$36, Table1[[ActualResult]:[ActualResult]], "SO")))/ (2*((COUNTIFS(Table1[[GameIsOver]:[GameIsOver]],1,Table1[[AwayTeam]:[AwayTeam]],$A50, Table1[[HomeTeam]:[HomeTeam]], O$36)))+( COUNTIFS(Table1[[GameIsOver]:[GameIsOver]],1,Table1[[AwayTeam]:[AwayTeam]],O$36, Table1[[HomeTeam]:[HomeTeam]],$A50))), "")</f>
        <v/>
      </c>
      <c r="P50" s="50" t="str">
        <f>IFERROR(((2 * (SUMIFS(Table1[[AwayWon]:[AwayWon]], Table1[[GameIsOver]:[GameIsOver]], 1, Table1[[AwayTeam]:[AwayTeam]], $A50, Table1[[HomeTeam]:[HomeTeam]], P$36) + SUMIFS(Table1[[HomeWon]:[HomeWon]], Table1[[GameIsOver]:[GameIsOver]], 1, Table1[[HomeTeam]:[HomeTeam]], $A50, Table1[[AwayTeam]:[AwayTeam]], P$36))) + (SUMIFS(Table1[[HomeWon]:[HomeWon]], Table1[[GameIsOver]:[GameIsOver]], 1, Table1[[AwayTeam]:[AwayTeam]], $A50, Table1[[HomeTeam]:[HomeTeam]],  P$36, Table1[[ActualResult]:[ActualResult]], "OT") + SUMIFS(Table1[[AwayWon]:[AwayWon]], Table1[[GameIsOver]:[GameIsOver]], 1, Table1[[HomeTeam]:[HomeTeam]], $A50, Table1[[AwayTeam]:[AwayTeam]], P$36, Table1[[ActualResult]:[ActualResult]], "OT") + SUMIFS(Table1[[HomeWon]:[HomeWon]], Table1[[GameIsOver]:[GameIsOver]], 1, Table1[[AwayTeam]:[AwayTeam]], $A50, Table1[[HomeTeam]:[HomeTeam]], P$36, Table1[[ActualResult]:[ActualResult]], "SO") + SUMIFS(Table1[[AwayWon]:[AwayWon]], Table1[[GameIsOver]:[GameIsOver]], 1, Table1[[HomeTeam]:[HomeTeam]], $A50, Table1[[AwayTeam]:[AwayTeam]], P$36, Table1[[ActualResult]:[ActualResult]], "SO")))/ (2*((COUNTIFS(Table1[[GameIsOver]:[GameIsOver]],1,Table1[[AwayTeam]:[AwayTeam]],$A50, Table1[[HomeTeam]:[HomeTeam]], P$36)))+( COUNTIFS(Table1[[GameIsOver]:[GameIsOver]],1,Table1[[AwayTeam]:[AwayTeam]],P$36, Table1[[HomeTeam]:[HomeTeam]],$A50))), "")</f>
        <v/>
      </c>
      <c r="Q50" s="52" t="str">
        <f>IFERROR(((2 * (SUMIFS(Table1[[AwayWon]:[AwayWon]], Table1[[GameIsOver]:[GameIsOver]], 1, Table1[[AwayTeam]:[AwayTeam]], $A50, Table1[[HomeTeam]:[HomeTeam]], Q$36) + SUMIFS(Table1[[HomeWon]:[HomeWon]], Table1[[GameIsOver]:[GameIsOver]], 1, Table1[[HomeTeam]:[HomeTeam]], $A50, Table1[[AwayTeam]:[AwayTeam]], Q$36))) + (SUMIFS(Table1[[HomeWon]:[HomeWon]], Table1[[GameIsOver]:[GameIsOver]], 1, Table1[[AwayTeam]:[AwayTeam]], $A50, Table1[[HomeTeam]:[HomeTeam]],  Q$36, Table1[[ActualResult]:[ActualResult]], "OT") + SUMIFS(Table1[[AwayWon]:[AwayWon]], Table1[[GameIsOver]:[GameIsOver]], 1, Table1[[HomeTeam]:[HomeTeam]], $A50, Table1[[AwayTeam]:[AwayTeam]], Q$36, Table1[[ActualResult]:[ActualResult]], "OT") + SUMIFS(Table1[[HomeWon]:[HomeWon]], Table1[[GameIsOver]:[GameIsOver]], 1, Table1[[AwayTeam]:[AwayTeam]], $A50, Table1[[HomeTeam]:[HomeTeam]], Q$36, Table1[[ActualResult]:[ActualResult]], "SO") + SUMIFS(Table1[[AwayWon]:[AwayWon]], Table1[[GameIsOver]:[GameIsOver]], 1, Table1[[HomeTeam]:[HomeTeam]], $A50, Table1[[AwayTeam]:[AwayTeam]], Q$36, Table1[[ActualResult]:[ActualResult]], "SO")))/ (2*((COUNTIFS(Table1[[GameIsOver]:[GameIsOver]],1,Table1[[AwayTeam]:[AwayTeam]],$A50, Table1[[HomeTeam]:[HomeTeam]], Q$36)))+( COUNTIFS(Table1[[GameIsOver]:[GameIsOver]],1,Table1[[AwayTeam]:[AwayTeam]],Q$36, Table1[[HomeTeam]:[HomeTeam]],$A50))), "")</f>
        <v/>
      </c>
      <c r="R50" s="50" t="str">
        <f>IFERROR(((2 * (SUMIFS(Table1[[AwayWon]:[AwayWon]], Table1[[GameIsOver]:[GameIsOver]], 1, Table1[[AwayTeam]:[AwayTeam]], $A50, Table1[[HomeTeam]:[HomeTeam]], R$36) + SUMIFS(Table1[[HomeWon]:[HomeWon]], Table1[[GameIsOver]:[GameIsOver]], 1, Table1[[HomeTeam]:[HomeTeam]], $A50, Table1[[AwayTeam]:[AwayTeam]], R$36))) + (SUMIFS(Table1[[HomeWon]:[HomeWon]], Table1[[GameIsOver]:[GameIsOver]], 1, Table1[[AwayTeam]:[AwayTeam]], $A50, Table1[[HomeTeam]:[HomeTeam]],  R$36, Table1[[ActualResult]:[ActualResult]], "OT") + SUMIFS(Table1[[AwayWon]:[AwayWon]], Table1[[GameIsOver]:[GameIsOver]], 1, Table1[[HomeTeam]:[HomeTeam]], $A50, Table1[[AwayTeam]:[AwayTeam]], R$36, Table1[[ActualResult]:[ActualResult]], "OT") + SUMIFS(Table1[[HomeWon]:[HomeWon]], Table1[[GameIsOver]:[GameIsOver]], 1, Table1[[AwayTeam]:[AwayTeam]], $A50, Table1[[HomeTeam]:[HomeTeam]], R$36, Table1[[ActualResult]:[ActualResult]], "SO") + SUMIFS(Table1[[AwayWon]:[AwayWon]], Table1[[GameIsOver]:[GameIsOver]], 1, Table1[[HomeTeam]:[HomeTeam]], $A50, Table1[[AwayTeam]:[AwayTeam]], R$36, Table1[[ActualResult]:[ActualResult]], "SO")))/ (2*((COUNTIFS(Table1[[GameIsOver]:[GameIsOver]],1,Table1[[AwayTeam]:[AwayTeam]],$A50, Table1[[HomeTeam]:[HomeTeam]], R$36)))+( COUNTIFS(Table1[[GameIsOver]:[GameIsOver]],1,Table1[[AwayTeam]:[AwayTeam]],R$36, Table1[[HomeTeam]:[HomeTeam]],$A50))), "")</f>
        <v/>
      </c>
      <c r="S50" s="50" t="str">
        <f>IFERROR(((2 * (SUMIFS(Table1[[AwayWon]:[AwayWon]], Table1[[GameIsOver]:[GameIsOver]], 1, Table1[[AwayTeam]:[AwayTeam]], $A50, Table1[[HomeTeam]:[HomeTeam]], S$36) + SUMIFS(Table1[[HomeWon]:[HomeWon]], Table1[[GameIsOver]:[GameIsOver]], 1, Table1[[HomeTeam]:[HomeTeam]], $A50, Table1[[AwayTeam]:[AwayTeam]], S$36))) + (SUMIFS(Table1[[HomeWon]:[HomeWon]], Table1[[GameIsOver]:[GameIsOver]], 1, Table1[[AwayTeam]:[AwayTeam]], $A50, Table1[[HomeTeam]:[HomeTeam]],  S$36, Table1[[ActualResult]:[ActualResult]], "OT") + SUMIFS(Table1[[AwayWon]:[AwayWon]], Table1[[GameIsOver]:[GameIsOver]], 1, Table1[[HomeTeam]:[HomeTeam]], $A50, Table1[[AwayTeam]:[AwayTeam]], S$36, Table1[[ActualResult]:[ActualResult]], "OT") + SUMIFS(Table1[[HomeWon]:[HomeWon]], Table1[[GameIsOver]:[GameIsOver]], 1, Table1[[AwayTeam]:[AwayTeam]], $A50, Table1[[HomeTeam]:[HomeTeam]], S$36, Table1[[ActualResult]:[ActualResult]], "SO") + SUMIFS(Table1[[AwayWon]:[AwayWon]], Table1[[GameIsOver]:[GameIsOver]], 1, Table1[[HomeTeam]:[HomeTeam]], $A50, Table1[[AwayTeam]:[AwayTeam]], S$36, Table1[[ActualResult]:[ActualResult]], "SO")))/ (2*((COUNTIFS(Table1[[GameIsOver]:[GameIsOver]],1,Table1[[AwayTeam]:[AwayTeam]],$A50, Table1[[HomeTeam]:[HomeTeam]], S$36)))+( COUNTIFS(Table1[[GameIsOver]:[GameIsOver]],1,Table1[[AwayTeam]:[AwayTeam]],S$36, Table1[[HomeTeam]:[HomeTeam]],$A50))), "")</f>
        <v/>
      </c>
      <c r="T50" s="50" t="str">
        <f>IFERROR(((2 * (SUMIFS(Table1[[AwayWon]:[AwayWon]], Table1[[GameIsOver]:[GameIsOver]], 1, Table1[[AwayTeam]:[AwayTeam]], $A50, Table1[[HomeTeam]:[HomeTeam]], T$36) + SUMIFS(Table1[[HomeWon]:[HomeWon]], Table1[[GameIsOver]:[GameIsOver]], 1, Table1[[HomeTeam]:[HomeTeam]], $A50, Table1[[AwayTeam]:[AwayTeam]], T$36))) + (SUMIFS(Table1[[HomeWon]:[HomeWon]], Table1[[GameIsOver]:[GameIsOver]], 1, Table1[[AwayTeam]:[AwayTeam]], $A50, Table1[[HomeTeam]:[HomeTeam]],  T$36, Table1[[ActualResult]:[ActualResult]], "OT") + SUMIFS(Table1[[AwayWon]:[AwayWon]], Table1[[GameIsOver]:[GameIsOver]], 1, Table1[[HomeTeam]:[HomeTeam]], $A50, Table1[[AwayTeam]:[AwayTeam]], T$36, Table1[[ActualResult]:[ActualResult]], "OT") + SUMIFS(Table1[[HomeWon]:[HomeWon]], Table1[[GameIsOver]:[GameIsOver]], 1, Table1[[AwayTeam]:[AwayTeam]], $A50, Table1[[HomeTeam]:[HomeTeam]], T$36, Table1[[ActualResult]:[ActualResult]], "SO") + SUMIFS(Table1[[AwayWon]:[AwayWon]], Table1[[GameIsOver]:[GameIsOver]], 1, Table1[[HomeTeam]:[HomeTeam]], $A50, Table1[[AwayTeam]:[AwayTeam]], T$36, Table1[[ActualResult]:[ActualResult]], "SO")))/ (2*((COUNTIFS(Table1[[GameIsOver]:[GameIsOver]],1,Table1[[AwayTeam]:[AwayTeam]],$A50, Table1[[HomeTeam]:[HomeTeam]], T$36)))+( COUNTIFS(Table1[[GameIsOver]:[GameIsOver]],1,Table1[[AwayTeam]:[AwayTeam]],T$36, Table1[[HomeTeam]:[HomeTeam]],$A50))), "")</f>
        <v/>
      </c>
      <c r="U50" s="50">
        <f>IFERROR(((2 * (SUMIFS(Table1[[AwayWon]:[AwayWon]], Table1[[GameIsOver]:[GameIsOver]], 1, Table1[[AwayTeam]:[AwayTeam]], $A50, Table1[[HomeTeam]:[HomeTeam]], U$36) + SUMIFS(Table1[[HomeWon]:[HomeWon]], Table1[[GameIsOver]:[GameIsOver]], 1, Table1[[HomeTeam]:[HomeTeam]], $A50, Table1[[AwayTeam]:[AwayTeam]], U$36))) + (SUMIFS(Table1[[HomeWon]:[HomeWon]], Table1[[GameIsOver]:[GameIsOver]], 1, Table1[[AwayTeam]:[AwayTeam]], $A50, Table1[[HomeTeam]:[HomeTeam]],  U$36, Table1[[ActualResult]:[ActualResult]], "OT") + SUMIFS(Table1[[AwayWon]:[AwayWon]], Table1[[GameIsOver]:[GameIsOver]], 1, Table1[[HomeTeam]:[HomeTeam]], $A50, Table1[[AwayTeam]:[AwayTeam]], U$36, Table1[[ActualResult]:[ActualResult]], "OT") + SUMIFS(Table1[[HomeWon]:[HomeWon]], Table1[[GameIsOver]:[GameIsOver]], 1, Table1[[AwayTeam]:[AwayTeam]], $A50, Table1[[HomeTeam]:[HomeTeam]], U$36, Table1[[ActualResult]:[ActualResult]], "SO") + SUMIFS(Table1[[AwayWon]:[AwayWon]], Table1[[GameIsOver]:[GameIsOver]], 1, Table1[[HomeTeam]:[HomeTeam]], $A50, Table1[[AwayTeam]:[AwayTeam]], U$36, Table1[[ActualResult]:[ActualResult]], "SO")))/ (2*((COUNTIFS(Table1[[GameIsOver]:[GameIsOver]],1,Table1[[AwayTeam]:[AwayTeam]],$A50, Table1[[HomeTeam]:[HomeTeam]], U$36)))+( COUNTIFS(Table1[[GameIsOver]:[GameIsOver]],1,Table1[[AwayTeam]:[AwayTeam]],U$36, Table1[[HomeTeam]:[HomeTeam]],$A50))), "")</f>
        <v>1</v>
      </c>
      <c r="V50" s="50" t="str">
        <f>IFERROR(((2 * (SUMIFS(Table1[[AwayWon]:[AwayWon]], Table1[[GameIsOver]:[GameIsOver]], 1, Table1[[AwayTeam]:[AwayTeam]], $A50, Table1[[HomeTeam]:[HomeTeam]], V$36) + SUMIFS(Table1[[HomeWon]:[HomeWon]], Table1[[GameIsOver]:[GameIsOver]], 1, Table1[[HomeTeam]:[HomeTeam]], $A50, Table1[[AwayTeam]:[AwayTeam]], V$36))) + (SUMIFS(Table1[[HomeWon]:[HomeWon]], Table1[[GameIsOver]:[GameIsOver]], 1, Table1[[AwayTeam]:[AwayTeam]], $A50, Table1[[HomeTeam]:[HomeTeam]],  V$36, Table1[[ActualResult]:[ActualResult]], "OT") + SUMIFS(Table1[[AwayWon]:[AwayWon]], Table1[[GameIsOver]:[GameIsOver]], 1, Table1[[HomeTeam]:[HomeTeam]], $A50, Table1[[AwayTeam]:[AwayTeam]], V$36, Table1[[ActualResult]:[ActualResult]], "OT") + SUMIFS(Table1[[HomeWon]:[HomeWon]], Table1[[GameIsOver]:[GameIsOver]], 1, Table1[[AwayTeam]:[AwayTeam]], $A50, Table1[[HomeTeam]:[HomeTeam]], V$36, Table1[[ActualResult]:[ActualResult]], "SO") + SUMIFS(Table1[[AwayWon]:[AwayWon]], Table1[[GameIsOver]:[GameIsOver]], 1, Table1[[HomeTeam]:[HomeTeam]], $A50, Table1[[AwayTeam]:[AwayTeam]], V$36, Table1[[ActualResult]:[ActualResult]], "SO")))/ (2*((COUNTIFS(Table1[[GameIsOver]:[GameIsOver]],1,Table1[[AwayTeam]:[AwayTeam]],$A50, Table1[[HomeTeam]:[HomeTeam]], V$36)))+( COUNTIFS(Table1[[GameIsOver]:[GameIsOver]],1,Table1[[AwayTeam]:[AwayTeam]],V$36, Table1[[HomeTeam]:[HomeTeam]],$A50))), "")</f>
        <v/>
      </c>
      <c r="W50" s="50" t="str">
        <f>IFERROR(((2 * (SUMIFS(Table1[[AwayWon]:[AwayWon]], Table1[[GameIsOver]:[GameIsOver]], 1, Table1[[AwayTeam]:[AwayTeam]], $A50, Table1[[HomeTeam]:[HomeTeam]], W$36) + SUMIFS(Table1[[HomeWon]:[HomeWon]], Table1[[GameIsOver]:[GameIsOver]], 1, Table1[[HomeTeam]:[HomeTeam]], $A50, Table1[[AwayTeam]:[AwayTeam]], W$36))) + (SUMIFS(Table1[[HomeWon]:[HomeWon]], Table1[[GameIsOver]:[GameIsOver]], 1, Table1[[AwayTeam]:[AwayTeam]], $A50, Table1[[HomeTeam]:[HomeTeam]],  W$36, Table1[[ActualResult]:[ActualResult]], "OT") + SUMIFS(Table1[[AwayWon]:[AwayWon]], Table1[[GameIsOver]:[GameIsOver]], 1, Table1[[HomeTeam]:[HomeTeam]], $A50, Table1[[AwayTeam]:[AwayTeam]], W$36, Table1[[ActualResult]:[ActualResult]], "OT") + SUMIFS(Table1[[HomeWon]:[HomeWon]], Table1[[GameIsOver]:[GameIsOver]], 1, Table1[[AwayTeam]:[AwayTeam]], $A50, Table1[[HomeTeam]:[HomeTeam]], W$36, Table1[[ActualResult]:[ActualResult]], "SO") + SUMIFS(Table1[[AwayWon]:[AwayWon]], Table1[[GameIsOver]:[GameIsOver]], 1, Table1[[HomeTeam]:[HomeTeam]], $A50, Table1[[AwayTeam]:[AwayTeam]], W$36, Table1[[ActualResult]:[ActualResult]], "SO")))/ (2*((COUNTIFS(Table1[[GameIsOver]:[GameIsOver]],1,Table1[[AwayTeam]:[AwayTeam]],$A50, Table1[[HomeTeam]:[HomeTeam]], W$36)))+( COUNTIFS(Table1[[GameIsOver]:[GameIsOver]],1,Table1[[AwayTeam]:[AwayTeam]],W$36, Table1[[HomeTeam]:[HomeTeam]],$A50))), "")</f>
        <v/>
      </c>
      <c r="X50" s="50" t="str">
        <f>IFERROR(((2 * (SUMIFS(Table1[[AwayWon]:[AwayWon]], Table1[[GameIsOver]:[GameIsOver]], 1, Table1[[AwayTeam]:[AwayTeam]], $A50, Table1[[HomeTeam]:[HomeTeam]], X$36) + SUMIFS(Table1[[HomeWon]:[HomeWon]], Table1[[GameIsOver]:[GameIsOver]], 1, Table1[[HomeTeam]:[HomeTeam]], $A50, Table1[[AwayTeam]:[AwayTeam]], X$36))) + (SUMIFS(Table1[[HomeWon]:[HomeWon]], Table1[[GameIsOver]:[GameIsOver]], 1, Table1[[AwayTeam]:[AwayTeam]], $A50, Table1[[HomeTeam]:[HomeTeam]],  X$36, Table1[[ActualResult]:[ActualResult]], "OT") + SUMIFS(Table1[[AwayWon]:[AwayWon]], Table1[[GameIsOver]:[GameIsOver]], 1, Table1[[HomeTeam]:[HomeTeam]], $A50, Table1[[AwayTeam]:[AwayTeam]], X$36, Table1[[ActualResult]:[ActualResult]], "OT") + SUMIFS(Table1[[HomeWon]:[HomeWon]], Table1[[GameIsOver]:[GameIsOver]], 1, Table1[[AwayTeam]:[AwayTeam]], $A50, Table1[[HomeTeam]:[HomeTeam]], X$36, Table1[[ActualResult]:[ActualResult]], "SO") + SUMIFS(Table1[[AwayWon]:[AwayWon]], Table1[[GameIsOver]:[GameIsOver]], 1, Table1[[HomeTeam]:[HomeTeam]], $A50, Table1[[AwayTeam]:[AwayTeam]], X$36, Table1[[ActualResult]:[ActualResult]], "SO")))/ (2*((COUNTIFS(Table1[[GameIsOver]:[GameIsOver]],1,Table1[[AwayTeam]:[AwayTeam]],$A50, Table1[[HomeTeam]:[HomeTeam]], X$36)))+( COUNTIFS(Table1[[GameIsOver]:[GameIsOver]],1,Table1[[AwayTeam]:[AwayTeam]],X$36, Table1[[HomeTeam]:[HomeTeam]],$A50))), "")</f>
        <v/>
      </c>
      <c r="Y50" s="52" t="str">
        <f>IFERROR(((2 * (SUMIFS(Table1[[AwayWon]:[AwayWon]], Table1[[GameIsOver]:[GameIsOver]], 1, Table1[[AwayTeam]:[AwayTeam]], $A50, Table1[[HomeTeam]:[HomeTeam]], Y$36) + SUMIFS(Table1[[HomeWon]:[HomeWon]], Table1[[GameIsOver]:[GameIsOver]], 1, Table1[[HomeTeam]:[HomeTeam]], $A50, Table1[[AwayTeam]:[AwayTeam]], Y$36))) + (SUMIFS(Table1[[HomeWon]:[HomeWon]], Table1[[GameIsOver]:[GameIsOver]], 1, Table1[[AwayTeam]:[AwayTeam]], $A50, Table1[[HomeTeam]:[HomeTeam]],  Y$36, Table1[[ActualResult]:[ActualResult]], "OT") + SUMIFS(Table1[[AwayWon]:[AwayWon]], Table1[[GameIsOver]:[GameIsOver]], 1, Table1[[HomeTeam]:[HomeTeam]], $A50, Table1[[AwayTeam]:[AwayTeam]], Y$36, Table1[[ActualResult]:[ActualResult]], "OT") + SUMIFS(Table1[[HomeWon]:[HomeWon]], Table1[[GameIsOver]:[GameIsOver]], 1, Table1[[AwayTeam]:[AwayTeam]], $A50, Table1[[HomeTeam]:[HomeTeam]], Y$36, Table1[[ActualResult]:[ActualResult]], "SO") + SUMIFS(Table1[[AwayWon]:[AwayWon]], Table1[[GameIsOver]:[GameIsOver]], 1, Table1[[HomeTeam]:[HomeTeam]], $A50, Table1[[AwayTeam]:[AwayTeam]], Y$36, Table1[[ActualResult]:[ActualResult]], "SO")))/ (2*((COUNTIFS(Table1[[GameIsOver]:[GameIsOver]],1,Table1[[AwayTeam]:[AwayTeam]],$A50, Table1[[HomeTeam]:[HomeTeam]], Y$36)))+( COUNTIFS(Table1[[GameIsOver]:[GameIsOver]],1,Table1[[AwayTeam]:[AwayTeam]],Y$36, Table1[[HomeTeam]:[HomeTeam]],$A50))), "")</f>
        <v/>
      </c>
      <c r="Z50" s="50" t="str">
        <f>IFERROR(((2 * (SUMIFS(Table1[[AwayWon]:[AwayWon]], Table1[[GameIsOver]:[GameIsOver]], 1, Table1[[AwayTeam]:[AwayTeam]], $A50, Table1[[HomeTeam]:[HomeTeam]], Z$36) + SUMIFS(Table1[[HomeWon]:[HomeWon]], Table1[[GameIsOver]:[GameIsOver]], 1, Table1[[HomeTeam]:[HomeTeam]], $A50, Table1[[AwayTeam]:[AwayTeam]], Z$36))) + (SUMIFS(Table1[[HomeWon]:[HomeWon]], Table1[[GameIsOver]:[GameIsOver]], 1, Table1[[AwayTeam]:[AwayTeam]], $A50, Table1[[HomeTeam]:[HomeTeam]],  Z$36, Table1[[ActualResult]:[ActualResult]], "OT") + SUMIFS(Table1[[AwayWon]:[AwayWon]], Table1[[GameIsOver]:[GameIsOver]], 1, Table1[[HomeTeam]:[HomeTeam]], $A50, Table1[[AwayTeam]:[AwayTeam]], Z$36, Table1[[ActualResult]:[ActualResult]], "OT") + SUMIFS(Table1[[HomeWon]:[HomeWon]], Table1[[GameIsOver]:[GameIsOver]], 1, Table1[[AwayTeam]:[AwayTeam]], $A50, Table1[[HomeTeam]:[HomeTeam]], Z$36, Table1[[ActualResult]:[ActualResult]], "SO") + SUMIFS(Table1[[AwayWon]:[AwayWon]], Table1[[GameIsOver]:[GameIsOver]], 1, Table1[[HomeTeam]:[HomeTeam]], $A50, Table1[[AwayTeam]:[AwayTeam]], Z$36, Table1[[ActualResult]:[ActualResult]], "SO")))/ (2*((COUNTIFS(Table1[[GameIsOver]:[GameIsOver]],1,Table1[[AwayTeam]:[AwayTeam]],$A50, Table1[[HomeTeam]:[HomeTeam]], Z$36)))+( COUNTIFS(Table1[[GameIsOver]:[GameIsOver]],1,Table1[[AwayTeam]:[AwayTeam]],Z$36, Table1[[HomeTeam]:[HomeTeam]],$A50))), "")</f>
        <v/>
      </c>
      <c r="AA50" s="50" t="str">
        <f>IFERROR(((2 * (SUMIFS(Table1[[AwayWon]:[AwayWon]], Table1[[GameIsOver]:[GameIsOver]], 1, Table1[[AwayTeam]:[AwayTeam]], $A50, Table1[[HomeTeam]:[HomeTeam]], AA$36) + SUMIFS(Table1[[HomeWon]:[HomeWon]], Table1[[GameIsOver]:[GameIsOver]], 1, Table1[[HomeTeam]:[HomeTeam]], $A50, Table1[[AwayTeam]:[AwayTeam]], AA$36))) + (SUMIFS(Table1[[HomeWon]:[HomeWon]], Table1[[GameIsOver]:[GameIsOver]], 1, Table1[[AwayTeam]:[AwayTeam]], $A50, Table1[[HomeTeam]:[HomeTeam]],  AA$36, Table1[[ActualResult]:[ActualResult]], "OT") + SUMIFS(Table1[[AwayWon]:[AwayWon]], Table1[[GameIsOver]:[GameIsOver]], 1, Table1[[HomeTeam]:[HomeTeam]], $A50, Table1[[AwayTeam]:[AwayTeam]], AA$36, Table1[[ActualResult]:[ActualResult]], "OT") + SUMIFS(Table1[[HomeWon]:[HomeWon]], Table1[[GameIsOver]:[GameIsOver]], 1, Table1[[AwayTeam]:[AwayTeam]], $A50, Table1[[HomeTeam]:[HomeTeam]], AA$36, Table1[[ActualResult]:[ActualResult]], "SO") + SUMIFS(Table1[[AwayWon]:[AwayWon]], Table1[[GameIsOver]:[GameIsOver]], 1, Table1[[HomeTeam]:[HomeTeam]], $A50, Table1[[AwayTeam]:[AwayTeam]], AA$36, Table1[[ActualResult]:[ActualResult]], "SO")))/ (2*((COUNTIFS(Table1[[GameIsOver]:[GameIsOver]],1,Table1[[AwayTeam]:[AwayTeam]],$A50, Table1[[HomeTeam]:[HomeTeam]], AA$36)))+( COUNTIFS(Table1[[GameIsOver]:[GameIsOver]],1,Table1[[AwayTeam]:[AwayTeam]],AA$36, Table1[[HomeTeam]:[HomeTeam]],$A50))), "")</f>
        <v/>
      </c>
      <c r="AB50" s="50" t="str">
        <f>IFERROR(((2 * (SUMIFS(Table1[[AwayWon]:[AwayWon]], Table1[[GameIsOver]:[GameIsOver]], 1, Table1[[AwayTeam]:[AwayTeam]], $A50, Table1[[HomeTeam]:[HomeTeam]], AB$36) + SUMIFS(Table1[[HomeWon]:[HomeWon]], Table1[[GameIsOver]:[GameIsOver]], 1, Table1[[HomeTeam]:[HomeTeam]], $A50, Table1[[AwayTeam]:[AwayTeam]], AB$36))) + (SUMIFS(Table1[[HomeWon]:[HomeWon]], Table1[[GameIsOver]:[GameIsOver]], 1, Table1[[AwayTeam]:[AwayTeam]], $A50, Table1[[HomeTeam]:[HomeTeam]],  AB$36, Table1[[ActualResult]:[ActualResult]], "OT") + SUMIFS(Table1[[AwayWon]:[AwayWon]], Table1[[GameIsOver]:[GameIsOver]], 1, Table1[[HomeTeam]:[HomeTeam]], $A50, Table1[[AwayTeam]:[AwayTeam]], AB$36, Table1[[ActualResult]:[ActualResult]], "OT") + SUMIFS(Table1[[HomeWon]:[HomeWon]], Table1[[GameIsOver]:[GameIsOver]], 1, Table1[[AwayTeam]:[AwayTeam]], $A50, Table1[[HomeTeam]:[HomeTeam]], AB$36, Table1[[ActualResult]:[ActualResult]], "SO") + SUMIFS(Table1[[AwayWon]:[AwayWon]], Table1[[GameIsOver]:[GameIsOver]], 1, Table1[[HomeTeam]:[HomeTeam]], $A50, Table1[[AwayTeam]:[AwayTeam]], AB$36, Table1[[ActualResult]:[ActualResult]], "SO")))/ (2*((COUNTIFS(Table1[[GameIsOver]:[GameIsOver]],1,Table1[[AwayTeam]:[AwayTeam]],$A50, Table1[[HomeTeam]:[HomeTeam]], AB$36)))+( COUNTIFS(Table1[[GameIsOver]:[GameIsOver]],1,Table1[[AwayTeam]:[AwayTeam]],AB$36, Table1[[HomeTeam]:[HomeTeam]],$A50))), "")</f>
        <v/>
      </c>
      <c r="AC50" s="50" t="str">
        <f>IFERROR(((2 * (SUMIFS(Table1[[AwayWon]:[AwayWon]], Table1[[GameIsOver]:[GameIsOver]], 1, Table1[[AwayTeam]:[AwayTeam]], $A50, Table1[[HomeTeam]:[HomeTeam]], AC$36) + SUMIFS(Table1[[HomeWon]:[HomeWon]], Table1[[GameIsOver]:[GameIsOver]], 1, Table1[[HomeTeam]:[HomeTeam]], $A50, Table1[[AwayTeam]:[AwayTeam]], AC$36))) + (SUMIFS(Table1[[HomeWon]:[HomeWon]], Table1[[GameIsOver]:[GameIsOver]], 1, Table1[[AwayTeam]:[AwayTeam]], $A50, Table1[[HomeTeam]:[HomeTeam]],  AC$36, Table1[[ActualResult]:[ActualResult]], "OT") + SUMIFS(Table1[[AwayWon]:[AwayWon]], Table1[[GameIsOver]:[GameIsOver]], 1, Table1[[HomeTeam]:[HomeTeam]], $A50, Table1[[AwayTeam]:[AwayTeam]], AC$36, Table1[[ActualResult]:[ActualResult]], "OT") + SUMIFS(Table1[[HomeWon]:[HomeWon]], Table1[[GameIsOver]:[GameIsOver]], 1, Table1[[AwayTeam]:[AwayTeam]], $A50, Table1[[HomeTeam]:[HomeTeam]], AC$36, Table1[[ActualResult]:[ActualResult]], "SO") + SUMIFS(Table1[[AwayWon]:[AwayWon]], Table1[[GameIsOver]:[GameIsOver]], 1, Table1[[HomeTeam]:[HomeTeam]], $A50, Table1[[AwayTeam]:[AwayTeam]], AC$36, Table1[[ActualResult]:[ActualResult]], "SO")))/ (2*((COUNTIFS(Table1[[GameIsOver]:[GameIsOver]],1,Table1[[AwayTeam]:[AwayTeam]],$A50, Table1[[HomeTeam]:[HomeTeam]], AC$36)))+( COUNTIFS(Table1[[GameIsOver]:[GameIsOver]],1,Table1[[AwayTeam]:[AwayTeam]],AC$36, Table1[[HomeTeam]:[HomeTeam]],$A50))), "")</f>
        <v/>
      </c>
      <c r="AD50" s="50" t="str">
        <f>IFERROR(((2 * (SUMIFS(Table1[[AwayWon]:[AwayWon]], Table1[[GameIsOver]:[GameIsOver]], 1, Table1[[AwayTeam]:[AwayTeam]], $A50, Table1[[HomeTeam]:[HomeTeam]], AD$36) + SUMIFS(Table1[[HomeWon]:[HomeWon]], Table1[[GameIsOver]:[GameIsOver]], 1, Table1[[HomeTeam]:[HomeTeam]], $A50, Table1[[AwayTeam]:[AwayTeam]], AD$36))) + (SUMIFS(Table1[[HomeWon]:[HomeWon]], Table1[[GameIsOver]:[GameIsOver]], 1, Table1[[AwayTeam]:[AwayTeam]], $A50, Table1[[HomeTeam]:[HomeTeam]],  AD$36, Table1[[ActualResult]:[ActualResult]], "OT") + SUMIFS(Table1[[AwayWon]:[AwayWon]], Table1[[GameIsOver]:[GameIsOver]], 1, Table1[[HomeTeam]:[HomeTeam]], $A50, Table1[[AwayTeam]:[AwayTeam]], AD$36, Table1[[ActualResult]:[ActualResult]], "OT") + SUMIFS(Table1[[HomeWon]:[HomeWon]], Table1[[GameIsOver]:[GameIsOver]], 1, Table1[[AwayTeam]:[AwayTeam]], $A50, Table1[[HomeTeam]:[HomeTeam]], AD$36, Table1[[ActualResult]:[ActualResult]], "SO") + SUMIFS(Table1[[AwayWon]:[AwayWon]], Table1[[GameIsOver]:[GameIsOver]], 1, Table1[[HomeTeam]:[HomeTeam]], $A50, Table1[[AwayTeam]:[AwayTeam]], AD$36, Table1[[ActualResult]:[ActualResult]], "SO")))/ (2*((COUNTIFS(Table1[[GameIsOver]:[GameIsOver]],1,Table1[[AwayTeam]:[AwayTeam]],$A50, Table1[[HomeTeam]:[HomeTeam]], AD$36)))+( COUNTIFS(Table1[[GameIsOver]:[GameIsOver]],1,Table1[[AwayTeam]:[AwayTeam]],AD$36, Table1[[HomeTeam]:[HomeTeam]],$A50))), "")</f>
        <v/>
      </c>
      <c r="AE50" s="50" t="str">
        <f>IFERROR(((2 * (SUMIFS(Table1[[AwayWon]:[AwayWon]], Table1[[GameIsOver]:[GameIsOver]], 1, Table1[[AwayTeam]:[AwayTeam]], $A50, Table1[[HomeTeam]:[HomeTeam]], AE$36) + SUMIFS(Table1[[HomeWon]:[HomeWon]], Table1[[GameIsOver]:[GameIsOver]], 1, Table1[[HomeTeam]:[HomeTeam]], $A50, Table1[[AwayTeam]:[AwayTeam]], AE$36))) + (SUMIFS(Table1[[HomeWon]:[HomeWon]], Table1[[GameIsOver]:[GameIsOver]], 1, Table1[[AwayTeam]:[AwayTeam]], $A50, Table1[[HomeTeam]:[HomeTeam]],  AE$36, Table1[[ActualResult]:[ActualResult]], "OT") + SUMIFS(Table1[[AwayWon]:[AwayWon]], Table1[[GameIsOver]:[GameIsOver]], 1, Table1[[HomeTeam]:[HomeTeam]], $A50, Table1[[AwayTeam]:[AwayTeam]], AE$36, Table1[[ActualResult]:[ActualResult]], "OT") + SUMIFS(Table1[[HomeWon]:[HomeWon]], Table1[[GameIsOver]:[GameIsOver]], 1, Table1[[AwayTeam]:[AwayTeam]], $A50, Table1[[HomeTeam]:[HomeTeam]], AE$36, Table1[[ActualResult]:[ActualResult]], "SO") + SUMIFS(Table1[[AwayWon]:[AwayWon]], Table1[[GameIsOver]:[GameIsOver]], 1, Table1[[HomeTeam]:[HomeTeam]], $A50, Table1[[AwayTeam]:[AwayTeam]], AE$36, Table1[[ActualResult]:[ActualResult]], "SO")))/ (2*((COUNTIFS(Table1[[GameIsOver]:[GameIsOver]],1,Table1[[AwayTeam]:[AwayTeam]],$A50, Table1[[HomeTeam]:[HomeTeam]], AE$36)))+( COUNTIFS(Table1[[GameIsOver]:[GameIsOver]],1,Table1[[AwayTeam]:[AwayTeam]],AE$36, Table1[[HomeTeam]:[HomeTeam]],$A50))), "")</f>
        <v/>
      </c>
      <c r="AF50" s="50" t="str">
        <f>IFERROR(((2 * (SUMIFS(Table1[[AwayWon]:[AwayWon]], Table1[[GameIsOver]:[GameIsOver]], 1, Table1[[AwayTeam]:[AwayTeam]], $A50, Table1[[HomeTeam]:[HomeTeam]], AF$36) + SUMIFS(Table1[[HomeWon]:[HomeWon]], Table1[[GameIsOver]:[GameIsOver]], 1, Table1[[HomeTeam]:[HomeTeam]], $A50, Table1[[AwayTeam]:[AwayTeam]], AF$36))) + (SUMIFS(Table1[[HomeWon]:[HomeWon]], Table1[[GameIsOver]:[GameIsOver]], 1, Table1[[AwayTeam]:[AwayTeam]], $A50, Table1[[HomeTeam]:[HomeTeam]],  AF$36, Table1[[ActualResult]:[ActualResult]], "OT") + SUMIFS(Table1[[AwayWon]:[AwayWon]], Table1[[GameIsOver]:[GameIsOver]], 1, Table1[[HomeTeam]:[HomeTeam]], $A50, Table1[[AwayTeam]:[AwayTeam]], AF$36, Table1[[ActualResult]:[ActualResult]], "OT") + SUMIFS(Table1[[HomeWon]:[HomeWon]], Table1[[GameIsOver]:[GameIsOver]], 1, Table1[[AwayTeam]:[AwayTeam]], $A50, Table1[[HomeTeam]:[HomeTeam]], AF$36, Table1[[ActualResult]:[ActualResult]], "SO") + SUMIFS(Table1[[AwayWon]:[AwayWon]], Table1[[GameIsOver]:[GameIsOver]], 1, Table1[[HomeTeam]:[HomeTeam]], $A50, Table1[[AwayTeam]:[AwayTeam]], AF$36, Table1[[ActualResult]:[ActualResult]], "SO")))/ (2*((COUNTIFS(Table1[[GameIsOver]:[GameIsOver]],1,Table1[[AwayTeam]:[AwayTeam]],$A50, Table1[[HomeTeam]:[HomeTeam]], AF$36)))+( COUNTIFS(Table1[[GameIsOver]:[GameIsOver]],1,Table1[[AwayTeam]:[AwayTeam]],AF$36, Table1[[HomeTeam]:[HomeTeam]],$A50))), "")</f>
        <v/>
      </c>
      <c r="AG50" s="50" t="str">
        <f>IFERROR(((2 * (SUMIFS(Table1[[AwayWon]:[AwayWon]], Table1[[GameIsOver]:[GameIsOver]], 1, Table1[[AwayTeam]:[AwayTeam]], $A50, Table1[[HomeTeam]:[HomeTeam]], AG$36) + SUMIFS(Table1[[HomeWon]:[HomeWon]], Table1[[GameIsOver]:[GameIsOver]], 1, Table1[[HomeTeam]:[HomeTeam]], $A50, Table1[[AwayTeam]:[AwayTeam]], AG$36))) + (SUMIFS(Table1[[HomeWon]:[HomeWon]], Table1[[GameIsOver]:[GameIsOver]], 1, Table1[[AwayTeam]:[AwayTeam]], $A50, Table1[[HomeTeam]:[HomeTeam]],  AG$36, Table1[[ActualResult]:[ActualResult]], "OT") + SUMIFS(Table1[[AwayWon]:[AwayWon]], Table1[[GameIsOver]:[GameIsOver]], 1, Table1[[HomeTeam]:[HomeTeam]], $A50, Table1[[AwayTeam]:[AwayTeam]], AG$36, Table1[[ActualResult]:[ActualResult]], "OT") + SUMIFS(Table1[[HomeWon]:[HomeWon]], Table1[[GameIsOver]:[GameIsOver]], 1, Table1[[AwayTeam]:[AwayTeam]], $A50, Table1[[HomeTeam]:[HomeTeam]], AG$36, Table1[[ActualResult]:[ActualResult]], "SO") + SUMIFS(Table1[[AwayWon]:[AwayWon]], Table1[[GameIsOver]:[GameIsOver]], 1, Table1[[HomeTeam]:[HomeTeam]], $A50, Table1[[AwayTeam]:[AwayTeam]], AG$36, Table1[[ActualResult]:[ActualResult]], "SO")))/ (2*((COUNTIFS(Table1[[GameIsOver]:[GameIsOver]],1,Table1[[AwayTeam]:[AwayTeam]],$A50, Table1[[HomeTeam]:[HomeTeam]], AG$36)))+( COUNTIFS(Table1[[GameIsOver]:[GameIsOver]],1,Table1[[AwayTeam]:[AwayTeam]],AG$36, Table1[[HomeTeam]:[HomeTeam]],$A50))), "")</f>
        <v/>
      </c>
      <c r="AH50" s="51">
        <f t="shared" si="0"/>
        <v>1</v>
      </c>
      <c r="AI50" s="51" t="e">
        <f t="shared" si="1"/>
        <v>#DIV/0!</v>
      </c>
      <c r="AJ50" s="52" t="e">
        <f t="shared" si="2"/>
        <v>#DIV/0!</v>
      </c>
      <c r="AK50" s="52">
        <f t="shared" si="3"/>
        <v>1</v>
      </c>
      <c r="AL50" s="52" t="e">
        <f t="shared" si="4"/>
        <v>#DIV/0!</v>
      </c>
      <c r="AM50" s="52" t="e">
        <f t="shared" si="5"/>
        <v>#DIV/0!</v>
      </c>
    </row>
    <row r="51" spans="1:39" x14ac:dyDescent="0.25">
      <c r="A51" s="28" t="s">
        <v>58</v>
      </c>
      <c r="B51" s="50" t="str">
        <f>IFERROR(((2 * (SUMIFS(Table1[[AwayWon]:[AwayWon]], Table1[[GameIsOver]:[GameIsOver]], 1, Table1[[AwayTeam]:[AwayTeam]], $A51, Table1[[HomeTeam]:[HomeTeam]], B$36) + SUMIFS(Table1[[HomeWon]:[HomeWon]], Table1[[GameIsOver]:[GameIsOver]], 1, Table1[[HomeTeam]:[HomeTeam]], $A51, Table1[[AwayTeam]:[AwayTeam]], B$36))) + (SUMIFS(Table1[[HomeWon]:[HomeWon]], Table1[[GameIsOver]:[GameIsOver]], 1, Table1[[AwayTeam]:[AwayTeam]], $A51, Table1[[HomeTeam]:[HomeTeam]],  B$36, Table1[[ActualResult]:[ActualResult]], "OT") + SUMIFS(Table1[[AwayWon]:[AwayWon]], Table1[[GameIsOver]:[GameIsOver]], 1, Table1[[HomeTeam]:[HomeTeam]], $A51, Table1[[AwayTeam]:[AwayTeam]], B$36, Table1[[ActualResult]:[ActualResult]], "OT") + SUMIFS(Table1[[HomeWon]:[HomeWon]], Table1[[GameIsOver]:[GameIsOver]], 1, Table1[[AwayTeam]:[AwayTeam]], $A51, Table1[[HomeTeam]:[HomeTeam]], B$36, Table1[[ActualResult]:[ActualResult]], "SO") + SUMIFS(Table1[[AwayWon]:[AwayWon]], Table1[[GameIsOver]:[GameIsOver]], 1, Table1[[HomeTeam]:[HomeTeam]], $A51, Table1[[AwayTeam]:[AwayTeam]], B$36, Table1[[ActualResult]:[ActualResult]], "SO")))/ (2*((COUNTIFS(Table1[[GameIsOver]:[GameIsOver]],1,Table1[[AwayTeam]:[AwayTeam]],$A51, Table1[[HomeTeam]:[HomeTeam]], B$36)))+( COUNTIFS(Table1[[GameIsOver]:[GameIsOver]],1,Table1[[AwayTeam]:[AwayTeam]],B$36, Table1[[HomeTeam]:[HomeTeam]],$A51))), "")</f>
        <v/>
      </c>
      <c r="C51" s="50" t="str">
        <f>IFERROR(((2 * (SUMIFS(Table1[[AwayWon]:[AwayWon]], Table1[[GameIsOver]:[GameIsOver]], 1, Table1[[AwayTeam]:[AwayTeam]], $A51, Table1[[HomeTeam]:[HomeTeam]], C$36) + SUMIFS(Table1[[HomeWon]:[HomeWon]], Table1[[GameIsOver]:[GameIsOver]], 1, Table1[[HomeTeam]:[HomeTeam]], $A51, Table1[[AwayTeam]:[AwayTeam]], C$36))) + (SUMIFS(Table1[[HomeWon]:[HomeWon]], Table1[[GameIsOver]:[GameIsOver]], 1, Table1[[AwayTeam]:[AwayTeam]], $A51, Table1[[HomeTeam]:[HomeTeam]],  C$36, Table1[[ActualResult]:[ActualResult]], "OT") + SUMIFS(Table1[[AwayWon]:[AwayWon]], Table1[[GameIsOver]:[GameIsOver]], 1, Table1[[HomeTeam]:[HomeTeam]], $A51, Table1[[AwayTeam]:[AwayTeam]], C$36, Table1[[ActualResult]:[ActualResult]], "OT") + SUMIFS(Table1[[HomeWon]:[HomeWon]], Table1[[GameIsOver]:[GameIsOver]], 1, Table1[[AwayTeam]:[AwayTeam]], $A51, Table1[[HomeTeam]:[HomeTeam]], C$36, Table1[[ActualResult]:[ActualResult]], "SO") + SUMIFS(Table1[[AwayWon]:[AwayWon]], Table1[[GameIsOver]:[GameIsOver]], 1, Table1[[HomeTeam]:[HomeTeam]], $A51, Table1[[AwayTeam]:[AwayTeam]], C$36, Table1[[ActualResult]:[ActualResult]], "SO")))/ (2*((COUNTIFS(Table1[[GameIsOver]:[GameIsOver]],1,Table1[[AwayTeam]:[AwayTeam]],$A51, Table1[[HomeTeam]:[HomeTeam]], C$36)))+( COUNTIFS(Table1[[GameIsOver]:[GameIsOver]],1,Table1[[AwayTeam]:[AwayTeam]],C$36, Table1[[HomeTeam]:[HomeTeam]],$A51))), "")</f>
        <v/>
      </c>
      <c r="D51" s="50" t="str">
        <f>IFERROR(((2 * (SUMIFS(Table1[[AwayWon]:[AwayWon]], Table1[[GameIsOver]:[GameIsOver]], 1, Table1[[AwayTeam]:[AwayTeam]], $A51, Table1[[HomeTeam]:[HomeTeam]], D$36) + SUMIFS(Table1[[HomeWon]:[HomeWon]], Table1[[GameIsOver]:[GameIsOver]], 1, Table1[[HomeTeam]:[HomeTeam]], $A51, Table1[[AwayTeam]:[AwayTeam]], D$36))) + (SUMIFS(Table1[[HomeWon]:[HomeWon]], Table1[[GameIsOver]:[GameIsOver]], 1, Table1[[AwayTeam]:[AwayTeam]], $A51, Table1[[HomeTeam]:[HomeTeam]],  D$36, Table1[[ActualResult]:[ActualResult]], "OT") + SUMIFS(Table1[[AwayWon]:[AwayWon]], Table1[[GameIsOver]:[GameIsOver]], 1, Table1[[HomeTeam]:[HomeTeam]], $A51, Table1[[AwayTeam]:[AwayTeam]], D$36, Table1[[ActualResult]:[ActualResult]], "OT") + SUMIFS(Table1[[HomeWon]:[HomeWon]], Table1[[GameIsOver]:[GameIsOver]], 1, Table1[[AwayTeam]:[AwayTeam]], $A51, Table1[[HomeTeam]:[HomeTeam]], D$36, Table1[[ActualResult]:[ActualResult]], "SO") + SUMIFS(Table1[[AwayWon]:[AwayWon]], Table1[[GameIsOver]:[GameIsOver]], 1, Table1[[HomeTeam]:[HomeTeam]], $A51, Table1[[AwayTeam]:[AwayTeam]], D$36, Table1[[ActualResult]:[ActualResult]], "SO")))/ (2*((COUNTIFS(Table1[[GameIsOver]:[GameIsOver]],1,Table1[[AwayTeam]:[AwayTeam]],$A51, Table1[[HomeTeam]:[HomeTeam]], D$36)))+( COUNTIFS(Table1[[GameIsOver]:[GameIsOver]],1,Table1[[AwayTeam]:[AwayTeam]],D$36, Table1[[HomeTeam]:[HomeTeam]],$A51))), "")</f>
        <v/>
      </c>
      <c r="E51" s="50" t="str">
        <f>IFERROR(((2 * (SUMIFS(Table1[[AwayWon]:[AwayWon]], Table1[[GameIsOver]:[GameIsOver]], 1, Table1[[AwayTeam]:[AwayTeam]], $A51, Table1[[HomeTeam]:[HomeTeam]], E$36) + SUMIFS(Table1[[HomeWon]:[HomeWon]], Table1[[GameIsOver]:[GameIsOver]], 1, Table1[[HomeTeam]:[HomeTeam]], $A51, Table1[[AwayTeam]:[AwayTeam]], E$36))) + (SUMIFS(Table1[[HomeWon]:[HomeWon]], Table1[[GameIsOver]:[GameIsOver]], 1, Table1[[AwayTeam]:[AwayTeam]], $A51, Table1[[HomeTeam]:[HomeTeam]],  E$36, Table1[[ActualResult]:[ActualResult]], "OT") + SUMIFS(Table1[[AwayWon]:[AwayWon]], Table1[[GameIsOver]:[GameIsOver]], 1, Table1[[HomeTeam]:[HomeTeam]], $A51, Table1[[AwayTeam]:[AwayTeam]], E$36, Table1[[ActualResult]:[ActualResult]], "OT") + SUMIFS(Table1[[HomeWon]:[HomeWon]], Table1[[GameIsOver]:[GameIsOver]], 1, Table1[[AwayTeam]:[AwayTeam]], $A51, Table1[[HomeTeam]:[HomeTeam]], E$36, Table1[[ActualResult]:[ActualResult]], "SO") + SUMIFS(Table1[[AwayWon]:[AwayWon]], Table1[[GameIsOver]:[GameIsOver]], 1, Table1[[HomeTeam]:[HomeTeam]], $A51, Table1[[AwayTeam]:[AwayTeam]], E$36, Table1[[ActualResult]:[ActualResult]], "SO")))/ (2*((COUNTIFS(Table1[[GameIsOver]:[GameIsOver]],1,Table1[[AwayTeam]:[AwayTeam]],$A51, Table1[[HomeTeam]:[HomeTeam]], E$36)))+( COUNTIFS(Table1[[GameIsOver]:[GameIsOver]],1,Table1[[AwayTeam]:[AwayTeam]],E$36, Table1[[HomeTeam]:[HomeTeam]],$A51))), "")</f>
        <v/>
      </c>
      <c r="F51" s="50" t="str">
        <f>IFERROR(((2 * (SUMIFS(Table1[[AwayWon]:[AwayWon]], Table1[[GameIsOver]:[GameIsOver]], 1, Table1[[AwayTeam]:[AwayTeam]], $A51, Table1[[HomeTeam]:[HomeTeam]], F$36) + SUMIFS(Table1[[HomeWon]:[HomeWon]], Table1[[GameIsOver]:[GameIsOver]], 1, Table1[[HomeTeam]:[HomeTeam]], $A51, Table1[[AwayTeam]:[AwayTeam]], F$36))) + (SUMIFS(Table1[[HomeWon]:[HomeWon]], Table1[[GameIsOver]:[GameIsOver]], 1, Table1[[AwayTeam]:[AwayTeam]], $A51, Table1[[HomeTeam]:[HomeTeam]],  F$36, Table1[[ActualResult]:[ActualResult]], "OT") + SUMIFS(Table1[[AwayWon]:[AwayWon]], Table1[[GameIsOver]:[GameIsOver]], 1, Table1[[HomeTeam]:[HomeTeam]], $A51, Table1[[AwayTeam]:[AwayTeam]], F$36, Table1[[ActualResult]:[ActualResult]], "OT") + SUMIFS(Table1[[HomeWon]:[HomeWon]], Table1[[GameIsOver]:[GameIsOver]], 1, Table1[[AwayTeam]:[AwayTeam]], $A51, Table1[[HomeTeam]:[HomeTeam]], F$36, Table1[[ActualResult]:[ActualResult]], "SO") + SUMIFS(Table1[[AwayWon]:[AwayWon]], Table1[[GameIsOver]:[GameIsOver]], 1, Table1[[HomeTeam]:[HomeTeam]], $A51, Table1[[AwayTeam]:[AwayTeam]], F$36, Table1[[ActualResult]:[ActualResult]], "SO")))/ (2*((COUNTIFS(Table1[[GameIsOver]:[GameIsOver]],1,Table1[[AwayTeam]:[AwayTeam]],$A51, Table1[[HomeTeam]:[HomeTeam]], F$36)))+( COUNTIFS(Table1[[GameIsOver]:[GameIsOver]],1,Table1[[AwayTeam]:[AwayTeam]],F$36, Table1[[HomeTeam]:[HomeTeam]],$A51))), "")</f>
        <v/>
      </c>
      <c r="G51" s="50" t="str">
        <f>IFERROR(((2 * (SUMIFS(Table1[[AwayWon]:[AwayWon]], Table1[[GameIsOver]:[GameIsOver]], 1, Table1[[AwayTeam]:[AwayTeam]], $A51, Table1[[HomeTeam]:[HomeTeam]], G$36) + SUMIFS(Table1[[HomeWon]:[HomeWon]], Table1[[GameIsOver]:[GameIsOver]], 1, Table1[[HomeTeam]:[HomeTeam]], $A51, Table1[[AwayTeam]:[AwayTeam]], G$36))) + (SUMIFS(Table1[[HomeWon]:[HomeWon]], Table1[[GameIsOver]:[GameIsOver]], 1, Table1[[AwayTeam]:[AwayTeam]], $A51, Table1[[HomeTeam]:[HomeTeam]],  G$36, Table1[[ActualResult]:[ActualResult]], "OT") + SUMIFS(Table1[[AwayWon]:[AwayWon]], Table1[[GameIsOver]:[GameIsOver]], 1, Table1[[HomeTeam]:[HomeTeam]], $A51, Table1[[AwayTeam]:[AwayTeam]], G$36, Table1[[ActualResult]:[ActualResult]], "OT") + SUMIFS(Table1[[HomeWon]:[HomeWon]], Table1[[GameIsOver]:[GameIsOver]], 1, Table1[[AwayTeam]:[AwayTeam]], $A51, Table1[[HomeTeam]:[HomeTeam]], G$36, Table1[[ActualResult]:[ActualResult]], "SO") + SUMIFS(Table1[[AwayWon]:[AwayWon]], Table1[[GameIsOver]:[GameIsOver]], 1, Table1[[HomeTeam]:[HomeTeam]], $A51, Table1[[AwayTeam]:[AwayTeam]], G$36, Table1[[ActualResult]:[ActualResult]], "SO")))/ (2*((COUNTIFS(Table1[[GameIsOver]:[GameIsOver]],1,Table1[[AwayTeam]:[AwayTeam]],$A51, Table1[[HomeTeam]:[HomeTeam]], G$36)))+( COUNTIFS(Table1[[GameIsOver]:[GameIsOver]],1,Table1[[AwayTeam]:[AwayTeam]],G$36, Table1[[HomeTeam]:[HomeTeam]],$A51))), "")</f>
        <v/>
      </c>
      <c r="H51" s="50" t="str">
        <f>IFERROR(((2 * (SUMIFS(Table1[[AwayWon]:[AwayWon]], Table1[[GameIsOver]:[GameIsOver]], 1, Table1[[AwayTeam]:[AwayTeam]], $A51, Table1[[HomeTeam]:[HomeTeam]], H$36) + SUMIFS(Table1[[HomeWon]:[HomeWon]], Table1[[GameIsOver]:[GameIsOver]], 1, Table1[[HomeTeam]:[HomeTeam]], $A51, Table1[[AwayTeam]:[AwayTeam]], H$36))) + (SUMIFS(Table1[[HomeWon]:[HomeWon]], Table1[[GameIsOver]:[GameIsOver]], 1, Table1[[AwayTeam]:[AwayTeam]], $A51, Table1[[HomeTeam]:[HomeTeam]],  H$36, Table1[[ActualResult]:[ActualResult]], "OT") + SUMIFS(Table1[[AwayWon]:[AwayWon]], Table1[[GameIsOver]:[GameIsOver]], 1, Table1[[HomeTeam]:[HomeTeam]], $A51, Table1[[AwayTeam]:[AwayTeam]], H$36, Table1[[ActualResult]:[ActualResult]], "OT") + SUMIFS(Table1[[HomeWon]:[HomeWon]], Table1[[GameIsOver]:[GameIsOver]], 1, Table1[[AwayTeam]:[AwayTeam]], $A51, Table1[[HomeTeam]:[HomeTeam]], H$36, Table1[[ActualResult]:[ActualResult]], "SO") + SUMIFS(Table1[[AwayWon]:[AwayWon]], Table1[[GameIsOver]:[GameIsOver]], 1, Table1[[HomeTeam]:[HomeTeam]], $A51, Table1[[AwayTeam]:[AwayTeam]], H$36, Table1[[ActualResult]:[ActualResult]], "SO")))/ (2*((COUNTIFS(Table1[[GameIsOver]:[GameIsOver]],1,Table1[[AwayTeam]:[AwayTeam]],$A51, Table1[[HomeTeam]:[HomeTeam]], H$36)))+( COUNTIFS(Table1[[GameIsOver]:[GameIsOver]],1,Table1[[AwayTeam]:[AwayTeam]],H$36, Table1[[HomeTeam]:[HomeTeam]],$A51))), "")</f>
        <v/>
      </c>
      <c r="I51" s="52" t="str">
        <f>IFERROR(((2 * (SUMIFS(Table1[[AwayWon]:[AwayWon]], Table1[[GameIsOver]:[GameIsOver]], 1, Table1[[AwayTeam]:[AwayTeam]], $A51, Table1[[HomeTeam]:[HomeTeam]], I$36) + SUMIFS(Table1[[HomeWon]:[HomeWon]], Table1[[GameIsOver]:[GameIsOver]], 1, Table1[[HomeTeam]:[HomeTeam]], $A51, Table1[[AwayTeam]:[AwayTeam]], I$36))) + (SUMIFS(Table1[[HomeWon]:[HomeWon]], Table1[[GameIsOver]:[GameIsOver]], 1, Table1[[AwayTeam]:[AwayTeam]], $A51, Table1[[HomeTeam]:[HomeTeam]],  I$36, Table1[[ActualResult]:[ActualResult]], "OT") + SUMIFS(Table1[[AwayWon]:[AwayWon]], Table1[[GameIsOver]:[GameIsOver]], 1, Table1[[HomeTeam]:[HomeTeam]], $A51, Table1[[AwayTeam]:[AwayTeam]], I$36, Table1[[ActualResult]:[ActualResult]], "OT") + SUMIFS(Table1[[HomeWon]:[HomeWon]], Table1[[GameIsOver]:[GameIsOver]], 1, Table1[[AwayTeam]:[AwayTeam]], $A51, Table1[[HomeTeam]:[HomeTeam]], I$36, Table1[[ActualResult]:[ActualResult]], "SO") + SUMIFS(Table1[[AwayWon]:[AwayWon]], Table1[[GameIsOver]:[GameIsOver]], 1, Table1[[HomeTeam]:[HomeTeam]], $A51, Table1[[AwayTeam]:[AwayTeam]], I$36, Table1[[ActualResult]:[ActualResult]], "SO")))/ (2*((COUNTIFS(Table1[[GameIsOver]:[GameIsOver]],1,Table1[[AwayTeam]:[AwayTeam]],$A51, Table1[[HomeTeam]:[HomeTeam]], I$36)))+( COUNTIFS(Table1[[GameIsOver]:[GameIsOver]],1,Table1[[AwayTeam]:[AwayTeam]],I$36, Table1[[HomeTeam]:[HomeTeam]],$A51))), "")</f>
        <v/>
      </c>
      <c r="J51" s="50" t="str">
        <f>IFERROR(((2 * (SUMIFS(Table1[[AwayWon]:[AwayWon]], Table1[[GameIsOver]:[GameIsOver]], 1, Table1[[AwayTeam]:[AwayTeam]], $A51, Table1[[HomeTeam]:[HomeTeam]], J$36) + SUMIFS(Table1[[HomeWon]:[HomeWon]], Table1[[GameIsOver]:[GameIsOver]], 1, Table1[[HomeTeam]:[HomeTeam]], $A51, Table1[[AwayTeam]:[AwayTeam]], J$36))) + (SUMIFS(Table1[[HomeWon]:[HomeWon]], Table1[[GameIsOver]:[GameIsOver]], 1, Table1[[AwayTeam]:[AwayTeam]], $A51, Table1[[HomeTeam]:[HomeTeam]],  J$36, Table1[[ActualResult]:[ActualResult]], "OT") + SUMIFS(Table1[[AwayWon]:[AwayWon]], Table1[[GameIsOver]:[GameIsOver]], 1, Table1[[HomeTeam]:[HomeTeam]], $A51, Table1[[AwayTeam]:[AwayTeam]], J$36, Table1[[ActualResult]:[ActualResult]], "OT") + SUMIFS(Table1[[HomeWon]:[HomeWon]], Table1[[GameIsOver]:[GameIsOver]], 1, Table1[[AwayTeam]:[AwayTeam]], $A51, Table1[[HomeTeam]:[HomeTeam]], J$36, Table1[[ActualResult]:[ActualResult]], "SO") + SUMIFS(Table1[[AwayWon]:[AwayWon]], Table1[[GameIsOver]:[GameIsOver]], 1, Table1[[HomeTeam]:[HomeTeam]], $A51, Table1[[AwayTeam]:[AwayTeam]], J$36, Table1[[ActualResult]:[ActualResult]], "SO")))/ (2*((COUNTIFS(Table1[[GameIsOver]:[GameIsOver]],1,Table1[[AwayTeam]:[AwayTeam]],$A51, Table1[[HomeTeam]:[HomeTeam]], J$36)))+( COUNTIFS(Table1[[GameIsOver]:[GameIsOver]],1,Table1[[AwayTeam]:[AwayTeam]],J$36, Table1[[HomeTeam]:[HomeTeam]],$A51))), "")</f>
        <v/>
      </c>
      <c r="K51" s="50" t="str">
        <f>IFERROR(((2 * (SUMIFS(Table1[[AwayWon]:[AwayWon]], Table1[[GameIsOver]:[GameIsOver]], 1, Table1[[AwayTeam]:[AwayTeam]], $A51, Table1[[HomeTeam]:[HomeTeam]], K$36) + SUMIFS(Table1[[HomeWon]:[HomeWon]], Table1[[GameIsOver]:[GameIsOver]], 1, Table1[[HomeTeam]:[HomeTeam]], $A51, Table1[[AwayTeam]:[AwayTeam]], K$36))) + (SUMIFS(Table1[[HomeWon]:[HomeWon]], Table1[[GameIsOver]:[GameIsOver]], 1, Table1[[AwayTeam]:[AwayTeam]], $A51, Table1[[HomeTeam]:[HomeTeam]],  K$36, Table1[[ActualResult]:[ActualResult]], "OT") + SUMIFS(Table1[[AwayWon]:[AwayWon]], Table1[[GameIsOver]:[GameIsOver]], 1, Table1[[HomeTeam]:[HomeTeam]], $A51, Table1[[AwayTeam]:[AwayTeam]], K$36, Table1[[ActualResult]:[ActualResult]], "OT") + SUMIFS(Table1[[HomeWon]:[HomeWon]], Table1[[GameIsOver]:[GameIsOver]], 1, Table1[[AwayTeam]:[AwayTeam]], $A51, Table1[[HomeTeam]:[HomeTeam]], K$36, Table1[[ActualResult]:[ActualResult]], "SO") + SUMIFS(Table1[[AwayWon]:[AwayWon]], Table1[[GameIsOver]:[GameIsOver]], 1, Table1[[HomeTeam]:[HomeTeam]], $A51, Table1[[AwayTeam]:[AwayTeam]], K$36, Table1[[ActualResult]:[ActualResult]], "SO")))/ (2*((COUNTIFS(Table1[[GameIsOver]:[GameIsOver]],1,Table1[[AwayTeam]:[AwayTeam]],$A51, Table1[[HomeTeam]:[HomeTeam]], K$36)))+( COUNTIFS(Table1[[GameIsOver]:[GameIsOver]],1,Table1[[AwayTeam]:[AwayTeam]],K$36, Table1[[HomeTeam]:[HomeTeam]],$A51))), "")</f>
        <v/>
      </c>
      <c r="L51" s="50" t="str">
        <f>IFERROR(((2 * (SUMIFS(Table1[[AwayWon]:[AwayWon]], Table1[[GameIsOver]:[GameIsOver]], 1, Table1[[AwayTeam]:[AwayTeam]], $A51, Table1[[HomeTeam]:[HomeTeam]], L$36) + SUMIFS(Table1[[HomeWon]:[HomeWon]], Table1[[GameIsOver]:[GameIsOver]], 1, Table1[[HomeTeam]:[HomeTeam]], $A51, Table1[[AwayTeam]:[AwayTeam]], L$36))) + (SUMIFS(Table1[[HomeWon]:[HomeWon]], Table1[[GameIsOver]:[GameIsOver]], 1, Table1[[AwayTeam]:[AwayTeam]], $A51, Table1[[HomeTeam]:[HomeTeam]],  L$36, Table1[[ActualResult]:[ActualResult]], "OT") + SUMIFS(Table1[[AwayWon]:[AwayWon]], Table1[[GameIsOver]:[GameIsOver]], 1, Table1[[HomeTeam]:[HomeTeam]], $A51, Table1[[AwayTeam]:[AwayTeam]], L$36, Table1[[ActualResult]:[ActualResult]], "OT") + SUMIFS(Table1[[HomeWon]:[HomeWon]], Table1[[GameIsOver]:[GameIsOver]], 1, Table1[[AwayTeam]:[AwayTeam]], $A51, Table1[[HomeTeam]:[HomeTeam]], L$36, Table1[[ActualResult]:[ActualResult]], "SO") + SUMIFS(Table1[[AwayWon]:[AwayWon]], Table1[[GameIsOver]:[GameIsOver]], 1, Table1[[HomeTeam]:[HomeTeam]], $A51, Table1[[AwayTeam]:[AwayTeam]], L$36, Table1[[ActualResult]:[ActualResult]], "SO")))/ (2*((COUNTIFS(Table1[[GameIsOver]:[GameIsOver]],1,Table1[[AwayTeam]:[AwayTeam]],$A51, Table1[[HomeTeam]:[HomeTeam]], L$36)))+( COUNTIFS(Table1[[GameIsOver]:[GameIsOver]],1,Table1[[AwayTeam]:[AwayTeam]],L$36, Table1[[HomeTeam]:[HomeTeam]],$A51))), "")</f>
        <v/>
      </c>
      <c r="M51" s="50" t="str">
        <f>IFERROR(((2 * (SUMIFS(Table1[[AwayWon]:[AwayWon]], Table1[[GameIsOver]:[GameIsOver]], 1, Table1[[AwayTeam]:[AwayTeam]], $A51, Table1[[HomeTeam]:[HomeTeam]], M$36) + SUMIFS(Table1[[HomeWon]:[HomeWon]], Table1[[GameIsOver]:[GameIsOver]], 1, Table1[[HomeTeam]:[HomeTeam]], $A51, Table1[[AwayTeam]:[AwayTeam]], M$36))) + (SUMIFS(Table1[[HomeWon]:[HomeWon]], Table1[[GameIsOver]:[GameIsOver]], 1, Table1[[AwayTeam]:[AwayTeam]], $A51, Table1[[HomeTeam]:[HomeTeam]],  M$36, Table1[[ActualResult]:[ActualResult]], "OT") + SUMIFS(Table1[[AwayWon]:[AwayWon]], Table1[[GameIsOver]:[GameIsOver]], 1, Table1[[HomeTeam]:[HomeTeam]], $A51, Table1[[AwayTeam]:[AwayTeam]], M$36, Table1[[ActualResult]:[ActualResult]], "OT") + SUMIFS(Table1[[HomeWon]:[HomeWon]], Table1[[GameIsOver]:[GameIsOver]], 1, Table1[[AwayTeam]:[AwayTeam]], $A51, Table1[[HomeTeam]:[HomeTeam]], M$36, Table1[[ActualResult]:[ActualResult]], "SO") + SUMIFS(Table1[[AwayWon]:[AwayWon]], Table1[[GameIsOver]:[GameIsOver]], 1, Table1[[HomeTeam]:[HomeTeam]], $A51, Table1[[AwayTeam]:[AwayTeam]], M$36, Table1[[ActualResult]:[ActualResult]], "SO")))/ (2*((COUNTIFS(Table1[[GameIsOver]:[GameIsOver]],1,Table1[[AwayTeam]:[AwayTeam]],$A51, Table1[[HomeTeam]:[HomeTeam]], M$36)))+( COUNTIFS(Table1[[GameIsOver]:[GameIsOver]],1,Table1[[AwayTeam]:[AwayTeam]],M$36, Table1[[HomeTeam]:[HomeTeam]],$A51))), "")</f>
        <v/>
      </c>
      <c r="N51" s="50" t="str">
        <f>IFERROR(((2 * (SUMIFS(Table1[[AwayWon]:[AwayWon]], Table1[[GameIsOver]:[GameIsOver]], 1, Table1[[AwayTeam]:[AwayTeam]], $A51, Table1[[HomeTeam]:[HomeTeam]], N$36) + SUMIFS(Table1[[HomeWon]:[HomeWon]], Table1[[GameIsOver]:[GameIsOver]], 1, Table1[[HomeTeam]:[HomeTeam]], $A51, Table1[[AwayTeam]:[AwayTeam]], N$36))) + (SUMIFS(Table1[[HomeWon]:[HomeWon]], Table1[[GameIsOver]:[GameIsOver]], 1, Table1[[AwayTeam]:[AwayTeam]], $A51, Table1[[HomeTeam]:[HomeTeam]],  N$36, Table1[[ActualResult]:[ActualResult]], "OT") + SUMIFS(Table1[[AwayWon]:[AwayWon]], Table1[[GameIsOver]:[GameIsOver]], 1, Table1[[HomeTeam]:[HomeTeam]], $A51, Table1[[AwayTeam]:[AwayTeam]], N$36, Table1[[ActualResult]:[ActualResult]], "OT") + SUMIFS(Table1[[HomeWon]:[HomeWon]], Table1[[GameIsOver]:[GameIsOver]], 1, Table1[[AwayTeam]:[AwayTeam]], $A51, Table1[[HomeTeam]:[HomeTeam]], N$36, Table1[[ActualResult]:[ActualResult]], "SO") + SUMIFS(Table1[[AwayWon]:[AwayWon]], Table1[[GameIsOver]:[GameIsOver]], 1, Table1[[HomeTeam]:[HomeTeam]], $A51, Table1[[AwayTeam]:[AwayTeam]], N$36, Table1[[ActualResult]:[ActualResult]], "SO")))/ (2*((COUNTIFS(Table1[[GameIsOver]:[GameIsOver]],1,Table1[[AwayTeam]:[AwayTeam]],$A51, Table1[[HomeTeam]:[HomeTeam]], N$36)))+( COUNTIFS(Table1[[GameIsOver]:[GameIsOver]],1,Table1[[AwayTeam]:[AwayTeam]],N$36, Table1[[HomeTeam]:[HomeTeam]],$A51))), "")</f>
        <v/>
      </c>
      <c r="O51" s="50" t="str">
        <f>IFERROR(((2 * (SUMIFS(Table1[[AwayWon]:[AwayWon]], Table1[[GameIsOver]:[GameIsOver]], 1, Table1[[AwayTeam]:[AwayTeam]], $A51, Table1[[HomeTeam]:[HomeTeam]], O$36) + SUMIFS(Table1[[HomeWon]:[HomeWon]], Table1[[GameIsOver]:[GameIsOver]], 1, Table1[[HomeTeam]:[HomeTeam]], $A51, Table1[[AwayTeam]:[AwayTeam]], O$36))) + (SUMIFS(Table1[[HomeWon]:[HomeWon]], Table1[[GameIsOver]:[GameIsOver]], 1, Table1[[AwayTeam]:[AwayTeam]], $A51, Table1[[HomeTeam]:[HomeTeam]],  O$36, Table1[[ActualResult]:[ActualResult]], "OT") + SUMIFS(Table1[[AwayWon]:[AwayWon]], Table1[[GameIsOver]:[GameIsOver]], 1, Table1[[HomeTeam]:[HomeTeam]], $A51, Table1[[AwayTeam]:[AwayTeam]], O$36, Table1[[ActualResult]:[ActualResult]], "OT") + SUMIFS(Table1[[HomeWon]:[HomeWon]], Table1[[GameIsOver]:[GameIsOver]], 1, Table1[[AwayTeam]:[AwayTeam]], $A51, Table1[[HomeTeam]:[HomeTeam]], O$36, Table1[[ActualResult]:[ActualResult]], "SO") + SUMIFS(Table1[[AwayWon]:[AwayWon]], Table1[[GameIsOver]:[GameIsOver]], 1, Table1[[HomeTeam]:[HomeTeam]], $A51, Table1[[AwayTeam]:[AwayTeam]], O$36, Table1[[ActualResult]:[ActualResult]], "SO")))/ (2*((COUNTIFS(Table1[[GameIsOver]:[GameIsOver]],1,Table1[[AwayTeam]:[AwayTeam]],$A51, Table1[[HomeTeam]:[HomeTeam]], O$36)))+( COUNTIFS(Table1[[GameIsOver]:[GameIsOver]],1,Table1[[AwayTeam]:[AwayTeam]],O$36, Table1[[HomeTeam]:[HomeTeam]],$A51))), "")</f>
        <v/>
      </c>
      <c r="P51" s="50" t="str">
        <f>IFERROR(((2 * (SUMIFS(Table1[[AwayWon]:[AwayWon]], Table1[[GameIsOver]:[GameIsOver]], 1, Table1[[AwayTeam]:[AwayTeam]], $A51, Table1[[HomeTeam]:[HomeTeam]], P$36) + SUMIFS(Table1[[HomeWon]:[HomeWon]], Table1[[GameIsOver]:[GameIsOver]], 1, Table1[[HomeTeam]:[HomeTeam]], $A51, Table1[[AwayTeam]:[AwayTeam]], P$36))) + (SUMIFS(Table1[[HomeWon]:[HomeWon]], Table1[[GameIsOver]:[GameIsOver]], 1, Table1[[AwayTeam]:[AwayTeam]], $A51, Table1[[HomeTeam]:[HomeTeam]],  P$36, Table1[[ActualResult]:[ActualResult]], "OT") + SUMIFS(Table1[[AwayWon]:[AwayWon]], Table1[[GameIsOver]:[GameIsOver]], 1, Table1[[HomeTeam]:[HomeTeam]], $A51, Table1[[AwayTeam]:[AwayTeam]], P$36, Table1[[ActualResult]:[ActualResult]], "OT") + SUMIFS(Table1[[HomeWon]:[HomeWon]], Table1[[GameIsOver]:[GameIsOver]], 1, Table1[[AwayTeam]:[AwayTeam]], $A51, Table1[[HomeTeam]:[HomeTeam]], P$36, Table1[[ActualResult]:[ActualResult]], "SO") + SUMIFS(Table1[[AwayWon]:[AwayWon]], Table1[[GameIsOver]:[GameIsOver]], 1, Table1[[HomeTeam]:[HomeTeam]], $A51, Table1[[AwayTeam]:[AwayTeam]], P$36, Table1[[ActualResult]:[ActualResult]], "SO")))/ (2*((COUNTIFS(Table1[[GameIsOver]:[GameIsOver]],1,Table1[[AwayTeam]:[AwayTeam]],$A51, Table1[[HomeTeam]:[HomeTeam]], P$36)))+( COUNTIFS(Table1[[GameIsOver]:[GameIsOver]],1,Table1[[AwayTeam]:[AwayTeam]],P$36, Table1[[HomeTeam]:[HomeTeam]],$A51))), "")</f>
        <v/>
      </c>
      <c r="Q51" s="52" t="str">
        <f>IFERROR(((2 * (SUMIFS(Table1[[AwayWon]:[AwayWon]], Table1[[GameIsOver]:[GameIsOver]], 1, Table1[[AwayTeam]:[AwayTeam]], $A51, Table1[[HomeTeam]:[HomeTeam]], Q$36) + SUMIFS(Table1[[HomeWon]:[HomeWon]], Table1[[GameIsOver]:[GameIsOver]], 1, Table1[[HomeTeam]:[HomeTeam]], $A51, Table1[[AwayTeam]:[AwayTeam]], Q$36))) + (SUMIFS(Table1[[HomeWon]:[HomeWon]], Table1[[GameIsOver]:[GameIsOver]], 1, Table1[[AwayTeam]:[AwayTeam]], $A51, Table1[[HomeTeam]:[HomeTeam]],  Q$36, Table1[[ActualResult]:[ActualResult]], "OT") + SUMIFS(Table1[[AwayWon]:[AwayWon]], Table1[[GameIsOver]:[GameIsOver]], 1, Table1[[HomeTeam]:[HomeTeam]], $A51, Table1[[AwayTeam]:[AwayTeam]], Q$36, Table1[[ActualResult]:[ActualResult]], "OT") + SUMIFS(Table1[[HomeWon]:[HomeWon]], Table1[[GameIsOver]:[GameIsOver]], 1, Table1[[AwayTeam]:[AwayTeam]], $A51, Table1[[HomeTeam]:[HomeTeam]], Q$36, Table1[[ActualResult]:[ActualResult]], "SO") + SUMIFS(Table1[[AwayWon]:[AwayWon]], Table1[[GameIsOver]:[GameIsOver]], 1, Table1[[HomeTeam]:[HomeTeam]], $A51, Table1[[AwayTeam]:[AwayTeam]], Q$36, Table1[[ActualResult]:[ActualResult]], "SO")))/ (2*((COUNTIFS(Table1[[GameIsOver]:[GameIsOver]],1,Table1[[AwayTeam]:[AwayTeam]],$A51, Table1[[HomeTeam]:[HomeTeam]], Q$36)))+( COUNTIFS(Table1[[GameIsOver]:[GameIsOver]],1,Table1[[AwayTeam]:[AwayTeam]],Q$36, Table1[[HomeTeam]:[HomeTeam]],$A51))), "")</f>
        <v/>
      </c>
      <c r="R51" s="50" t="str">
        <f>IFERROR(((2 * (SUMIFS(Table1[[AwayWon]:[AwayWon]], Table1[[GameIsOver]:[GameIsOver]], 1, Table1[[AwayTeam]:[AwayTeam]], $A51, Table1[[HomeTeam]:[HomeTeam]], R$36) + SUMIFS(Table1[[HomeWon]:[HomeWon]], Table1[[GameIsOver]:[GameIsOver]], 1, Table1[[HomeTeam]:[HomeTeam]], $A51, Table1[[AwayTeam]:[AwayTeam]], R$36))) + (SUMIFS(Table1[[HomeWon]:[HomeWon]], Table1[[GameIsOver]:[GameIsOver]], 1, Table1[[AwayTeam]:[AwayTeam]], $A51, Table1[[HomeTeam]:[HomeTeam]],  R$36, Table1[[ActualResult]:[ActualResult]], "OT") + SUMIFS(Table1[[AwayWon]:[AwayWon]], Table1[[GameIsOver]:[GameIsOver]], 1, Table1[[HomeTeam]:[HomeTeam]], $A51, Table1[[AwayTeam]:[AwayTeam]], R$36, Table1[[ActualResult]:[ActualResult]], "OT") + SUMIFS(Table1[[HomeWon]:[HomeWon]], Table1[[GameIsOver]:[GameIsOver]], 1, Table1[[AwayTeam]:[AwayTeam]], $A51, Table1[[HomeTeam]:[HomeTeam]], R$36, Table1[[ActualResult]:[ActualResult]], "SO") + SUMIFS(Table1[[AwayWon]:[AwayWon]], Table1[[GameIsOver]:[GameIsOver]], 1, Table1[[HomeTeam]:[HomeTeam]], $A51, Table1[[AwayTeam]:[AwayTeam]], R$36, Table1[[ActualResult]:[ActualResult]], "SO")))/ (2*((COUNTIFS(Table1[[GameIsOver]:[GameIsOver]],1,Table1[[AwayTeam]:[AwayTeam]],$A51, Table1[[HomeTeam]:[HomeTeam]], R$36)))+( COUNTIFS(Table1[[GameIsOver]:[GameIsOver]],1,Table1[[AwayTeam]:[AwayTeam]],R$36, Table1[[HomeTeam]:[HomeTeam]],$A51))), "")</f>
        <v/>
      </c>
      <c r="S51" s="50" t="str">
        <f>IFERROR(((2 * (SUMIFS(Table1[[AwayWon]:[AwayWon]], Table1[[GameIsOver]:[GameIsOver]], 1, Table1[[AwayTeam]:[AwayTeam]], $A51, Table1[[HomeTeam]:[HomeTeam]], S$36) + SUMIFS(Table1[[HomeWon]:[HomeWon]], Table1[[GameIsOver]:[GameIsOver]], 1, Table1[[HomeTeam]:[HomeTeam]], $A51, Table1[[AwayTeam]:[AwayTeam]], S$36))) + (SUMIFS(Table1[[HomeWon]:[HomeWon]], Table1[[GameIsOver]:[GameIsOver]], 1, Table1[[AwayTeam]:[AwayTeam]], $A51, Table1[[HomeTeam]:[HomeTeam]],  S$36, Table1[[ActualResult]:[ActualResult]], "OT") + SUMIFS(Table1[[AwayWon]:[AwayWon]], Table1[[GameIsOver]:[GameIsOver]], 1, Table1[[HomeTeam]:[HomeTeam]], $A51, Table1[[AwayTeam]:[AwayTeam]], S$36, Table1[[ActualResult]:[ActualResult]], "OT") + SUMIFS(Table1[[HomeWon]:[HomeWon]], Table1[[GameIsOver]:[GameIsOver]], 1, Table1[[AwayTeam]:[AwayTeam]], $A51, Table1[[HomeTeam]:[HomeTeam]], S$36, Table1[[ActualResult]:[ActualResult]], "SO") + SUMIFS(Table1[[AwayWon]:[AwayWon]], Table1[[GameIsOver]:[GameIsOver]], 1, Table1[[HomeTeam]:[HomeTeam]], $A51, Table1[[AwayTeam]:[AwayTeam]], S$36, Table1[[ActualResult]:[ActualResult]], "SO")))/ (2*((COUNTIFS(Table1[[GameIsOver]:[GameIsOver]],1,Table1[[AwayTeam]:[AwayTeam]],$A51, Table1[[HomeTeam]:[HomeTeam]], S$36)))+( COUNTIFS(Table1[[GameIsOver]:[GameIsOver]],1,Table1[[AwayTeam]:[AwayTeam]],S$36, Table1[[HomeTeam]:[HomeTeam]],$A51))), "")</f>
        <v/>
      </c>
      <c r="T51" s="50" t="str">
        <f>IFERROR(((2 * (SUMIFS(Table1[[AwayWon]:[AwayWon]], Table1[[GameIsOver]:[GameIsOver]], 1, Table1[[AwayTeam]:[AwayTeam]], $A51, Table1[[HomeTeam]:[HomeTeam]], T$36) + SUMIFS(Table1[[HomeWon]:[HomeWon]], Table1[[GameIsOver]:[GameIsOver]], 1, Table1[[HomeTeam]:[HomeTeam]], $A51, Table1[[AwayTeam]:[AwayTeam]], T$36))) + (SUMIFS(Table1[[HomeWon]:[HomeWon]], Table1[[GameIsOver]:[GameIsOver]], 1, Table1[[AwayTeam]:[AwayTeam]], $A51, Table1[[HomeTeam]:[HomeTeam]],  T$36, Table1[[ActualResult]:[ActualResult]], "OT") + SUMIFS(Table1[[AwayWon]:[AwayWon]], Table1[[GameIsOver]:[GameIsOver]], 1, Table1[[HomeTeam]:[HomeTeam]], $A51, Table1[[AwayTeam]:[AwayTeam]], T$36, Table1[[ActualResult]:[ActualResult]], "OT") + SUMIFS(Table1[[HomeWon]:[HomeWon]], Table1[[GameIsOver]:[GameIsOver]], 1, Table1[[AwayTeam]:[AwayTeam]], $A51, Table1[[HomeTeam]:[HomeTeam]], T$36, Table1[[ActualResult]:[ActualResult]], "SO") + SUMIFS(Table1[[AwayWon]:[AwayWon]], Table1[[GameIsOver]:[GameIsOver]], 1, Table1[[HomeTeam]:[HomeTeam]], $A51, Table1[[AwayTeam]:[AwayTeam]], T$36, Table1[[ActualResult]:[ActualResult]], "SO")))/ (2*((COUNTIFS(Table1[[GameIsOver]:[GameIsOver]],1,Table1[[AwayTeam]:[AwayTeam]],$A51, Table1[[HomeTeam]:[HomeTeam]], T$36)))+( COUNTIFS(Table1[[GameIsOver]:[GameIsOver]],1,Table1[[AwayTeam]:[AwayTeam]],T$36, Table1[[HomeTeam]:[HomeTeam]],$A51))), "")</f>
        <v/>
      </c>
      <c r="U51" s="50" t="str">
        <f>IFERROR(((2 * (SUMIFS(Table1[[AwayWon]:[AwayWon]], Table1[[GameIsOver]:[GameIsOver]], 1, Table1[[AwayTeam]:[AwayTeam]], $A51, Table1[[HomeTeam]:[HomeTeam]], U$36) + SUMIFS(Table1[[HomeWon]:[HomeWon]], Table1[[GameIsOver]:[GameIsOver]], 1, Table1[[HomeTeam]:[HomeTeam]], $A51, Table1[[AwayTeam]:[AwayTeam]], U$36))) + (SUMIFS(Table1[[HomeWon]:[HomeWon]], Table1[[GameIsOver]:[GameIsOver]], 1, Table1[[AwayTeam]:[AwayTeam]], $A51, Table1[[HomeTeam]:[HomeTeam]],  U$36, Table1[[ActualResult]:[ActualResult]], "OT") + SUMIFS(Table1[[AwayWon]:[AwayWon]], Table1[[GameIsOver]:[GameIsOver]], 1, Table1[[HomeTeam]:[HomeTeam]], $A51, Table1[[AwayTeam]:[AwayTeam]], U$36, Table1[[ActualResult]:[ActualResult]], "OT") + SUMIFS(Table1[[HomeWon]:[HomeWon]], Table1[[GameIsOver]:[GameIsOver]], 1, Table1[[AwayTeam]:[AwayTeam]], $A51, Table1[[HomeTeam]:[HomeTeam]], U$36, Table1[[ActualResult]:[ActualResult]], "SO") + SUMIFS(Table1[[AwayWon]:[AwayWon]], Table1[[GameIsOver]:[GameIsOver]], 1, Table1[[HomeTeam]:[HomeTeam]], $A51, Table1[[AwayTeam]:[AwayTeam]], U$36, Table1[[ActualResult]:[ActualResult]], "SO")))/ (2*((COUNTIFS(Table1[[GameIsOver]:[GameIsOver]],1,Table1[[AwayTeam]:[AwayTeam]],$A51, Table1[[HomeTeam]:[HomeTeam]], U$36)))+( COUNTIFS(Table1[[GameIsOver]:[GameIsOver]],1,Table1[[AwayTeam]:[AwayTeam]],U$36, Table1[[HomeTeam]:[HomeTeam]],$A51))), "")</f>
        <v/>
      </c>
      <c r="V51" s="50" t="str">
        <f>IFERROR(((2 * (SUMIFS(Table1[[AwayWon]:[AwayWon]], Table1[[GameIsOver]:[GameIsOver]], 1, Table1[[AwayTeam]:[AwayTeam]], $A51, Table1[[HomeTeam]:[HomeTeam]], V$36) + SUMIFS(Table1[[HomeWon]:[HomeWon]], Table1[[GameIsOver]:[GameIsOver]], 1, Table1[[HomeTeam]:[HomeTeam]], $A51, Table1[[AwayTeam]:[AwayTeam]], V$36))) + (SUMIFS(Table1[[HomeWon]:[HomeWon]], Table1[[GameIsOver]:[GameIsOver]], 1, Table1[[AwayTeam]:[AwayTeam]], $A51, Table1[[HomeTeam]:[HomeTeam]],  V$36, Table1[[ActualResult]:[ActualResult]], "OT") + SUMIFS(Table1[[AwayWon]:[AwayWon]], Table1[[GameIsOver]:[GameIsOver]], 1, Table1[[HomeTeam]:[HomeTeam]], $A51, Table1[[AwayTeam]:[AwayTeam]], V$36, Table1[[ActualResult]:[ActualResult]], "OT") + SUMIFS(Table1[[HomeWon]:[HomeWon]], Table1[[GameIsOver]:[GameIsOver]], 1, Table1[[AwayTeam]:[AwayTeam]], $A51, Table1[[HomeTeam]:[HomeTeam]], V$36, Table1[[ActualResult]:[ActualResult]], "SO") + SUMIFS(Table1[[AwayWon]:[AwayWon]], Table1[[GameIsOver]:[GameIsOver]], 1, Table1[[HomeTeam]:[HomeTeam]], $A51, Table1[[AwayTeam]:[AwayTeam]], V$36, Table1[[ActualResult]:[ActualResult]], "SO")))/ (2*((COUNTIFS(Table1[[GameIsOver]:[GameIsOver]],1,Table1[[AwayTeam]:[AwayTeam]],$A51, Table1[[HomeTeam]:[HomeTeam]], V$36)))+( COUNTIFS(Table1[[GameIsOver]:[GameIsOver]],1,Table1[[AwayTeam]:[AwayTeam]],V$36, Table1[[HomeTeam]:[HomeTeam]],$A51))), "")</f>
        <v/>
      </c>
      <c r="W51" s="50" t="str">
        <f>IFERROR(((2 * (SUMIFS(Table1[[AwayWon]:[AwayWon]], Table1[[GameIsOver]:[GameIsOver]], 1, Table1[[AwayTeam]:[AwayTeam]], $A51, Table1[[HomeTeam]:[HomeTeam]], W$36) + SUMIFS(Table1[[HomeWon]:[HomeWon]], Table1[[GameIsOver]:[GameIsOver]], 1, Table1[[HomeTeam]:[HomeTeam]], $A51, Table1[[AwayTeam]:[AwayTeam]], W$36))) + (SUMIFS(Table1[[HomeWon]:[HomeWon]], Table1[[GameIsOver]:[GameIsOver]], 1, Table1[[AwayTeam]:[AwayTeam]], $A51, Table1[[HomeTeam]:[HomeTeam]],  W$36, Table1[[ActualResult]:[ActualResult]], "OT") + SUMIFS(Table1[[AwayWon]:[AwayWon]], Table1[[GameIsOver]:[GameIsOver]], 1, Table1[[HomeTeam]:[HomeTeam]], $A51, Table1[[AwayTeam]:[AwayTeam]], W$36, Table1[[ActualResult]:[ActualResult]], "OT") + SUMIFS(Table1[[HomeWon]:[HomeWon]], Table1[[GameIsOver]:[GameIsOver]], 1, Table1[[AwayTeam]:[AwayTeam]], $A51, Table1[[HomeTeam]:[HomeTeam]], W$36, Table1[[ActualResult]:[ActualResult]], "SO") + SUMIFS(Table1[[AwayWon]:[AwayWon]], Table1[[GameIsOver]:[GameIsOver]], 1, Table1[[HomeTeam]:[HomeTeam]], $A51, Table1[[AwayTeam]:[AwayTeam]], W$36, Table1[[ActualResult]:[ActualResult]], "SO")))/ (2*((COUNTIFS(Table1[[GameIsOver]:[GameIsOver]],1,Table1[[AwayTeam]:[AwayTeam]],$A51, Table1[[HomeTeam]:[HomeTeam]], W$36)))+( COUNTIFS(Table1[[GameIsOver]:[GameIsOver]],1,Table1[[AwayTeam]:[AwayTeam]],W$36, Table1[[HomeTeam]:[HomeTeam]],$A51))), "")</f>
        <v/>
      </c>
      <c r="X51" s="50" t="str">
        <f>IFERROR(((2 * (SUMIFS(Table1[[AwayWon]:[AwayWon]], Table1[[GameIsOver]:[GameIsOver]], 1, Table1[[AwayTeam]:[AwayTeam]], $A51, Table1[[HomeTeam]:[HomeTeam]], X$36) + SUMIFS(Table1[[HomeWon]:[HomeWon]], Table1[[GameIsOver]:[GameIsOver]], 1, Table1[[HomeTeam]:[HomeTeam]], $A51, Table1[[AwayTeam]:[AwayTeam]], X$36))) + (SUMIFS(Table1[[HomeWon]:[HomeWon]], Table1[[GameIsOver]:[GameIsOver]], 1, Table1[[AwayTeam]:[AwayTeam]], $A51, Table1[[HomeTeam]:[HomeTeam]],  X$36, Table1[[ActualResult]:[ActualResult]], "OT") + SUMIFS(Table1[[AwayWon]:[AwayWon]], Table1[[GameIsOver]:[GameIsOver]], 1, Table1[[HomeTeam]:[HomeTeam]], $A51, Table1[[AwayTeam]:[AwayTeam]], X$36, Table1[[ActualResult]:[ActualResult]], "OT") + SUMIFS(Table1[[HomeWon]:[HomeWon]], Table1[[GameIsOver]:[GameIsOver]], 1, Table1[[AwayTeam]:[AwayTeam]], $A51, Table1[[HomeTeam]:[HomeTeam]], X$36, Table1[[ActualResult]:[ActualResult]], "SO") + SUMIFS(Table1[[AwayWon]:[AwayWon]], Table1[[GameIsOver]:[GameIsOver]], 1, Table1[[HomeTeam]:[HomeTeam]], $A51, Table1[[AwayTeam]:[AwayTeam]], X$36, Table1[[ActualResult]:[ActualResult]], "SO")))/ (2*((COUNTIFS(Table1[[GameIsOver]:[GameIsOver]],1,Table1[[AwayTeam]:[AwayTeam]],$A51, Table1[[HomeTeam]:[HomeTeam]], X$36)))+( COUNTIFS(Table1[[GameIsOver]:[GameIsOver]],1,Table1[[AwayTeam]:[AwayTeam]],X$36, Table1[[HomeTeam]:[HomeTeam]],$A51))), "")</f>
        <v/>
      </c>
      <c r="Y51" s="52" t="str">
        <f>IFERROR(((2 * (SUMIFS(Table1[[AwayWon]:[AwayWon]], Table1[[GameIsOver]:[GameIsOver]], 1, Table1[[AwayTeam]:[AwayTeam]], $A51, Table1[[HomeTeam]:[HomeTeam]], Y$36) + SUMIFS(Table1[[HomeWon]:[HomeWon]], Table1[[GameIsOver]:[GameIsOver]], 1, Table1[[HomeTeam]:[HomeTeam]], $A51, Table1[[AwayTeam]:[AwayTeam]], Y$36))) + (SUMIFS(Table1[[HomeWon]:[HomeWon]], Table1[[GameIsOver]:[GameIsOver]], 1, Table1[[AwayTeam]:[AwayTeam]], $A51, Table1[[HomeTeam]:[HomeTeam]],  Y$36, Table1[[ActualResult]:[ActualResult]], "OT") + SUMIFS(Table1[[AwayWon]:[AwayWon]], Table1[[GameIsOver]:[GameIsOver]], 1, Table1[[HomeTeam]:[HomeTeam]], $A51, Table1[[AwayTeam]:[AwayTeam]], Y$36, Table1[[ActualResult]:[ActualResult]], "OT") + SUMIFS(Table1[[HomeWon]:[HomeWon]], Table1[[GameIsOver]:[GameIsOver]], 1, Table1[[AwayTeam]:[AwayTeam]], $A51, Table1[[HomeTeam]:[HomeTeam]], Y$36, Table1[[ActualResult]:[ActualResult]], "SO") + SUMIFS(Table1[[AwayWon]:[AwayWon]], Table1[[GameIsOver]:[GameIsOver]], 1, Table1[[HomeTeam]:[HomeTeam]], $A51, Table1[[AwayTeam]:[AwayTeam]], Y$36, Table1[[ActualResult]:[ActualResult]], "SO")))/ (2*((COUNTIFS(Table1[[GameIsOver]:[GameIsOver]],1,Table1[[AwayTeam]:[AwayTeam]],$A51, Table1[[HomeTeam]:[HomeTeam]], Y$36)))+( COUNTIFS(Table1[[GameIsOver]:[GameIsOver]],1,Table1[[AwayTeam]:[AwayTeam]],Y$36, Table1[[HomeTeam]:[HomeTeam]],$A51))), "")</f>
        <v/>
      </c>
      <c r="Z51" s="50" t="str">
        <f>IFERROR(((2 * (SUMIFS(Table1[[AwayWon]:[AwayWon]], Table1[[GameIsOver]:[GameIsOver]], 1, Table1[[AwayTeam]:[AwayTeam]], $A51, Table1[[HomeTeam]:[HomeTeam]], Z$36) + SUMIFS(Table1[[HomeWon]:[HomeWon]], Table1[[GameIsOver]:[GameIsOver]], 1, Table1[[HomeTeam]:[HomeTeam]], $A51, Table1[[AwayTeam]:[AwayTeam]], Z$36))) + (SUMIFS(Table1[[HomeWon]:[HomeWon]], Table1[[GameIsOver]:[GameIsOver]], 1, Table1[[AwayTeam]:[AwayTeam]], $A51, Table1[[HomeTeam]:[HomeTeam]],  Z$36, Table1[[ActualResult]:[ActualResult]], "OT") + SUMIFS(Table1[[AwayWon]:[AwayWon]], Table1[[GameIsOver]:[GameIsOver]], 1, Table1[[HomeTeam]:[HomeTeam]], $A51, Table1[[AwayTeam]:[AwayTeam]], Z$36, Table1[[ActualResult]:[ActualResult]], "OT") + SUMIFS(Table1[[HomeWon]:[HomeWon]], Table1[[GameIsOver]:[GameIsOver]], 1, Table1[[AwayTeam]:[AwayTeam]], $A51, Table1[[HomeTeam]:[HomeTeam]], Z$36, Table1[[ActualResult]:[ActualResult]], "SO") + SUMIFS(Table1[[AwayWon]:[AwayWon]], Table1[[GameIsOver]:[GameIsOver]], 1, Table1[[HomeTeam]:[HomeTeam]], $A51, Table1[[AwayTeam]:[AwayTeam]], Z$36, Table1[[ActualResult]:[ActualResult]], "SO")))/ (2*((COUNTIFS(Table1[[GameIsOver]:[GameIsOver]],1,Table1[[AwayTeam]:[AwayTeam]],$A51, Table1[[HomeTeam]:[HomeTeam]], Z$36)))+( COUNTIFS(Table1[[GameIsOver]:[GameIsOver]],1,Table1[[AwayTeam]:[AwayTeam]],Z$36, Table1[[HomeTeam]:[HomeTeam]],$A51))), "")</f>
        <v/>
      </c>
      <c r="AA51" s="50" t="str">
        <f>IFERROR(((2 * (SUMIFS(Table1[[AwayWon]:[AwayWon]], Table1[[GameIsOver]:[GameIsOver]], 1, Table1[[AwayTeam]:[AwayTeam]], $A51, Table1[[HomeTeam]:[HomeTeam]], AA$36) + SUMIFS(Table1[[HomeWon]:[HomeWon]], Table1[[GameIsOver]:[GameIsOver]], 1, Table1[[HomeTeam]:[HomeTeam]], $A51, Table1[[AwayTeam]:[AwayTeam]], AA$36))) + (SUMIFS(Table1[[HomeWon]:[HomeWon]], Table1[[GameIsOver]:[GameIsOver]], 1, Table1[[AwayTeam]:[AwayTeam]], $A51, Table1[[HomeTeam]:[HomeTeam]],  AA$36, Table1[[ActualResult]:[ActualResult]], "OT") + SUMIFS(Table1[[AwayWon]:[AwayWon]], Table1[[GameIsOver]:[GameIsOver]], 1, Table1[[HomeTeam]:[HomeTeam]], $A51, Table1[[AwayTeam]:[AwayTeam]], AA$36, Table1[[ActualResult]:[ActualResult]], "OT") + SUMIFS(Table1[[HomeWon]:[HomeWon]], Table1[[GameIsOver]:[GameIsOver]], 1, Table1[[AwayTeam]:[AwayTeam]], $A51, Table1[[HomeTeam]:[HomeTeam]], AA$36, Table1[[ActualResult]:[ActualResult]], "SO") + SUMIFS(Table1[[AwayWon]:[AwayWon]], Table1[[GameIsOver]:[GameIsOver]], 1, Table1[[HomeTeam]:[HomeTeam]], $A51, Table1[[AwayTeam]:[AwayTeam]], AA$36, Table1[[ActualResult]:[ActualResult]], "SO")))/ (2*((COUNTIFS(Table1[[GameIsOver]:[GameIsOver]],1,Table1[[AwayTeam]:[AwayTeam]],$A51, Table1[[HomeTeam]:[HomeTeam]], AA$36)))+( COUNTIFS(Table1[[GameIsOver]:[GameIsOver]],1,Table1[[AwayTeam]:[AwayTeam]],AA$36, Table1[[HomeTeam]:[HomeTeam]],$A51))), "")</f>
        <v/>
      </c>
      <c r="AB51" s="50" t="str">
        <f>IFERROR(((2 * (SUMIFS(Table1[[AwayWon]:[AwayWon]], Table1[[GameIsOver]:[GameIsOver]], 1, Table1[[AwayTeam]:[AwayTeam]], $A51, Table1[[HomeTeam]:[HomeTeam]], AB$36) + SUMIFS(Table1[[HomeWon]:[HomeWon]], Table1[[GameIsOver]:[GameIsOver]], 1, Table1[[HomeTeam]:[HomeTeam]], $A51, Table1[[AwayTeam]:[AwayTeam]], AB$36))) + (SUMIFS(Table1[[HomeWon]:[HomeWon]], Table1[[GameIsOver]:[GameIsOver]], 1, Table1[[AwayTeam]:[AwayTeam]], $A51, Table1[[HomeTeam]:[HomeTeam]],  AB$36, Table1[[ActualResult]:[ActualResult]], "OT") + SUMIFS(Table1[[AwayWon]:[AwayWon]], Table1[[GameIsOver]:[GameIsOver]], 1, Table1[[HomeTeam]:[HomeTeam]], $A51, Table1[[AwayTeam]:[AwayTeam]], AB$36, Table1[[ActualResult]:[ActualResult]], "OT") + SUMIFS(Table1[[HomeWon]:[HomeWon]], Table1[[GameIsOver]:[GameIsOver]], 1, Table1[[AwayTeam]:[AwayTeam]], $A51, Table1[[HomeTeam]:[HomeTeam]], AB$36, Table1[[ActualResult]:[ActualResult]], "SO") + SUMIFS(Table1[[AwayWon]:[AwayWon]], Table1[[GameIsOver]:[GameIsOver]], 1, Table1[[HomeTeam]:[HomeTeam]], $A51, Table1[[AwayTeam]:[AwayTeam]], AB$36, Table1[[ActualResult]:[ActualResult]], "SO")))/ (2*((COUNTIFS(Table1[[GameIsOver]:[GameIsOver]],1,Table1[[AwayTeam]:[AwayTeam]],$A51, Table1[[HomeTeam]:[HomeTeam]], AB$36)))+( COUNTIFS(Table1[[GameIsOver]:[GameIsOver]],1,Table1[[AwayTeam]:[AwayTeam]],AB$36, Table1[[HomeTeam]:[HomeTeam]],$A51))), "")</f>
        <v/>
      </c>
      <c r="AC51" s="50" t="str">
        <f>IFERROR(((2 * (SUMIFS(Table1[[AwayWon]:[AwayWon]], Table1[[GameIsOver]:[GameIsOver]], 1, Table1[[AwayTeam]:[AwayTeam]], $A51, Table1[[HomeTeam]:[HomeTeam]], AC$36) + SUMIFS(Table1[[HomeWon]:[HomeWon]], Table1[[GameIsOver]:[GameIsOver]], 1, Table1[[HomeTeam]:[HomeTeam]], $A51, Table1[[AwayTeam]:[AwayTeam]], AC$36))) + (SUMIFS(Table1[[HomeWon]:[HomeWon]], Table1[[GameIsOver]:[GameIsOver]], 1, Table1[[AwayTeam]:[AwayTeam]], $A51, Table1[[HomeTeam]:[HomeTeam]],  AC$36, Table1[[ActualResult]:[ActualResult]], "OT") + SUMIFS(Table1[[AwayWon]:[AwayWon]], Table1[[GameIsOver]:[GameIsOver]], 1, Table1[[HomeTeam]:[HomeTeam]], $A51, Table1[[AwayTeam]:[AwayTeam]], AC$36, Table1[[ActualResult]:[ActualResult]], "OT") + SUMIFS(Table1[[HomeWon]:[HomeWon]], Table1[[GameIsOver]:[GameIsOver]], 1, Table1[[AwayTeam]:[AwayTeam]], $A51, Table1[[HomeTeam]:[HomeTeam]], AC$36, Table1[[ActualResult]:[ActualResult]], "SO") + SUMIFS(Table1[[AwayWon]:[AwayWon]], Table1[[GameIsOver]:[GameIsOver]], 1, Table1[[HomeTeam]:[HomeTeam]], $A51, Table1[[AwayTeam]:[AwayTeam]], AC$36, Table1[[ActualResult]:[ActualResult]], "SO")))/ (2*((COUNTIFS(Table1[[GameIsOver]:[GameIsOver]],1,Table1[[AwayTeam]:[AwayTeam]],$A51, Table1[[HomeTeam]:[HomeTeam]], AC$36)))+( COUNTIFS(Table1[[GameIsOver]:[GameIsOver]],1,Table1[[AwayTeam]:[AwayTeam]],AC$36, Table1[[HomeTeam]:[HomeTeam]],$A51))), "")</f>
        <v/>
      </c>
      <c r="AD51" s="50" t="str">
        <f>IFERROR(((2 * (SUMIFS(Table1[[AwayWon]:[AwayWon]], Table1[[GameIsOver]:[GameIsOver]], 1, Table1[[AwayTeam]:[AwayTeam]], $A51, Table1[[HomeTeam]:[HomeTeam]], AD$36) + SUMIFS(Table1[[HomeWon]:[HomeWon]], Table1[[GameIsOver]:[GameIsOver]], 1, Table1[[HomeTeam]:[HomeTeam]], $A51, Table1[[AwayTeam]:[AwayTeam]], AD$36))) + (SUMIFS(Table1[[HomeWon]:[HomeWon]], Table1[[GameIsOver]:[GameIsOver]], 1, Table1[[AwayTeam]:[AwayTeam]], $A51, Table1[[HomeTeam]:[HomeTeam]],  AD$36, Table1[[ActualResult]:[ActualResult]], "OT") + SUMIFS(Table1[[AwayWon]:[AwayWon]], Table1[[GameIsOver]:[GameIsOver]], 1, Table1[[HomeTeam]:[HomeTeam]], $A51, Table1[[AwayTeam]:[AwayTeam]], AD$36, Table1[[ActualResult]:[ActualResult]], "OT") + SUMIFS(Table1[[HomeWon]:[HomeWon]], Table1[[GameIsOver]:[GameIsOver]], 1, Table1[[AwayTeam]:[AwayTeam]], $A51, Table1[[HomeTeam]:[HomeTeam]], AD$36, Table1[[ActualResult]:[ActualResult]], "SO") + SUMIFS(Table1[[AwayWon]:[AwayWon]], Table1[[GameIsOver]:[GameIsOver]], 1, Table1[[HomeTeam]:[HomeTeam]], $A51, Table1[[AwayTeam]:[AwayTeam]], AD$36, Table1[[ActualResult]:[ActualResult]], "SO")))/ (2*((COUNTIFS(Table1[[GameIsOver]:[GameIsOver]],1,Table1[[AwayTeam]:[AwayTeam]],$A51, Table1[[HomeTeam]:[HomeTeam]], AD$36)))+( COUNTIFS(Table1[[GameIsOver]:[GameIsOver]],1,Table1[[AwayTeam]:[AwayTeam]],AD$36, Table1[[HomeTeam]:[HomeTeam]],$A51))), "")</f>
        <v/>
      </c>
      <c r="AE51" s="50">
        <f>IFERROR(((2 * (SUMIFS(Table1[[AwayWon]:[AwayWon]], Table1[[GameIsOver]:[GameIsOver]], 1, Table1[[AwayTeam]:[AwayTeam]], $A51, Table1[[HomeTeam]:[HomeTeam]], AE$36) + SUMIFS(Table1[[HomeWon]:[HomeWon]], Table1[[GameIsOver]:[GameIsOver]], 1, Table1[[HomeTeam]:[HomeTeam]], $A51, Table1[[AwayTeam]:[AwayTeam]], AE$36))) + (SUMIFS(Table1[[HomeWon]:[HomeWon]], Table1[[GameIsOver]:[GameIsOver]], 1, Table1[[AwayTeam]:[AwayTeam]], $A51, Table1[[HomeTeam]:[HomeTeam]],  AE$36, Table1[[ActualResult]:[ActualResult]], "OT") + SUMIFS(Table1[[AwayWon]:[AwayWon]], Table1[[GameIsOver]:[GameIsOver]], 1, Table1[[HomeTeam]:[HomeTeam]], $A51, Table1[[AwayTeam]:[AwayTeam]], AE$36, Table1[[ActualResult]:[ActualResult]], "OT") + SUMIFS(Table1[[HomeWon]:[HomeWon]], Table1[[GameIsOver]:[GameIsOver]], 1, Table1[[AwayTeam]:[AwayTeam]], $A51, Table1[[HomeTeam]:[HomeTeam]], AE$36, Table1[[ActualResult]:[ActualResult]], "SO") + SUMIFS(Table1[[AwayWon]:[AwayWon]], Table1[[GameIsOver]:[GameIsOver]], 1, Table1[[HomeTeam]:[HomeTeam]], $A51, Table1[[AwayTeam]:[AwayTeam]], AE$36, Table1[[ActualResult]:[ActualResult]], "SO")))/ (2*((COUNTIFS(Table1[[GameIsOver]:[GameIsOver]],1,Table1[[AwayTeam]:[AwayTeam]],$A51, Table1[[HomeTeam]:[HomeTeam]], AE$36)))+( COUNTIFS(Table1[[GameIsOver]:[GameIsOver]],1,Table1[[AwayTeam]:[AwayTeam]],AE$36, Table1[[HomeTeam]:[HomeTeam]],$A51))), "")</f>
        <v>2</v>
      </c>
      <c r="AF51" s="50" t="str">
        <f>IFERROR(((2 * (SUMIFS(Table1[[AwayWon]:[AwayWon]], Table1[[GameIsOver]:[GameIsOver]], 1, Table1[[AwayTeam]:[AwayTeam]], $A51, Table1[[HomeTeam]:[HomeTeam]], AF$36) + SUMIFS(Table1[[HomeWon]:[HomeWon]], Table1[[GameIsOver]:[GameIsOver]], 1, Table1[[HomeTeam]:[HomeTeam]], $A51, Table1[[AwayTeam]:[AwayTeam]], AF$36))) + (SUMIFS(Table1[[HomeWon]:[HomeWon]], Table1[[GameIsOver]:[GameIsOver]], 1, Table1[[AwayTeam]:[AwayTeam]], $A51, Table1[[HomeTeam]:[HomeTeam]],  AF$36, Table1[[ActualResult]:[ActualResult]], "OT") + SUMIFS(Table1[[AwayWon]:[AwayWon]], Table1[[GameIsOver]:[GameIsOver]], 1, Table1[[HomeTeam]:[HomeTeam]], $A51, Table1[[AwayTeam]:[AwayTeam]], AF$36, Table1[[ActualResult]:[ActualResult]], "OT") + SUMIFS(Table1[[HomeWon]:[HomeWon]], Table1[[GameIsOver]:[GameIsOver]], 1, Table1[[AwayTeam]:[AwayTeam]], $A51, Table1[[HomeTeam]:[HomeTeam]], AF$36, Table1[[ActualResult]:[ActualResult]], "SO") + SUMIFS(Table1[[AwayWon]:[AwayWon]], Table1[[GameIsOver]:[GameIsOver]], 1, Table1[[HomeTeam]:[HomeTeam]], $A51, Table1[[AwayTeam]:[AwayTeam]], AF$36, Table1[[ActualResult]:[ActualResult]], "SO")))/ (2*((COUNTIFS(Table1[[GameIsOver]:[GameIsOver]],1,Table1[[AwayTeam]:[AwayTeam]],$A51, Table1[[HomeTeam]:[HomeTeam]], AF$36)))+( COUNTIFS(Table1[[GameIsOver]:[GameIsOver]],1,Table1[[AwayTeam]:[AwayTeam]],AF$36, Table1[[HomeTeam]:[HomeTeam]],$A51))), "")</f>
        <v/>
      </c>
      <c r="AG51" s="50" t="str">
        <f>IFERROR(((2 * (SUMIFS(Table1[[AwayWon]:[AwayWon]], Table1[[GameIsOver]:[GameIsOver]], 1, Table1[[AwayTeam]:[AwayTeam]], $A51, Table1[[HomeTeam]:[HomeTeam]], AG$36) + SUMIFS(Table1[[HomeWon]:[HomeWon]], Table1[[GameIsOver]:[GameIsOver]], 1, Table1[[HomeTeam]:[HomeTeam]], $A51, Table1[[AwayTeam]:[AwayTeam]], AG$36))) + (SUMIFS(Table1[[HomeWon]:[HomeWon]], Table1[[GameIsOver]:[GameIsOver]], 1, Table1[[AwayTeam]:[AwayTeam]], $A51, Table1[[HomeTeam]:[HomeTeam]],  AG$36, Table1[[ActualResult]:[ActualResult]], "OT") + SUMIFS(Table1[[AwayWon]:[AwayWon]], Table1[[GameIsOver]:[GameIsOver]], 1, Table1[[HomeTeam]:[HomeTeam]], $A51, Table1[[AwayTeam]:[AwayTeam]], AG$36, Table1[[ActualResult]:[ActualResult]], "OT") + SUMIFS(Table1[[HomeWon]:[HomeWon]], Table1[[GameIsOver]:[GameIsOver]], 1, Table1[[AwayTeam]:[AwayTeam]], $A51, Table1[[HomeTeam]:[HomeTeam]], AG$36, Table1[[ActualResult]:[ActualResult]], "SO") + SUMIFS(Table1[[AwayWon]:[AwayWon]], Table1[[GameIsOver]:[GameIsOver]], 1, Table1[[HomeTeam]:[HomeTeam]], $A51, Table1[[AwayTeam]:[AwayTeam]], AG$36, Table1[[ActualResult]:[ActualResult]], "SO")))/ (2*((COUNTIFS(Table1[[GameIsOver]:[GameIsOver]],1,Table1[[AwayTeam]:[AwayTeam]],$A51, Table1[[HomeTeam]:[HomeTeam]], AG$36)))+( COUNTIFS(Table1[[GameIsOver]:[GameIsOver]],1,Table1[[AwayTeam]:[AwayTeam]],AG$36, Table1[[HomeTeam]:[HomeTeam]],$A51))), "")</f>
        <v/>
      </c>
      <c r="AH51" s="51">
        <f t="shared" si="0"/>
        <v>2</v>
      </c>
      <c r="AI51" s="51" t="e">
        <f t="shared" si="1"/>
        <v>#DIV/0!</v>
      </c>
      <c r="AJ51" s="52">
        <f t="shared" si="2"/>
        <v>2</v>
      </c>
      <c r="AK51" s="52" t="e">
        <f t="shared" si="3"/>
        <v>#DIV/0!</v>
      </c>
      <c r="AL51" s="52" t="e">
        <f t="shared" si="4"/>
        <v>#DIV/0!</v>
      </c>
      <c r="AM51" s="52" t="e">
        <f t="shared" si="5"/>
        <v>#DIV/0!</v>
      </c>
    </row>
    <row r="52" spans="1:39" ht="15.75" thickBot="1" x14ac:dyDescent="0.3">
      <c r="A52" s="29" t="s">
        <v>60</v>
      </c>
      <c r="B52" s="53" t="str">
        <f>IFERROR(((2 * (SUMIFS(Table1[[AwayWon]:[AwayWon]], Table1[[GameIsOver]:[GameIsOver]], 1, Table1[[AwayTeam]:[AwayTeam]], $A52, Table1[[HomeTeam]:[HomeTeam]], B$36) + SUMIFS(Table1[[HomeWon]:[HomeWon]], Table1[[GameIsOver]:[GameIsOver]], 1, Table1[[HomeTeam]:[HomeTeam]], $A52, Table1[[AwayTeam]:[AwayTeam]], B$36))) + (SUMIFS(Table1[[HomeWon]:[HomeWon]], Table1[[GameIsOver]:[GameIsOver]], 1, Table1[[AwayTeam]:[AwayTeam]], $A52, Table1[[HomeTeam]:[HomeTeam]],  B$36, Table1[[ActualResult]:[ActualResult]], "OT") + SUMIFS(Table1[[AwayWon]:[AwayWon]], Table1[[GameIsOver]:[GameIsOver]], 1, Table1[[HomeTeam]:[HomeTeam]], $A52, Table1[[AwayTeam]:[AwayTeam]], B$36, Table1[[ActualResult]:[ActualResult]], "OT") + SUMIFS(Table1[[HomeWon]:[HomeWon]], Table1[[GameIsOver]:[GameIsOver]], 1, Table1[[AwayTeam]:[AwayTeam]], $A52, Table1[[HomeTeam]:[HomeTeam]], B$36, Table1[[ActualResult]:[ActualResult]], "SO") + SUMIFS(Table1[[AwayWon]:[AwayWon]], Table1[[GameIsOver]:[GameIsOver]], 1, Table1[[HomeTeam]:[HomeTeam]], $A52, Table1[[AwayTeam]:[AwayTeam]], B$36, Table1[[ActualResult]:[ActualResult]], "SO")))/ (2*((COUNTIFS(Table1[[GameIsOver]:[GameIsOver]],1,Table1[[AwayTeam]:[AwayTeam]],$A52, Table1[[HomeTeam]:[HomeTeam]], B$36)))+( COUNTIFS(Table1[[GameIsOver]:[GameIsOver]],1,Table1[[AwayTeam]:[AwayTeam]],B$36, Table1[[HomeTeam]:[HomeTeam]],$A52))), "")</f>
        <v/>
      </c>
      <c r="C52" s="54">
        <f>IFERROR(((2 * (SUMIFS(Table1[[AwayWon]:[AwayWon]], Table1[[GameIsOver]:[GameIsOver]], 1, Table1[[AwayTeam]:[AwayTeam]], $A52, Table1[[HomeTeam]:[HomeTeam]], C$36) + SUMIFS(Table1[[HomeWon]:[HomeWon]], Table1[[GameIsOver]:[GameIsOver]], 1, Table1[[HomeTeam]:[HomeTeam]], $A52, Table1[[AwayTeam]:[AwayTeam]], C$36))) + (SUMIFS(Table1[[HomeWon]:[HomeWon]], Table1[[GameIsOver]:[GameIsOver]], 1, Table1[[AwayTeam]:[AwayTeam]], $A52, Table1[[HomeTeam]:[HomeTeam]],  C$36, Table1[[ActualResult]:[ActualResult]], "OT") + SUMIFS(Table1[[AwayWon]:[AwayWon]], Table1[[GameIsOver]:[GameIsOver]], 1, Table1[[HomeTeam]:[HomeTeam]], $A52, Table1[[AwayTeam]:[AwayTeam]], C$36, Table1[[ActualResult]:[ActualResult]], "OT") + SUMIFS(Table1[[HomeWon]:[HomeWon]], Table1[[GameIsOver]:[GameIsOver]], 1, Table1[[AwayTeam]:[AwayTeam]], $A52, Table1[[HomeTeam]:[HomeTeam]], C$36, Table1[[ActualResult]:[ActualResult]], "SO") + SUMIFS(Table1[[AwayWon]:[AwayWon]], Table1[[GameIsOver]:[GameIsOver]], 1, Table1[[HomeTeam]:[HomeTeam]], $A52, Table1[[AwayTeam]:[AwayTeam]], C$36, Table1[[ActualResult]:[ActualResult]], "SO")))/ (2*((COUNTIFS(Table1[[GameIsOver]:[GameIsOver]],1,Table1[[AwayTeam]:[AwayTeam]],$A52, Table1[[HomeTeam]:[HomeTeam]], C$36)))+( COUNTIFS(Table1[[GameIsOver]:[GameIsOver]],1,Table1[[AwayTeam]:[AwayTeam]],C$36, Table1[[HomeTeam]:[HomeTeam]],$A52))), "")</f>
        <v>1</v>
      </c>
      <c r="D52" s="54" t="str">
        <f>IFERROR(((2 * (SUMIFS(Table1[[AwayWon]:[AwayWon]], Table1[[GameIsOver]:[GameIsOver]], 1, Table1[[AwayTeam]:[AwayTeam]], $A52, Table1[[HomeTeam]:[HomeTeam]], D$36) + SUMIFS(Table1[[HomeWon]:[HomeWon]], Table1[[GameIsOver]:[GameIsOver]], 1, Table1[[HomeTeam]:[HomeTeam]], $A52, Table1[[AwayTeam]:[AwayTeam]], D$36))) + (SUMIFS(Table1[[HomeWon]:[HomeWon]], Table1[[GameIsOver]:[GameIsOver]], 1, Table1[[AwayTeam]:[AwayTeam]], $A52, Table1[[HomeTeam]:[HomeTeam]],  D$36, Table1[[ActualResult]:[ActualResult]], "OT") + SUMIFS(Table1[[AwayWon]:[AwayWon]], Table1[[GameIsOver]:[GameIsOver]], 1, Table1[[HomeTeam]:[HomeTeam]], $A52, Table1[[AwayTeam]:[AwayTeam]], D$36, Table1[[ActualResult]:[ActualResult]], "OT") + SUMIFS(Table1[[HomeWon]:[HomeWon]], Table1[[GameIsOver]:[GameIsOver]], 1, Table1[[AwayTeam]:[AwayTeam]], $A52, Table1[[HomeTeam]:[HomeTeam]], D$36, Table1[[ActualResult]:[ActualResult]], "SO") + SUMIFS(Table1[[AwayWon]:[AwayWon]], Table1[[GameIsOver]:[GameIsOver]], 1, Table1[[HomeTeam]:[HomeTeam]], $A52, Table1[[AwayTeam]:[AwayTeam]], D$36, Table1[[ActualResult]:[ActualResult]], "SO")))/ (2*((COUNTIFS(Table1[[GameIsOver]:[GameIsOver]],1,Table1[[AwayTeam]:[AwayTeam]],$A52, Table1[[HomeTeam]:[HomeTeam]], D$36)))+( COUNTIFS(Table1[[GameIsOver]:[GameIsOver]],1,Table1[[AwayTeam]:[AwayTeam]],D$36, Table1[[HomeTeam]:[HomeTeam]],$A52))), "")</f>
        <v/>
      </c>
      <c r="E52" s="54" t="str">
        <f>IFERROR(((2 * (SUMIFS(Table1[[AwayWon]:[AwayWon]], Table1[[GameIsOver]:[GameIsOver]], 1, Table1[[AwayTeam]:[AwayTeam]], $A52, Table1[[HomeTeam]:[HomeTeam]], E$36) + SUMIFS(Table1[[HomeWon]:[HomeWon]], Table1[[GameIsOver]:[GameIsOver]], 1, Table1[[HomeTeam]:[HomeTeam]], $A52, Table1[[AwayTeam]:[AwayTeam]], E$36))) + (SUMIFS(Table1[[HomeWon]:[HomeWon]], Table1[[GameIsOver]:[GameIsOver]], 1, Table1[[AwayTeam]:[AwayTeam]], $A52, Table1[[HomeTeam]:[HomeTeam]],  E$36, Table1[[ActualResult]:[ActualResult]], "OT") + SUMIFS(Table1[[AwayWon]:[AwayWon]], Table1[[GameIsOver]:[GameIsOver]], 1, Table1[[HomeTeam]:[HomeTeam]], $A52, Table1[[AwayTeam]:[AwayTeam]], E$36, Table1[[ActualResult]:[ActualResult]], "OT") + SUMIFS(Table1[[HomeWon]:[HomeWon]], Table1[[GameIsOver]:[GameIsOver]], 1, Table1[[AwayTeam]:[AwayTeam]], $A52, Table1[[HomeTeam]:[HomeTeam]], E$36, Table1[[ActualResult]:[ActualResult]], "SO") + SUMIFS(Table1[[AwayWon]:[AwayWon]], Table1[[GameIsOver]:[GameIsOver]], 1, Table1[[HomeTeam]:[HomeTeam]], $A52, Table1[[AwayTeam]:[AwayTeam]], E$36, Table1[[ActualResult]:[ActualResult]], "SO")))/ (2*((COUNTIFS(Table1[[GameIsOver]:[GameIsOver]],1,Table1[[AwayTeam]:[AwayTeam]],$A52, Table1[[HomeTeam]:[HomeTeam]], E$36)))+( COUNTIFS(Table1[[GameIsOver]:[GameIsOver]],1,Table1[[AwayTeam]:[AwayTeam]],E$36, Table1[[HomeTeam]:[HomeTeam]],$A52))), "")</f>
        <v/>
      </c>
      <c r="F52" s="54" t="str">
        <f>IFERROR(((2 * (SUMIFS(Table1[[AwayWon]:[AwayWon]], Table1[[GameIsOver]:[GameIsOver]], 1, Table1[[AwayTeam]:[AwayTeam]], $A52, Table1[[HomeTeam]:[HomeTeam]], F$36) + SUMIFS(Table1[[HomeWon]:[HomeWon]], Table1[[GameIsOver]:[GameIsOver]], 1, Table1[[HomeTeam]:[HomeTeam]], $A52, Table1[[AwayTeam]:[AwayTeam]], F$36))) + (SUMIFS(Table1[[HomeWon]:[HomeWon]], Table1[[GameIsOver]:[GameIsOver]], 1, Table1[[AwayTeam]:[AwayTeam]], $A52, Table1[[HomeTeam]:[HomeTeam]],  F$36, Table1[[ActualResult]:[ActualResult]], "OT") + SUMIFS(Table1[[AwayWon]:[AwayWon]], Table1[[GameIsOver]:[GameIsOver]], 1, Table1[[HomeTeam]:[HomeTeam]], $A52, Table1[[AwayTeam]:[AwayTeam]], F$36, Table1[[ActualResult]:[ActualResult]], "OT") + SUMIFS(Table1[[HomeWon]:[HomeWon]], Table1[[GameIsOver]:[GameIsOver]], 1, Table1[[AwayTeam]:[AwayTeam]], $A52, Table1[[HomeTeam]:[HomeTeam]], F$36, Table1[[ActualResult]:[ActualResult]], "SO") + SUMIFS(Table1[[AwayWon]:[AwayWon]], Table1[[GameIsOver]:[GameIsOver]], 1, Table1[[HomeTeam]:[HomeTeam]], $A52, Table1[[AwayTeam]:[AwayTeam]], F$36, Table1[[ActualResult]:[ActualResult]], "SO")))/ (2*((COUNTIFS(Table1[[GameIsOver]:[GameIsOver]],1,Table1[[AwayTeam]:[AwayTeam]],$A52, Table1[[HomeTeam]:[HomeTeam]], F$36)))+( COUNTIFS(Table1[[GameIsOver]:[GameIsOver]],1,Table1[[AwayTeam]:[AwayTeam]],F$36, Table1[[HomeTeam]:[HomeTeam]],$A52))), "")</f>
        <v/>
      </c>
      <c r="G52" s="54" t="str">
        <f>IFERROR(((2 * (SUMIFS(Table1[[AwayWon]:[AwayWon]], Table1[[GameIsOver]:[GameIsOver]], 1, Table1[[AwayTeam]:[AwayTeam]], $A52, Table1[[HomeTeam]:[HomeTeam]], G$36) + SUMIFS(Table1[[HomeWon]:[HomeWon]], Table1[[GameIsOver]:[GameIsOver]], 1, Table1[[HomeTeam]:[HomeTeam]], $A52, Table1[[AwayTeam]:[AwayTeam]], G$36))) + (SUMIFS(Table1[[HomeWon]:[HomeWon]], Table1[[GameIsOver]:[GameIsOver]], 1, Table1[[AwayTeam]:[AwayTeam]], $A52, Table1[[HomeTeam]:[HomeTeam]],  G$36, Table1[[ActualResult]:[ActualResult]], "OT") + SUMIFS(Table1[[AwayWon]:[AwayWon]], Table1[[GameIsOver]:[GameIsOver]], 1, Table1[[HomeTeam]:[HomeTeam]], $A52, Table1[[AwayTeam]:[AwayTeam]], G$36, Table1[[ActualResult]:[ActualResult]], "OT") + SUMIFS(Table1[[HomeWon]:[HomeWon]], Table1[[GameIsOver]:[GameIsOver]], 1, Table1[[AwayTeam]:[AwayTeam]], $A52, Table1[[HomeTeam]:[HomeTeam]], G$36, Table1[[ActualResult]:[ActualResult]], "SO") + SUMIFS(Table1[[AwayWon]:[AwayWon]], Table1[[GameIsOver]:[GameIsOver]], 1, Table1[[HomeTeam]:[HomeTeam]], $A52, Table1[[AwayTeam]:[AwayTeam]], G$36, Table1[[ActualResult]:[ActualResult]], "SO")))/ (2*((COUNTIFS(Table1[[GameIsOver]:[GameIsOver]],1,Table1[[AwayTeam]:[AwayTeam]],$A52, Table1[[HomeTeam]:[HomeTeam]], G$36)))+( COUNTIFS(Table1[[GameIsOver]:[GameIsOver]],1,Table1[[AwayTeam]:[AwayTeam]],G$36, Table1[[HomeTeam]:[HomeTeam]],$A52))), "")</f>
        <v/>
      </c>
      <c r="H52" s="54" t="str">
        <f>IFERROR(((2 * (SUMIFS(Table1[[AwayWon]:[AwayWon]], Table1[[GameIsOver]:[GameIsOver]], 1, Table1[[AwayTeam]:[AwayTeam]], $A52, Table1[[HomeTeam]:[HomeTeam]], H$36) + SUMIFS(Table1[[HomeWon]:[HomeWon]], Table1[[GameIsOver]:[GameIsOver]], 1, Table1[[HomeTeam]:[HomeTeam]], $A52, Table1[[AwayTeam]:[AwayTeam]], H$36))) + (SUMIFS(Table1[[HomeWon]:[HomeWon]], Table1[[GameIsOver]:[GameIsOver]], 1, Table1[[AwayTeam]:[AwayTeam]], $A52, Table1[[HomeTeam]:[HomeTeam]],  H$36, Table1[[ActualResult]:[ActualResult]], "OT") + SUMIFS(Table1[[AwayWon]:[AwayWon]], Table1[[GameIsOver]:[GameIsOver]], 1, Table1[[HomeTeam]:[HomeTeam]], $A52, Table1[[AwayTeam]:[AwayTeam]], H$36, Table1[[ActualResult]:[ActualResult]], "OT") + SUMIFS(Table1[[HomeWon]:[HomeWon]], Table1[[GameIsOver]:[GameIsOver]], 1, Table1[[AwayTeam]:[AwayTeam]], $A52, Table1[[HomeTeam]:[HomeTeam]], H$36, Table1[[ActualResult]:[ActualResult]], "SO") + SUMIFS(Table1[[AwayWon]:[AwayWon]], Table1[[GameIsOver]:[GameIsOver]], 1, Table1[[HomeTeam]:[HomeTeam]], $A52, Table1[[AwayTeam]:[AwayTeam]], H$36, Table1[[ActualResult]:[ActualResult]], "SO")))/ (2*((COUNTIFS(Table1[[GameIsOver]:[GameIsOver]],1,Table1[[AwayTeam]:[AwayTeam]],$A52, Table1[[HomeTeam]:[HomeTeam]], H$36)))+( COUNTIFS(Table1[[GameIsOver]:[GameIsOver]],1,Table1[[AwayTeam]:[AwayTeam]],H$36, Table1[[HomeTeam]:[HomeTeam]],$A52))), "")</f>
        <v/>
      </c>
      <c r="I52" s="56" t="str">
        <f>IFERROR(((2 * (SUMIFS(Table1[[AwayWon]:[AwayWon]], Table1[[GameIsOver]:[GameIsOver]], 1, Table1[[AwayTeam]:[AwayTeam]], $A52, Table1[[HomeTeam]:[HomeTeam]], I$36) + SUMIFS(Table1[[HomeWon]:[HomeWon]], Table1[[GameIsOver]:[GameIsOver]], 1, Table1[[HomeTeam]:[HomeTeam]], $A52, Table1[[AwayTeam]:[AwayTeam]], I$36))) + (SUMIFS(Table1[[HomeWon]:[HomeWon]], Table1[[GameIsOver]:[GameIsOver]], 1, Table1[[AwayTeam]:[AwayTeam]], $A52, Table1[[HomeTeam]:[HomeTeam]],  I$36, Table1[[ActualResult]:[ActualResult]], "OT") + SUMIFS(Table1[[AwayWon]:[AwayWon]], Table1[[GameIsOver]:[GameIsOver]], 1, Table1[[HomeTeam]:[HomeTeam]], $A52, Table1[[AwayTeam]:[AwayTeam]], I$36, Table1[[ActualResult]:[ActualResult]], "OT") + SUMIFS(Table1[[HomeWon]:[HomeWon]], Table1[[GameIsOver]:[GameIsOver]], 1, Table1[[AwayTeam]:[AwayTeam]], $A52, Table1[[HomeTeam]:[HomeTeam]], I$36, Table1[[ActualResult]:[ActualResult]], "SO") + SUMIFS(Table1[[AwayWon]:[AwayWon]], Table1[[GameIsOver]:[GameIsOver]], 1, Table1[[HomeTeam]:[HomeTeam]], $A52, Table1[[AwayTeam]:[AwayTeam]], I$36, Table1[[ActualResult]:[ActualResult]], "SO")))/ (2*((COUNTIFS(Table1[[GameIsOver]:[GameIsOver]],1,Table1[[AwayTeam]:[AwayTeam]],$A52, Table1[[HomeTeam]:[HomeTeam]], I$36)))+( COUNTIFS(Table1[[GameIsOver]:[GameIsOver]],1,Table1[[AwayTeam]:[AwayTeam]],I$36, Table1[[HomeTeam]:[HomeTeam]],$A52))), "")</f>
        <v/>
      </c>
      <c r="J52" s="54" t="str">
        <f>IFERROR(((2 * (SUMIFS(Table1[[AwayWon]:[AwayWon]], Table1[[GameIsOver]:[GameIsOver]], 1, Table1[[AwayTeam]:[AwayTeam]], $A52, Table1[[HomeTeam]:[HomeTeam]], J$36) + SUMIFS(Table1[[HomeWon]:[HomeWon]], Table1[[GameIsOver]:[GameIsOver]], 1, Table1[[HomeTeam]:[HomeTeam]], $A52, Table1[[AwayTeam]:[AwayTeam]], J$36))) + (SUMIFS(Table1[[HomeWon]:[HomeWon]], Table1[[GameIsOver]:[GameIsOver]], 1, Table1[[AwayTeam]:[AwayTeam]], $A52, Table1[[HomeTeam]:[HomeTeam]],  J$36, Table1[[ActualResult]:[ActualResult]], "OT") + SUMIFS(Table1[[AwayWon]:[AwayWon]], Table1[[GameIsOver]:[GameIsOver]], 1, Table1[[HomeTeam]:[HomeTeam]], $A52, Table1[[AwayTeam]:[AwayTeam]], J$36, Table1[[ActualResult]:[ActualResult]], "OT") + SUMIFS(Table1[[HomeWon]:[HomeWon]], Table1[[GameIsOver]:[GameIsOver]], 1, Table1[[AwayTeam]:[AwayTeam]], $A52, Table1[[HomeTeam]:[HomeTeam]], J$36, Table1[[ActualResult]:[ActualResult]], "SO") + SUMIFS(Table1[[AwayWon]:[AwayWon]], Table1[[GameIsOver]:[GameIsOver]], 1, Table1[[HomeTeam]:[HomeTeam]], $A52, Table1[[AwayTeam]:[AwayTeam]], J$36, Table1[[ActualResult]:[ActualResult]], "SO")))/ (2*((COUNTIFS(Table1[[GameIsOver]:[GameIsOver]],1,Table1[[AwayTeam]:[AwayTeam]],$A52, Table1[[HomeTeam]:[HomeTeam]], J$36)))+( COUNTIFS(Table1[[GameIsOver]:[GameIsOver]],1,Table1[[AwayTeam]:[AwayTeam]],J$36, Table1[[HomeTeam]:[HomeTeam]],$A52))), "")</f>
        <v/>
      </c>
      <c r="K52" s="54" t="str">
        <f>IFERROR(((2 * (SUMIFS(Table1[[AwayWon]:[AwayWon]], Table1[[GameIsOver]:[GameIsOver]], 1, Table1[[AwayTeam]:[AwayTeam]], $A52, Table1[[HomeTeam]:[HomeTeam]], K$36) + SUMIFS(Table1[[HomeWon]:[HomeWon]], Table1[[GameIsOver]:[GameIsOver]], 1, Table1[[HomeTeam]:[HomeTeam]], $A52, Table1[[AwayTeam]:[AwayTeam]], K$36))) + (SUMIFS(Table1[[HomeWon]:[HomeWon]], Table1[[GameIsOver]:[GameIsOver]], 1, Table1[[AwayTeam]:[AwayTeam]], $A52, Table1[[HomeTeam]:[HomeTeam]],  K$36, Table1[[ActualResult]:[ActualResult]], "OT") + SUMIFS(Table1[[AwayWon]:[AwayWon]], Table1[[GameIsOver]:[GameIsOver]], 1, Table1[[HomeTeam]:[HomeTeam]], $A52, Table1[[AwayTeam]:[AwayTeam]], K$36, Table1[[ActualResult]:[ActualResult]], "OT") + SUMIFS(Table1[[HomeWon]:[HomeWon]], Table1[[GameIsOver]:[GameIsOver]], 1, Table1[[AwayTeam]:[AwayTeam]], $A52, Table1[[HomeTeam]:[HomeTeam]], K$36, Table1[[ActualResult]:[ActualResult]], "SO") + SUMIFS(Table1[[AwayWon]:[AwayWon]], Table1[[GameIsOver]:[GameIsOver]], 1, Table1[[HomeTeam]:[HomeTeam]], $A52, Table1[[AwayTeam]:[AwayTeam]], K$36, Table1[[ActualResult]:[ActualResult]], "SO")))/ (2*((COUNTIFS(Table1[[GameIsOver]:[GameIsOver]],1,Table1[[AwayTeam]:[AwayTeam]],$A52, Table1[[HomeTeam]:[HomeTeam]], K$36)))+( COUNTIFS(Table1[[GameIsOver]:[GameIsOver]],1,Table1[[AwayTeam]:[AwayTeam]],K$36, Table1[[HomeTeam]:[HomeTeam]],$A52))), "")</f>
        <v/>
      </c>
      <c r="L52" s="54" t="str">
        <f>IFERROR(((2 * (SUMIFS(Table1[[AwayWon]:[AwayWon]], Table1[[GameIsOver]:[GameIsOver]], 1, Table1[[AwayTeam]:[AwayTeam]], $A52, Table1[[HomeTeam]:[HomeTeam]], L$36) + SUMIFS(Table1[[HomeWon]:[HomeWon]], Table1[[GameIsOver]:[GameIsOver]], 1, Table1[[HomeTeam]:[HomeTeam]], $A52, Table1[[AwayTeam]:[AwayTeam]], L$36))) + (SUMIFS(Table1[[HomeWon]:[HomeWon]], Table1[[GameIsOver]:[GameIsOver]], 1, Table1[[AwayTeam]:[AwayTeam]], $A52, Table1[[HomeTeam]:[HomeTeam]],  L$36, Table1[[ActualResult]:[ActualResult]], "OT") + SUMIFS(Table1[[AwayWon]:[AwayWon]], Table1[[GameIsOver]:[GameIsOver]], 1, Table1[[HomeTeam]:[HomeTeam]], $A52, Table1[[AwayTeam]:[AwayTeam]], L$36, Table1[[ActualResult]:[ActualResult]], "OT") + SUMIFS(Table1[[HomeWon]:[HomeWon]], Table1[[GameIsOver]:[GameIsOver]], 1, Table1[[AwayTeam]:[AwayTeam]], $A52, Table1[[HomeTeam]:[HomeTeam]], L$36, Table1[[ActualResult]:[ActualResult]], "SO") + SUMIFS(Table1[[AwayWon]:[AwayWon]], Table1[[GameIsOver]:[GameIsOver]], 1, Table1[[HomeTeam]:[HomeTeam]], $A52, Table1[[AwayTeam]:[AwayTeam]], L$36, Table1[[ActualResult]:[ActualResult]], "SO")))/ (2*((COUNTIFS(Table1[[GameIsOver]:[GameIsOver]],1,Table1[[AwayTeam]:[AwayTeam]],$A52, Table1[[HomeTeam]:[HomeTeam]], L$36)))+( COUNTIFS(Table1[[GameIsOver]:[GameIsOver]],1,Table1[[AwayTeam]:[AwayTeam]],L$36, Table1[[HomeTeam]:[HomeTeam]],$A52))), "")</f>
        <v/>
      </c>
      <c r="M52" s="54" t="str">
        <f>IFERROR(((2 * (SUMIFS(Table1[[AwayWon]:[AwayWon]], Table1[[GameIsOver]:[GameIsOver]], 1, Table1[[AwayTeam]:[AwayTeam]], $A52, Table1[[HomeTeam]:[HomeTeam]], M$36) + SUMIFS(Table1[[HomeWon]:[HomeWon]], Table1[[GameIsOver]:[GameIsOver]], 1, Table1[[HomeTeam]:[HomeTeam]], $A52, Table1[[AwayTeam]:[AwayTeam]], M$36))) + (SUMIFS(Table1[[HomeWon]:[HomeWon]], Table1[[GameIsOver]:[GameIsOver]], 1, Table1[[AwayTeam]:[AwayTeam]], $A52, Table1[[HomeTeam]:[HomeTeam]],  M$36, Table1[[ActualResult]:[ActualResult]], "OT") + SUMIFS(Table1[[AwayWon]:[AwayWon]], Table1[[GameIsOver]:[GameIsOver]], 1, Table1[[HomeTeam]:[HomeTeam]], $A52, Table1[[AwayTeam]:[AwayTeam]], M$36, Table1[[ActualResult]:[ActualResult]], "OT") + SUMIFS(Table1[[HomeWon]:[HomeWon]], Table1[[GameIsOver]:[GameIsOver]], 1, Table1[[AwayTeam]:[AwayTeam]], $A52, Table1[[HomeTeam]:[HomeTeam]], M$36, Table1[[ActualResult]:[ActualResult]], "SO") + SUMIFS(Table1[[AwayWon]:[AwayWon]], Table1[[GameIsOver]:[GameIsOver]], 1, Table1[[HomeTeam]:[HomeTeam]], $A52, Table1[[AwayTeam]:[AwayTeam]], M$36, Table1[[ActualResult]:[ActualResult]], "SO")))/ (2*((COUNTIFS(Table1[[GameIsOver]:[GameIsOver]],1,Table1[[AwayTeam]:[AwayTeam]],$A52, Table1[[HomeTeam]:[HomeTeam]], M$36)))+( COUNTIFS(Table1[[GameIsOver]:[GameIsOver]],1,Table1[[AwayTeam]:[AwayTeam]],M$36, Table1[[HomeTeam]:[HomeTeam]],$A52))), "")</f>
        <v/>
      </c>
      <c r="N52" s="54" t="str">
        <f>IFERROR(((2 * (SUMIFS(Table1[[AwayWon]:[AwayWon]], Table1[[GameIsOver]:[GameIsOver]], 1, Table1[[AwayTeam]:[AwayTeam]], $A52, Table1[[HomeTeam]:[HomeTeam]], N$36) + SUMIFS(Table1[[HomeWon]:[HomeWon]], Table1[[GameIsOver]:[GameIsOver]], 1, Table1[[HomeTeam]:[HomeTeam]], $A52, Table1[[AwayTeam]:[AwayTeam]], N$36))) + (SUMIFS(Table1[[HomeWon]:[HomeWon]], Table1[[GameIsOver]:[GameIsOver]], 1, Table1[[AwayTeam]:[AwayTeam]], $A52, Table1[[HomeTeam]:[HomeTeam]],  N$36, Table1[[ActualResult]:[ActualResult]], "OT") + SUMIFS(Table1[[AwayWon]:[AwayWon]], Table1[[GameIsOver]:[GameIsOver]], 1, Table1[[HomeTeam]:[HomeTeam]], $A52, Table1[[AwayTeam]:[AwayTeam]], N$36, Table1[[ActualResult]:[ActualResult]], "OT") + SUMIFS(Table1[[HomeWon]:[HomeWon]], Table1[[GameIsOver]:[GameIsOver]], 1, Table1[[AwayTeam]:[AwayTeam]], $A52, Table1[[HomeTeam]:[HomeTeam]], N$36, Table1[[ActualResult]:[ActualResult]], "SO") + SUMIFS(Table1[[AwayWon]:[AwayWon]], Table1[[GameIsOver]:[GameIsOver]], 1, Table1[[HomeTeam]:[HomeTeam]], $A52, Table1[[AwayTeam]:[AwayTeam]], N$36, Table1[[ActualResult]:[ActualResult]], "SO")))/ (2*((COUNTIFS(Table1[[GameIsOver]:[GameIsOver]],1,Table1[[AwayTeam]:[AwayTeam]],$A52, Table1[[HomeTeam]:[HomeTeam]], N$36)))+( COUNTIFS(Table1[[GameIsOver]:[GameIsOver]],1,Table1[[AwayTeam]:[AwayTeam]],N$36, Table1[[HomeTeam]:[HomeTeam]],$A52))), "")</f>
        <v/>
      </c>
      <c r="O52" s="54" t="str">
        <f>IFERROR(((2 * (SUMIFS(Table1[[AwayWon]:[AwayWon]], Table1[[GameIsOver]:[GameIsOver]], 1, Table1[[AwayTeam]:[AwayTeam]], $A52, Table1[[HomeTeam]:[HomeTeam]], O$36) + SUMIFS(Table1[[HomeWon]:[HomeWon]], Table1[[GameIsOver]:[GameIsOver]], 1, Table1[[HomeTeam]:[HomeTeam]], $A52, Table1[[AwayTeam]:[AwayTeam]], O$36))) + (SUMIFS(Table1[[HomeWon]:[HomeWon]], Table1[[GameIsOver]:[GameIsOver]], 1, Table1[[AwayTeam]:[AwayTeam]], $A52, Table1[[HomeTeam]:[HomeTeam]],  O$36, Table1[[ActualResult]:[ActualResult]], "OT") + SUMIFS(Table1[[AwayWon]:[AwayWon]], Table1[[GameIsOver]:[GameIsOver]], 1, Table1[[HomeTeam]:[HomeTeam]], $A52, Table1[[AwayTeam]:[AwayTeam]], O$36, Table1[[ActualResult]:[ActualResult]], "OT") + SUMIFS(Table1[[HomeWon]:[HomeWon]], Table1[[GameIsOver]:[GameIsOver]], 1, Table1[[AwayTeam]:[AwayTeam]], $A52, Table1[[HomeTeam]:[HomeTeam]], O$36, Table1[[ActualResult]:[ActualResult]], "SO") + SUMIFS(Table1[[AwayWon]:[AwayWon]], Table1[[GameIsOver]:[GameIsOver]], 1, Table1[[HomeTeam]:[HomeTeam]], $A52, Table1[[AwayTeam]:[AwayTeam]], O$36, Table1[[ActualResult]:[ActualResult]], "SO")))/ (2*((COUNTIFS(Table1[[GameIsOver]:[GameIsOver]],1,Table1[[AwayTeam]:[AwayTeam]],$A52, Table1[[HomeTeam]:[HomeTeam]], O$36)))+( COUNTIFS(Table1[[GameIsOver]:[GameIsOver]],1,Table1[[AwayTeam]:[AwayTeam]],O$36, Table1[[HomeTeam]:[HomeTeam]],$A52))), "")</f>
        <v/>
      </c>
      <c r="P52" s="54" t="str">
        <f>IFERROR(((2 * (SUMIFS(Table1[[AwayWon]:[AwayWon]], Table1[[GameIsOver]:[GameIsOver]], 1, Table1[[AwayTeam]:[AwayTeam]], $A52, Table1[[HomeTeam]:[HomeTeam]], P$36) + SUMIFS(Table1[[HomeWon]:[HomeWon]], Table1[[GameIsOver]:[GameIsOver]], 1, Table1[[HomeTeam]:[HomeTeam]], $A52, Table1[[AwayTeam]:[AwayTeam]], P$36))) + (SUMIFS(Table1[[HomeWon]:[HomeWon]], Table1[[GameIsOver]:[GameIsOver]], 1, Table1[[AwayTeam]:[AwayTeam]], $A52, Table1[[HomeTeam]:[HomeTeam]],  P$36, Table1[[ActualResult]:[ActualResult]], "OT") + SUMIFS(Table1[[AwayWon]:[AwayWon]], Table1[[GameIsOver]:[GameIsOver]], 1, Table1[[HomeTeam]:[HomeTeam]], $A52, Table1[[AwayTeam]:[AwayTeam]], P$36, Table1[[ActualResult]:[ActualResult]], "OT") + SUMIFS(Table1[[HomeWon]:[HomeWon]], Table1[[GameIsOver]:[GameIsOver]], 1, Table1[[AwayTeam]:[AwayTeam]], $A52, Table1[[HomeTeam]:[HomeTeam]], P$36, Table1[[ActualResult]:[ActualResult]], "SO") + SUMIFS(Table1[[AwayWon]:[AwayWon]], Table1[[GameIsOver]:[GameIsOver]], 1, Table1[[HomeTeam]:[HomeTeam]], $A52, Table1[[AwayTeam]:[AwayTeam]], P$36, Table1[[ActualResult]:[ActualResult]], "SO")))/ (2*((COUNTIFS(Table1[[GameIsOver]:[GameIsOver]],1,Table1[[AwayTeam]:[AwayTeam]],$A52, Table1[[HomeTeam]:[HomeTeam]], P$36)))+( COUNTIFS(Table1[[GameIsOver]:[GameIsOver]],1,Table1[[AwayTeam]:[AwayTeam]],P$36, Table1[[HomeTeam]:[HomeTeam]],$A52))), "")</f>
        <v/>
      </c>
      <c r="Q52" s="56" t="str">
        <f>IFERROR(((2 * (SUMIFS(Table1[[AwayWon]:[AwayWon]], Table1[[GameIsOver]:[GameIsOver]], 1, Table1[[AwayTeam]:[AwayTeam]], $A52, Table1[[HomeTeam]:[HomeTeam]], Q$36) + SUMIFS(Table1[[HomeWon]:[HomeWon]], Table1[[GameIsOver]:[GameIsOver]], 1, Table1[[HomeTeam]:[HomeTeam]], $A52, Table1[[AwayTeam]:[AwayTeam]], Q$36))) + (SUMIFS(Table1[[HomeWon]:[HomeWon]], Table1[[GameIsOver]:[GameIsOver]], 1, Table1[[AwayTeam]:[AwayTeam]], $A52, Table1[[HomeTeam]:[HomeTeam]],  Q$36, Table1[[ActualResult]:[ActualResult]], "OT") + SUMIFS(Table1[[AwayWon]:[AwayWon]], Table1[[GameIsOver]:[GameIsOver]], 1, Table1[[HomeTeam]:[HomeTeam]], $A52, Table1[[AwayTeam]:[AwayTeam]], Q$36, Table1[[ActualResult]:[ActualResult]], "OT") + SUMIFS(Table1[[HomeWon]:[HomeWon]], Table1[[GameIsOver]:[GameIsOver]], 1, Table1[[AwayTeam]:[AwayTeam]], $A52, Table1[[HomeTeam]:[HomeTeam]], Q$36, Table1[[ActualResult]:[ActualResult]], "SO") + SUMIFS(Table1[[AwayWon]:[AwayWon]], Table1[[GameIsOver]:[GameIsOver]], 1, Table1[[HomeTeam]:[HomeTeam]], $A52, Table1[[AwayTeam]:[AwayTeam]], Q$36, Table1[[ActualResult]:[ActualResult]], "SO")))/ (2*((COUNTIFS(Table1[[GameIsOver]:[GameIsOver]],1,Table1[[AwayTeam]:[AwayTeam]],$A52, Table1[[HomeTeam]:[HomeTeam]], Q$36)))+( COUNTIFS(Table1[[GameIsOver]:[GameIsOver]],1,Table1[[AwayTeam]:[AwayTeam]],Q$36, Table1[[HomeTeam]:[HomeTeam]],$A52))), "")</f>
        <v/>
      </c>
      <c r="R52" s="54" t="str">
        <f>IFERROR(((2 * (SUMIFS(Table1[[AwayWon]:[AwayWon]], Table1[[GameIsOver]:[GameIsOver]], 1, Table1[[AwayTeam]:[AwayTeam]], $A52, Table1[[HomeTeam]:[HomeTeam]], R$36) + SUMIFS(Table1[[HomeWon]:[HomeWon]], Table1[[GameIsOver]:[GameIsOver]], 1, Table1[[HomeTeam]:[HomeTeam]], $A52, Table1[[AwayTeam]:[AwayTeam]], R$36))) + (SUMIFS(Table1[[HomeWon]:[HomeWon]], Table1[[GameIsOver]:[GameIsOver]], 1, Table1[[AwayTeam]:[AwayTeam]], $A52, Table1[[HomeTeam]:[HomeTeam]],  R$36, Table1[[ActualResult]:[ActualResult]], "OT") + SUMIFS(Table1[[AwayWon]:[AwayWon]], Table1[[GameIsOver]:[GameIsOver]], 1, Table1[[HomeTeam]:[HomeTeam]], $A52, Table1[[AwayTeam]:[AwayTeam]], R$36, Table1[[ActualResult]:[ActualResult]], "OT") + SUMIFS(Table1[[HomeWon]:[HomeWon]], Table1[[GameIsOver]:[GameIsOver]], 1, Table1[[AwayTeam]:[AwayTeam]], $A52, Table1[[HomeTeam]:[HomeTeam]], R$36, Table1[[ActualResult]:[ActualResult]], "SO") + SUMIFS(Table1[[AwayWon]:[AwayWon]], Table1[[GameIsOver]:[GameIsOver]], 1, Table1[[HomeTeam]:[HomeTeam]], $A52, Table1[[AwayTeam]:[AwayTeam]], R$36, Table1[[ActualResult]:[ActualResult]], "SO")))/ (2*((COUNTIFS(Table1[[GameIsOver]:[GameIsOver]],1,Table1[[AwayTeam]:[AwayTeam]],$A52, Table1[[HomeTeam]:[HomeTeam]], R$36)))+( COUNTIFS(Table1[[GameIsOver]:[GameIsOver]],1,Table1[[AwayTeam]:[AwayTeam]],R$36, Table1[[HomeTeam]:[HomeTeam]],$A52))), "")</f>
        <v/>
      </c>
      <c r="S52" s="54" t="str">
        <f>IFERROR(((2 * (SUMIFS(Table1[[AwayWon]:[AwayWon]], Table1[[GameIsOver]:[GameIsOver]], 1, Table1[[AwayTeam]:[AwayTeam]], $A52, Table1[[HomeTeam]:[HomeTeam]], S$36) + SUMIFS(Table1[[HomeWon]:[HomeWon]], Table1[[GameIsOver]:[GameIsOver]], 1, Table1[[HomeTeam]:[HomeTeam]], $A52, Table1[[AwayTeam]:[AwayTeam]], S$36))) + (SUMIFS(Table1[[HomeWon]:[HomeWon]], Table1[[GameIsOver]:[GameIsOver]], 1, Table1[[AwayTeam]:[AwayTeam]], $A52, Table1[[HomeTeam]:[HomeTeam]],  S$36, Table1[[ActualResult]:[ActualResult]], "OT") + SUMIFS(Table1[[AwayWon]:[AwayWon]], Table1[[GameIsOver]:[GameIsOver]], 1, Table1[[HomeTeam]:[HomeTeam]], $A52, Table1[[AwayTeam]:[AwayTeam]], S$36, Table1[[ActualResult]:[ActualResult]], "OT") + SUMIFS(Table1[[HomeWon]:[HomeWon]], Table1[[GameIsOver]:[GameIsOver]], 1, Table1[[AwayTeam]:[AwayTeam]], $A52, Table1[[HomeTeam]:[HomeTeam]], S$36, Table1[[ActualResult]:[ActualResult]], "SO") + SUMIFS(Table1[[AwayWon]:[AwayWon]], Table1[[GameIsOver]:[GameIsOver]], 1, Table1[[HomeTeam]:[HomeTeam]], $A52, Table1[[AwayTeam]:[AwayTeam]], S$36, Table1[[ActualResult]:[ActualResult]], "SO")))/ (2*((COUNTIFS(Table1[[GameIsOver]:[GameIsOver]],1,Table1[[AwayTeam]:[AwayTeam]],$A52, Table1[[HomeTeam]:[HomeTeam]], S$36)))+( COUNTIFS(Table1[[GameIsOver]:[GameIsOver]],1,Table1[[AwayTeam]:[AwayTeam]],S$36, Table1[[HomeTeam]:[HomeTeam]],$A52))), "")</f>
        <v/>
      </c>
      <c r="T52" s="54" t="str">
        <f>IFERROR(((2 * (SUMIFS(Table1[[AwayWon]:[AwayWon]], Table1[[GameIsOver]:[GameIsOver]], 1, Table1[[AwayTeam]:[AwayTeam]], $A52, Table1[[HomeTeam]:[HomeTeam]], T$36) + SUMIFS(Table1[[HomeWon]:[HomeWon]], Table1[[GameIsOver]:[GameIsOver]], 1, Table1[[HomeTeam]:[HomeTeam]], $A52, Table1[[AwayTeam]:[AwayTeam]], T$36))) + (SUMIFS(Table1[[HomeWon]:[HomeWon]], Table1[[GameIsOver]:[GameIsOver]], 1, Table1[[AwayTeam]:[AwayTeam]], $A52, Table1[[HomeTeam]:[HomeTeam]],  T$36, Table1[[ActualResult]:[ActualResult]], "OT") + SUMIFS(Table1[[AwayWon]:[AwayWon]], Table1[[GameIsOver]:[GameIsOver]], 1, Table1[[HomeTeam]:[HomeTeam]], $A52, Table1[[AwayTeam]:[AwayTeam]], T$36, Table1[[ActualResult]:[ActualResult]], "OT") + SUMIFS(Table1[[HomeWon]:[HomeWon]], Table1[[GameIsOver]:[GameIsOver]], 1, Table1[[AwayTeam]:[AwayTeam]], $A52, Table1[[HomeTeam]:[HomeTeam]], T$36, Table1[[ActualResult]:[ActualResult]], "SO") + SUMIFS(Table1[[AwayWon]:[AwayWon]], Table1[[GameIsOver]:[GameIsOver]], 1, Table1[[HomeTeam]:[HomeTeam]], $A52, Table1[[AwayTeam]:[AwayTeam]], T$36, Table1[[ActualResult]:[ActualResult]], "SO")))/ (2*((COUNTIFS(Table1[[GameIsOver]:[GameIsOver]],1,Table1[[AwayTeam]:[AwayTeam]],$A52, Table1[[HomeTeam]:[HomeTeam]], T$36)))+( COUNTIFS(Table1[[GameIsOver]:[GameIsOver]],1,Table1[[AwayTeam]:[AwayTeam]],T$36, Table1[[HomeTeam]:[HomeTeam]],$A52))), "")</f>
        <v/>
      </c>
      <c r="U52" s="54" t="str">
        <f>IFERROR(((2 * (SUMIFS(Table1[[AwayWon]:[AwayWon]], Table1[[GameIsOver]:[GameIsOver]], 1, Table1[[AwayTeam]:[AwayTeam]], $A52, Table1[[HomeTeam]:[HomeTeam]], U$36) + SUMIFS(Table1[[HomeWon]:[HomeWon]], Table1[[GameIsOver]:[GameIsOver]], 1, Table1[[HomeTeam]:[HomeTeam]], $A52, Table1[[AwayTeam]:[AwayTeam]], U$36))) + (SUMIFS(Table1[[HomeWon]:[HomeWon]], Table1[[GameIsOver]:[GameIsOver]], 1, Table1[[AwayTeam]:[AwayTeam]], $A52, Table1[[HomeTeam]:[HomeTeam]],  U$36, Table1[[ActualResult]:[ActualResult]], "OT") + SUMIFS(Table1[[AwayWon]:[AwayWon]], Table1[[GameIsOver]:[GameIsOver]], 1, Table1[[HomeTeam]:[HomeTeam]], $A52, Table1[[AwayTeam]:[AwayTeam]], U$36, Table1[[ActualResult]:[ActualResult]], "OT") + SUMIFS(Table1[[HomeWon]:[HomeWon]], Table1[[GameIsOver]:[GameIsOver]], 1, Table1[[AwayTeam]:[AwayTeam]], $A52, Table1[[HomeTeam]:[HomeTeam]], U$36, Table1[[ActualResult]:[ActualResult]], "SO") + SUMIFS(Table1[[AwayWon]:[AwayWon]], Table1[[GameIsOver]:[GameIsOver]], 1, Table1[[HomeTeam]:[HomeTeam]], $A52, Table1[[AwayTeam]:[AwayTeam]], U$36, Table1[[ActualResult]:[ActualResult]], "SO")))/ (2*((COUNTIFS(Table1[[GameIsOver]:[GameIsOver]],1,Table1[[AwayTeam]:[AwayTeam]],$A52, Table1[[HomeTeam]:[HomeTeam]], U$36)))+( COUNTIFS(Table1[[GameIsOver]:[GameIsOver]],1,Table1[[AwayTeam]:[AwayTeam]],U$36, Table1[[HomeTeam]:[HomeTeam]],$A52))), "")</f>
        <v/>
      </c>
      <c r="V52" s="54" t="str">
        <f>IFERROR(((2 * (SUMIFS(Table1[[AwayWon]:[AwayWon]], Table1[[GameIsOver]:[GameIsOver]], 1, Table1[[AwayTeam]:[AwayTeam]], $A52, Table1[[HomeTeam]:[HomeTeam]], V$36) + SUMIFS(Table1[[HomeWon]:[HomeWon]], Table1[[GameIsOver]:[GameIsOver]], 1, Table1[[HomeTeam]:[HomeTeam]], $A52, Table1[[AwayTeam]:[AwayTeam]], V$36))) + (SUMIFS(Table1[[HomeWon]:[HomeWon]], Table1[[GameIsOver]:[GameIsOver]], 1, Table1[[AwayTeam]:[AwayTeam]], $A52, Table1[[HomeTeam]:[HomeTeam]],  V$36, Table1[[ActualResult]:[ActualResult]], "OT") + SUMIFS(Table1[[AwayWon]:[AwayWon]], Table1[[GameIsOver]:[GameIsOver]], 1, Table1[[HomeTeam]:[HomeTeam]], $A52, Table1[[AwayTeam]:[AwayTeam]], V$36, Table1[[ActualResult]:[ActualResult]], "OT") + SUMIFS(Table1[[HomeWon]:[HomeWon]], Table1[[GameIsOver]:[GameIsOver]], 1, Table1[[AwayTeam]:[AwayTeam]], $A52, Table1[[HomeTeam]:[HomeTeam]], V$36, Table1[[ActualResult]:[ActualResult]], "SO") + SUMIFS(Table1[[AwayWon]:[AwayWon]], Table1[[GameIsOver]:[GameIsOver]], 1, Table1[[HomeTeam]:[HomeTeam]], $A52, Table1[[AwayTeam]:[AwayTeam]], V$36, Table1[[ActualResult]:[ActualResult]], "SO")))/ (2*((COUNTIFS(Table1[[GameIsOver]:[GameIsOver]],1,Table1[[AwayTeam]:[AwayTeam]],$A52, Table1[[HomeTeam]:[HomeTeam]], V$36)))+( COUNTIFS(Table1[[GameIsOver]:[GameIsOver]],1,Table1[[AwayTeam]:[AwayTeam]],V$36, Table1[[HomeTeam]:[HomeTeam]],$A52))), "")</f>
        <v/>
      </c>
      <c r="W52" s="54" t="str">
        <f>IFERROR(((2 * (SUMIFS(Table1[[AwayWon]:[AwayWon]], Table1[[GameIsOver]:[GameIsOver]], 1, Table1[[AwayTeam]:[AwayTeam]], $A52, Table1[[HomeTeam]:[HomeTeam]], W$36) + SUMIFS(Table1[[HomeWon]:[HomeWon]], Table1[[GameIsOver]:[GameIsOver]], 1, Table1[[HomeTeam]:[HomeTeam]], $A52, Table1[[AwayTeam]:[AwayTeam]], W$36))) + (SUMIFS(Table1[[HomeWon]:[HomeWon]], Table1[[GameIsOver]:[GameIsOver]], 1, Table1[[AwayTeam]:[AwayTeam]], $A52, Table1[[HomeTeam]:[HomeTeam]],  W$36, Table1[[ActualResult]:[ActualResult]], "OT") + SUMIFS(Table1[[AwayWon]:[AwayWon]], Table1[[GameIsOver]:[GameIsOver]], 1, Table1[[HomeTeam]:[HomeTeam]], $A52, Table1[[AwayTeam]:[AwayTeam]], W$36, Table1[[ActualResult]:[ActualResult]], "OT") + SUMIFS(Table1[[HomeWon]:[HomeWon]], Table1[[GameIsOver]:[GameIsOver]], 1, Table1[[AwayTeam]:[AwayTeam]], $A52, Table1[[HomeTeam]:[HomeTeam]], W$36, Table1[[ActualResult]:[ActualResult]], "SO") + SUMIFS(Table1[[AwayWon]:[AwayWon]], Table1[[GameIsOver]:[GameIsOver]], 1, Table1[[HomeTeam]:[HomeTeam]], $A52, Table1[[AwayTeam]:[AwayTeam]], W$36, Table1[[ActualResult]:[ActualResult]], "SO")))/ (2*((COUNTIFS(Table1[[GameIsOver]:[GameIsOver]],1,Table1[[AwayTeam]:[AwayTeam]],$A52, Table1[[HomeTeam]:[HomeTeam]], W$36)))+( COUNTIFS(Table1[[GameIsOver]:[GameIsOver]],1,Table1[[AwayTeam]:[AwayTeam]],W$36, Table1[[HomeTeam]:[HomeTeam]],$A52))), "")</f>
        <v/>
      </c>
      <c r="X52" s="54" t="str">
        <f>IFERROR(((2 * (SUMIFS(Table1[[AwayWon]:[AwayWon]], Table1[[GameIsOver]:[GameIsOver]], 1, Table1[[AwayTeam]:[AwayTeam]], $A52, Table1[[HomeTeam]:[HomeTeam]], X$36) + SUMIFS(Table1[[HomeWon]:[HomeWon]], Table1[[GameIsOver]:[GameIsOver]], 1, Table1[[HomeTeam]:[HomeTeam]], $A52, Table1[[AwayTeam]:[AwayTeam]], X$36))) + (SUMIFS(Table1[[HomeWon]:[HomeWon]], Table1[[GameIsOver]:[GameIsOver]], 1, Table1[[AwayTeam]:[AwayTeam]], $A52, Table1[[HomeTeam]:[HomeTeam]],  X$36, Table1[[ActualResult]:[ActualResult]], "OT") + SUMIFS(Table1[[AwayWon]:[AwayWon]], Table1[[GameIsOver]:[GameIsOver]], 1, Table1[[HomeTeam]:[HomeTeam]], $A52, Table1[[AwayTeam]:[AwayTeam]], X$36, Table1[[ActualResult]:[ActualResult]], "OT") + SUMIFS(Table1[[HomeWon]:[HomeWon]], Table1[[GameIsOver]:[GameIsOver]], 1, Table1[[AwayTeam]:[AwayTeam]], $A52, Table1[[HomeTeam]:[HomeTeam]], X$36, Table1[[ActualResult]:[ActualResult]], "SO") + SUMIFS(Table1[[AwayWon]:[AwayWon]], Table1[[GameIsOver]:[GameIsOver]], 1, Table1[[HomeTeam]:[HomeTeam]], $A52, Table1[[AwayTeam]:[AwayTeam]], X$36, Table1[[ActualResult]:[ActualResult]], "SO")))/ (2*((COUNTIFS(Table1[[GameIsOver]:[GameIsOver]],1,Table1[[AwayTeam]:[AwayTeam]],$A52, Table1[[HomeTeam]:[HomeTeam]], X$36)))+( COUNTIFS(Table1[[GameIsOver]:[GameIsOver]],1,Table1[[AwayTeam]:[AwayTeam]],X$36, Table1[[HomeTeam]:[HomeTeam]],$A52))), "")</f>
        <v/>
      </c>
      <c r="Y52" s="56" t="str">
        <f>IFERROR(((2 * (SUMIFS(Table1[[AwayWon]:[AwayWon]], Table1[[GameIsOver]:[GameIsOver]], 1, Table1[[AwayTeam]:[AwayTeam]], $A52, Table1[[HomeTeam]:[HomeTeam]], Y$36) + SUMIFS(Table1[[HomeWon]:[HomeWon]], Table1[[GameIsOver]:[GameIsOver]], 1, Table1[[HomeTeam]:[HomeTeam]], $A52, Table1[[AwayTeam]:[AwayTeam]], Y$36))) + (SUMIFS(Table1[[HomeWon]:[HomeWon]], Table1[[GameIsOver]:[GameIsOver]], 1, Table1[[AwayTeam]:[AwayTeam]], $A52, Table1[[HomeTeam]:[HomeTeam]],  Y$36, Table1[[ActualResult]:[ActualResult]], "OT") + SUMIFS(Table1[[AwayWon]:[AwayWon]], Table1[[GameIsOver]:[GameIsOver]], 1, Table1[[HomeTeam]:[HomeTeam]], $A52, Table1[[AwayTeam]:[AwayTeam]], Y$36, Table1[[ActualResult]:[ActualResult]], "OT") + SUMIFS(Table1[[HomeWon]:[HomeWon]], Table1[[GameIsOver]:[GameIsOver]], 1, Table1[[AwayTeam]:[AwayTeam]], $A52, Table1[[HomeTeam]:[HomeTeam]], Y$36, Table1[[ActualResult]:[ActualResult]], "SO") + SUMIFS(Table1[[AwayWon]:[AwayWon]], Table1[[GameIsOver]:[GameIsOver]], 1, Table1[[HomeTeam]:[HomeTeam]], $A52, Table1[[AwayTeam]:[AwayTeam]], Y$36, Table1[[ActualResult]:[ActualResult]], "SO")))/ (2*((COUNTIFS(Table1[[GameIsOver]:[GameIsOver]],1,Table1[[AwayTeam]:[AwayTeam]],$A52, Table1[[HomeTeam]:[HomeTeam]], Y$36)))+( COUNTIFS(Table1[[GameIsOver]:[GameIsOver]],1,Table1[[AwayTeam]:[AwayTeam]],Y$36, Table1[[HomeTeam]:[HomeTeam]],$A52))), "")</f>
        <v/>
      </c>
      <c r="Z52" s="54">
        <f>IFERROR(((2 * (SUMIFS(Table1[[AwayWon]:[AwayWon]], Table1[[GameIsOver]:[GameIsOver]], 1, Table1[[AwayTeam]:[AwayTeam]], $A52, Table1[[HomeTeam]:[HomeTeam]], Z$36) + SUMIFS(Table1[[HomeWon]:[HomeWon]], Table1[[GameIsOver]:[GameIsOver]], 1, Table1[[HomeTeam]:[HomeTeam]], $A52, Table1[[AwayTeam]:[AwayTeam]], Z$36))) + (SUMIFS(Table1[[HomeWon]:[HomeWon]], Table1[[GameIsOver]:[GameIsOver]], 1, Table1[[AwayTeam]:[AwayTeam]], $A52, Table1[[HomeTeam]:[HomeTeam]],  Z$36, Table1[[ActualResult]:[ActualResult]], "OT") + SUMIFS(Table1[[AwayWon]:[AwayWon]], Table1[[GameIsOver]:[GameIsOver]], 1, Table1[[HomeTeam]:[HomeTeam]], $A52, Table1[[AwayTeam]:[AwayTeam]], Z$36, Table1[[ActualResult]:[ActualResult]], "OT") + SUMIFS(Table1[[HomeWon]:[HomeWon]], Table1[[GameIsOver]:[GameIsOver]], 1, Table1[[AwayTeam]:[AwayTeam]], $A52, Table1[[HomeTeam]:[HomeTeam]], Z$36, Table1[[ActualResult]:[ActualResult]], "SO") + SUMIFS(Table1[[AwayWon]:[AwayWon]], Table1[[GameIsOver]:[GameIsOver]], 1, Table1[[HomeTeam]:[HomeTeam]], $A52, Table1[[AwayTeam]:[AwayTeam]], Z$36, Table1[[ActualResult]:[ActualResult]], "SO")))/ (2*((COUNTIFS(Table1[[GameIsOver]:[GameIsOver]],1,Table1[[AwayTeam]:[AwayTeam]],$A52, Table1[[HomeTeam]:[HomeTeam]], Z$36)))+( COUNTIFS(Table1[[GameIsOver]:[GameIsOver]],1,Table1[[AwayTeam]:[AwayTeam]],Z$36, Table1[[HomeTeam]:[HomeTeam]],$A52))), "")</f>
        <v>0</v>
      </c>
      <c r="AA52" s="54" t="str">
        <f>IFERROR(((2 * (SUMIFS(Table1[[AwayWon]:[AwayWon]], Table1[[GameIsOver]:[GameIsOver]], 1, Table1[[AwayTeam]:[AwayTeam]], $A52, Table1[[HomeTeam]:[HomeTeam]], AA$36) + SUMIFS(Table1[[HomeWon]:[HomeWon]], Table1[[GameIsOver]:[GameIsOver]], 1, Table1[[HomeTeam]:[HomeTeam]], $A52, Table1[[AwayTeam]:[AwayTeam]], AA$36))) + (SUMIFS(Table1[[HomeWon]:[HomeWon]], Table1[[GameIsOver]:[GameIsOver]], 1, Table1[[AwayTeam]:[AwayTeam]], $A52, Table1[[HomeTeam]:[HomeTeam]],  AA$36, Table1[[ActualResult]:[ActualResult]], "OT") + SUMIFS(Table1[[AwayWon]:[AwayWon]], Table1[[GameIsOver]:[GameIsOver]], 1, Table1[[HomeTeam]:[HomeTeam]], $A52, Table1[[AwayTeam]:[AwayTeam]], AA$36, Table1[[ActualResult]:[ActualResult]], "OT") + SUMIFS(Table1[[HomeWon]:[HomeWon]], Table1[[GameIsOver]:[GameIsOver]], 1, Table1[[AwayTeam]:[AwayTeam]], $A52, Table1[[HomeTeam]:[HomeTeam]], AA$36, Table1[[ActualResult]:[ActualResult]], "SO") + SUMIFS(Table1[[AwayWon]:[AwayWon]], Table1[[GameIsOver]:[GameIsOver]], 1, Table1[[HomeTeam]:[HomeTeam]], $A52, Table1[[AwayTeam]:[AwayTeam]], AA$36, Table1[[ActualResult]:[ActualResult]], "SO")))/ (2*((COUNTIFS(Table1[[GameIsOver]:[GameIsOver]],1,Table1[[AwayTeam]:[AwayTeam]],$A52, Table1[[HomeTeam]:[HomeTeam]], AA$36)))+( COUNTIFS(Table1[[GameIsOver]:[GameIsOver]],1,Table1[[AwayTeam]:[AwayTeam]],AA$36, Table1[[HomeTeam]:[HomeTeam]],$A52))), "")</f>
        <v/>
      </c>
      <c r="AB52" s="54" t="str">
        <f>IFERROR(((2 * (SUMIFS(Table1[[AwayWon]:[AwayWon]], Table1[[GameIsOver]:[GameIsOver]], 1, Table1[[AwayTeam]:[AwayTeam]], $A52, Table1[[HomeTeam]:[HomeTeam]], AB$36) + SUMIFS(Table1[[HomeWon]:[HomeWon]], Table1[[GameIsOver]:[GameIsOver]], 1, Table1[[HomeTeam]:[HomeTeam]], $A52, Table1[[AwayTeam]:[AwayTeam]], AB$36))) + (SUMIFS(Table1[[HomeWon]:[HomeWon]], Table1[[GameIsOver]:[GameIsOver]], 1, Table1[[AwayTeam]:[AwayTeam]], $A52, Table1[[HomeTeam]:[HomeTeam]],  AB$36, Table1[[ActualResult]:[ActualResult]], "OT") + SUMIFS(Table1[[AwayWon]:[AwayWon]], Table1[[GameIsOver]:[GameIsOver]], 1, Table1[[HomeTeam]:[HomeTeam]], $A52, Table1[[AwayTeam]:[AwayTeam]], AB$36, Table1[[ActualResult]:[ActualResult]], "OT") + SUMIFS(Table1[[HomeWon]:[HomeWon]], Table1[[GameIsOver]:[GameIsOver]], 1, Table1[[AwayTeam]:[AwayTeam]], $A52, Table1[[HomeTeam]:[HomeTeam]], AB$36, Table1[[ActualResult]:[ActualResult]], "SO") + SUMIFS(Table1[[AwayWon]:[AwayWon]], Table1[[GameIsOver]:[GameIsOver]], 1, Table1[[HomeTeam]:[HomeTeam]], $A52, Table1[[AwayTeam]:[AwayTeam]], AB$36, Table1[[ActualResult]:[ActualResult]], "SO")))/ (2*((COUNTIFS(Table1[[GameIsOver]:[GameIsOver]],1,Table1[[AwayTeam]:[AwayTeam]],$A52, Table1[[HomeTeam]:[HomeTeam]], AB$36)))+( COUNTIFS(Table1[[GameIsOver]:[GameIsOver]],1,Table1[[AwayTeam]:[AwayTeam]],AB$36, Table1[[HomeTeam]:[HomeTeam]],$A52))), "")</f>
        <v/>
      </c>
      <c r="AC52" s="54" t="str">
        <f>IFERROR(((2 * (SUMIFS(Table1[[AwayWon]:[AwayWon]], Table1[[GameIsOver]:[GameIsOver]], 1, Table1[[AwayTeam]:[AwayTeam]], $A52, Table1[[HomeTeam]:[HomeTeam]], AC$36) + SUMIFS(Table1[[HomeWon]:[HomeWon]], Table1[[GameIsOver]:[GameIsOver]], 1, Table1[[HomeTeam]:[HomeTeam]], $A52, Table1[[AwayTeam]:[AwayTeam]], AC$36))) + (SUMIFS(Table1[[HomeWon]:[HomeWon]], Table1[[GameIsOver]:[GameIsOver]], 1, Table1[[AwayTeam]:[AwayTeam]], $A52, Table1[[HomeTeam]:[HomeTeam]],  AC$36, Table1[[ActualResult]:[ActualResult]], "OT") + SUMIFS(Table1[[AwayWon]:[AwayWon]], Table1[[GameIsOver]:[GameIsOver]], 1, Table1[[HomeTeam]:[HomeTeam]], $A52, Table1[[AwayTeam]:[AwayTeam]], AC$36, Table1[[ActualResult]:[ActualResult]], "OT") + SUMIFS(Table1[[HomeWon]:[HomeWon]], Table1[[GameIsOver]:[GameIsOver]], 1, Table1[[AwayTeam]:[AwayTeam]], $A52, Table1[[HomeTeam]:[HomeTeam]], AC$36, Table1[[ActualResult]:[ActualResult]], "SO") + SUMIFS(Table1[[AwayWon]:[AwayWon]], Table1[[GameIsOver]:[GameIsOver]], 1, Table1[[HomeTeam]:[HomeTeam]], $A52, Table1[[AwayTeam]:[AwayTeam]], AC$36, Table1[[ActualResult]:[ActualResult]], "SO")))/ (2*((COUNTIFS(Table1[[GameIsOver]:[GameIsOver]],1,Table1[[AwayTeam]:[AwayTeam]],$A52, Table1[[HomeTeam]:[HomeTeam]], AC$36)))+( COUNTIFS(Table1[[GameIsOver]:[GameIsOver]],1,Table1[[AwayTeam]:[AwayTeam]],AC$36, Table1[[HomeTeam]:[HomeTeam]],$A52))), "")</f>
        <v/>
      </c>
      <c r="AD52" s="54" t="str">
        <f>IFERROR(((2 * (SUMIFS(Table1[[AwayWon]:[AwayWon]], Table1[[GameIsOver]:[GameIsOver]], 1, Table1[[AwayTeam]:[AwayTeam]], $A52, Table1[[HomeTeam]:[HomeTeam]], AD$36) + SUMIFS(Table1[[HomeWon]:[HomeWon]], Table1[[GameIsOver]:[GameIsOver]], 1, Table1[[HomeTeam]:[HomeTeam]], $A52, Table1[[AwayTeam]:[AwayTeam]], AD$36))) + (SUMIFS(Table1[[HomeWon]:[HomeWon]], Table1[[GameIsOver]:[GameIsOver]], 1, Table1[[AwayTeam]:[AwayTeam]], $A52, Table1[[HomeTeam]:[HomeTeam]],  AD$36, Table1[[ActualResult]:[ActualResult]], "OT") + SUMIFS(Table1[[AwayWon]:[AwayWon]], Table1[[GameIsOver]:[GameIsOver]], 1, Table1[[HomeTeam]:[HomeTeam]], $A52, Table1[[AwayTeam]:[AwayTeam]], AD$36, Table1[[ActualResult]:[ActualResult]], "OT") + SUMIFS(Table1[[HomeWon]:[HomeWon]], Table1[[GameIsOver]:[GameIsOver]], 1, Table1[[AwayTeam]:[AwayTeam]], $A52, Table1[[HomeTeam]:[HomeTeam]], AD$36, Table1[[ActualResult]:[ActualResult]], "SO") + SUMIFS(Table1[[AwayWon]:[AwayWon]], Table1[[GameIsOver]:[GameIsOver]], 1, Table1[[HomeTeam]:[HomeTeam]], $A52, Table1[[AwayTeam]:[AwayTeam]], AD$36, Table1[[ActualResult]:[ActualResult]], "SO")))/ (2*((COUNTIFS(Table1[[GameIsOver]:[GameIsOver]],1,Table1[[AwayTeam]:[AwayTeam]],$A52, Table1[[HomeTeam]:[HomeTeam]], AD$36)))+( COUNTIFS(Table1[[GameIsOver]:[GameIsOver]],1,Table1[[AwayTeam]:[AwayTeam]],AD$36, Table1[[HomeTeam]:[HomeTeam]],$A52))), "")</f>
        <v/>
      </c>
      <c r="AE52" s="54" t="str">
        <f>IFERROR(((2 * (SUMIFS(Table1[[AwayWon]:[AwayWon]], Table1[[GameIsOver]:[GameIsOver]], 1, Table1[[AwayTeam]:[AwayTeam]], $A52, Table1[[HomeTeam]:[HomeTeam]], AE$36) + SUMIFS(Table1[[HomeWon]:[HomeWon]], Table1[[GameIsOver]:[GameIsOver]], 1, Table1[[HomeTeam]:[HomeTeam]], $A52, Table1[[AwayTeam]:[AwayTeam]], AE$36))) + (SUMIFS(Table1[[HomeWon]:[HomeWon]], Table1[[GameIsOver]:[GameIsOver]], 1, Table1[[AwayTeam]:[AwayTeam]], $A52, Table1[[HomeTeam]:[HomeTeam]],  AE$36, Table1[[ActualResult]:[ActualResult]], "OT") + SUMIFS(Table1[[AwayWon]:[AwayWon]], Table1[[GameIsOver]:[GameIsOver]], 1, Table1[[HomeTeam]:[HomeTeam]], $A52, Table1[[AwayTeam]:[AwayTeam]], AE$36, Table1[[ActualResult]:[ActualResult]], "OT") + SUMIFS(Table1[[HomeWon]:[HomeWon]], Table1[[GameIsOver]:[GameIsOver]], 1, Table1[[AwayTeam]:[AwayTeam]], $A52, Table1[[HomeTeam]:[HomeTeam]], AE$36, Table1[[ActualResult]:[ActualResult]], "SO") + SUMIFS(Table1[[AwayWon]:[AwayWon]], Table1[[GameIsOver]:[GameIsOver]], 1, Table1[[HomeTeam]:[HomeTeam]], $A52, Table1[[AwayTeam]:[AwayTeam]], AE$36, Table1[[ActualResult]:[ActualResult]], "SO")))/ (2*((COUNTIFS(Table1[[GameIsOver]:[GameIsOver]],1,Table1[[AwayTeam]:[AwayTeam]],$A52, Table1[[HomeTeam]:[HomeTeam]], AE$36)))+( COUNTIFS(Table1[[GameIsOver]:[GameIsOver]],1,Table1[[AwayTeam]:[AwayTeam]],AE$36, Table1[[HomeTeam]:[HomeTeam]],$A52))), "")</f>
        <v/>
      </c>
      <c r="AF52" s="54" t="str">
        <f>IFERROR(((2 * (SUMIFS(Table1[[AwayWon]:[AwayWon]], Table1[[GameIsOver]:[GameIsOver]], 1, Table1[[AwayTeam]:[AwayTeam]], $A52, Table1[[HomeTeam]:[HomeTeam]], AF$36) + SUMIFS(Table1[[HomeWon]:[HomeWon]], Table1[[GameIsOver]:[GameIsOver]], 1, Table1[[HomeTeam]:[HomeTeam]], $A52, Table1[[AwayTeam]:[AwayTeam]], AF$36))) + (SUMIFS(Table1[[HomeWon]:[HomeWon]], Table1[[GameIsOver]:[GameIsOver]], 1, Table1[[AwayTeam]:[AwayTeam]], $A52, Table1[[HomeTeam]:[HomeTeam]],  AF$36, Table1[[ActualResult]:[ActualResult]], "OT") + SUMIFS(Table1[[AwayWon]:[AwayWon]], Table1[[GameIsOver]:[GameIsOver]], 1, Table1[[HomeTeam]:[HomeTeam]], $A52, Table1[[AwayTeam]:[AwayTeam]], AF$36, Table1[[ActualResult]:[ActualResult]], "OT") + SUMIFS(Table1[[HomeWon]:[HomeWon]], Table1[[GameIsOver]:[GameIsOver]], 1, Table1[[AwayTeam]:[AwayTeam]], $A52, Table1[[HomeTeam]:[HomeTeam]], AF$36, Table1[[ActualResult]:[ActualResult]], "SO") + SUMIFS(Table1[[AwayWon]:[AwayWon]], Table1[[GameIsOver]:[GameIsOver]], 1, Table1[[HomeTeam]:[HomeTeam]], $A52, Table1[[AwayTeam]:[AwayTeam]], AF$36, Table1[[ActualResult]:[ActualResult]], "SO")))/ (2*((COUNTIFS(Table1[[GameIsOver]:[GameIsOver]],1,Table1[[AwayTeam]:[AwayTeam]],$A52, Table1[[HomeTeam]:[HomeTeam]], AF$36)))+( COUNTIFS(Table1[[GameIsOver]:[GameIsOver]],1,Table1[[AwayTeam]:[AwayTeam]],AF$36, Table1[[HomeTeam]:[HomeTeam]],$A52))), "")</f>
        <v/>
      </c>
      <c r="AG52" s="54" t="str">
        <f>IFERROR(((2 * (SUMIFS(Table1[[AwayWon]:[AwayWon]], Table1[[GameIsOver]:[GameIsOver]], 1, Table1[[AwayTeam]:[AwayTeam]], $A52, Table1[[HomeTeam]:[HomeTeam]], AG$36) + SUMIFS(Table1[[HomeWon]:[HomeWon]], Table1[[GameIsOver]:[GameIsOver]], 1, Table1[[HomeTeam]:[HomeTeam]], $A52, Table1[[AwayTeam]:[AwayTeam]], AG$36))) + (SUMIFS(Table1[[HomeWon]:[HomeWon]], Table1[[GameIsOver]:[GameIsOver]], 1, Table1[[AwayTeam]:[AwayTeam]], $A52, Table1[[HomeTeam]:[HomeTeam]],  AG$36, Table1[[ActualResult]:[ActualResult]], "OT") + SUMIFS(Table1[[AwayWon]:[AwayWon]], Table1[[GameIsOver]:[GameIsOver]], 1, Table1[[HomeTeam]:[HomeTeam]], $A52, Table1[[AwayTeam]:[AwayTeam]], AG$36, Table1[[ActualResult]:[ActualResult]], "OT") + SUMIFS(Table1[[HomeWon]:[HomeWon]], Table1[[GameIsOver]:[GameIsOver]], 1, Table1[[AwayTeam]:[AwayTeam]], $A52, Table1[[HomeTeam]:[HomeTeam]], AG$36, Table1[[ActualResult]:[ActualResult]], "SO") + SUMIFS(Table1[[AwayWon]:[AwayWon]], Table1[[GameIsOver]:[GameIsOver]], 1, Table1[[HomeTeam]:[HomeTeam]], $A52, Table1[[AwayTeam]:[AwayTeam]], AG$36, Table1[[ActualResult]:[ActualResult]], "SO")))/ (2*((COUNTIFS(Table1[[GameIsOver]:[GameIsOver]],1,Table1[[AwayTeam]:[AwayTeam]],$A52, Table1[[HomeTeam]:[HomeTeam]], AG$36)))+( COUNTIFS(Table1[[GameIsOver]:[GameIsOver]],1,Table1[[AwayTeam]:[AwayTeam]],AG$36, Table1[[HomeTeam]:[HomeTeam]],$A52))), "")</f>
        <v/>
      </c>
      <c r="AH52" s="55">
        <f t="shared" si="0"/>
        <v>0</v>
      </c>
      <c r="AI52" s="55">
        <f t="shared" si="1"/>
        <v>1</v>
      </c>
      <c r="AJ52" s="56">
        <f t="shared" si="2"/>
        <v>0</v>
      </c>
      <c r="AK52" s="56" t="e">
        <f t="shared" si="3"/>
        <v>#DIV/0!</v>
      </c>
      <c r="AL52" s="56" t="e">
        <f t="shared" si="4"/>
        <v>#DIV/0!</v>
      </c>
      <c r="AM52" s="56">
        <f t="shared" si="5"/>
        <v>1</v>
      </c>
    </row>
    <row r="53" spans="1:39" ht="15.75" thickTop="1" x14ac:dyDescent="0.25">
      <c r="A53" s="28" t="s">
        <v>40</v>
      </c>
      <c r="B53" s="50" t="str">
        <f>IFERROR(((2 * (SUMIFS(Table1[[AwayWon]:[AwayWon]], Table1[[GameIsOver]:[GameIsOver]], 1, Table1[[AwayTeam]:[AwayTeam]], $A53, Table1[[HomeTeam]:[HomeTeam]], B$36) + SUMIFS(Table1[[HomeWon]:[HomeWon]], Table1[[GameIsOver]:[GameIsOver]], 1, Table1[[HomeTeam]:[HomeTeam]], $A53, Table1[[AwayTeam]:[AwayTeam]], B$36))) + (SUMIFS(Table1[[HomeWon]:[HomeWon]], Table1[[GameIsOver]:[GameIsOver]], 1, Table1[[AwayTeam]:[AwayTeam]], $A53, Table1[[HomeTeam]:[HomeTeam]],  B$36, Table1[[ActualResult]:[ActualResult]], "OT") + SUMIFS(Table1[[AwayWon]:[AwayWon]], Table1[[GameIsOver]:[GameIsOver]], 1, Table1[[HomeTeam]:[HomeTeam]], $A53, Table1[[AwayTeam]:[AwayTeam]], B$36, Table1[[ActualResult]:[ActualResult]], "OT") + SUMIFS(Table1[[HomeWon]:[HomeWon]], Table1[[GameIsOver]:[GameIsOver]], 1, Table1[[AwayTeam]:[AwayTeam]], $A53, Table1[[HomeTeam]:[HomeTeam]], B$36, Table1[[ActualResult]:[ActualResult]], "SO") + SUMIFS(Table1[[AwayWon]:[AwayWon]], Table1[[GameIsOver]:[GameIsOver]], 1, Table1[[HomeTeam]:[HomeTeam]], $A53, Table1[[AwayTeam]:[AwayTeam]], B$36, Table1[[ActualResult]:[ActualResult]], "SO")))/ (2*((COUNTIFS(Table1[[GameIsOver]:[GameIsOver]],1,Table1[[AwayTeam]:[AwayTeam]],$A53, Table1[[HomeTeam]:[HomeTeam]], B$36)))+( COUNTIFS(Table1[[GameIsOver]:[GameIsOver]],1,Table1[[AwayTeam]:[AwayTeam]],B$36, Table1[[HomeTeam]:[HomeTeam]],$A53))), "")</f>
        <v/>
      </c>
      <c r="C53" s="50" t="str">
        <f>IFERROR(((2 * (SUMIFS(Table1[[AwayWon]:[AwayWon]], Table1[[GameIsOver]:[GameIsOver]], 1, Table1[[AwayTeam]:[AwayTeam]], $A53, Table1[[HomeTeam]:[HomeTeam]], C$36) + SUMIFS(Table1[[HomeWon]:[HomeWon]], Table1[[GameIsOver]:[GameIsOver]], 1, Table1[[HomeTeam]:[HomeTeam]], $A53, Table1[[AwayTeam]:[AwayTeam]], C$36))) + (SUMIFS(Table1[[HomeWon]:[HomeWon]], Table1[[GameIsOver]:[GameIsOver]], 1, Table1[[AwayTeam]:[AwayTeam]], $A53, Table1[[HomeTeam]:[HomeTeam]],  C$36, Table1[[ActualResult]:[ActualResult]], "OT") + SUMIFS(Table1[[AwayWon]:[AwayWon]], Table1[[GameIsOver]:[GameIsOver]], 1, Table1[[HomeTeam]:[HomeTeam]], $A53, Table1[[AwayTeam]:[AwayTeam]], C$36, Table1[[ActualResult]:[ActualResult]], "OT") + SUMIFS(Table1[[HomeWon]:[HomeWon]], Table1[[GameIsOver]:[GameIsOver]], 1, Table1[[AwayTeam]:[AwayTeam]], $A53, Table1[[HomeTeam]:[HomeTeam]], C$36, Table1[[ActualResult]:[ActualResult]], "SO") + SUMIFS(Table1[[AwayWon]:[AwayWon]], Table1[[GameIsOver]:[GameIsOver]], 1, Table1[[HomeTeam]:[HomeTeam]], $A53, Table1[[AwayTeam]:[AwayTeam]], C$36, Table1[[ActualResult]:[ActualResult]], "SO")))/ (2*((COUNTIFS(Table1[[GameIsOver]:[GameIsOver]],1,Table1[[AwayTeam]:[AwayTeam]],$A53, Table1[[HomeTeam]:[HomeTeam]], C$36)))+( COUNTIFS(Table1[[GameIsOver]:[GameIsOver]],1,Table1[[AwayTeam]:[AwayTeam]],C$36, Table1[[HomeTeam]:[HomeTeam]],$A53))), "")</f>
        <v/>
      </c>
      <c r="D53" s="50" t="str">
        <f>IFERROR(((2 * (SUMIFS(Table1[[AwayWon]:[AwayWon]], Table1[[GameIsOver]:[GameIsOver]], 1, Table1[[AwayTeam]:[AwayTeam]], $A53, Table1[[HomeTeam]:[HomeTeam]], D$36) + SUMIFS(Table1[[HomeWon]:[HomeWon]], Table1[[GameIsOver]:[GameIsOver]], 1, Table1[[HomeTeam]:[HomeTeam]], $A53, Table1[[AwayTeam]:[AwayTeam]], D$36))) + (SUMIFS(Table1[[HomeWon]:[HomeWon]], Table1[[GameIsOver]:[GameIsOver]], 1, Table1[[AwayTeam]:[AwayTeam]], $A53, Table1[[HomeTeam]:[HomeTeam]],  D$36, Table1[[ActualResult]:[ActualResult]], "OT") + SUMIFS(Table1[[AwayWon]:[AwayWon]], Table1[[GameIsOver]:[GameIsOver]], 1, Table1[[HomeTeam]:[HomeTeam]], $A53, Table1[[AwayTeam]:[AwayTeam]], D$36, Table1[[ActualResult]:[ActualResult]], "OT") + SUMIFS(Table1[[HomeWon]:[HomeWon]], Table1[[GameIsOver]:[GameIsOver]], 1, Table1[[AwayTeam]:[AwayTeam]], $A53, Table1[[HomeTeam]:[HomeTeam]], D$36, Table1[[ActualResult]:[ActualResult]], "SO") + SUMIFS(Table1[[AwayWon]:[AwayWon]], Table1[[GameIsOver]:[GameIsOver]], 1, Table1[[HomeTeam]:[HomeTeam]], $A53, Table1[[AwayTeam]:[AwayTeam]], D$36, Table1[[ActualResult]:[ActualResult]], "SO")))/ (2*((COUNTIFS(Table1[[GameIsOver]:[GameIsOver]],1,Table1[[AwayTeam]:[AwayTeam]],$A53, Table1[[HomeTeam]:[HomeTeam]], D$36)))+( COUNTIFS(Table1[[GameIsOver]:[GameIsOver]],1,Table1[[AwayTeam]:[AwayTeam]],D$36, Table1[[HomeTeam]:[HomeTeam]],$A53))), "")</f>
        <v/>
      </c>
      <c r="E53" s="50">
        <f>IFERROR(((2 * (SUMIFS(Table1[[AwayWon]:[AwayWon]], Table1[[GameIsOver]:[GameIsOver]], 1, Table1[[AwayTeam]:[AwayTeam]], $A53, Table1[[HomeTeam]:[HomeTeam]], E$36) + SUMIFS(Table1[[HomeWon]:[HomeWon]], Table1[[GameIsOver]:[GameIsOver]], 1, Table1[[HomeTeam]:[HomeTeam]], $A53, Table1[[AwayTeam]:[AwayTeam]], E$36))) + (SUMIFS(Table1[[HomeWon]:[HomeWon]], Table1[[GameIsOver]:[GameIsOver]], 1, Table1[[AwayTeam]:[AwayTeam]], $A53, Table1[[HomeTeam]:[HomeTeam]],  E$36, Table1[[ActualResult]:[ActualResult]], "OT") + SUMIFS(Table1[[AwayWon]:[AwayWon]], Table1[[GameIsOver]:[GameIsOver]], 1, Table1[[HomeTeam]:[HomeTeam]], $A53, Table1[[AwayTeam]:[AwayTeam]], E$36, Table1[[ActualResult]:[ActualResult]], "OT") + SUMIFS(Table1[[HomeWon]:[HomeWon]], Table1[[GameIsOver]:[GameIsOver]], 1, Table1[[AwayTeam]:[AwayTeam]], $A53, Table1[[HomeTeam]:[HomeTeam]], E$36, Table1[[ActualResult]:[ActualResult]], "SO") + SUMIFS(Table1[[AwayWon]:[AwayWon]], Table1[[GameIsOver]:[GameIsOver]], 1, Table1[[HomeTeam]:[HomeTeam]], $A53, Table1[[AwayTeam]:[AwayTeam]], E$36, Table1[[ActualResult]:[ActualResult]], "SO")))/ (2*((COUNTIFS(Table1[[GameIsOver]:[GameIsOver]],1,Table1[[AwayTeam]:[AwayTeam]],$A53, Table1[[HomeTeam]:[HomeTeam]], E$36)))+( COUNTIFS(Table1[[GameIsOver]:[GameIsOver]],1,Table1[[AwayTeam]:[AwayTeam]],E$36, Table1[[HomeTeam]:[HomeTeam]],$A53))), "")</f>
        <v>2</v>
      </c>
      <c r="F53" s="50" t="str">
        <f>IFERROR(((2 * (SUMIFS(Table1[[AwayWon]:[AwayWon]], Table1[[GameIsOver]:[GameIsOver]], 1, Table1[[AwayTeam]:[AwayTeam]], $A53, Table1[[HomeTeam]:[HomeTeam]], F$36) + SUMIFS(Table1[[HomeWon]:[HomeWon]], Table1[[GameIsOver]:[GameIsOver]], 1, Table1[[HomeTeam]:[HomeTeam]], $A53, Table1[[AwayTeam]:[AwayTeam]], F$36))) + (SUMIFS(Table1[[HomeWon]:[HomeWon]], Table1[[GameIsOver]:[GameIsOver]], 1, Table1[[AwayTeam]:[AwayTeam]], $A53, Table1[[HomeTeam]:[HomeTeam]],  F$36, Table1[[ActualResult]:[ActualResult]], "OT") + SUMIFS(Table1[[AwayWon]:[AwayWon]], Table1[[GameIsOver]:[GameIsOver]], 1, Table1[[HomeTeam]:[HomeTeam]], $A53, Table1[[AwayTeam]:[AwayTeam]], F$36, Table1[[ActualResult]:[ActualResult]], "OT") + SUMIFS(Table1[[HomeWon]:[HomeWon]], Table1[[GameIsOver]:[GameIsOver]], 1, Table1[[AwayTeam]:[AwayTeam]], $A53, Table1[[HomeTeam]:[HomeTeam]], F$36, Table1[[ActualResult]:[ActualResult]], "SO") + SUMIFS(Table1[[AwayWon]:[AwayWon]], Table1[[GameIsOver]:[GameIsOver]], 1, Table1[[HomeTeam]:[HomeTeam]], $A53, Table1[[AwayTeam]:[AwayTeam]], F$36, Table1[[ActualResult]:[ActualResult]], "SO")))/ (2*((COUNTIFS(Table1[[GameIsOver]:[GameIsOver]],1,Table1[[AwayTeam]:[AwayTeam]],$A53, Table1[[HomeTeam]:[HomeTeam]], F$36)))+( COUNTIFS(Table1[[GameIsOver]:[GameIsOver]],1,Table1[[AwayTeam]:[AwayTeam]],F$36, Table1[[HomeTeam]:[HomeTeam]],$A53))), "")</f>
        <v/>
      </c>
      <c r="G53" s="50" t="str">
        <f>IFERROR(((2 * (SUMIFS(Table1[[AwayWon]:[AwayWon]], Table1[[GameIsOver]:[GameIsOver]], 1, Table1[[AwayTeam]:[AwayTeam]], $A53, Table1[[HomeTeam]:[HomeTeam]], G$36) + SUMIFS(Table1[[HomeWon]:[HomeWon]], Table1[[GameIsOver]:[GameIsOver]], 1, Table1[[HomeTeam]:[HomeTeam]], $A53, Table1[[AwayTeam]:[AwayTeam]], G$36))) + (SUMIFS(Table1[[HomeWon]:[HomeWon]], Table1[[GameIsOver]:[GameIsOver]], 1, Table1[[AwayTeam]:[AwayTeam]], $A53, Table1[[HomeTeam]:[HomeTeam]],  G$36, Table1[[ActualResult]:[ActualResult]], "OT") + SUMIFS(Table1[[AwayWon]:[AwayWon]], Table1[[GameIsOver]:[GameIsOver]], 1, Table1[[HomeTeam]:[HomeTeam]], $A53, Table1[[AwayTeam]:[AwayTeam]], G$36, Table1[[ActualResult]:[ActualResult]], "OT") + SUMIFS(Table1[[HomeWon]:[HomeWon]], Table1[[GameIsOver]:[GameIsOver]], 1, Table1[[AwayTeam]:[AwayTeam]], $A53, Table1[[HomeTeam]:[HomeTeam]], G$36, Table1[[ActualResult]:[ActualResult]], "SO") + SUMIFS(Table1[[AwayWon]:[AwayWon]], Table1[[GameIsOver]:[GameIsOver]], 1, Table1[[HomeTeam]:[HomeTeam]], $A53, Table1[[AwayTeam]:[AwayTeam]], G$36, Table1[[ActualResult]:[ActualResult]], "SO")))/ (2*((COUNTIFS(Table1[[GameIsOver]:[GameIsOver]],1,Table1[[AwayTeam]:[AwayTeam]],$A53, Table1[[HomeTeam]:[HomeTeam]], G$36)))+( COUNTIFS(Table1[[GameIsOver]:[GameIsOver]],1,Table1[[AwayTeam]:[AwayTeam]],G$36, Table1[[HomeTeam]:[HomeTeam]],$A53))), "")</f>
        <v/>
      </c>
      <c r="H53" s="50" t="str">
        <f>IFERROR(((2 * (SUMIFS(Table1[[AwayWon]:[AwayWon]], Table1[[GameIsOver]:[GameIsOver]], 1, Table1[[AwayTeam]:[AwayTeam]], $A53, Table1[[HomeTeam]:[HomeTeam]], H$36) + SUMIFS(Table1[[HomeWon]:[HomeWon]], Table1[[GameIsOver]:[GameIsOver]], 1, Table1[[HomeTeam]:[HomeTeam]], $A53, Table1[[AwayTeam]:[AwayTeam]], H$36))) + (SUMIFS(Table1[[HomeWon]:[HomeWon]], Table1[[GameIsOver]:[GameIsOver]], 1, Table1[[AwayTeam]:[AwayTeam]], $A53, Table1[[HomeTeam]:[HomeTeam]],  H$36, Table1[[ActualResult]:[ActualResult]], "OT") + SUMIFS(Table1[[AwayWon]:[AwayWon]], Table1[[GameIsOver]:[GameIsOver]], 1, Table1[[HomeTeam]:[HomeTeam]], $A53, Table1[[AwayTeam]:[AwayTeam]], H$36, Table1[[ActualResult]:[ActualResult]], "OT") + SUMIFS(Table1[[HomeWon]:[HomeWon]], Table1[[GameIsOver]:[GameIsOver]], 1, Table1[[AwayTeam]:[AwayTeam]], $A53, Table1[[HomeTeam]:[HomeTeam]], H$36, Table1[[ActualResult]:[ActualResult]], "SO") + SUMIFS(Table1[[AwayWon]:[AwayWon]], Table1[[GameIsOver]:[GameIsOver]], 1, Table1[[HomeTeam]:[HomeTeam]], $A53, Table1[[AwayTeam]:[AwayTeam]], H$36, Table1[[ActualResult]:[ActualResult]], "SO")))/ (2*((COUNTIFS(Table1[[GameIsOver]:[GameIsOver]],1,Table1[[AwayTeam]:[AwayTeam]],$A53, Table1[[HomeTeam]:[HomeTeam]], H$36)))+( COUNTIFS(Table1[[GameIsOver]:[GameIsOver]],1,Table1[[AwayTeam]:[AwayTeam]],H$36, Table1[[HomeTeam]:[HomeTeam]],$A53))), "")</f>
        <v/>
      </c>
      <c r="I53" s="52" t="str">
        <f>IFERROR(((2 * (SUMIFS(Table1[[AwayWon]:[AwayWon]], Table1[[GameIsOver]:[GameIsOver]], 1, Table1[[AwayTeam]:[AwayTeam]], $A53, Table1[[HomeTeam]:[HomeTeam]], I$36) + SUMIFS(Table1[[HomeWon]:[HomeWon]], Table1[[GameIsOver]:[GameIsOver]], 1, Table1[[HomeTeam]:[HomeTeam]], $A53, Table1[[AwayTeam]:[AwayTeam]], I$36))) + (SUMIFS(Table1[[HomeWon]:[HomeWon]], Table1[[GameIsOver]:[GameIsOver]], 1, Table1[[AwayTeam]:[AwayTeam]], $A53, Table1[[HomeTeam]:[HomeTeam]],  I$36, Table1[[ActualResult]:[ActualResult]], "OT") + SUMIFS(Table1[[AwayWon]:[AwayWon]], Table1[[GameIsOver]:[GameIsOver]], 1, Table1[[HomeTeam]:[HomeTeam]], $A53, Table1[[AwayTeam]:[AwayTeam]], I$36, Table1[[ActualResult]:[ActualResult]], "OT") + SUMIFS(Table1[[HomeWon]:[HomeWon]], Table1[[GameIsOver]:[GameIsOver]], 1, Table1[[AwayTeam]:[AwayTeam]], $A53, Table1[[HomeTeam]:[HomeTeam]], I$36, Table1[[ActualResult]:[ActualResult]], "SO") + SUMIFS(Table1[[AwayWon]:[AwayWon]], Table1[[GameIsOver]:[GameIsOver]], 1, Table1[[HomeTeam]:[HomeTeam]], $A53, Table1[[AwayTeam]:[AwayTeam]], I$36, Table1[[ActualResult]:[ActualResult]], "SO")))/ (2*((COUNTIFS(Table1[[GameIsOver]:[GameIsOver]],1,Table1[[AwayTeam]:[AwayTeam]],$A53, Table1[[HomeTeam]:[HomeTeam]], I$36)))+( COUNTIFS(Table1[[GameIsOver]:[GameIsOver]],1,Table1[[AwayTeam]:[AwayTeam]],I$36, Table1[[HomeTeam]:[HomeTeam]],$A53))), "")</f>
        <v/>
      </c>
      <c r="J53" s="50" t="str">
        <f>IFERROR(((2 * (SUMIFS(Table1[[AwayWon]:[AwayWon]], Table1[[GameIsOver]:[GameIsOver]], 1, Table1[[AwayTeam]:[AwayTeam]], $A53, Table1[[HomeTeam]:[HomeTeam]], J$36) + SUMIFS(Table1[[HomeWon]:[HomeWon]], Table1[[GameIsOver]:[GameIsOver]], 1, Table1[[HomeTeam]:[HomeTeam]], $A53, Table1[[AwayTeam]:[AwayTeam]], J$36))) + (SUMIFS(Table1[[HomeWon]:[HomeWon]], Table1[[GameIsOver]:[GameIsOver]], 1, Table1[[AwayTeam]:[AwayTeam]], $A53, Table1[[HomeTeam]:[HomeTeam]],  J$36, Table1[[ActualResult]:[ActualResult]], "OT") + SUMIFS(Table1[[AwayWon]:[AwayWon]], Table1[[GameIsOver]:[GameIsOver]], 1, Table1[[HomeTeam]:[HomeTeam]], $A53, Table1[[AwayTeam]:[AwayTeam]], J$36, Table1[[ActualResult]:[ActualResult]], "OT") + SUMIFS(Table1[[HomeWon]:[HomeWon]], Table1[[GameIsOver]:[GameIsOver]], 1, Table1[[AwayTeam]:[AwayTeam]], $A53, Table1[[HomeTeam]:[HomeTeam]], J$36, Table1[[ActualResult]:[ActualResult]], "SO") + SUMIFS(Table1[[AwayWon]:[AwayWon]], Table1[[GameIsOver]:[GameIsOver]], 1, Table1[[HomeTeam]:[HomeTeam]], $A53, Table1[[AwayTeam]:[AwayTeam]], J$36, Table1[[ActualResult]:[ActualResult]], "SO")))/ (2*((COUNTIFS(Table1[[GameIsOver]:[GameIsOver]],1,Table1[[AwayTeam]:[AwayTeam]],$A53, Table1[[HomeTeam]:[HomeTeam]], J$36)))+( COUNTIFS(Table1[[GameIsOver]:[GameIsOver]],1,Table1[[AwayTeam]:[AwayTeam]],J$36, Table1[[HomeTeam]:[HomeTeam]],$A53))), "")</f>
        <v/>
      </c>
      <c r="K53" s="50" t="str">
        <f>IFERROR(((2 * (SUMIFS(Table1[[AwayWon]:[AwayWon]], Table1[[GameIsOver]:[GameIsOver]], 1, Table1[[AwayTeam]:[AwayTeam]], $A53, Table1[[HomeTeam]:[HomeTeam]], K$36) + SUMIFS(Table1[[HomeWon]:[HomeWon]], Table1[[GameIsOver]:[GameIsOver]], 1, Table1[[HomeTeam]:[HomeTeam]], $A53, Table1[[AwayTeam]:[AwayTeam]], K$36))) + (SUMIFS(Table1[[HomeWon]:[HomeWon]], Table1[[GameIsOver]:[GameIsOver]], 1, Table1[[AwayTeam]:[AwayTeam]], $A53, Table1[[HomeTeam]:[HomeTeam]],  K$36, Table1[[ActualResult]:[ActualResult]], "OT") + SUMIFS(Table1[[AwayWon]:[AwayWon]], Table1[[GameIsOver]:[GameIsOver]], 1, Table1[[HomeTeam]:[HomeTeam]], $A53, Table1[[AwayTeam]:[AwayTeam]], K$36, Table1[[ActualResult]:[ActualResult]], "OT") + SUMIFS(Table1[[HomeWon]:[HomeWon]], Table1[[GameIsOver]:[GameIsOver]], 1, Table1[[AwayTeam]:[AwayTeam]], $A53, Table1[[HomeTeam]:[HomeTeam]], K$36, Table1[[ActualResult]:[ActualResult]], "SO") + SUMIFS(Table1[[AwayWon]:[AwayWon]], Table1[[GameIsOver]:[GameIsOver]], 1, Table1[[HomeTeam]:[HomeTeam]], $A53, Table1[[AwayTeam]:[AwayTeam]], K$36, Table1[[ActualResult]:[ActualResult]], "SO")))/ (2*((COUNTIFS(Table1[[GameIsOver]:[GameIsOver]],1,Table1[[AwayTeam]:[AwayTeam]],$A53, Table1[[HomeTeam]:[HomeTeam]], K$36)))+( COUNTIFS(Table1[[GameIsOver]:[GameIsOver]],1,Table1[[AwayTeam]:[AwayTeam]],K$36, Table1[[HomeTeam]:[HomeTeam]],$A53))), "")</f>
        <v/>
      </c>
      <c r="L53" s="50" t="str">
        <f>IFERROR(((2 * (SUMIFS(Table1[[AwayWon]:[AwayWon]], Table1[[GameIsOver]:[GameIsOver]], 1, Table1[[AwayTeam]:[AwayTeam]], $A53, Table1[[HomeTeam]:[HomeTeam]], L$36) + SUMIFS(Table1[[HomeWon]:[HomeWon]], Table1[[GameIsOver]:[GameIsOver]], 1, Table1[[HomeTeam]:[HomeTeam]], $A53, Table1[[AwayTeam]:[AwayTeam]], L$36))) + (SUMIFS(Table1[[HomeWon]:[HomeWon]], Table1[[GameIsOver]:[GameIsOver]], 1, Table1[[AwayTeam]:[AwayTeam]], $A53, Table1[[HomeTeam]:[HomeTeam]],  L$36, Table1[[ActualResult]:[ActualResult]], "OT") + SUMIFS(Table1[[AwayWon]:[AwayWon]], Table1[[GameIsOver]:[GameIsOver]], 1, Table1[[HomeTeam]:[HomeTeam]], $A53, Table1[[AwayTeam]:[AwayTeam]], L$36, Table1[[ActualResult]:[ActualResult]], "OT") + SUMIFS(Table1[[HomeWon]:[HomeWon]], Table1[[GameIsOver]:[GameIsOver]], 1, Table1[[AwayTeam]:[AwayTeam]], $A53, Table1[[HomeTeam]:[HomeTeam]], L$36, Table1[[ActualResult]:[ActualResult]], "SO") + SUMIFS(Table1[[AwayWon]:[AwayWon]], Table1[[GameIsOver]:[GameIsOver]], 1, Table1[[HomeTeam]:[HomeTeam]], $A53, Table1[[AwayTeam]:[AwayTeam]], L$36, Table1[[ActualResult]:[ActualResult]], "SO")))/ (2*((COUNTIFS(Table1[[GameIsOver]:[GameIsOver]],1,Table1[[AwayTeam]:[AwayTeam]],$A53, Table1[[HomeTeam]:[HomeTeam]], L$36)))+( COUNTIFS(Table1[[GameIsOver]:[GameIsOver]],1,Table1[[AwayTeam]:[AwayTeam]],L$36, Table1[[HomeTeam]:[HomeTeam]],$A53))), "")</f>
        <v/>
      </c>
      <c r="M53" s="50" t="str">
        <f>IFERROR(((2 * (SUMIFS(Table1[[AwayWon]:[AwayWon]], Table1[[GameIsOver]:[GameIsOver]], 1, Table1[[AwayTeam]:[AwayTeam]], $A53, Table1[[HomeTeam]:[HomeTeam]], M$36) + SUMIFS(Table1[[HomeWon]:[HomeWon]], Table1[[GameIsOver]:[GameIsOver]], 1, Table1[[HomeTeam]:[HomeTeam]], $A53, Table1[[AwayTeam]:[AwayTeam]], M$36))) + (SUMIFS(Table1[[HomeWon]:[HomeWon]], Table1[[GameIsOver]:[GameIsOver]], 1, Table1[[AwayTeam]:[AwayTeam]], $A53, Table1[[HomeTeam]:[HomeTeam]],  M$36, Table1[[ActualResult]:[ActualResult]], "OT") + SUMIFS(Table1[[AwayWon]:[AwayWon]], Table1[[GameIsOver]:[GameIsOver]], 1, Table1[[HomeTeam]:[HomeTeam]], $A53, Table1[[AwayTeam]:[AwayTeam]], M$36, Table1[[ActualResult]:[ActualResult]], "OT") + SUMIFS(Table1[[HomeWon]:[HomeWon]], Table1[[GameIsOver]:[GameIsOver]], 1, Table1[[AwayTeam]:[AwayTeam]], $A53, Table1[[HomeTeam]:[HomeTeam]], M$36, Table1[[ActualResult]:[ActualResult]], "SO") + SUMIFS(Table1[[AwayWon]:[AwayWon]], Table1[[GameIsOver]:[GameIsOver]], 1, Table1[[HomeTeam]:[HomeTeam]], $A53, Table1[[AwayTeam]:[AwayTeam]], M$36, Table1[[ActualResult]:[ActualResult]], "SO")))/ (2*((COUNTIFS(Table1[[GameIsOver]:[GameIsOver]],1,Table1[[AwayTeam]:[AwayTeam]],$A53, Table1[[HomeTeam]:[HomeTeam]], M$36)))+( COUNTIFS(Table1[[GameIsOver]:[GameIsOver]],1,Table1[[AwayTeam]:[AwayTeam]],M$36, Table1[[HomeTeam]:[HomeTeam]],$A53))), "")</f>
        <v/>
      </c>
      <c r="N53" s="50" t="str">
        <f>IFERROR(((2 * (SUMIFS(Table1[[AwayWon]:[AwayWon]], Table1[[GameIsOver]:[GameIsOver]], 1, Table1[[AwayTeam]:[AwayTeam]], $A53, Table1[[HomeTeam]:[HomeTeam]], N$36) + SUMIFS(Table1[[HomeWon]:[HomeWon]], Table1[[GameIsOver]:[GameIsOver]], 1, Table1[[HomeTeam]:[HomeTeam]], $A53, Table1[[AwayTeam]:[AwayTeam]], N$36))) + (SUMIFS(Table1[[HomeWon]:[HomeWon]], Table1[[GameIsOver]:[GameIsOver]], 1, Table1[[AwayTeam]:[AwayTeam]], $A53, Table1[[HomeTeam]:[HomeTeam]],  N$36, Table1[[ActualResult]:[ActualResult]], "OT") + SUMIFS(Table1[[AwayWon]:[AwayWon]], Table1[[GameIsOver]:[GameIsOver]], 1, Table1[[HomeTeam]:[HomeTeam]], $A53, Table1[[AwayTeam]:[AwayTeam]], N$36, Table1[[ActualResult]:[ActualResult]], "OT") + SUMIFS(Table1[[HomeWon]:[HomeWon]], Table1[[GameIsOver]:[GameIsOver]], 1, Table1[[AwayTeam]:[AwayTeam]], $A53, Table1[[HomeTeam]:[HomeTeam]], N$36, Table1[[ActualResult]:[ActualResult]], "SO") + SUMIFS(Table1[[AwayWon]:[AwayWon]], Table1[[GameIsOver]:[GameIsOver]], 1, Table1[[HomeTeam]:[HomeTeam]], $A53, Table1[[AwayTeam]:[AwayTeam]], N$36, Table1[[ActualResult]:[ActualResult]], "SO")))/ (2*((COUNTIFS(Table1[[GameIsOver]:[GameIsOver]],1,Table1[[AwayTeam]:[AwayTeam]],$A53, Table1[[HomeTeam]:[HomeTeam]], N$36)))+( COUNTIFS(Table1[[GameIsOver]:[GameIsOver]],1,Table1[[AwayTeam]:[AwayTeam]],N$36, Table1[[HomeTeam]:[HomeTeam]],$A53))), "")</f>
        <v/>
      </c>
      <c r="O53" s="50" t="str">
        <f>IFERROR(((2 * (SUMIFS(Table1[[AwayWon]:[AwayWon]], Table1[[GameIsOver]:[GameIsOver]], 1, Table1[[AwayTeam]:[AwayTeam]], $A53, Table1[[HomeTeam]:[HomeTeam]], O$36) + SUMIFS(Table1[[HomeWon]:[HomeWon]], Table1[[GameIsOver]:[GameIsOver]], 1, Table1[[HomeTeam]:[HomeTeam]], $A53, Table1[[AwayTeam]:[AwayTeam]], O$36))) + (SUMIFS(Table1[[HomeWon]:[HomeWon]], Table1[[GameIsOver]:[GameIsOver]], 1, Table1[[AwayTeam]:[AwayTeam]], $A53, Table1[[HomeTeam]:[HomeTeam]],  O$36, Table1[[ActualResult]:[ActualResult]], "OT") + SUMIFS(Table1[[AwayWon]:[AwayWon]], Table1[[GameIsOver]:[GameIsOver]], 1, Table1[[HomeTeam]:[HomeTeam]], $A53, Table1[[AwayTeam]:[AwayTeam]], O$36, Table1[[ActualResult]:[ActualResult]], "OT") + SUMIFS(Table1[[HomeWon]:[HomeWon]], Table1[[GameIsOver]:[GameIsOver]], 1, Table1[[AwayTeam]:[AwayTeam]], $A53, Table1[[HomeTeam]:[HomeTeam]], O$36, Table1[[ActualResult]:[ActualResult]], "SO") + SUMIFS(Table1[[AwayWon]:[AwayWon]], Table1[[GameIsOver]:[GameIsOver]], 1, Table1[[HomeTeam]:[HomeTeam]], $A53, Table1[[AwayTeam]:[AwayTeam]], O$36, Table1[[ActualResult]:[ActualResult]], "SO")))/ (2*((COUNTIFS(Table1[[GameIsOver]:[GameIsOver]],1,Table1[[AwayTeam]:[AwayTeam]],$A53, Table1[[HomeTeam]:[HomeTeam]], O$36)))+( COUNTIFS(Table1[[GameIsOver]:[GameIsOver]],1,Table1[[AwayTeam]:[AwayTeam]],O$36, Table1[[HomeTeam]:[HomeTeam]],$A53))), "")</f>
        <v/>
      </c>
      <c r="P53" s="50" t="str">
        <f>IFERROR(((2 * (SUMIFS(Table1[[AwayWon]:[AwayWon]], Table1[[GameIsOver]:[GameIsOver]], 1, Table1[[AwayTeam]:[AwayTeam]], $A53, Table1[[HomeTeam]:[HomeTeam]], P$36) + SUMIFS(Table1[[HomeWon]:[HomeWon]], Table1[[GameIsOver]:[GameIsOver]], 1, Table1[[HomeTeam]:[HomeTeam]], $A53, Table1[[AwayTeam]:[AwayTeam]], P$36))) + (SUMIFS(Table1[[HomeWon]:[HomeWon]], Table1[[GameIsOver]:[GameIsOver]], 1, Table1[[AwayTeam]:[AwayTeam]], $A53, Table1[[HomeTeam]:[HomeTeam]],  P$36, Table1[[ActualResult]:[ActualResult]], "OT") + SUMIFS(Table1[[AwayWon]:[AwayWon]], Table1[[GameIsOver]:[GameIsOver]], 1, Table1[[HomeTeam]:[HomeTeam]], $A53, Table1[[AwayTeam]:[AwayTeam]], P$36, Table1[[ActualResult]:[ActualResult]], "OT") + SUMIFS(Table1[[HomeWon]:[HomeWon]], Table1[[GameIsOver]:[GameIsOver]], 1, Table1[[AwayTeam]:[AwayTeam]], $A53, Table1[[HomeTeam]:[HomeTeam]], P$36, Table1[[ActualResult]:[ActualResult]], "SO") + SUMIFS(Table1[[AwayWon]:[AwayWon]], Table1[[GameIsOver]:[GameIsOver]], 1, Table1[[HomeTeam]:[HomeTeam]], $A53, Table1[[AwayTeam]:[AwayTeam]], P$36, Table1[[ActualResult]:[ActualResult]], "SO")))/ (2*((COUNTIFS(Table1[[GameIsOver]:[GameIsOver]],1,Table1[[AwayTeam]:[AwayTeam]],$A53, Table1[[HomeTeam]:[HomeTeam]], P$36)))+( COUNTIFS(Table1[[GameIsOver]:[GameIsOver]],1,Table1[[AwayTeam]:[AwayTeam]],P$36, Table1[[HomeTeam]:[HomeTeam]],$A53))), "")</f>
        <v/>
      </c>
      <c r="Q53" s="52" t="str">
        <f>IFERROR(((2 * (SUMIFS(Table1[[AwayWon]:[AwayWon]], Table1[[GameIsOver]:[GameIsOver]], 1, Table1[[AwayTeam]:[AwayTeam]], $A53, Table1[[HomeTeam]:[HomeTeam]], Q$36) + SUMIFS(Table1[[HomeWon]:[HomeWon]], Table1[[GameIsOver]:[GameIsOver]], 1, Table1[[HomeTeam]:[HomeTeam]], $A53, Table1[[AwayTeam]:[AwayTeam]], Q$36))) + (SUMIFS(Table1[[HomeWon]:[HomeWon]], Table1[[GameIsOver]:[GameIsOver]], 1, Table1[[AwayTeam]:[AwayTeam]], $A53, Table1[[HomeTeam]:[HomeTeam]],  Q$36, Table1[[ActualResult]:[ActualResult]], "OT") + SUMIFS(Table1[[AwayWon]:[AwayWon]], Table1[[GameIsOver]:[GameIsOver]], 1, Table1[[HomeTeam]:[HomeTeam]], $A53, Table1[[AwayTeam]:[AwayTeam]], Q$36, Table1[[ActualResult]:[ActualResult]], "OT") + SUMIFS(Table1[[HomeWon]:[HomeWon]], Table1[[GameIsOver]:[GameIsOver]], 1, Table1[[AwayTeam]:[AwayTeam]], $A53, Table1[[HomeTeam]:[HomeTeam]], Q$36, Table1[[ActualResult]:[ActualResult]], "SO") + SUMIFS(Table1[[AwayWon]:[AwayWon]], Table1[[GameIsOver]:[GameIsOver]], 1, Table1[[HomeTeam]:[HomeTeam]], $A53, Table1[[AwayTeam]:[AwayTeam]], Q$36, Table1[[ActualResult]:[ActualResult]], "SO")))/ (2*((COUNTIFS(Table1[[GameIsOver]:[GameIsOver]],1,Table1[[AwayTeam]:[AwayTeam]],$A53, Table1[[HomeTeam]:[HomeTeam]], Q$36)))+( COUNTIFS(Table1[[GameIsOver]:[GameIsOver]],1,Table1[[AwayTeam]:[AwayTeam]],Q$36, Table1[[HomeTeam]:[HomeTeam]],$A53))), "")</f>
        <v/>
      </c>
      <c r="R53" s="50" t="str">
        <f>IFERROR(((2 * (SUMIFS(Table1[[AwayWon]:[AwayWon]], Table1[[GameIsOver]:[GameIsOver]], 1, Table1[[AwayTeam]:[AwayTeam]], $A53, Table1[[HomeTeam]:[HomeTeam]], R$36) + SUMIFS(Table1[[HomeWon]:[HomeWon]], Table1[[GameIsOver]:[GameIsOver]], 1, Table1[[HomeTeam]:[HomeTeam]], $A53, Table1[[AwayTeam]:[AwayTeam]], R$36))) + (SUMIFS(Table1[[HomeWon]:[HomeWon]], Table1[[GameIsOver]:[GameIsOver]], 1, Table1[[AwayTeam]:[AwayTeam]], $A53, Table1[[HomeTeam]:[HomeTeam]],  R$36, Table1[[ActualResult]:[ActualResult]], "OT") + SUMIFS(Table1[[AwayWon]:[AwayWon]], Table1[[GameIsOver]:[GameIsOver]], 1, Table1[[HomeTeam]:[HomeTeam]], $A53, Table1[[AwayTeam]:[AwayTeam]], R$36, Table1[[ActualResult]:[ActualResult]], "OT") + SUMIFS(Table1[[HomeWon]:[HomeWon]], Table1[[GameIsOver]:[GameIsOver]], 1, Table1[[AwayTeam]:[AwayTeam]], $A53, Table1[[HomeTeam]:[HomeTeam]], R$36, Table1[[ActualResult]:[ActualResult]], "SO") + SUMIFS(Table1[[AwayWon]:[AwayWon]], Table1[[GameIsOver]:[GameIsOver]], 1, Table1[[HomeTeam]:[HomeTeam]], $A53, Table1[[AwayTeam]:[AwayTeam]], R$36, Table1[[ActualResult]:[ActualResult]], "SO")))/ (2*((COUNTIFS(Table1[[GameIsOver]:[GameIsOver]],1,Table1[[AwayTeam]:[AwayTeam]],$A53, Table1[[HomeTeam]:[HomeTeam]], R$36)))+( COUNTIFS(Table1[[GameIsOver]:[GameIsOver]],1,Table1[[AwayTeam]:[AwayTeam]],R$36, Table1[[HomeTeam]:[HomeTeam]],$A53))), "")</f>
        <v/>
      </c>
      <c r="S53" s="50" t="str">
        <f>IFERROR(((2 * (SUMIFS(Table1[[AwayWon]:[AwayWon]], Table1[[GameIsOver]:[GameIsOver]], 1, Table1[[AwayTeam]:[AwayTeam]], $A53, Table1[[HomeTeam]:[HomeTeam]], S$36) + SUMIFS(Table1[[HomeWon]:[HomeWon]], Table1[[GameIsOver]:[GameIsOver]], 1, Table1[[HomeTeam]:[HomeTeam]], $A53, Table1[[AwayTeam]:[AwayTeam]], S$36))) + (SUMIFS(Table1[[HomeWon]:[HomeWon]], Table1[[GameIsOver]:[GameIsOver]], 1, Table1[[AwayTeam]:[AwayTeam]], $A53, Table1[[HomeTeam]:[HomeTeam]],  S$36, Table1[[ActualResult]:[ActualResult]], "OT") + SUMIFS(Table1[[AwayWon]:[AwayWon]], Table1[[GameIsOver]:[GameIsOver]], 1, Table1[[HomeTeam]:[HomeTeam]], $A53, Table1[[AwayTeam]:[AwayTeam]], S$36, Table1[[ActualResult]:[ActualResult]], "OT") + SUMIFS(Table1[[HomeWon]:[HomeWon]], Table1[[GameIsOver]:[GameIsOver]], 1, Table1[[AwayTeam]:[AwayTeam]], $A53, Table1[[HomeTeam]:[HomeTeam]], S$36, Table1[[ActualResult]:[ActualResult]], "SO") + SUMIFS(Table1[[AwayWon]:[AwayWon]], Table1[[GameIsOver]:[GameIsOver]], 1, Table1[[HomeTeam]:[HomeTeam]], $A53, Table1[[AwayTeam]:[AwayTeam]], S$36, Table1[[ActualResult]:[ActualResult]], "SO")))/ (2*((COUNTIFS(Table1[[GameIsOver]:[GameIsOver]],1,Table1[[AwayTeam]:[AwayTeam]],$A53, Table1[[HomeTeam]:[HomeTeam]], S$36)))+( COUNTIFS(Table1[[GameIsOver]:[GameIsOver]],1,Table1[[AwayTeam]:[AwayTeam]],S$36, Table1[[HomeTeam]:[HomeTeam]],$A53))), "")</f>
        <v/>
      </c>
      <c r="T53" s="50" t="str">
        <f>IFERROR(((2 * (SUMIFS(Table1[[AwayWon]:[AwayWon]], Table1[[GameIsOver]:[GameIsOver]], 1, Table1[[AwayTeam]:[AwayTeam]], $A53, Table1[[HomeTeam]:[HomeTeam]], T$36) + SUMIFS(Table1[[HomeWon]:[HomeWon]], Table1[[GameIsOver]:[GameIsOver]], 1, Table1[[HomeTeam]:[HomeTeam]], $A53, Table1[[AwayTeam]:[AwayTeam]], T$36))) + (SUMIFS(Table1[[HomeWon]:[HomeWon]], Table1[[GameIsOver]:[GameIsOver]], 1, Table1[[AwayTeam]:[AwayTeam]], $A53, Table1[[HomeTeam]:[HomeTeam]],  T$36, Table1[[ActualResult]:[ActualResult]], "OT") + SUMIFS(Table1[[AwayWon]:[AwayWon]], Table1[[GameIsOver]:[GameIsOver]], 1, Table1[[HomeTeam]:[HomeTeam]], $A53, Table1[[AwayTeam]:[AwayTeam]], T$36, Table1[[ActualResult]:[ActualResult]], "OT") + SUMIFS(Table1[[HomeWon]:[HomeWon]], Table1[[GameIsOver]:[GameIsOver]], 1, Table1[[AwayTeam]:[AwayTeam]], $A53, Table1[[HomeTeam]:[HomeTeam]], T$36, Table1[[ActualResult]:[ActualResult]], "SO") + SUMIFS(Table1[[AwayWon]:[AwayWon]], Table1[[GameIsOver]:[GameIsOver]], 1, Table1[[HomeTeam]:[HomeTeam]], $A53, Table1[[AwayTeam]:[AwayTeam]], T$36, Table1[[ActualResult]:[ActualResult]], "SO")))/ (2*((COUNTIFS(Table1[[GameIsOver]:[GameIsOver]],1,Table1[[AwayTeam]:[AwayTeam]],$A53, Table1[[HomeTeam]:[HomeTeam]], T$36)))+( COUNTIFS(Table1[[GameIsOver]:[GameIsOver]],1,Table1[[AwayTeam]:[AwayTeam]],T$36, Table1[[HomeTeam]:[HomeTeam]],$A53))), "")</f>
        <v/>
      </c>
      <c r="U53" s="50" t="str">
        <f>IFERROR(((2 * (SUMIFS(Table1[[AwayWon]:[AwayWon]], Table1[[GameIsOver]:[GameIsOver]], 1, Table1[[AwayTeam]:[AwayTeam]], $A53, Table1[[HomeTeam]:[HomeTeam]], U$36) + SUMIFS(Table1[[HomeWon]:[HomeWon]], Table1[[GameIsOver]:[GameIsOver]], 1, Table1[[HomeTeam]:[HomeTeam]], $A53, Table1[[AwayTeam]:[AwayTeam]], U$36))) + (SUMIFS(Table1[[HomeWon]:[HomeWon]], Table1[[GameIsOver]:[GameIsOver]], 1, Table1[[AwayTeam]:[AwayTeam]], $A53, Table1[[HomeTeam]:[HomeTeam]],  U$36, Table1[[ActualResult]:[ActualResult]], "OT") + SUMIFS(Table1[[AwayWon]:[AwayWon]], Table1[[GameIsOver]:[GameIsOver]], 1, Table1[[HomeTeam]:[HomeTeam]], $A53, Table1[[AwayTeam]:[AwayTeam]], U$36, Table1[[ActualResult]:[ActualResult]], "OT") + SUMIFS(Table1[[HomeWon]:[HomeWon]], Table1[[GameIsOver]:[GameIsOver]], 1, Table1[[AwayTeam]:[AwayTeam]], $A53, Table1[[HomeTeam]:[HomeTeam]], U$36, Table1[[ActualResult]:[ActualResult]], "SO") + SUMIFS(Table1[[AwayWon]:[AwayWon]], Table1[[GameIsOver]:[GameIsOver]], 1, Table1[[HomeTeam]:[HomeTeam]], $A53, Table1[[AwayTeam]:[AwayTeam]], U$36, Table1[[ActualResult]:[ActualResult]], "SO")))/ (2*((COUNTIFS(Table1[[GameIsOver]:[GameIsOver]],1,Table1[[AwayTeam]:[AwayTeam]],$A53, Table1[[HomeTeam]:[HomeTeam]], U$36)))+( COUNTIFS(Table1[[GameIsOver]:[GameIsOver]],1,Table1[[AwayTeam]:[AwayTeam]],U$36, Table1[[HomeTeam]:[HomeTeam]],$A53))), "")</f>
        <v/>
      </c>
      <c r="V53" s="50" t="str">
        <f>IFERROR(((2 * (SUMIFS(Table1[[AwayWon]:[AwayWon]], Table1[[GameIsOver]:[GameIsOver]], 1, Table1[[AwayTeam]:[AwayTeam]], $A53, Table1[[HomeTeam]:[HomeTeam]], V$36) + SUMIFS(Table1[[HomeWon]:[HomeWon]], Table1[[GameIsOver]:[GameIsOver]], 1, Table1[[HomeTeam]:[HomeTeam]], $A53, Table1[[AwayTeam]:[AwayTeam]], V$36))) + (SUMIFS(Table1[[HomeWon]:[HomeWon]], Table1[[GameIsOver]:[GameIsOver]], 1, Table1[[AwayTeam]:[AwayTeam]], $A53, Table1[[HomeTeam]:[HomeTeam]],  V$36, Table1[[ActualResult]:[ActualResult]], "OT") + SUMIFS(Table1[[AwayWon]:[AwayWon]], Table1[[GameIsOver]:[GameIsOver]], 1, Table1[[HomeTeam]:[HomeTeam]], $A53, Table1[[AwayTeam]:[AwayTeam]], V$36, Table1[[ActualResult]:[ActualResult]], "OT") + SUMIFS(Table1[[HomeWon]:[HomeWon]], Table1[[GameIsOver]:[GameIsOver]], 1, Table1[[AwayTeam]:[AwayTeam]], $A53, Table1[[HomeTeam]:[HomeTeam]], V$36, Table1[[ActualResult]:[ActualResult]], "SO") + SUMIFS(Table1[[AwayWon]:[AwayWon]], Table1[[GameIsOver]:[GameIsOver]], 1, Table1[[HomeTeam]:[HomeTeam]], $A53, Table1[[AwayTeam]:[AwayTeam]], V$36, Table1[[ActualResult]:[ActualResult]], "SO")))/ (2*((COUNTIFS(Table1[[GameIsOver]:[GameIsOver]],1,Table1[[AwayTeam]:[AwayTeam]],$A53, Table1[[HomeTeam]:[HomeTeam]], V$36)))+( COUNTIFS(Table1[[GameIsOver]:[GameIsOver]],1,Table1[[AwayTeam]:[AwayTeam]],V$36, Table1[[HomeTeam]:[HomeTeam]],$A53))), "")</f>
        <v/>
      </c>
      <c r="W53" s="50" t="str">
        <f>IFERROR(((2 * (SUMIFS(Table1[[AwayWon]:[AwayWon]], Table1[[GameIsOver]:[GameIsOver]], 1, Table1[[AwayTeam]:[AwayTeam]], $A53, Table1[[HomeTeam]:[HomeTeam]], W$36) + SUMIFS(Table1[[HomeWon]:[HomeWon]], Table1[[GameIsOver]:[GameIsOver]], 1, Table1[[HomeTeam]:[HomeTeam]], $A53, Table1[[AwayTeam]:[AwayTeam]], W$36))) + (SUMIFS(Table1[[HomeWon]:[HomeWon]], Table1[[GameIsOver]:[GameIsOver]], 1, Table1[[AwayTeam]:[AwayTeam]], $A53, Table1[[HomeTeam]:[HomeTeam]],  W$36, Table1[[ActualResult]:[ActualResult]], "OT") + SUMIFS(Table1[[AwayWon]:[AwayWon]], Table1[[GameIsOver]:[GameIsOver]], 1, Table1[[HomeTeam]:[HomeTeam]], $A53, Table1[[AwayTeam]:[AwayTeam]], W$36, Table1[[ActualResult]:[ActualResult]], "OT") + SUMIFS(Table1[[HomeWon]:[HomeWon]], Table1[[GameIsOver]:[GameIsOver]], 1, Table1[[AwayTeam]:[AwayTeam]], $A53, Table1[[HomeTeam]:[HomeTeam]], W$36, Table1[[ActualResult]:[ActualResult]], "SO") + SUMIFS(Table1[[AwayWon]:[AwayWon]], Table1[[GameIsOver]:[GameIsOver]], 1, Table1[[HomeTeam]:[HomeTeam]], $A53, Table1[[AwayTeam]:[AwayTeam]], W$36, Table1[[ActualResult]:[ActualResult]], "SO")))/ (2*((COUNTIFS(Table1[[GameIsOver]:[GameIsOver]],1,Table1[[AwayTeam]:[AwayTeam]],$A53, Table1[[HomeTeam]:[HomeTeam]], W$36)))+( COUNTIFS(Table1[[GameIsOver]:[GameIsOver]],1,Table1[[AwayTeam]:[AwayTeam]],W$36, Table1[[HomeTeam]:[HomeTeam]],$A53))), "")</f>
        <v/>
      </c>
      <c r="X53" s="50" t="str">
        <f>IFERROR(((2 * (SUMIFS(Table1[[AwayWon]:[AwayWon]], Table1[[GameIsOver]:[GameIsOver]], 1, Table1[[AwayTeam]:[AwayTeam]], $A53, Table1[[HomeTeam]:[HomeTeam]], X$36) + SUMIFS(Table1[[HomeWon]:[HomeWon]], Table1[[GameIsOver]:[GameIsOver]], 1, Table1[[HomeTeam]:[HomeTeam]], $A53, Table1[[AwayTeam]:[AwayTeam]], X$36))) + (SUMIFS(Table1[[HomeWon]:[HomeWon]], Table1[[GameIsOver]:[GameIsOver]], 1, Table1[[AwayTeam]:[AwayTeam]], $A53, Table1[[HomeTeam]:[HomeTeam]],  X$36, Table1[[ActualResult]:[ActualResult]], "OT") + SUMIFS(Table1[[AwayWon]:[AwayWon]], Table1[[GameIsOver]:[GameIsOver]], 1, Table1[[HomeTeam]:[HomeTeam]], $A53, Table1[[AwayTeam]:[AwayTeam]], X$36, Table1[[ActualResult]:[ActualResult]], "OT") + SUMIFS(Table1[[HomeWon]:[HomeWon]], Table1[[GameIsOver]:[GameIsOver]], 1, Table1[[AwayTeam]:[AwayTeam]], $A53, Table1[[HomeTeam]:[HomeTeam]], X$36, Table1[[ActualResult]:[ActualResult]], "SO") + SUMIFS(Table1[[AwayWon]:[AwayWon]], Table1[[GameIsOver]:[GameIsOver]], 1, Table1[[HomeTeam]:[HomeTeam]], $A53, Table1[[AwayTeam]:[AwayTeam]], X$36, Table1[[ActualResult]:[ActualResult]], "SO")))/ (2*((COUNTIFS(Table1[[GameIsOver]:[GameIsOver]],1,Table1[[AwayTeam]:[AwayTeam]],$A53, Table1[[HomeTeam]:[HomeTeam]], X$36)))+( COUNTIFS(Table1[[GameIsOver]:[GameIsOver]],1,Table1[[AwayTeam]:[AwayTeam]],X$36, Table1[[HomeTeam]:[HomeTeam]],$A53))), "")</f>
        <v/>
      </c>
      <c r="Y53" s="52" t="str">
        <f>IFERROR(((2 * (SUMIFS(Table1[[AwayWon]:[AwayWon]], Table1[[GameIsOver]:[GameIsOver]], 1, Table1[[AwayTeam]:[AwayTeam]], $A53, Table1[[HomeTeam]:[HomeTeam]], Y$36) + SUMIFS(Table1[[HomeWon]:[HomeWon]], Table1[[GameIsOver]:[GameIsOver]], 1, Table1[[HomeTeam]:[HomeTeam]], $A53, Table1[[AwayTeam]:[AwayTeam]], Y$36))) + (SUMIFS(Table1[[HomeWon]:[HomeWon]], Table1[[GameIsOver]:[GameIsOver]], 1, Table1[[AwayTeam]:[AwayTeam]], $A53, Table1[[HomeTeam]:[HomeTeam]],  Y$36, Table1[[ActualResult]:[ActualResult]], "OT") + SUMIFS(Table1[[AwayWon]:[AwayWon]], Table1[[GameIsOver]:[GameIsOver]], 1, Table1[[HomeTeam]:[HomeTeam]], $A53, Table1[[AwayTeam]:[AwayTeam]], Y$36, Table1[[ActualResult]:[ActualResult]], "OT") + SUMIFS(Table1[[HomeWon]:[HomeWon]], Table1[[GameIsOver]:[GameIsOver]], 1, Table1[[AwayTeam]:[AwayTeam]], $A53, Table1[[HomeTeam]:[HomeTeam]], Y$36, Table1[[ActualResult]:[ActualResult]], "SO") + SUMIFS(Table1[[AwayWon]:[AwayWon]], Table1[[GameIsOver]:[GameIsOver]], 1, Table1[[HomeTeam]:[HomeTeam]], $A53, Table1[[AwayTeam]:[AwayTeam]], Y$36, Table1[[ActualResult]:[ActualResult]], "SO")))/ (2*((COUNTIFS(Table1[[GameIsOver]:[GameIsOver]],1,Table1[[AwayTeam]:[AwayTeam]],$A53, Table1[[HomeTeam]:[HomeTeam]], Y$36)))+( COUNTIFS(Table1[[GameIsOver]:[GameIsOver]],1,Table1[[AwayTeam]:[AwayTeam]],Y$36, Table1[[HomeTeam]:[HomeTeam]],$A53))), "")</f>
        <v/>
      </c>
      <c r="Z53" s="50" t="str">
        <f>IFERROR(((2 * (SUMIFS(Table1[[AwayWon]:[AwayWon]], Table1[[GameIsOver]:[GameIsOver]], 1, Table1[[AwayTeam]:[AwayTeam]], $A53, Table1[[HomeTeam]:[HomeTeam]], Z$36) + SUMIFS(Table1[[HomeWon]:[HomeWon]], Table1[[GameIsOver]:[GameIsOver]], 1, Table1[[HomeTeam]:[HomeTeam]], $A53, Table1[[AwayTeam]:[AwayTeam]], Z$36))) + (SUMIFS(Table1[[HomeWon]:[HomeWon]], Table1[[GameIsOver]:[GameIsOver]], 1, Table1[[AwayTeam]:[AwayTeam]], $A53, Table1[[HomeTeam]:[HomeTeam]],  Z$36, Table1[[ActualResult]:[ActualResult]], "OT") + SUMIFS(Table1[[AwayWon]:[AwayWon]], Table1[[GameIsOver]:[GameIsOver]], 1, Table1[[HomeTeam]:[HomeTeam]], $A53, Table1[[AwayTeam]:[AwayTeam]], Z$36, Table1[[ActualResult]:[ActualResult]], "OT") + SUMIFS(Table1[[HomeWon]:[HomeWon]], Table1[[GameIsOver]:[GameIsOver]], 1, Table1[[AwayTeam]:[AwayTeam]], $A53, Table1[[HomeTeam]:[HomeTeam]], Z$36, Table1[[ActualResult]:[ActualResult]], "SO") + SUMIFS(Table1[[AwayWon]:[AwayWon]], Table1[[GameIsOver]:[GameIsOver]], 1, Table1[[HomeTeam]:[HomeTeam]], $A53, Table1[[AwayTeam]:[AwayTeam]], Z$36, Table1[[ActualResult]:[ActualResult]], "SO")))/ (2*((COUNTIFS(Table1[[GameIsOver]:[GameIsOver]],1,Table1[[AwayTeam]:[AwayTeam]],$A53, Table1[[HomeTeam]:[HomeTeam]], Z$36)))+( COUNTIFS(Table1[[GameIsOver]:[GameIsOver]],1,Table1[[AwayTeam]:[AwayTeam]],Z$36, Table1[[HomeTeam]:[HomeTeam]],$A53))), "")</f>
        <v/>
      </c>
      <c r="AA53" s="50" t="str">
        <f>IFERROR(((2 * (SUMIFS(Table1[[AwayWon]:[AwayWon]], Table1[[GameIsOver]:[GameIsOver]], 1, Table1[[AwayTeam]:[AwayTeam]], $A53, Table1[[HomeTeam]:[HomeTeam]], AA$36) + SUMIFS(Table1[[HomeWon]:[HomeWon]], Table1[[GameIsOver]:[GameIsOver]], 1, Table1[[HomeTeam]:[HomeTeam]], $A53, Table1[[AwayTeam]:[AwayTeam]], AA$36))) + (SUMIFS(Table1[[HomeWon]:[HomeWon]], Table1[[GameIsOver]:[GameIsOver]], 1, Table1[[AwayTeam]:[AwayTeam]], $A53, Table1[[HomeTeam]:[HomeTeam]],  AA$36, Table1[[ActualResult]:[ActualResult]], "OT") + SUMIFS(Table1[[AwayWon]:[AwayWon]], Table1[[GameIsOver]:[GameIsOver]], 1, Table1[[HomeTeam]:[HomeTeam]], $A53, Table1[[AwayTeam]:[AwayTeam]], AA$36, Table1[[ActualResult]:[ActualResult]], "OT") + SUMIFS(Table1[[HomeWon]:[HomeWon]], Table1[[GameIsOver]:[GameIsOver]], 1, Table1[[AwayTeam]:[AwayTeam]], $A53, Table1[[HomeTeam]:[HomeTeam]], AA$36, Table1[[ActualResult]:[ActualResult]], "SO") + SUMIFS(Table1[[AwayWon]:[AwayWon]], Table1[[GameIsOver]:[GameIsOver]], 1, Table1[[HomeTeam]:[HomeTeam]], $A53, Table1[[AwayTeam]:[AwayTeam]], AA$36, Table1[[ActualResult]:[ActualResult]], "SO")))/ (2*((COUNTIFS(Table1[[GameIsOver]:[GameIsOver]],1,Table1[[AwayTeam]:[AwayTeam]],$A53, Table1[[HomeTeam]:[HomeTeam]], AA$36)))+( COUNTIFS(Table1[[GameIsOver]:[GameIsOver]],1,Table1[[AwayTeam]:[AwayTeam]],AA$36, Table1[[HomeTeam]:[HomeTeam]],$A53))), "")</f>
        <v/>
      </c>
      <c r="AB53" s="50" t="str">
        <f>IFERROR(((2 * (SUMIFS(Table1[[AwayWon]:[AwayWon]], Table1[[GameIsOver]:[GameIsOver]], 1, Table1[[AwayTeam]:[AwayTeam]], $A53, Table1[[HomeTeam]:[HomeTeam]], AB$36) + SUMIFS(Table1[[HomeWon]:[HomeWon]], Table1[[GameIsOver]:[GameIsOver]], 1, Table1[[HomeTeam]:[HomeTeam]], $A53, Table1[[AwayTeam]:[AwayTeam]], AB$36))) + (SUMIFS(Table1[[HomeWon]:[HomeWon]], Table1[[GameIsOver]:[GameIsOver]], 1, Table1[[AwayTeam]:[AwayTeam]], $A53, Table1[[HomeTeam]:[HomeTeam]],  AB$36, Table1[[ActualResult]:[ActualResult]], "OT") + SUMIFS(Table1[[AwayWon]:[AwayWon]], Table1[[GameIsOver]:[GameIsOver]], 1, Table1[[HomeTeam]:[HomeTeam]], $A53, Table1[[AwayTeam]:[AwayTeam]], AB$36, Table1[[ActualResult]:[ActualResult]], "OT") + SUMIFS(Table1[[HomeWon]:[HomeWon]], Table1[[GameIsOver]:[GameIsOver]], 1, Table1[[AwayTeam]:[AwayTeam]], $A53, Table1[[HomeTeam]:[HomeTeam]], AB$36, Table1[[ActualResult]:[ActualResult]], "SO") + SUMIFS(Table1[[AwayWon]:[AwayWon]], Table1[[GameIsOver]:[GameIsOver]], 1, Table1[[HomeTeam]:[HomeTeam]], $A53, Table1[[AwayTeam]:[AwayTeam]], AB$36, Table1[[ActualResult]:[ActualResult]], "SO")))/ (2*((COUNTIFS(Table1[[GameIsOver]:[GameIsOver]],1,Table1[[AwayTeam]:[AwayTeam]],$A53, Table1[[HomeTeam]:[HomeTeam]], AB$36)))+( COUNTIFS(Table1[[GameIsOver]:[GameIsOver]],1,Table1[[AwayTeam]:[AwayTeam]],AB$36, Table1[[HomeTeam]:[HomeTeam]],$A53))), "")</f>
        <v/>
      </c>
      <c r="AC53" s="50" t="str">
        <f>IFERROR(((2 * (SUMIFS(Table1[[AwayWon]:[AwayWon]], Table1[[GameIsOver]:[GameIsOver]], 1, Table1[[AwayTeam]:[AwayTeam]], $A53, Table1[[HomeTeam]:[HomeTeam]], AC$36) + SUMIFS(Table1[[HomeWon]:[HomeWon]], Table1[[GameIsOver]:[GameIsOver]], 1, Table1[[HomeTeam]:[HomeTeam]], $A53, Table1[[AwayTeam]:[AwayTeam]], AC$36))) + (SUMIFS(Table1[[HomeWon]:[HomeWon]], Table1[[GameIsOver]:[GameIsOver]], 1, Table1[[AwayTeam]:[AwayTeam]], $A53, Table1[[HomeTeam]:[HomeTeam]],  AC$36, Table1[[ActualResult]:[ActualResult]], "OT") + SUMIFS(Table1[[AwayWon]:[AwayWon]], Table1[[GameIsOver]:[GameIsOver]], 1, Table1[[HomeTeam]:[HomeTeam]], $A53, Table1[[AwayTeam]:[AwayTeam]], AC$36, Table1[[ActualResult]:[ActualResult]], "OT") + SUMIFS(Table1[[HomeWon]:[HomeWon]], Table1[[GameIsOver]:[GameIsOver]], 1, Table1[[AwayTeam]:[AwayTeam]], $A53, Table1[[HomeTeam]:[HomeTeam]], AC$36, Table1[[ActualResult]:[ActualResult]], "SO") + SUMIFS(Table1[[AwayWon]:[AwayWon]], Table1[[GameIsOver]:[GameIsOver]], 1, Table1[[HomeTeam]:[HomeTeam]], $A53, Table1[[AwayTeam]:[AwayTeam]], AC$36, Table1[[ActualResult]:[ActualResult]], "SO")))/ (2*((COUNTIFS(Table1[[GameIsOver]:[GameIsOver]],1,Table1[[AwayTeam]:[AwayTeam]],$A53, Table1[[HomeTeam]:[HomeTeam]], AC$36)))+( COUNTIFS(Table1[[GameIsOver]:[GameIsOver]],1,Table1[[AwayTeam]:[AwayTeam]],AC$36, Table1[[HomeTeam]:[HomeTeam]],$A53))), "")</f>
        <v/>
      </c>
      <c r="AD53" s="50" t="str">
        <f>IFERROR(((2 * (SUMIFS(Table1[[AwayWon]:[AwayWon]], Table1[[GameIsOver]:[GameIsOver]], 1, Table1[[AwayTeam]:[AwayTeam]], $A53, Table1[[HomeTeam]:[HomeTeam]], AD$36) + SUMIFS(Table1[[HomeWon]:[HomeWon]], Table1[[GameIsOver]:[GameIsOver]], 1, Table1[[HomeTeam]:[HomeTeam]], $A53, Table1[[AwayTeam]:[AwayTeam]], AD$36))) + (SUMIFS(Table1[[HomeWon]:[HomeWon]], Table1[[GameIsOver]:[GameIsOver]], 1, Table1[[AwayTeam]:[AwayTeam]], $A53, Table1[[HomeTeam]:[HomeTeam]],  AD$36, Table1[[ActualResult]:[ActualResult]], "OT") + SUMIFS(Table1[[AwayWon]:[AwayWon]], Table1[[GameIsOver]:[GameIsOver]], 1, Table1[[HomeTeam]:[HomeTeam]], $A53, Table1[[AwayTeam]:[AwayTeam]], AD$36, Table1[[ActualResult]:[ActualResult]], "OT") + SUMIFS(Table1[[HomeWon]:[HomeWon]], Table1[[GameIsOver]:[GameIsOver]], 1, Table1[[AwayTeam]:[AwayTeam]], $A53, Table1[[HomeTeam]:[HomeTeam]], AD$36, Table1[[ActualResult]:[ActualResult]], "SO") + SUMIFS(Table1[[AwayWon]:[AwayWon]], Table1[[GameIsOver]:[GameIsOver]], 1, Table1[[HomeTeam]:[HomeTeam]], $A53, Table1[[AwayTeam]:[AwayTeam]], AD$36, Table1[[ActualResult]:[ActualResult]], "SO")))/ (2*((COUNTIFS(Table1[[GameIsOver]:[GameIsOver]],1,Table1[[AwayTeam]:[AwayTeam]],$A53, Table1[[HomeTeam]:[HomeTeam]], AD$36)))+( COUNTIFS(Table1[[GameIsOver]:[GameIsOver]],1,Table1[[AwayTeam]:[AwayTeam]],AD$36, Table1[[HomeTeam]:[HomeTeam]],$A53))), "")</f>
        <v/>
      </c>
      <c r="AE53" s="50" t="str">
        <f>IFERROR(((2 * (SUMIFS(Table1[[AwayWon]:[AwayWon]], Table1[[GameIsOver]:[GameIsOver]], 1, Table1[[AwayTeam]:[AwayTeam]], $A53, Table1[[HomeTeam]:[HomeTeam]], AE$36) + SUMIFS(Table1[[HomeWon]:[HomeWon]], Table1[[GameIsOver]:[GameIsOver]], 1, Table1[[HomeTeam]:[HomeTeam]], $A53, Table1[[AwayTeam]:[AwayTeam]], AE$36))) + (SUMIFS(Table1[[HomeWon]:[HomeWon]], Table1[[GameIsOver]:[GameIsOver]], 1, Table1[[AwayTeam]:[AwayTeam]], $A53, Table1[[HomeTeam]:[HomeTeam]],  AE$36, Table1[[ActualResult]:[ActualResult]], "OT") + SUMIFS(Table1[[AwayWon]:[AwayWon]], Table1[[GameIsOver]:[GameIsOver]], 1, Table1[[HomeTeam]:[HomeTeam]], $A53, Table1[[AwayTeam]:[AwayTeam]], AE$36, Table1[[ActualResult]:[ActualResult]], "OT") + SUMIFS(Table1[[HomeWon]:[HomeWon]], Table1[[GameIsOver]:[GameIsOver]], 1, Table1[[AwayTeam]:[AwayTeam]], $A53, Table1[[HomeTeam]:[HomeTeam]], AE$36, Table1[[ActualResult]:[ActualResult]], "SO") + SUMIFS(Table1[[AwayWon]:[AwayWon]], Table1[[GameIsOver]:[GameIsOver]], 1, Table1[[HomeTeam]:[HomeTeam]], $A53, Table1[[AwayTeam]:[AwayTeam]], AE$36, Table1[[ActualResult]:[ActualResult]], "SO")))/ (2*((COUNTIFS(Table1[[GameIsOver]:[GameIsOver]],1,Table1[[AwayTeam]:[AwayTeam]],$A53, Table1[[HomeTeam]:[HomeTeam]], AE$36)))+( COUNTIFS(Table1[[GameIsOver]:[GameIsOver]],1,Table1[[AwayTeam]:[AwayTeam]],AE$36, Table1[[HomeTeam]:[HomeTeam]],$A53))), "")</f>
        <v/>
      </c>
      <c r="AF53" s="50" t="str">
        <f>IFERROR(((2 * (SUMIFS(Table1[[AwayWon]:[AwayWon]], Table1[[GameIsOver]:[GameIsOver]], 1, Table1[[AwayTeam]:[AwayTeam]], $A53, Table1[[HomeTeam]:[HomeTeam]], AF$36) + SUMIFS(Table1[[HomeWon]:[HomeWon]], Table1[[GameIsOver]:[GameIsOver]], 1, Table1[[HomeTeam]:[HomeTeam]], $A53, Table1[[AwayTeam]:[AwayTeam]], AF$36))) + (SUMIFS(Table1[[HomeWon]:[HomeWon]], Table1[[GameIsOver]:[GameIsOver]], 1, Table1[[AwayTeam]:[AwayTeam]], $A53, Table1[[HomeTeam]:[HomeTeam]],  AF$36, Table1[[ActualResult]:[ActualResult]], "OT") + SUMIFS(Table1[[AwayWon]:[AwayWon]], Table1[[GameIsOver]:[GameIsOver]], 1, Table1[[HomeTeam]:[HomeTeam]], $A53, Table1[[AwayTeam]:[AwayTeam]], AF$36, Table1[[ActualResult]:[ActualResult]], "OT") + SUMIFS(Table1[[HomeWon]:[HomeWon]], Table1[[GameIsOver]:[GameIsOver]], 1, Table1[[AwayTeam]:[AwayTeam]], $A53, Table1[[HomeTeam]:[HomeTeam]], AF$36, Table1[[ActualResult]:[ActualResult]], "SO") + SUMIFS(Table1[[AwayWon]:[AwayWon]], Table1[[GameIsOver]:[GameIsOver]], 1, Table1[[HomeTeam]:[HomeTeam]], $A53, Table1[[AwayTeam]:[AwayTeam]], AF$36, Table1[[ActualResult]:[ActualResult]], "SO")))/ (2*((COUNTIFS(Table1[[GameIsOver]:[GameIsOver]],1,Table1[[AwayTeam]:[AwayTeam]],$A53, Table1[[HomeTeam]:[HomeTeam]], AF$36)))+( COUNTIFS(Table1[[GameIsOver]:[GameIsOver]],1,Table1[[AwayTeam]:[AwayTeam]],AF$36, Table1[[HomeTeam]:[HomeTeam]],$A53))), "")</f>
        <v/>
      </c>
      <c r="AG53" s="50" t="str">
        <f>IFERROR(((2 * (SUMIFS(Table1[[AwayWon]:[AwayWon]], Table1[[GameIsOver]:[GameIsOver]], 1, Table1[[AwayTeam]:[AwayTeam]], $A53, Table1[[HomeTeam]:[HomeTeam]], AG$36) + SUMIFS(Table1[[HomeWon]:[HomeWon]], Table1[[GameIsOver]:[GameIsOver]], 1, Table1[[HomeTeam]:[HomeTeam]], $A53, Table1[[AwayTeam]:[AwayTeam]], AG$36))) + (SUMIFS(Table1[[HomeWon]:[HomeWon]], Table1[[GameIsOver]:[GameIsOver]], 1, Table1[[AwayTeam]:[AwayTeam]], $A53, Table1[[HomeTeam]:[HomeTeam]],  AG$36, Table1[[ActualResult]:[ActualResult]], "OT") + SUMIFS(Table1[[AwayWon]:[AwayWon]], Table1[[GameIsOver]:[GameIsOver]], 1, Table1[[HomeTeam]:[HomeTeam]], $A53, Table1[[AwayTeam]:[AwayTeam]], AG$36, Table1[[ActualResult]:[ActualResult]], "OT") + SUMIFS(Table1[[HomeWon]:[HomeWon]], Table1[[GameIsOver]:[GameIsOver]], 1, Table1[[AwayTeam]:[AwayTeam]], $A53, Table1[[HomeTeam]:[HomeTeam]], AG$36, Table1[[ActualResult]:[ActualResult]], "SO") + SUMIFS(Table1[[AwayWon]:[AwayWon]], Table1[[GameIsOver]:[GameIsOver]], 1, Table1[[HomeTeam]:[HomeTeam]], $A53, Table1[[AwayTeam]:[AwayTeam]], AG$36, Table1[[ActualResult]:[ActualResult]], "SO")))/ (2*((COUNTIFS(Table1[[GameIsOver]:[GameIsOver]],1,Table1[[AwayTeam]:[AwayTeam]],$A53, Table1[[HomeTeam]:[HomeTeam]], AG$36)))+( COUNTIFS(Table1[[GameIsOver]:[GameIsOver]],1,Table1[[AwayTeam]:[AwayTeam]],AG$36, Table1[[HomeTeam]:[HomeTeam]],$A53))), "")</f>
        <v/>
      </c>
      <c r="AH53" s="51" t="e">
        <f t="shared" si="0"/>
        <v>#DIV/0!</v>
      </c>
      <c r="AI53" s="51">
        <f>AVERAGE($B53:$Q53)</f>
        <v>2</v>
      </c>
      <c r="AJ53" s="52" t="e">
        <f t="shared" si="2"/>
        <v>#DIV/0!</v>
      </c>
      <c r="AK53" s="52" t="e">
        <f t="shared" si="3"/>
        <v>#DIV/0!</v>
      </c>
      <c r="AL53" s="52" t="e">
        <f t="shared" si="4"/>
        <v>#DIV/0!</v>
      </c>
      <c r="AM53" s="52">
        <f t="shared" si="5"/>
        <v>2</v>
      </c>
    </row>
    <row r="54" spans="1:39" x14ac:dyDescent="0.25">
      <c r="A54" s="28" t="s">
        <v>42</v>
      </c>
      <c r="B54" s="50" t="str">
        <f>IFERROR(((2 * (SUMIFS(Table1[[AwayWon]:[AwayWon]], Table1[[GameIsOver]:[GameIsOver]], 1, Table1[[AwayTeam]:[AwayTeam]], $A54, Table1[[HomeTeam]:[HomeTeam]], B$36) + SUMIFS(Table1[[HomeWon]:[HomeWon]], Table1[[GameIsOver]:[GameIsOver]], 1, Table1[[HomeTeam]:[HomeTeam]], $A54, Table1[[AwayTeam]:[AwayTeam]], B$36))) + (SUMIFS(Table1[[HomeWon]:[HomeWon]], Table1[[GameIsOver]:[GameIsOver]], 1, Table1[[AwayTeam]:[AwayTeam]], $A54, Table1[[HomeTeam]:[HomeTeam]],  B$36, Table1[[ActualResult]:[ActualResult]], "OT") + SUMIFS(Table1[[AwayWon]:[AwayWon]], Table1[[GameIsOver]:[GameIsOver]], 1, Table1[[HomeTeam]:[HomeTeam]], $A54, Table1[[AwayTeam]:[AwayTeam]], B$36, Table1[[ActualResult]:[ActualResult]], "OT") + SUMIFS(Table1[[HomeWon]:[HomeWon]], Table1[[GameIsOver]:[GameIsOver]], 1, Table1[[AwayTeam]:[AwayTeam]], $A54, Table1[[HomeTeam]:[HomeTeam]], B$36, Table1[[ActualResult]:[ActualResult]], "SO") + SUMIFS(Table1[[AwayWon]:[AwayWon]], Table1[[GameIsOver]:[GameIsOver]], 1, Table1[[HomeTeam]:[HomeTeam]], $A54, Table1[[AwayTeam]:[AwayTeam]], B$36, Table1[[ActualResult]:[ActualResult]], "SO")))/ (2*((COUNTIFS(Table1[[GameIsOver]:[GameIsOver]],1,Table1[[AwayTeam]:[AwayTeam]],$A54, Table1[[HomeTeam]:[HomeTeam]], B$36)))+( COUNTIFS(Table1[[GameIsOver]:[GameIsOver]],1,Table1[[AwayTeam]:[AwayTeam]],B$36, Table1[[HomeTeam]:[HomeTeam]],$A54))), "")</f>
        <v/>
      </c>
      <c r="C54" s="50" t="str">
        <f>IFERROR(((2 * (SUMIFS(Table1[[AwayWon]:[AwayWon]], Table1[[GameIsOver]:[GameIsOver]], 1, Table1[[AwayTeam]:[AwayTeam]], $A54, Table1[[HomeTeam]:[HomeTeam]], C$36) + SUMIFS(Table1[[HomeWon]:[HomeWon]], Table1[[GameIsOver]:[GameIsOver]], 1, Table1[[HomeTeam]:[HomeTeam]], $A54, Table1[[AwayTeam]:[AwayTeam]], C$36))) + (SUMIFS(Table1[[HomeWon]:[HomeWon]], Table1[[GameIsOver]:[GameIsOver]], 1, Table1[[AwayTeam]:[AwayTeam]], $A54, Table1[[HomeTeam]:[HomeTeam]],  C$36, Table1[[ActualResult]:[ActualResult]], "OT") + SUMIFS(Table1[[AwayWon]:[AwayWon]], Table1[[GameIsOver]:[GameIsOver]], 1, Table1[[HomeTeam]:[HomeTeam]], $A54, Table1[[AwayTeam]:[AwayTeam]], C$36, Table1[[ActualResult]:[ActualResult]], "OT") + SUMIFS(Table1[[HomeWon]:[HomeWon]], Table1[[GameIsOver]:[GameIsOver]], 1, Table1[[AwayTeam]:[AwayTeam]], $A54, Table1[[HomeTeam]:[HomeTeam]], C$36, Table1[[ActualResult]:[ActualResult]], "SO") + SUMIFS(Table1[[AwayWon]:[AwayWon]], Table1[[GameIsOver]:[GameIsOver]], 1, Table1[[HomeTeam]:[HomeTeam]], $A54, Table1[[AwayTeam]:[AwayTeam]], C$36, Table1[[ActualResult]:[ActualResult]], "SO")))/ (2*((COUNTIFS(Table1[[GameIsOver]:[GameIsOver]],1,Table1[[AwayTeam]:[AwayTeam]],$A54, Table1[[HomeTeam]:[HomeTeam]], C$36)))+( COUNTIFS(Table1[[GameIsOver]:[GameIsOver]],1,Table1[[AwayTeam]:[AwayTeam]],C$36, Table1[[HomeTeam]:[HomeTeam]],$A54))), "")</f>
        <v/>
      </c>
      <c r="D54" s="50" t="str">
        <f>IFERROR(((2 * (SUMIFS(Table1[[AwayWon]:[AwayWon]], Table1[[GameIsOver]:[GameIsOver]], 1, Table1[[AwayTeam]:[AwayTeam]], $A54, Table1[[HomeTeam]:[HomeTeam]], D$36) + SUMIFS(Table1[[HomeWon]:[HomeWon]], Table1[[GameIsOver]:[GameIsOver]], 1, Table1[[HomeTeam]:[HomeTeam]], $A54, Table1[[AwayTeam]:[AwayTeam]], D$36))) + (SUMIFS(Table1[[HomeWon]:[HomeWon]], Table1[[GameIsOver]:[GameIsOver]], 1, Table1[[AwayTeam]:[AwayTeam]], $A54, Table1[[HomeTeam]:[HomeTeam]],  D$36, Table1[[ActualResult]:[ActualResult]], "OT") + SUMIFS(Table1[[AwayWon]:[AwayWon]], Table1[[GameIsOver]:[GameIsOver]], 1, Table1[[HomeTeam]:[HomeTeam]], $A54, Table1[[AwayTeam]:[AwayTeam]], D$36, Table1[[ActualResult]:[ActualResult]], "OT") + SUMIFS(Table1[[HomeWon]:[HomeWon]], Table1[[GameIsOver]:[GameIsOver]], 1, Table1[[AwayTeam]:[AwayTeam]], $A54, Table1[[HomeTeam]:[HomeTeam]], D$36, Table1[[ActualResult]:[ActualResult]], "SO") + SUMIFS(Table1[[AwayWon]:[AwayWon]], Table1[[GameIsOver]:[GameIsOver]], 1, Table1[[HomeTeam]:[HomeTeam]], $A54, Table1[[AwayTeam]:[AwayTeam]], D$36, Table1[[ActualResult]:[ActualResult]], "SO")))/ (2*((COUNTIFS(Table1[[GameIsOver]:[GameIsOver]],1,Table1[[AwayTeam]:[AwayTeam]],$A54, Table1[[HomeTeam]:[HomeTeam]], D$36)))+( COUNTIFS(Table1[[GameIsOver]:[GameIsOver]],1,Table1[[AwayTeam]:[AwayTeam]],D$36, Table1[[HomeTeam]:[HomeTeam]],$A54))), "")</f>
        <v/>
      </c>
      <c r="E54" s="50" t="str">
        <f>IFERROR(((2 * (SUMIFS(Table1[[AwayWon]:[AwayWon]], Table1[[GameIsOver]:[GameIsOver]], 1, Table1[[AwayTeam]:[AwayTeam]], $A54, Table1[[HomeTeam]:[HomeTeam]], E$36) + SUMIFS(Table1[[HomeWon]:[HomeWon]], Table1[[GameIsOver]:[GameIsOver]], 1, Table1[[HomeTeam]:[HomeTeam]], $A54, Table1[[AwayTeam]:[AwayTeam]], E$36))) + (SUMIFS(Table1[[HomeWon]:[HomeWon]], Table1[[GameIsOver]:[GameIsOver]], 1, Table1[[AwayTeam]:[AwayTeam]], $A54, Table1[[HomeTeam]:[HomeTeam]],  E$36, Table1[[ActualResult]:[ActualResult]], "OT") + SUMIFS(Table1[[AwayWon]:[AwayWon]], Table1[[GameIsOver]:[GameIsOver]], 1, Table1[[HomeTeam]:[HomeTeam]], $A54, Table1[[AwayTeam]:[AwayTeam]], E$36, Table1[[ActualResult]:[ActualResult]], "OT") + SUMIFS(Table1[[HomeWon]:[HomeWon]], Table1[[GameIsOver]:[GameIsOver]], 1, Table1[[AwayTeam]:[AwayTeam]], $A54, Table1[[HomeTeam]:[HomeTeam]], E$36, Table1[[ActualResult]:[ActualResult]], "SO") + SUMIFS(Table1[[AwayWon]:[AwayWon]], Table1[[GameIsOver]:[GameIsOver]], 1, Table1[[HomeTeam]:[HomeTeam]], $A54, Table1[[AwayTeam]:[AwayTeam]], E$36, Table1[[ActualResult]:[ActualResult]], "SO")))/ (2*((COUNTIFS(Table1[[GameIsOver]:[GameIsOver]],1,Table1[[AwayTeam]:[AwayTeam]],$A54, Table1[[HomeTeam]:[HomeTeam]], E$36)))+( COUNTIFS(Table1[[GameIsOver]:[GameIsOver]],1,Table1[[AwayTeam]:[AwayTeam]],E$36, Table1[[HomeTeam]:[HomeTeam]],$A54))), "")</f>
        <v/>
      </c>
      <c r="F54" s="50" t="str">
        <f>IFERROR(((2 * (SUMIFS(Table1[[AwayWon]:[AwayWon]], Table1[[GameIsOver]:[GameIsOver]], 1, Table1[[AwayTeam]:[AwayTeam]], $A54, Table1[[HomeTeam]:[HomeTeam]], F$36) + SUMIFS(Table1[[HomeWon]:[HomeWon]], Table1[[GameIsOver]:[GameIsOver]], 1, Table1[[HomeTeam]:[HomeTeam]], $A54, Table1[[AwayTeam]:[AwayTeam]], F$36))) + (SUMIFS(Table1[[HomeWon]:[HomeWon]], Table1[[GameIsOver]:[GameIsOver]], 1, Table1[[AwayTeam]:[AwayTeam]], $A54, Table1[[HomeTeam]:[HomeTeam]],  F$36, Table1[[ActualResult]:[ActualResult]], "OT") + SUMIFS(Table1[[AwayWon]:[AwayWon]], Table1[[GameIsOver]:[GameIsOver]], 1, Table1[[HomeTeam]:[HomeTeam]], $A54, Table1[[AwayTeam]:[AwayTeam]], F$36, Table1[[ActualResult]:[ActualResult]], "OT") + SUMIFS(Table1[[HomeWon]:[HomeWon]], Table1[[GameIsOver]:[GameIsOver]], 1, Table1[[AwayTeam]:[AwayTeam]], $A54, Table1[[HomeTeam]:[HomeTeam]], F$36, Table1[[ActualResult]:[ActualResult]], "SO") + SUMIFS(Table1[[AwayWon]:[AwayWon]], Table1[[GameIsOver]:[GameIsOver]], 1, Table1[[HomeTeam]:[HomeTeam]], $A54, Table1[[AwayTeam]:[AwayTeam]], F$36, Table1[[ActualResult]:[ActualResult]], "SO")))/ (2*((COUNTIFS(Table1[[GameIsOver]:[GameIsOver]],1,Table1[[AwayTeam]:[AwayTeam]],$A54, Table1[[HomeTeam]:[HomeTeam]], F$36)))+( COUNTIFS(Table1[[GameIsOver]:[GameIsOver]],1,Table1[[AwayTeam]:[AwayTeam]],F$36, Table1[[HomeTeam]:[HomeTeam]],$A54))), "")</f>
        <v/>
      </c>
      <c r="G54" s="50" t="str">
        <f>IFERROR(((2 * (SUMIFS(Table1[[AwayWon]:[AwayWon]], Table1[[GameIsOver]:[GameIsOver]], 1, Table1[[AwayTeam]:[AwayTeam]], $A54, Table1[[HomeTeam]:[HomeTeam]], G$36) + SUMIFS(Table1[[HomeWon]:[HomeWon]], Table1[[GameIsOver]:[GameIsOver]], 1, Table1[[HomeTeam]:[HomeTeam]], $A54, Table1[[AwayTeam]:[AwayTeam]], G$36))) + (SUMIFS(Table1[[HomeWon]:[HomeWon]], Table1[[GameIsOver]:[GameIsOver]], 1, Table1[[AwayTeam]:[AwayTeam]], $A54, Table1[[HomeTeam]:[HomeTeam]],  G$36, Table1[[ActualResult]:[ActualResult]], "OT") + SUMIFS(Table1[[AwayWon]:[AwayWon]], Table1[[GameIsOver]:[GameIsOver]], 1, Table1[[HomeTeam]:[HomeTeam]], $A54, Table1[[AwayTeam]:[AwayTeam]], G$36, Table1[[ActualResult]:[ActualResult]], "OT") + SUMIFS(Table1[[HomeWon]:[HomeWon]], Table1[[GameIsOver]:[GameIsOver]], 1, Table1[[AwayTeam]:[AwayTeam]], $A54, Table1[[HomeTeam]:[HomeTeam]], G$36, Table1[[ActualResult]:[ActualResult]], "SO") + SUMIFS(Table1[[AwayWon]:[AwayWon]], Table1[[GameIsOver]:[GameIsOver]], 1, Table1[[HomeTeam]:[HomeTeam]], $A54, Table1[[AwayTeam]:[AwayTeam]], G$36, Table1[[ActualResult]:[ActualResult]], "SO")))/ (2*((COUNTIFS(Table1[[GameIsOver]:[GameIsOver]],1,Table1[[AwayTeam]:[AwayTeam]],$A54, Table1[[HomeTeam]:[HomeTeam]], G$36)))+( COUNTIFS(Table1[[GameIsOver]:[GameIsOver]],1,Table1[[AwayTeam]:[AwayTeam]],G$36, Table1[[HomeTeam]:[HomeTeam]],$A54))), "")</f>
        <v/>
      </c>
      <c r="H54" s="50" t="str">
        <f>IFERROR(((2 * (SUMIFS(Table1[[AwayWon]:[AwayWon]], Table1[[GameIsOver]:[GameIsOver]], 1, Table1[[AwayTeam]:[AwayTeam]], $A54, Table1[[HomeTeam]:[HomeTeam]], H$36) + SUMIFS(Table1[[HomeWon]:[HomeWon]], Table1[[GameIsOver]:[GameIsOver]], 1, Table1[[HomeTeam]:[HomeTeam]], $A54, Table1[[AwayTeam]:[AwayTeam]], H$36))) + (SUMIFS(Table1[[HomeWon]:[HomeWon]], Table1[[GameIsOver]:[GameIsOver]], 1, Table1[[AwayTeam]:[AwayTeam]], $A54, Table1[[HomeTeam]:[HomeTeam]],  H$36, Table1[[ActualResult]:[ActualResult]], "OT") + SUMIFS(Table1[[AwayWon]:[AwayWon]], Table1[[GameIsOver]:[GameIsOver]], 1, Table1[[HomeTeam]:[HomeTeam]], $A54, Table1[[AwayTeam]:[AwayTeam]], H$36, Table1[[ActualResult]:[ActualResult]], "OT") + SUMIFS(Table1[[HomeWon]:[HomeWon]], Table1[[GameIsOver]:[GameIsOver]], 1, Table1[[AwayTeam]:[AwayTeam]], $A54, Table1[[HomeTeam]:[HomeTeam]], H$36, Table1[[ActualResult]:[ActualResult]], "SO") + SUMIFS(Table1[[AwayWon]:[AwayWon]], Table1[[GameIsOver]:[GameIsOver]], 1, Table1[[HomeTeam]:[HomeTeam]], $A54, Table1[[AwayTeam]:[AwayTeam]], H$36, Table1[[ActualResult]:[ActualResult]], "SO")))/ (2*((COUNTIFS(Table1[[GameIsOver]:[GameIsOver]],1,Table1[[AwayTeam]:[AwayTeam]],$A54, Table1[[HomeTeam]:[HomeTeam]], H$36)))+( COUNTIFS(Table1[[GameIsOver]:[GameIsOver]],1,Table1[[AwayTeam]:[AwayTeam]],H$36, Table1[[HomeTeam]:[HomeTeam]],$A54))), "")</f>
        <v/>
      </c>
      <c r="I54" s="52" t="str">
        <f>IFERROR(((2 * (SUMIFS(Table1[[AwayWon]:[AwayWon]], Table1[[GameIsOver]:[GameIsOver]], 1, Table1[[AwayTeam]:[AwayTeam]], $A54, Table1[[HomeTeam]:[HomeTeam]], I$36) + SUMIFS(Table1[[HomeWon]:[HomeWon]], Table1[[GameIsOver]:[GameIsOver]], 1, Table1[[HomeTeam]:[HomeTeam]], $A54, Table1[[AwayTeam]:[AwayTeam]], I$36))) + (SUMIFS(Table1[[HomeWon]:[HomeWon]], Table1[[GameIsOver]:[GameIsOver]], 1, Table1[[AwayTeam]:[AwayTeam]], $A54, Table1[[HomeTeam]:[HomeTeam]],  I$36, Table1[[ActualResult]:[ActualResult]], "OT") + SUMIFS(Table1[[AwayWon]:[AwayWon]], Table1[[GameIsOver]:[GameIsOver]], 1, Table1[[HomeTeam]:[HomeTeam]], $A54, Table1[[AwayTeam]:[AwayTeam]], I$36, Table1[[ActualResult]:[ActualResult]], "OT") + SUMIFS(Table1[[HomeWon]:[HomeWon]], Table1[[GameIsOver]:[GameIsOver]], 1, Table1[[AwayTeam]:[AwayTeam]], $A54, Table1[[HomeTeam]:[HomeTeam]], I$36, Table1[[ActualResult]:[ActualResult]], "SO") + SUMIFS(Table1[[AwayWon]:[AwayWon]], Table1[[GameIsOver]:[GameIsOver]], 1, Table1[[HomeTeam]:[HomeTeam]], $A54, Table1[[AwayTeam]:[AwayTeam]], I$36, Table1[[ActualResult]:[ActualResult]], "SO")))/ (2*((COUNTIFS(Table1[[GameIsOver]:[GameIsOver]],1,Table1[[AwayTeam]:[AwayTeam]],$A54, Table1[[HomeTeam]:[HomeTeam]], I$36)))+( COUNTIFS(Table1[[GameIsOver]:[GameIsOver]],1,Table1[[AwayTeam]:[AwayTeam]],I$36, Table1[[HomeTeam]:[HomeTeam]],$A54))), "")</f>
        <v/>
      </c>
      <c r="J54" s="50" t="str">
        <f>IFERROR(((2 * (SUMIFS(Table1[[AwayWon]:[AwayWon]], Table1[[GameIsOver]:[GameIsOver]], 1, Table1[[AwayTeam]:[AwayTeam]], $A54, Table1[[HomeTeam]:[HomeTeam]], J$36) + SUMIFS(Table1[[HomeWon]:[HomeWon]], Table1[[GameIsOver]:[GameIsOver]], 1, Table1[[HomeTeam]:[HomeTeam]], $A54, Table1[[AwayTeam]:[AwayTeam]], J$36))) + (SUMIFS(Table1[[HomeWon]:[HomeWon]], Table1[[GameIsOver]:[GameIsOver]], 1, Table1[[AwayTeam]:[AwayTeam]], $A54, Table1[[HomeTeam]:[HomeTeam]],  J$36, Table1[[ActualResult]:[ActualResult]], "OT") + SUMIFS(Table1[[AwayWon]:[AwayWon]], Table1[[GameIsOver]:[GameIsOver]], 1, Table1[[HomeTeam]:[HomeTeam]], $A54, Table1[[AwayTeam]:[AwayTeam]], J$36, Table1[[ActualResult]:[ActualResult]], "OT") + SUMIFS(Table1[[HomeWon]:[HomeWon]], Table1[[GameIsOver]:[GameIsOver]], 1, Table1[[AwayTeam]:[AwayTeam]], $A54, Table1[[HomeTeam]:[HomeTeam]], J$36, Table1[[ActualResult]:[ActualResult]], "SO") + SUMIFS(Table1[[AwayWon]:[AwayWon]], Table1[[GameIsOver]:[GameIsOver]], 1, Table1[[HomeTeam]:[HomeTeam]], $A54, Table1[[AwayTeam]:[AwayTeam]], J$36, Table1[[ActualResult]:[ActualResult]], "SO")))/ (2*((COUNTIFS(Table1[[GameIsOver]:[GameIsOver]],1,Table1[[AwayTeam]:[AwayTeam]],$A54, Table1[[HomeTeam]:[HomeTeam]], J$36)))+( COUNTIFS(Table1[[GameIsOver]:[GameIsOver]],1,Table1[[AwayTeam]:[AwayTeam]],J$36, Table1[[HomeTeam]:[HomeTeam]],$A54))), "")</f>
        <v/>
      </c>
      <c r="K54" s="50" t="str">
        <f>IFERROR(((2 * (SUMIFS(Table1[[AwayWon]:[AwayWon]], Table1[[GameIsOver]:[GameIsOver]], 1, Table1[[AwayTeam]:[AwayTeam]], $A54, Table1[[HomeTeam]:[HomeTeam]], K$36) + SUMIFS(Table1[[HomeWon]:[HomeWon]], Table1[[GameIsOver]:[GameIsOver]], 1, Table1[[HomeTeam]:[HomeTeam]], $A54, Table1[[AwayTeam]:[AwayTeam]], K$36))) + (SUMIFS(Table1[[HomeWon]:[HomeWon]], Table1[[GameIsOver]:[GameIsOver]], 1, Table1[[AwayTeam]:[AwayTeam]], $A54, Table1[[HomeTeam]:[HomeTeam]],  K$36, Table1[[ActualResult]:[ActualResult]], "OT") + SUMIFS(Table1[[AwayWon]:[AwayWon]], Table1[[GameIsOver]:[GameIsOver]], 1, Table1[[HomeTeam]:[HomeTeam]], $A54, Table1[[AwayTeam]:[AwayTeam]], K$36, Table1[[ActualResult]:[ActualResult]], "OT") + SUMIFS(Table1[[HomeWon]:[HomeWon]], Table1[[GameIsOver]:[GameIsOver]], 1, Table1[[AwayTeam]:[AwayTeam]], $A54, Table1[[HomeTeam]:[HomeTeam]], K$36, Table1[[ActualResult]:[ActualResult]], "SO") + SUMIFS(Table1[[AwayWon]:[AwayWon]], Table1[[GameIsOver]:[GameIsOver]], 1, Table1[[HomeTeam]:[HomeTeam]], $A54, Table1[[AwayTeam]:[AwayTeam]], K$36, Table1[[ActualResult]:[ActualResult]], "SO")))/ (2*((COUNTIFS(Table1[[GameIsOver]:[GameIsOver]],1,Table1[[AwayTeam]:[AwayTeam]],$A54, Table1[[HomeTeam]:[HomeTeam]], K$36)))+( COUNTIFS(Table1[[GameIsOver]:[GameIsOver]],1,Table1[[AwayTeam]:[AwayTeam]],K$36, Table1[[HomeTeam]:[HomeTeam]],$A54))), "")</f>
        <v/>
      </c>
      <c r="L54" s="50" t="str">
        <f>IFERROR(((2 * (SUMIFS(Table1[[AwayWon]:[AwayWon]], Table1[[GameIsOver]:[GameIsOver]], 1, Table1[[AwayTeam]:[AwayTeam]], $A54, Table1[[HomeTeam]:[HomeTeam]], L$36) + SUMIFS(Table1[[HomeWon]:[HomeWon]], Table1[[GameIsOver]:[GameIsOver]], 1, Table1[[HomeTeam]:[HomeTeam]], $A54, Table1[[AwayTeam]:[AwayTeam]], L$36))) + (SUMIFS(Table1[[HomeWon]:[HomeWon]], Table1[[GameIsOver]:[GameIsOver]], 1, Table1[[AwayTeam]:[AwayTeam]], $A54, Table1[[HomeTeam]:[HomeTeam]],  L$36, Table1[[ActualResult]:[ActualResult]], "OT") + SUMIFS(Table1[[AwayWon]:[AwayWon]], Table1[[GameIsOver]:[GameIsOver]], 1, Table1[[HomeTeam]:[HomeTeam]], $A54, Table1[[AwayTeam]:[AwayTeam]], L$36, Table1[[ActualResult]:[ActualResult]], "OT") + SUMIFS(Table1[[HomeWon]:[HomeWon]], Table1[[GameIsOver]:[GameIsOver]], 1, Table1[[AwayTeam]:[AwayTeam]], $A54, Table1[[HomeTeam]:[HomeTeam]], L$36, Table1[[ActualResult]:[ActualResult]], "SO") + SUMIFS(Table1[[AwayWon]:[AwayWon]], Table1[[GameIsOver]:[GameIsOver]], 1, Table1[[HomeTeam]:[HomeTeam]], $A54, Table1[[AwayTeam]:[AwayTeam]], L$36, Table1[[ActualResult]:[ActualResult]], "SO")))/ (2*((COUNTIFS(Table1[[GameIsOver]:[GameIsOver]],1,Table1[[AwayTeam]:[AwayTeam]],$A54, Table1[[HomeTeam]:[HomeTeam]], L$36)))+( COUNTIFS(Table1[[GameIsOver]:[GameIsOver]],1,Table1[[AwayTeam]:[AwayTeam]],L$36, Table1[[HomeTeam]:[HomeTeam]],$A54))), "")</f>
        <v/>
      </c>
      <c r="M54" s="50" t="str">
        <f>IFERROR(((2 * (SUMIFS(Table1[[AwayWon]:[AwayWon]], Table1[[GameIsOver]:[GameIsOver]], 1, Table1[[AwayTeam]:[AwayTeam]], $A54, Table1[[HomeTeam]:[HomeTeam]], M$36) + SUMIFS(Table1[[HomeWon]:[HomeWon]], Table1[[GameIsOver]:[GameIsOver]], 1, Table1[[HomeTeam]:[HomeTeam]], $A54, Table1[[AwayTeam]:[AwayTeam]], M$36))) + (SUMIFS(Table1[[HomeWon]:[HomeWon]], Table1[[GameIsOver]:[GameIsOver]], 1, Table1[[AwayTeam]:[AwayTeam]], $A54, Table1[[HomeTeam]:[HomeTeam]],  M$36, Table1[[ActualResult]:[ActualResult]], "OT") + SUMIFS(Table1[[AwayWon]:[AwayWon]], Table1[[GameIsOver]:[GameIsOver]], 1, Table1[[HomeTeam]:[HomeTeam]], $A54, Table1[[AwayTeam]:[AwayTeam]], M$36, Table1[[ActualResult]:[ActualResult]], "OT") + SUMIFS(Table1[[HomeWon]:[HomeWon]], Table1[[GameIsOver]:[GameIsOver]], 1, Table1[[AwayTeam]:[AwayTeam]], $A54, Table1[[HomeTeam]:[HomeTeam]], M$36, Table1[[ActualResult]:[ActualResult]], "SO") + SUMIFS(Table1[[AwayWon]:[AwayWon]], Table1[[GameIsOver]:[GameIsOver]], 1, Table1[[HomeTeam]:[HomeTeam]], $A54, Table1[[AwayTeam]:[AwayTeam]], M$36, Table1[[ActualResult]:[ActualResult]], "SO")))/ (2*((COUNTIFS(Table1[[GameIsOver]:[GameIsOver]],1,Table1[[AwayTeam]:[AwayTeam]],$A54, Table1[[HomeTeam]:[HomeTeam]], M$36)))+( COUNTIFS(Table1[[GameIsOver]:[GameIsOver]],1,Table1[[AwayTeam]:[AwayTeam]],M$36, Table1[[HomeTeam]:[HomeTeam]],$A54))), "")</f>
        <v/>
      </c>
      <c r="N54" s="50" t="str">
        <f>IFERROR(((2 * (SUMIFS(Table1[[AwayWon]:[AwayWon]], Table1[[GameIsOver]:[GameIsOver]], 1, Table1[[AwayTeam]:[AwayTeam]], $A54, Table1[[HomeTeam]:[HomeTeam]], N$36) + SUMIFS(Table1[[HomeWon]:[HomeWon]], Table1[[GameIsOver]:[GameIsOver]], 1, Table1[[HomeTeam]:[HomeTeam]], $A54, Table1[[AwayTeam]:[AwayTeam]], N$36))) + (SUMIFS(Table1[[HomeWon]:[HomeWon]], Table1[[GameIsOver]:[GameIsOver]], 1, Table1[[AwayTeam]:[AwayTeam]], $A54, Table1[[HomeTeam]:[HomeTeam]],  N$36, Table1[[ActualResult]:[ActualResult]], "OT") + SUMIFS(Table1[[AwayWon]:[AwayWon]], Table1[[GameIsOver]:[GameIsOver]], 1, Table1[[HomeTeam]:[HomeTeam]], $A54, Table1[[AwayTeam]:[AwayTeam]], N$36, Table1[[ActualResult]:[ActualResult]], "OT") + SUMIFS(Table1[[HomeWon]:[HomeWon]], Table1[[GameIsOver]:[GameIsOver]], 1, Table1[[AwayTeam]:[AwayTeam]], $A54, Table1[[HomeTeam]:[HomeTeam]], N$36, Table1[[ActualResult]:[ActualResult]], "SO") + SUMIFS(Table1[[AwayWon]:[AwayWon]], Table1[[GameIsOver]:[GameIsOver]], 1, Table1[[HomeTeam]:[HomeTeam]], $A54, Table1[[AwayTeam]:[AwayTeam]], N$36, Table1[[ActualResult]:[ActualResult]], "SO")))/ (2*((COUNTIFS(Table1[[GameIsOver]:[GameIsOver]],1,Table1[[AwayTeam]:[AwayTeam]],$A54, Table1[[HomeTeam]:[HomeTeam]], N$36)))+( COUNTIFS(Table1[[GameIsOver]:[GameIsOver]],1,Table1[[AwayTeam]:[AwayTeam]],N$36, Table1[[HomeTeam]:[HomeTeam]],$A54))), "")</f>
        <v/>
      </c>
      <c r="O54" s="50" t="str">
        <f>IFERROR(((2 * (SUMIFS(Table1[[AwayWon]:[AwayWon]], Table1[[GameIsOver]:[GameIsOver]], 1, Table1[[AwayTeam]:[AwayTeam]], $A54, Table1[[HomeTeam]:[HomeTeam]], O$36) + SUMIFS(Table1[[HomeWon]:[HomeWon]], Table1[[GameIsOver]:[GameIsOver]], 1, Table1[[HomeTeam]:[HomeTeam]], $A54, Table1[[AwayTeam]:[AwayTeam]], O$36))) + (SUMIFS(Table1[[HomeWon]:[HomeWon]], Table1[[GameIsOver]:[GameIsOver]], 1, Table1[[AwayTeam]:[AwayTeam]], $A54, Table1[[HomeTeam]:[HomeTeam]],  O$36, Table1[[ActualResult]:[ActualResult]], "OT") + SUMIFS(Table1[[AwayWon]:[AwayWon]], Table1[[GameIsOver]:[GameIsOver]], 1, Table1[[HomeTeam]:[HomeTeam]], $A54, Table1[[AwayTeam]:[AwayTeam]], O$36, Table1[[ActualResult]:[ActualResult]], "OT") + SUMIFS(Table1[[HomeWon]:[HomeWon]], Table1[[GameIsOver]:[GameIsOver]], 1, Table1[[AwayTeam]:[AwayTeam]], $A54, Table1[[HomeTeam]:[HomeTeam]], O$36, Table1[[ActualResult]:[ActualResult]], "SO") + SUMIFS(Table1[[AwayWon]:[AwayWon]], Table1[[GameIsOver]:[GameIsOver]], 1, Table1[[HomeTeam]:[HomeTeam]], $A54, Table1[[AwayTeam]:[AwayTeam]], O$36, Table1[[ActualResult]:[ActualResult]], "SO")))/ (2*((COUNTIFS(Table1[[GameIsOver]:[GameIsOver]],1,Table1[[AwayTeam]:[AwayTeam]],$A54, Table1[[HomeTeam]:[HomeTeam]], O$36)))+( COUNTIFS(Table1[[GameIsOver]:[GameIsOver]],1,Table1[[AwayTeam]:[AwayTeam]],O$36, Table1[[HomeTeam]:[HomeTeam]],$A54))), "")</f>
        <v/>
      </c>
      <c r="P54" s="50" t="str">
        <f>IFERROR(((2 * (SUMIFS(Table1[[AwayWon]:[AwayWon]], Table1[[GameIsOver]:[GameIsOver]], 1, Table1[[AwayTeam]:[AwayTeam]], $A54, Table1[[HomeTeam]:[HomeTeam]], P$36) + SUMIFS(Table1[[HomeWon]:[HomeWon]], Table1[[GameIsOver]:[GameIsOver]], 1, Table1[[HomeTeam]:[HomeTeam]], $A54, Table1[[AwayTeam]:[AwayTeam]], P$36))) + (SUMIFS(Table1[[HomeWon]:[HomeWon]], Table1[[GameIsOver]:[GameIsOver]], 1, Table1[[AwayTeam]:[AwayTeam]], $A54, Table1[[HomeTeam]:[HomeTeam]],  P$36, Table1[[ActualResult]:[ActualResult]], "OT") + SUMIFS(Table1[[AwayWon]:[AwayWon]], Table1[[GameIsOver]:[GameIsOver]], 1, Table1[[HomeTeam]:[HomeTeam]], $A54, Table1[[AwayTeam]:[AwayTeam]], P$36, Table1[[ActualResult]:[ActualResult]], "OT") + SUMIFS(Table1[[HomeWon]:[HomeWon]], Table1[[GameIsOver]:[GameIsOver]], 1, Table1[[AwayTeam]:[AwayTeam]], $A54, Table1[[HomeTeam]:[HomeTeam]], P$36, Table1[[ActualResult]:[ActualResult]], "SO") + SUMIFS(Table1[[AwayWon]:[AwayWon]], Table1[[GameIsOver]:[GameIsOver]], 1, Table1[[HomeTeam]:[HomeTeam]], $A54, Table1[[AwayTeam]:[AwayTeam]], P$36, Table1[[ActualResult]:[ActualResult]], "SO")))/ (2*((COUNTIFS(Table1[[GameIsOver]:[GameIsOver]],1,Table1[[AwayTeam]:[AwayTeam]],$A54, Table1[[HomeTeam]:[HomeTeam]], P$36)))+( COUNTIFS(Table1[[GameIsOver]:[GameIsOver]],1,Table1[[AwayTeam]:[AwayTeam]],P$36, Table1[[HomeTeam]:[HomeTeam]],$A54))), "")</f>
        <v/>
      </c>
      <c r="Q54" s="52" t="str">
        <f>IFERROR(((2 * (SUMIFS(Table1[[AwayWon]:[AwayWon]], Table1[[GameIsOver]:[GameIsOver]], 1, Table1[[AwayTeam]:[AwayTeam]], $A54, Table1[[HomeTeam]:[HomeTeam]], Q$36) + SUMIFS(Table1[[HomeWon]:[HomeWon]], Table1[[GameIsOver]:[GameIsOver]], 1, Table1[[HomeTeam]:[HomeTeam]], $A54, Table1[[AwayTeam]:[AwayTeam]], Q$36))) + (SUMIFS(Table1[[HomeWon]:[HomeWon]], Table1[[GameIsOver]:[GameIsOver]], 1, Table1[[AwayTeam]:[AwayTeam]], $A54, Table1[[HomeTeam]:[HomeTeam]],  Q$36, Table1[[ActualResult]:[ActualResult]], "OT") + SUMIFS(Table1[[AwayWon]:[AwayWon]], Table1[[GameIsOver]:[GameIsOver]], 1, Table1[[HomeTeam]:[HomeTeam]], $A54, Table1[[AwayTeam]:[AwayTeam]], Q$36, Table1[[ActualResult]:[ActualResult]], "OT") + SUMIFS(Table1[[HomeWon]:[HomeWon]], Table1[[GameIsOver]:[GameIsOver]], 1, Table1[[AwayTeam]:[AwayTeam]], $A54, Table1[[HomeTeam]:[HomeTeam]], Q$36, Table1[[ActualResult]:[ActualResult]], "SO") + SUMIFS(Table1[[AwayWon]:[AwayWon]], Table1[[GameIsOver]:[GameIsOver]], 1, Table1[[HomeTeam]:[HomeTeam]], $A54, Table1[[AwayTeam]:[AwayTeam]], Q$36, Table1[[ActualResult]:[ActualResult]], "SO")))/ (2*((COUNTIFS(Table1[[GameIsOver]:[GameIsOver]],1,Table1[[AwayTeam]:[AwayTeam]],$A54, Table1[[HomeTeam]:[HomeTeam]], Q$36)))+( COUNTIFS(Table1[[GameIsOver]:[GameIsOver]],1,Table1[[AwayTeam]:[AwayTeam]],Q$36, Table1[[HomeTeam]:[HomeTeam]],$A54))), "")</f>
        <v/>
      </c>
      <c r="R54" s="50" t="str">
        <f>IFERROR(((2 * (SUMIFS(Table1[[AwayWon]:[AwayWon]], Table1[[GameIsOver]:[GameIsOver]], 1, Table1[[AwayTeam]:[AwayTeam]], $A54, Table1[[HomeTeam]:[HomeTeam]], R$36) + SUMIFS(Table1[[HomeWon]:[HomeWon]], Table1[[GameIsOver]:[GameIsOver]], 1, Table1[[HomeTeam]:[HomeTeam]], $A54, Table1[[AwayTeam]:[AwayTeam]], R$36))) + (SUMIFS(Table1[[HomeWon]:[HomeWon]], Table1[[GameIsOver]:[GameIsOver]], 1, Table1[[AwayTeam]:[AwayTeam]], $A54, Table1[[HomeTeam]:[HomeTeam]],  R$36, Table1[[ActualResult]:[ActualResult]], "OT") + SUMIFS(Table1[[AwayWon]:[AwayWon]], Table1[[GameIsOver]:[GameIsOver]], 1, Table1[[HomeTeam]:[HomeTeam]], $A54, Table1[[AwayTeam]:[AwayTeam]], R$36, Table1[[ActualResult]:[ActualResult]], "OT") + SUMIFS(Table1[[HomeWon]:[HomeWon]], Table1[[GameIsOver]:[GameIsOver]], 1, Table1[[AwayTeam]:[AwayTeam]], $A54, Table1[[HomeTeam]:[HomeTeam]], R$36, Table1[[ActualResult]:[ActualResult]], "SO") + SUMIFS(Table1[[AwayWon]:[AwayWon]], Table1[[GameIsOver]:[GameIsOver]], 1, Table1[[HomeTeam]:[HomeTeam]], $A54, Table1[[AwayTeam]:[AwayTeam]], R$36, Table1[[ActualResult]:[ActualResult]], "SO")))/ (2*((COUNTIFS(Table1[[GameIsOver]:[GameIsOver]],1,Table1[[AwayTeam]:[AwayTeam]],$A54, Table1[[HomeTeam]:[HomeTeam]], R$36)))+( COUNTIFS(Table1[[GameIsOver]:[GameIsOver]],1,Table1[[AwayTeam]:[AwayTeam]],R$36, Table1[[HomeTeam]:[HomeTeam]],$A54))), "")</f>
        <v/>
      </c>
      <c r="S54" s="50" t="str">
        <f>IFERROR(((2 * (SUMIFS(Table1[[AwayWon]:[AwayWon]], Table1[[GameIsOver]:[GameIsOver]], 1, Table1[[AwayTeam]:[AwayTeam]], $A54, Table1[[HomeTeam]:[HomeTeam]], S$36) + SUMIFS(Table1[[HomeWon]:[HomeWon]], Table1[[GameIsOver]:[GameIsOver]], 1, Table1[[HomeTeam]:[HomeTeam]], $A54, Table1[[AwayTeam]:[AwayTeam]], S$36))) + (SUMIFS(Table1[[HomeWon]:[HomeWon]], Table1[[GameIsOver]:[GameIsOver]], 1, Table1[[AwayTeam]:[AwayTeam]], $A54, Table1[[HomeTeam]:[HomeTeam]],  S$36, Table1[[ActualResult]:[ActualResult]], "OT") + SUMIFS(Table1[[AwayWon]:[AwayWon]], Table1[[GameIsOver]:[GameIsOver]], 1, Table1[[HomeTeam]:[HomeTeam]], $A54, Table1[[AwayTeam]:[AwayTeam]], S$36, Table1[[ActualResult]:[ActualResult]], "OT") + SUMIFS(Table1[[HomeWon]:[HomeWon]], Table1[[GameIsOver]:[GameIsOver]], 1, Table1[[AwayTeam]:[AwayTeam]], $A54, Table1[[HomeTeam]:[HomeTeam]], S$36, Table1[[ActualResult]:[ActualResult]], "SO") + SUMIFS(Table1[[AwayWon]:[AwayWon]], Table1[[GameIsOver]:[GameIsOver]], 1, Table1[[HomeTeam]:[HomeTeam]], $A54, Table1[[AwayTeam]:[AwayTeam]], S$36, Table1[[ActualResult]:[ActualResult]], "SO")))/ (2*((COUNTIFS(Table1[[GameIsOver]:[GameIsOver]],1,Table1[[AwayTeam]:[AwayTeam]],$A54, Table1[[HomeTeam]:[HomeTeam]], S$36)))+( COUNTIFS(Table1[[GameIsOver]:[GameIsOver]],1,Table1[[AwayTeam]:[AwayTeam]],S$36, Table1[[HomeTeam]:[HomeTeam]],$A54))), "")</f>
        <v/>
      </c>
      <c r="T54" s="50" t="str">
        <f>IFERROR(((2 * (SUMIFS(Table1[[AwayWon]:[AwayWon]], Table1[[GameIsOver]:[GameIsOver]], 1, Table1[[AwayTeam]:[AwayTeam]], $A54, Table1[[HomeTeam]:[HomeTeam]], T$36) + SUMIFS(Table1[[HomeWon]:[HomeWon]], Table1[[GameIsOver]:[GameIsOver]], 1, Table1[[HomeTeam]:[HomeTeam]], $A54, Table1[[AwayTeam]:[AwayTeam]], T$36))) + (SUMIFS(Table1[[HomeWon]:[HomeWon]], Table1[[GameIsOver]:[GameIsOver]], 1, Table1[[AwayTeam]:[AwayTeam]], $A54, Table1[[HomeTeam]:[HomeTeam]],  T$36, Table1[[ActualResult]:[ActualResult]], "OT") + SUMIFS(Table1[[AwayWon]:[AwayWon]], Table1[[GameIsOver]:[GameIsOver]], 1, Table1[[HomeTeam]:[HomeTeam]], $A54, Table1[[AwayTeam]:[AwayTeam]], T$36, Table1[[ActualResult]:[ActualResult]], "OT") + SUMIFS(Table1[[HomeWon]:[HomeWon]], Table1[[GameIsOver]:[GameIsOver]], 1, Table1[[AwayTeam]:[AwayTeam]], $A54, Table1[[HomeTeam]:[HomeTeam]], T$36, Table1[[ActualResult]:[ActualResult]], "SO") + SUMIFS(Table1[[AwayWon]:[AwayWon]], Table1[[GameIsOver]:[GameIsOver]], 1, Table1[[HomeTeam]:[HomeTeam]], $A54, Table1[[AwayTeam]:[AwayTeam]], T$36, Table1[[ActualResult]:[ActualResult]], "SO")))/ (2*((COUNTIFS(Table1[[GameIsOver]:[GameIsOver]],1,Table1[[AwayTeam]:[AwayTeam]],$A54, Table1[[HomeTeam]:[HomeTeam]], T$36)))+( COUNTIFS(Table1[[GameIsOver]:[GameIsOver]],1,Table1[[AwayTeam]:[AwayTeam]],T$36, Table1[[HomeTeam]:[HomeTeam]],$A54))), "")</f>
        <v/>
      </c>
      <c r="U54" s="50" t="str">
        <f>IFERROR(((2 * (SUMIFS(Table1[[AwayWon]:[AwayWon]], Table1[[GameIsOver]:[GameIsOver]], 1, Table1[[AwayTeam]:[AwayTeam]], $A54, Table1[[HomeTeam]:[HomeTeam]], U$36) + SUMIFS(Table1[[HomeWon]:[HomeWon]], Table1[[GameIsOver]:[GameIsOver]], 1, Table1[[HomeTeam]:[HomeTeam]], $A54, Table1[[AwayTeam]:[AwayTeam]], U$36))) + (SUMIFS(Table1[[HomeWon]:[HomeWon]], Table1[[GameIsOver]:[GameIsOver]], 1, Table1[[AwayTeam]:[AwayTeam]], $A54, Table1[[HomeTeam]:[HomeTeam]],  U$36, Table1[[ActualResult]:[ActualResult]], "OT") + SUMIFS(Table1[[AwayWon]:[AwayWon]], Table1[[GameIsOver]:[GameIsOver]], 1, Table1[[HomeTeam]:[HomeTeam]], $A54, Table1[[AwayTeam]:[AwayTeam]], U$36, Table1[[ActualResult]:[ActualResult]], "OT") + SUMIFS(Table1[[HomeWon]:[HomeWon]], Table1[[GameIsOver]:[GameIsOver]], 1, Table1[[AwayTeam]:[AwayTeam]], $A54, Table1[[HomeTeam]:[HomeTeam]], U$36, Table1[[ActualResult]:[ActualResult]], "SO") + SUMIFS(Table1[[AwayWon]:[AwayWon]], Table1[[GameIsOver]:[GameIsOver]], 1, Table1[[HomeTeam]:[HomeTeam]], $A54, Table1[[AwayTeam]:[AwayTeam]], U$36, Table1[[ActualResult]:[ActualResult]], "SO")))/ (2*((COUNTIFS(Table1[[GameIsOver]:[GameIsOver]],1,Table1[[AwayTeam]:[AwayTeam]],$A54, Table1[[HomeTeam]:[HomeTeam]], U$36)))+( COUNTIFS(Table1[[GameIsOver]:[GameIsOver]],1,Table1[[AwayTeam]:[AwayTeam]],U$36, Table1[[HomeTeam]:[HomeTeam]],$A54))), "")</f>
        <v/>
      </c>
      <c r="V54" s="50" t="str">
        <f>IFERROR(((2 * (SUMIFS(Table1[[AwayWon]:[AwayWon]], Table1[[GameIsOver]:[GameIsOver]], 1, Table1[[AwayTeam]:[AwayTeam]], $A54, Table1[[HomeTeam]:[HomeTeam]], V$36) + SUMIFS(Table1[[HomeWon]:[HomeWon]], Table1[[GameIsOver]:[GameIsOver]], 1, Table1[[HomeTeam]:[HomeTeam]], $A54, Table1[[AwayTeam]:[AwayTeam]], V$36))) + (SUMIFS(Table1[[HomeWon]:[HomeWon]], Table1[[GameIsOver]:[GameIsOver]], 1, Table1[[AwayTeam]:[AwayTeam]], $A54, Table1[[HomeTeam]:[HomeTeam]],  V$36, Table1[[ActualResult]:[ActualResult]], "OT") + SUMIFS(Table1[[AwayWon]:[AwayWon]], Table1[[GameIsOver]:[GameIsOver]], 1, Table1[[HomeTeam]:[HomeTeam]], $A54, Table1[[AwayTeam]:[AwayTeam]], V$36, Table1[[ActualResult]:[ActualResult]], "OT") + SUMIFS(Table1[[HomeWon]:[HomeWon]], Table1[[GameIsOver]:[GameIsOver]], 1, Table1[[AwayTeam]:[AwayTeam]], $A54, Table1[[HomeTeam]:[HomeTeam]], V$36, Table1[[ActualResult]:[ActualResult]], "SO") + SUMIFS(Table1[[AwayWon]:[AwayWon]], Table1[[GameIsOver]:[GameIsOver]], 1, Table1[[HomeTeam]:[HomeTeam]], $A54, Table1[[AwayTeam]:[AwayTeam]], V$36, Table1[[ActualResult]:[ActualResult]], "SO")))/ (2*((COUNTIFS(Table1[[GameIsOver]:[GameIsOver]],1,Table1[[AwayTeam]:[AwayTeam]],$A54, Table1[[HomeTeam]:[HomeTeam]], V$36)))+( COUNTIFS(Table1[[GameIsOver]:[GameIsOver]],1,Table1[[AwayTeam]:[AwayTeam]],V$36, Table1[[HomeTeam]:[HomeTeam]],$A54))), "")</f>
        <v/>
      </c>
      <c r="W54" s="50">
        <f>IFERROR(((2 * (SUMIFS(Table1[[AwayWon]:[AwayWon]], Table1[[GameIsOver]:[GameIsOver]], 1, Table1[[AwayTeam]:[AwayTeam]], $A54, Table1[[HomeTeam]:[HomeTeam]], W$36) + SUMIFS(Table1[[HomeWon]:[HomeWon]], Table1[[GameIsOver]:[GameIsOver]], 1, Table1[[HomeTeam]:[HomeTeam]], $A54, Table1[[AwayTeam]:[AwayTeam]], W$36))) + (SUMIFS(Table1[[HomeWon]:[HomeWon]], Table1[[GameIsOver]:[GameIsOver]], 1, Table1[[AwayTeam]:[AwayTeam]], $A54, Table1[[HomeTeam]:[HomeTeam]],  W$36, Table1[[ActualResult]:[ActualResult]], "OT") + SUMIFS(Table1[[AwayWon]:[AwayWon]], Table1[[GameIsOver]:[GameIsOver]], 1, Table1[[HomeTeam]:[HomeTeam]], $A54, Table1[[AwayTeam]:[AwayTeam]], W$36, Table1[[ActualResult]:[ActualResult]], "OT") + SUMIFS(Table1[[HomeWon]:[HomeWon]], Table1[[GameIsOver]:[GameIsOver]], 1, Table1[[AwayTeam]:[AwayTeam]], $A54, Table1[[HomeTeam]:[HomeTeam]], W$36, Table1[[ActualResult]:[ActualResult]], "SO") + SUMIFS(Table1[[AwayWon]:[AwayWon]], Table1[[GameIsOver]:[GameIsOver]], 1, Table1[[HomeTeam]:[HomeTeam]], $A54, Table1[[AwayTeam]:[AwayTeam]], W$36, Table1[[ActualResult]:[ActualResult]], "SO")))/ (2*((COUNTIFS(Table1[[GameIsOver]:[GameIsOver]],1,Table1[[AwayTeam]:[AwayTeam]],$A54, Table1[[HomeTeam]:[HomeTeam]], W$36)))+( COUNTIFS(Table1[[GameIsOver]:[GameIsOver]],1,Table1[[AwayTeam]:[AwayTeam]],W$36, Table1[[HomeTeam]:[HomeTeam]],$A54))), "")</f>
        <v>1</v>
      </c>
      <c r="X54" s="50" t="str">
        <f>IFERROR(((2 * (SUMIFS(Table1[[AwayWon]:[AwayWon]], Table1[[GameIsOver]:[GameIsOver]], 1, Table1[[AwayTeam]:[AwayTeam]], $A54, Table1[[HomeTeam]:[HomeTeam]], X$36) + SUMIFS(Table1[[HomeWon]:[HomeWon]], Table1[[GameIsOver]:[GameIsOver]], 1, Table1[[HomeTeam]:[HomeTeam]], $A54, Table1[[AwayTeam]:[AwayTeam]], X$36))) + (SUMIFS(Table1[[HomeWon]:[HomeWon]], Table1[[GameIsOver]:[GameIsOver]], 1, Table1[[AwayTeam]:[AwayTeam]], $A54, Table1[[HomeTeam]:[HomeTeam]],  X$36, Table1[[ActualResult]:[ActualResult]], "OT") + SUMIFS(Table1[[AwayWon]:[AwayWon]], Table1[[GameIsOver]:[GameIsOver]], 1, Table1[[HomeTeam]:[HomeTeam]], $A54, Table1[[AwayTeam]:[AwayTeam]], X$36, Table1[[ActualResult]:[ActualResult]], "OT") + SUMIFS(Table1[[HomeWon]:[HomeWon]], Table1[[GameIsOver]:[GameIsOver]], 1, Table1[[AwayTeam]:[AwayTeam]], $A54, Table1[[HomeTeam]:[HomeTeam]], X$36, Table1[[ActualResult]:[ActualResult]], "SO") + SUMIFS(Table1[[AwayWon]:[AwayWon]], Table1[[GameIsOver]:[GameIsOver]], 1, Table1[[HomeTeam]:[HomeTeam]], $A54, Table1[[AwayTeam]:[AwayTeam]], X$36, Table1[[ActualResult]:[ActualResult]], "SO")))/ (2*((COUNTIFS(Table1[[GameIsOver]:[GameIsOver]],1,Table1[[AwayTeam]:[AwayTeam]],$A54, Table1[[HomeTeam]:[HomeTeam]], X$36)))+( COUNTIFS(Table1[[GameIsOver]:[GameIsOver]],1,Table1[[AwayTeam]:[AwayTeam]],X$36, Table1[[HomeTeam]:[HomeTeam]],$A54))), "")</f>
        <v/>
      </c>
      <c r="Y54" s="52" t="str">
        <f>IFERROR(((2 * (SUMIFS(Table1[[AwayWon]:[AwayWon]], Table1[[GameIsOver]:[GameIsOver]], 1, Table1[[AwayTeam]:[AwayTeam]], $A54, Table1[[HomeTeam]:[HomeTeam]], Y$36) + SUMIFS(Table1[[HomeWon]:[HomeWon]], Table1[[GameIsOver]:[GameIsOver]], 1, Table1[[HomeTeam]:[HomeTeam]], $A54, Table1[[AwayTeam]:[AwayTeam]], Y$36))) + (SUMIFS(Table1[[HomeWon]:[HomeWon]], Table1[[GameIsOver]:[GameIsOver]], 1, Table1[[AwayTeam]:[AwayTeam]], $A54, Table1[[HomeTeam]:[HomeTeam]],  Y$36, Table1[[ActualResult]:[ActualResult]], "OT") + SUMIFS(Table1[[AwayWon]:[AwayWon]], Table1[[GameIsOver]:[GameIsOver]], 1, Table1[[HomeTeam]:[HomeTeam]], $A54, Table1[[AwayTeam]:[AwayTeam]], Y$36, Table1[[ActualResult]:[ActualResult]], "OT") + SUMIFS(Table1[[HomeWon]:[HomeWon]], Table1[[GameIsOver]:[GameIsOver]], 1, Table1[[AwayTeam]:[AwayTeam]], $A54, Table1[[HomeTeam]:[HomeTeam]], Y$36, Table1[[ActualResult]:[ActualResult]], "SO") + SUMIFS(Table1[[AwayWon]:[AwayWon]], Table1[[GameIsOver]:[GameIsOver]], 1, Table1[[HomeTeam]:[HomeTeam]], $A54, Table1[[AwayTeam]:[AwayTeam]], Y$36, Table1[[ActualResult]:[ActualResult]], "SO")))/ (2*((COUNTIFS(Table1[[GameIsOver]:[GameIsOver]],1,Table1[[AwayTeam]:[AwayTeam]],$A54, Table1[[HomeTeam]:[HomeTeam]], Y$36)))+( COUNTIFS(Table1[[GameIsOver]:[GameIsOver]],1,Table1[[AwayTeam]:[AwayTeam]],Y$36, Table1[[HomeTeam]:[HomeTeam]],$A54))), "")</f>
        <v/>
      </c>
      <c r="Z54" s="50" t="str">
        <f>IFERROR(((2 * (SUMIFS(Table1[[AwayWon]:[AwayWon]], Table1[[GameIsOver]:[GameIsOver]], 1, Table1[[AwayTeam]:[AwayTeam]], $A54, Table1[[HomeTeam]:[HomeTeam]], Z$36) + SUMIFS(Table1[[HomeWon]:[HomeWon]], Table1[[GameIsOver]:[GameIsOver]], 1, Table1[[HomeTeam]:[HomeTeam]], $A54, Table1[[AwayTeam]:[AwayTeam]], Z$36))) + (SUMIFS(Table1[[HomeWon]:[HomeWon]], Table1[[GameIsOver]:[GameIsOver]], 1, Table1[[AwayTeam]:[AwayTeam]], $A54, Table1[[HomeTeam]:[HomeTeam]],  Z$36, Table1[[ActualResult]:[ActualResult]], "OT") + SUMIFS(Table1[[AwayWon]:[AwayWon]], Table1[[GameIsOver]:[GameIsOver]], 1, Table1[[HomeTeam]:[HomeTeam]], $A54, Table1[[AwayTeam]:[AwayTeam]], Z$36, Table1[[ActualResult]:[ActualResult]], "OT") + SUMIFS(Table1[[HomeWon]:[HomeWon]], Table1[[GameIsOver]:[GameIsOver]], 1, Table1[[AwayTeam]:[AwayTeam]], $A54, Table1[[HomeTeam]:[HomeTeam]], Z$36, Table1[[ActualResult]:[ActualResult]], "SO") + SUMIFS(Table1[[AwayWon]:[AwayWon]], Table1[[GameIsOver]:[GameIsOver]], 1, Table1[[HomeTeam]:[HomeTeam]], $A54, Table1[[AwayTeam]:[AwayTeam]], Z$36, Table1[[ActualResult]:[ActualResult]], "SO")))/ (2*((COUNTIFS(Table1[[GameIsOver]:[GameIsOver]],1,Table1[[AwayTeam]:[AwayTeam]],$A54, Table1[[HomeTeam]:[HomeTeam]], Z$36)))+( COUNTIFS(Table1[[GameIsOver]:[GameIsOver]],1,Table1[[AwayTeam]:[AwayTeam]],Z$36, Table1[[HomeTeam]:[HomeTeam]],$A54))), "")</f>
        <v/>
      </c>
      <c r="AA54" s="50" t="str">
        <f>IFERROR(((2 * (SUMIFS(Table1[[AwayWon]:[AwayWon]], Table1[[GameIsOver]:[GameIsOver]], 1, Table1[[AwayTeam]:[AwayTeam]], $A54, Table1[[HomeTeam]:[HomeTeam]], AA$36) + SUMIFS(Table1[[HomeWon]:[HomeWon]], Table1[[GameIsOver]:[GameIsOver]], 1, Table1[[HomeTeam]:[HomeTeam]], $A54, Table1[[AwayTeam]:[AwayTeam]], AA$36))) + (SUMIFS(Table1[[HomeWon]:[HomeWon]], Table1[[GameIsOver]:[GameIsOver]], 1, Table1[[AwayTeam]:[AwayTeam]], $A54, Table1[[HomeTeam]:[HomeTeam]],  AA$36, Table1[[ActualResult]:[ActualResult]], "OT") + SUMIFS(Table1[[AwayWon]:[AwayWon]], Table1[[GameIsOver]:[GameIsOver]], 1, Table1[[HomeTeam]:[HomeTeam]], $A54, Table1[[AwayTeam]:[AwayTeam]], AA$36, Table1[[ActualResult]:[ActualResult]], "OT") + SUMIFS(Table1[[HomeWon]:[HomeWon]], Table1[[GameIsOver]:[GameIsOver]], 1, Table1[[AwayTeam]:[AwayTeam]], $A54, Table1[[HomeTeam]:[HomeTeam]], AA$36, Table1[[ActualResult]:[ActualResult]], "SO") + SUMIFS(Table1[[AwayWon]:[AwayWon]], Table1[[GameIsOver]:[GameIsOver]], 1, Table1[[HomeTeam]:[HomeTeam]], $A54, Table1[[AwayTeam]:[AwayTeam]], AA$36, Table1[[ActualResult]:[ActualResult]], "SO")))/ (2*((COUNTIFS(Table1[[GameIsOver]:[GameIsOver]],1,Table1[[AwayTeam]:[AwayTeam]],$A54, Table1[[HomeTeam]:[HomeTeam]], AA$36)))+( COUNTIFS(Table1[[GameIsOver]:[GameIsOver]],1,Table1[[AwayTeam]:[AwayTeam]],AA$36, Table1[[HomeTeam]:[HomeTeam]],$A54))), "")</f>
        <v/>
      </c>
      <c r="AB54" s="50" t="str">
        <f>IFERROR(((2 * (SUMIFS(Table1[[AwayWon]:[AwayWon]], Table1[[GameIsOver]:[GameIsOver]], 1, Table1[[AwayTeam]:[AwayTeam]], $A54, Table1[[HomeTeam]:[HomeTeam]], AB$36) + SUMIFS(Table1[[HomeWon]:[HomeWon]], Table1[[GameIsOver]:[GameIsOver]], 1, Table1[[HomeTeam]:[HomeTeam]], $A54, Table1[[AwayTeam]:[AwayTeam]], AB$36))) + (SUMIFS(Table1[[HomeWon]:[HomeWon]], Table1[[GameIsOver]:[GameIsOver]], 1, Table1[[AwayTeam]:[AwayTeam]], $A54, Table1[[HomeTeam]:[HomeTeam]],  AB$36, Table1[[ActualResult]:[ActualResult]], "OT") + SUMIFS(Table1[[AwayWon]:[AwayWon]], Table1[[GameIsOver]:[GameIsOver]], 1, Table1[[HomeTeam]:[HomeTeam]], $A54, Table1[[AwayTeam]:[AwayTeam]], AB$36, Table1[[ActualResult]:[ActualResult]], "OT") + SUMIFS(Table1[[HomeWon]:[HomeWon]], Table1[[GameIsOver]:[GameIsOver]], 1, Table1[[AwayTeam]:[AwayTeam]], $A54, Table1[[HomeTeam]:[HomeTeam]], AB$36, Table1[[ActualResult]:[ActualResult]], "SO") + SUMIFS(Table1[[AwayWon]:[AwayWon]], Table1[[GameIsOver]:[GameIsOver]], 1, Table1[[HomeTeam]:[HomeTeam]], $A54, Table1[[AwayTeam]:[AwayTeam]], AB$36, Table1[[ActualResult]:[ActualResult]], "SO")))/ (2*((COUNTIFS(Table1[[GameIsOver]:[GameIsOver]],1,Table1[[AwayTeam]:[AwayTeam]],$A54, Table1[[HomeTeam]:[HomeTeam]], AB$36)))+( COUNTIFS(Table1[[GameIsOver]:[GameIsOver]],1,Table1[[AwayTeam]:[AwayTeam]],AB$36, Table1[[HomeTeam]:[HomeTeam]],$A54))), "")</f>
        <v/>
      </c>
      <c r="AC54" s="50" t="str">
        <f>IFERROR(((2 * (SUMIFS(Table1[[AwayWon]:[AwayWon]], Table1[[GameIsOver]:[GameIsOver]], 1, Table1[[AwayTeam]:[AwayTeam]], $A54, Table1[[HomeTeam]:[HomeTeam]], AC$36) + SUMIFS(Table1[[HomeWon]:[HomeWon]], Table1[[GameIsOver]:[GameIsOver]], 1, Table1[[HomeTeam]:[HomeTeam]], $A54, Table1[[AwayTeam]:[AwayTeam]], AC$36))) + (SUMIFS(Table1[[HomeWon]:[HomeWon]], Table1[[GameIsOver]:[GameIsOver]], 1, Table1[[AwayTeam]:[AwayTeam]], $A54, Table1[[HomeTeam]:[HomeTeam]],  AC$36, Table1[[ActualResult]:[ActualResult]], "OT") + SUMIFS(Table1[[AwayWon]:[AwayWon]], Table1[[GameIsOver]:[GameIsOver]], 1, Table1[[HomeTeam]:[HomeTeam]], $A54, Table1[[AwayTeam]:[AwayTeam]], AC$36, Table1[[ActualResult]:[ActualResult]], "OT") + SUMIFS(Table1[[HomeWon]:[HomeWon]], Table1[[GameIsOver]:[GameIsOver]], 1, Table1[[AwayTeam]:[AwayTeam]], $A54, Table1[[HomeTeam]:[HomeTeam]], AC$36, Table1[[ActualResult]:[ActualResult]], "SO") + SUMIFS(Table1[[AwayWon]:[AwayWon]], Table1[[GameIsOver]:[GameIsOver]], 1, Table1[[HomeTeam]:[HomeTeam]], $A54, Table1[[AwayTeam]:[AwayTeam]], AC$36, Table1[[ActualResult]:[ActualResult]], "SO")))/ (2*((COUNTIFS(Table1[[GameIsOver]:[GameIsOver]],1,Table1[[AwayTeam]:[AwayTeam]],$A54, Table1[[HomeTeam]:[HomeTeam]], AC$36)))+( COUNTIFS(Table1[[GameIsOver]:[GameIsOver]],1,Table1[[AwayTeam]:[AwayTeam]],AC$36, Table1[[HomeTeam]:[HomeTeam]],$A54))), "")</f>
        <v/>
      </c>
      <c r="AD54" s="50" t="str">
        <f>IFERROR(((2 * (SUMIFS(Table1[[AwayWon]:[AwayWon]], Table1[[GameIsOver]:[GameIsOver]], 1, Table1[[AwayTeam]:[AwayTeam]], $A54, Table1[[HomeTeam]:[HomeTeam]], AD$36) + SUMIFS(Table1[[HomeWon]:[HomeWon]], Table1[[GameIsOver]:[GameIsOver]], 1, Table1[[HomeTeam]:[HomeTeam]], $A54, Table1[[AwayTeam]:[AwayTeam]], AD$36))) + (SUMIFS(Table1[[HomeWon]:[HomeWon]], Table1[[GameIsOver]:[GameIsOver]], 1, Table1[[AwayTeam]:[AwayTeam]], $A54, Table1[[HomeTeam]:[HomeTeam]],  AD$36, Table1[[ActualResult]:[ActualResult]], "OT") + SUMIFS(Table1[[AwayWon]:[AwayWon]], Table1[[GameIsOver]:[GameIsOver]], 1, Table1[[HomeTeam]:[HomeTeam]], $A54, Table1[[AwayTeam]:[AwayTeam]], AD$36, Table1[[ActualResult]:[ActualResult]], "OT") + SUMIFS(Table1[[HomeWon]:[HomeWon]], Table1[[GameIsOver]:[GameIsOver]], 1, Table1[[AwayTeam]:[AwayTeam]], $A54, Table1[[HomeTeam]:[HomeTeam]], AD$36, Table1[[ActualResult]:[ActualResult]], "SO") + SUMIFS(Table1[[AwayWon]:[AwayWon]], Table1[[GameIsOver]:[GameIsOver]], 1, Table1[[HomeTeam]:[HomeTeam]], $A54, Table1[[AwayTeam]:[AwayTeam]], AD$36, Table1[[ActualResult]:[ActualResult]], "SO")))/ (2*((COUNTIFS(Table1[[GameIsOver]:[GameIsOver]],1,Table1[[AwayTeam]:[AwayTeam]],$A54, Table1[[HomeTeam]:[HomeTeam]], AD$36)))+( COUNTIFS(Table1[[GameIsOver]:[GameIsOver]],1,Table1[[AwayTeam]:[AwayTeam]],AD$36, Table1[[HomeTeam]:[HomeTeam]],$A54))), "")</f>
        <v/>
      </c>
      <c r="AE54" s="50" t="str">
        <f>IFERROR(((2 * (SUMIFS(Table1[[AwayWon]:[AwayWon]], Table1[[GameIsOver]:[GameIsOver]], 1, Table1[[AwayTeam]:[AwayTeam]], $A54, Table1[[HomeTeam]:[HomeTeam]], AE$36) + SUMIFS(Table1[[HomeWon]:[HomeWon]], Table1[[GameIsOver]:[GameIsOver]], 1, Table1[[HomeTeam]:[HomeTeam]], $A54, Table1[[AwayTeam]:[AwayTeam]], AE$36))) + (SUMIFS(Table1[[HomeWon]:[HomeWon]], Table1[[GameIsOver]:[GameIsOver]], 1, Table1[[AwayTeam]:[AwayTeam]], $A54, Table1[[HomeTeam]:[HomeTeam]],  AE$36, Table1[[ActualResult]:[ActualResult]], "OT") + SUMIFS(Table1[[AwayWon]:[AwayWon]], Table1[[GameIsOver]:[GameIsOver]], 1, Table1[[HomeTeam]:[HomeTeam]], $A54, Table1[[AwayTeam]:[AwayTeam]], AE$36, Table1[[ActualResult]:[ActualResult]], "OT") + SUMIFS(Table1[[HomeWon]:[HomeWon]], Table1[[GameIsOver]:[GameIsOver]], 1, Table1[[AwayTeam]:[AwayTeam]], $A54, Table1[[HomeTeam]:[HomeTeam]], AE$36, Table1[[ActualResult]:[ActualResult]], "SO") + SUMIFS(Table1[[AwayWon]:[AwayWon]], Table1[[GameIsOver]:[GameIsOver]], 1, Table1[[HomeTeam]:[HomeTeam]], $A54, Table1[[AwayTeam]:[AwayTeam]], AE$36, Table1[[ActualResult]:[ActualResult]], "SO")))/ (2*((COUNTIFS(Table1[[GameIsOver]:[GameIsOver]],1,Table1[[AwayTeam]:[AwayTeam]],$A54, Table1[[HomeTeam]:[HomeTeam]], AE$36)))+( COUNTIFS(Table1[[GameIsOver]:[GameIsOver]],1,Table1[[AwayTeam]:[AwayTeam]],AE$36, Table1[[HomeTeam]:[HomeTeam]],$A54))), "")</f>
        <v/>
      </c>
      <c r="AF54" s="50" t="str">
        <f>IFERROR(((2 * (SUMIFS(Table1[[AwayWon]:[AwayWon]], Table1[[GameIsOver]:[GameIsOver]], 1, Table1[[AwayTeam]:[AwayTeam]], $A54, Table1[[HomeTeam]:[HomeTeam]], AF$36) + SUMIFS(Table1[[HomeWon]:[HomeWon]], Table1[[GameIsOver]:[GameIsOver]], 1, Table1[[HomeTeam]:[HomeTeam]], $A54, Table1[[AwayTeam]:[AwayTeam]], AF$36))) + (SUMIFS(Table1[[HomeWon]:[HomeWon]], Table1[[GameIsOver]:[GameIsOver]], 1, Table1[[AwayTeam]:[AwayTeam]], $A54, Table1[[HomeTeam]:[HomeTeam]],  AF$36, Table1[[ActualResult]:[ActualResult]], "OT") + SUMIFS(Table1[[AwayWon]:[AwayWon]], Table1[[GameIsOver]:[GameIsOver]], 1, Table1[[HomeTeam]:[HomeTeam]], $A54, Table1[[AwayTeam]:[AwayTeam]], AF$36, Table1[[ActualResult]:[ActualResult]], "OT") + SUMIFS(Table1[[HomeWon]:[HomeWon]], Table1[[GameIsOver]:[GameIsOver]], 1, Table1[[AwayTeam]:[AwayTeam]], $A54, Table1[[HomeTeam]:[HomeTeam]], AF$36, Table1[[ActualResult]:[ActualResult]], "SO") + SUMIFS(Table1[[AwayWon]:[AwayWon]], Table1[[GameIsOver]:[GameIsOver]], 1, Table1[[HomeTeam]:[HomeTeam]], $A54, Table1[[AwayTeam]:[AwayTeam]], AF$36, Table1[[ActualResult]:[ActualResult]], "SO")))/ (2*((COUNTIFS(Table1[[GameIsOver]:[GameIsOver]],1,Table1[[AwayTeam]:[AwayTeam]],$A54, Table1[[HomeTeam]:[HomeTeam]], AF$36)))+( COUNTIFS(Table1[[GameIsOver]:[GameIsOver]],1,Table1[[AwayTeam]:[AwayTeam]],AF$36, Table1[[HomeTeam]:[HomeTeam]],$A54))), "")</f>
        <v/>
      </c>
      <c r="AG54" s="50" t="str">
        <f>IFERROR(((2 * (SUMIFS(Table1[[AwayWon]:[AwayWon]], Table1[[GameIsOver]:[GameIsOver]], 1, Table1[[AwayTeam]:[AwayTeam]], $A54, Table1[[HomeTeam]:[HomeTeam]], AG$36) + SUMIFS(Table1[[HomeWon]:[HomeWon]], Table1[[GameIsOver]:[GameIsOver]], 1, Table1[[HomeTeam]:[HomeTeam]], $A54, Table1[[AwayTeam]:[AwayTeam]], AG$36))) + (SUMIFS(Table1[[HomeWon]:[HomeWon]], Table1[[GameIsOver]:[GameIsOver]], 1, Table1[[AwayTeam]:[AwayTeam]], $A54, Table1[[HomeTeam]:[HomeTeam]],  AG$36, Table1[[ActualResult]:[ActualResult]], "OT") + SUMIFS(Table1[[AwayWon]:[AwayWon]], Table1[[GameIsOver]:[GameIsOver]], 1, Table1[[HomeTeam]:[HomeTeam]], $A54, Table1[[AwayTeam]:[AwayTeam]], AG$36, Table1[[ActualResult]:[ActualResult]], "OT") + SUMIFS(Table1[[HomeWon]:[HomeWon]], Table1[[GameIsOver]:[GameIsOver]], 1, Table1[[AwayTeam]:[AwayTeam]], $A54, Table1[[HomeTeam]:[HomeTeam]], AG$36, Table1[[ActualResult]:[ActualResult]], "SO") + SUMIFS(Table1[[AwayWon]:[AwayWon]], Table1[[GameIsOver]:[GameIsOver]], 1, Table1[[HomeTeam]:[HomeTeam]], $A54, Table1[[AwayTeam]:[AwayTeam]], AG$36, Table1[[ActualResult]:[ActualResult]], "SO")))/ (2*((COUNTIFS(Table1[[GameIsOver]:[GameIsOver]],1,Table1[[AwayTeam]:[AwayTeam]],$A54, Table1[[HomeTeam]:[HomeTeam]], AG$36)))+( COUNTIFS(Table1[[GameIsOver]:[GameIsOver]],1,Table1[[AwayTeam]:[AwayTeam]],AG$36, Table1[[HomeTeam]:[HomeTeam]],$A54))), "")</f>
        <v/>
      </c>
      <c r="AH54" s="51">
        <f t="shared" si="0"/>
        <v>1</v>
      </c>
      <c r="AI54" s="51" t="e">
        <f t="shared" si="1"/>
        <v>#DIV/0!</v>
      </c>
      <c r="AJ54" s="52" t="e">
        <f t="shared" si="2"/>
        <v>#DIV/0!</v>
      </c>
      <c r="AK54" s="52">
        <f t="shared" si="3"/>
        <v>1</v>
      </c>
      <c r="AL54" s="52" t="e">
        <f t="shared" si="4"/>
        <v>#DIV/0!</v>
      </c>
      <c r="AM54" s="52" t="e">
        <f t="shared" si="5"/>
        <v>#DIV/0!</v>
      </c>
    </row>
    <row r="55" spans="1:39" x14ac:dyDescent="0.25">
      <c r="A55" s="28" t="s">
        <v>49</v>
      </c>
      <c r="B55" s="50" t="str">
        <f>IFERROR(((2 * (SUMIFS(Table1[[AwayWon]:[AwayWon]], Table1[[GameIsOver]:[GameIsOver]], 1, Table1[[AwayTeam]:[AwayTeam]], $A55, Table1[[HomeTeam]:[HomeTeam]], B$36) + SUMIFS(Table1[[HomeWon]:[HomeWon]], Table1[[GameIsOver]:[GameIsOver]], 1, Table1[[HomeTeam]:[HomeTeam]], $A55, Table1[[AwayTeam]:[AwayTeam]], B$36))) + (SUMIFS(Table1[[HomeWon]:[HomeWon]], Table1[[GameIsOver]:[GameIsOver]], 1, Table1[[AwayTeam]:[AwayTeam]], $A55, Table1[[HomeTeam]:[HomeTeam]],  B$36, Table1[[ActualResult]:[ActualResult]], "OT") + SUMIFS(Table1[[AwayWon]:[AwayWon]], Table1[[GameIsOver]:[GameIsOver]], 1, Table1[[HomeTeam]:[HomeTeam]], $A55, Table1[[AwayTeam]:[AwayTeam]], B$36, Table1[[ActualResult]:[ActualResult]], "OT") + SUMIFS(Table1[[HomeWon]:[HomeWon]], Table1[[GameIsOver]:[GameIsOver]], 1, Table1[[AwayTeam]:[AwayTeam]], $A55, Table1[[HomeTeam]:[HomeTeam]], B$36, Table1[[ActualResult]:[ActualResult]], "SO") + SUMIFS(Table1[[AwayWon]:[AwayWon]], Table1[[GameIsOver]:[GameIsOver]], 1, Table1[[HomeTeam]:[HomeTeam]], $A55, Table1[[AwayTeam]:[AwayTeam]], B$36, Table1[[ActualResult]:[ActualResult]], "SO")))/ (2*((COUNTIFS(Table1[[GameIsOver]:[GameIsOver]],1,Table1[[AwayTeam]:[AwayTeam]],$A55, Table1[[HomeTeam]:[HomeTeam]], B$36)))+( COUNTIFS(Table1[[GameIsOver]:[GameIsOver]],1,Table1[[AwayTeam]:[AwayTeam]],B$36, Table1[[HomeTeam]:[HomeTeam]],$A55))), "")</f>
        <v/>
      </c>
      <c r="C55" s="50" t="str">
        <f>IFERROR(((2 * (SUMIFS(Table1[[AwayWon]:[AwayWon]], Table1[[GameIsOver]:[GameIsOver]], 1, Table1[[AwayTeam]:[AwayTeam]], $A55, Table1[[HomeTeam]:[HomeTeam]], C$36) + SUMIFS(Table1[[HomeWon]:[HomeWon]], Table1[[GameIsOver]:[GameIsOver]], 1, Table1[[HomeTeam]:[HomeTeam]], $A55, Table1[[AwayTeam]:[AwayTeam]], C$36))) + (SUMIFS(Table1[[HomeWon]:[HomeWon]], Table1[[GameIsOver]:[GameIsOver]], 1, Table1[[AwayTeam]:[AwayTeam]], $A55, Table1[[HomeTeam]:[HomeTeam]],  C$36, Table1[[ActualResult]:[ActualResult]], "OT") + SUMIFS(Table1[[AwayWon]:[AwayWon]], Table1[[GameIsOver]:[GameIsOver]], 1, Table1[[HomeTeam]:[HomeTeam]], $A55, Table1[[AwayTeam]:[AwayTeam]], C$36, Table1[[ActualResult]:[ActualResult]], "OT") + SUMIFS(Table1[[HomeWon]:[HomeWon]], Table1[[GameIsOver]:[GameIsOver]], 1, Table1[[AwayTeam]:[AwayTeam]], $A55, Table1[[HomeTeam]:[HomeTeam]], C$36, Table1[[ActualResult]:[ActualResult]], "SO") + SUMIFS(Table1[[AwayWon]:[AwayWon]], Table1[[GameIsOver]:[GameIsOver]], 1, Table1[[HomeTeam]:[HomeTeam]], $A55, Table1[[AwayTeam]:[AwayTeam]], C$36, Table1[[ActualResult]:[ActualResult]], "SO")))/ (2*((COUNTIFS(Table1[[GameIsOver]:[GameIsOver]],1,Table1[[AwayTeam]:[AwayTeam]],$A55, Table1[[HomeTeam]:[HomeTeam]], C$36)))+( COUNTIFS(Table1[[GameIsOver]:[GameIsOver]],1,Table1[[AwayTeam]:[AwayTeam]],C$36, Table1[[HomeTeam]:[HomeTeam]],$A55))), "")</f>
        <v/>
      </c>
      <c r="D55" s="50" t="str">
        <f>IFERROR(((2 * (SUMIFS(Table1[[AwayWon]:[AwayWon]], Table1[[GameIsOver]:[GameIsOver]], 1, Table1[[AwayTeam]:[AwayTeam]], $A55, Table1[[HomeTeam]:[HomeTeam]], D$36) + SUMIFS(Table1[[HomeWon]:[HomeWon]], Table1[[GameIsOver]:[GameIsOver]], 1, Table1[[HomeTeam]:[HomeTeam]], $A55, Table1[[AwayTeam]:[AwayTeam]], D$36))) + (SUMIFS(Table1[[HomeWon]:[HomeWon]], Table1[[GameIsOver]:[GameIsOver]], 1, Table1[[AwayTeam]:[AwayTeam]], $A55, Table1[[HomeTeam]:[HomeTeam]],  D$36, Table1[[ActualResult]:[ActualResult]], "OT") + SUMIFS(Table1[[AwayWon]:[AwayWon]], Table1[[GameIsOver]:[GameIsOver]], 1, Table1[[HomeTeam]:[HomeTeam]], $A55, Table1[[AwayTeam]:[AwayTeam]], D$36, Table1[[ActualResult]:[ActualResult]], "OT") + SUMIFS(Table1[[HomeWon]:[HomeWon]], Table1[[GameIsOver]:[GameIsOver]], 1, Table1[[AwayTeam]:[AwayTeam]], $A55, Table1[[HomeTeam]:[HomeTeam]], D$36, Table1[[ActualResult]:[ActualResult]], "SO") + SUMIFS(Table1[[AwayWon]:[AwayWon]], Table1[[GameIsOver]:[GameIsOver]], 1, Table1[[HomeTeam]:[HomeTeam]], $A55, Table1[[AwayTeam]:[AwayTeam]], D$36, Table1[[ActualResult]:[ActualResult]], "SO")))/ (2*((COUNTIFS(Table1[[GameIsOver]:[GameIsOver]],1,Table1[[AwayTeam]:[AwayTeam]],$A55, Table1[[HomeTeam]:[HomeTeam]], D$36)))+( COUNTIFS(Table1[[GameIsOver]:[GameIsOver]],1,Table1[[AwayTeam]:[AwayTeam]],D$36, Table1[[HomeTeam]:[HomeTeam]],$A55))), "")</f>
        <v/>
      </c>
      <c r="E55" s="50" t="str">
        <f>IFERROR(((2 * (SUMIFS(Table1[[AwayWon]:[AwayWon]], Table1[[GameIsOver]:[GameIsOver]], 1, Table1[[AwayTeam]:[AwayTeam]], $A55, Table1[[HomeTeam]:[HomeTeam]], E$36) + SUMIFS(Table1[[HomeWon]:[HomeWon]], Table1[[GameIsOver]:[GameIsOver]], 1, Table1[[HomeTeam]:[HomeTeam]], $A55, Table1[[AwayTeam]:[AwayTeam]], E$36))) + (SUMIFS(Table1[[HomeWon]:[HomeWon]], Table1[[GameIsOver]:[GameIsOver]], 1, Table1[[AwayTeam]:[AwayTeam]], $A55, Table1[[HomeTeam]:[HomeTeam]],  E$36, Table1[[ActualResult]:[ActualResult]], "OT") + SUMIFS(Table1[[AwayWon]:[AwayWon]], Table1[[GameIsOver]:[GameIsOver]], 1, Table1[[HomeTeam]:[HomeTeam]], $A55, Table1[[AwayTeam]:[AwayTeam]], E$36, Table1[[ActualResult]:[ActualResult]], "OT") + SUMIFS(Table1[[HomeWon]:[HomeWon]], Table1[[GameIsOver]:[GameIsOver]], 1, Table1[[AwayTeam]:[AwayTeam]], $A55, Table1[[HomeTeam]:[HomeTeam]], E$36, Table1[[ActualResult]:[ActualResult]], "SO") + SUMIFS(Table1[[AwayWon]:[AwayWon]], Table1[[GameIsOver]:[GameIsOver]], 1, Table1[[HomeTeam]:[HomeTeam]], $A55, Table1[[AwayTeam]:[AwayTeam]], E$36, Table1[[ActualResult]:[ActualResult]], "SO")))/ (2*((COUNTIFS(Table1[[GameIsOver]:[GameIsOver]],1,Table1[[AwayTeam]:[AwayTeam]],$A55, Table1[[HomeTeam]:[HomeTeam]], E$36)))+( COUNTIFS(Table1[[GameIsOver]:[GameIsOver]],1,Table1[[AwayTeam]:[AwayTeam]],E$36, Table1[[HomeTeam]:[HomeTeam]],$A55))), "")</f>
        <v/>
      </c>
      <c r="F55" s="50" t="str">
        <f>IFERROR(((2 * (SUMIFS(Table1[[AwayWon]:[AwayWon]], Table1[[GameIsOver]:[GameIsOver]], 1, Table1[[AwayTeam]:[AwayTeam]], $A55, Table1[[HomeTeam]:[HomeTeam]], F$36) + SUMIFS(Table1[[HomeWon]:[HomeWon]], Table1[[GameIsOver]:[GameIsOver]], 1, Table1[[HomeTeam]:[HomeTeam]], $A55, Table1[[AwayTeam]:[AwayTeam]], F$36))) + (SUMIFS(Table1[[HomeWon]:[HomeWon]], Table1[[GameIsOver]:[GameIsOver]], 1, Table1[[AwayTeam]:[AwayTeam]], $A55, Table1[[HomeTeam]:[HomeTeam]],  F$36, Table1[[ActualResult]:[ActualResult]], "OT") + SUMIFS(Table1[[AwayWon]:[AwayWon]], Table1[[GameIsOver]:[GameIsOver]], 1, Table1[[HomeTeam]:[HomeTeam]], $A55, Table1[[AwayTeam]:[AwayTeam]], F$36, Table1[[ActualResult]:[ActualResult]], "OT") + SUMIFS(Table1[[HomeWon]:[HomeWon]], Table1[[GameIsOver]:[GameIsOver]], 1, Table1[[AwayTeam]:[AwayTeam]], $A55, Table1[[HomeTeam]:[HomeTeam]], F$36, Table1[[ActualResult]:[ActualResult]], "SO") + SUMIFS(Table1[[AwayWon]:[AwayWon]], Table1[[GameIsOver]:[GameIsOver]], 1, Table1[[HomeTeam]:[HomeTeam]], $A55, Table1[[AwayTeam]:[AwayTeam]], F$36, Table1[[ActualResult]:[ActualResult]], "SO")))/ (2*((COUNTIFS(Table1[[GameIsOver]:[GameIsOver]],1,Table1[[AwayTeam]:[AwayTeam]],$A55, Table1[[HomeTeam]:[HomeTeam]], F$36)))+( COUNTIFS(Table1[[GameIsOver]:[GameIsOver]],1,Table1[[AwayTeam]:[AwayTeam]],F$36, Table1[[HomeTeam]:[HomeTeam]],$A55))), "")</f>
        <v/>
      </c>
      <c r="G55" s="50">
        <f>IFERROR(((2 * (SUMIFS(Table1[[AwayWon]:[AwayWon]], Table1[[GameIsOver]:[GameIsOver]], 1, Table1[[AwayTeam]:[AwayTeam]], $A55, Table1[[HomeTeam]:[HomeTeam]], G$36) + SUMIFS(Table1[[HomeWon]:[HomeWon]], Table1[[GameIsOver]:[GameIsOver]], 1, Table1[[HomeTeam]:[HomeTeam]], $A55, Table1[[AwayTeam]:[AwayTeam]], G$36))) + (SUMIFS(Table1[[HomeWon]:[HomeWon]], Table1[[GameIsOver]:[GameIsOver]], 1, Table1[[AwayTeam]:[AwayTeam]], $A55, Table1[[HomeTeam]:[HomeTeam]],  G$36, Table1[[ActualResult]:[ActualResult]], "OT") + SUMIFS(Table1[[AwayWon]:[AwayWon]], Table1[[GameIsOver]:[GameIsOver]], 1, Table1[[HomeTeam]:[HomeTeam]], $A55, Table1[[AwayTeam]:[AwayTeam]], G$36, Table1[[ActualResult]:[ActualResult]], "OT") + SUMIFS(Table1[[HomeWon]:[HomeWon]], Table1[[GameIsOver]:[GameIsOver]], 1, Table1[[AwayTeam]:[AwayTeam]], $A55, Table1[[HomeTeam]:[HomeTeam]], G$36, Table1[[ActualResult]:[ActualResult]], "SO") + SUMIFS(Table1[[AwayWon]:[AwayWon]], Table1[[GameIsOver]:[GameIsOver]], 1, Table1[[HomeTeam]:[HomeTeam]], $A55, Table1[[AwayTeam]:[AwayTeam]], G$36, Table1[[ActualResult]:[ActualResult]], "SO")))/ (2*((COUNTIFS(Table1[[GameIsOver]:[GameIsOver]],1,Table1[[AwayTeam]:[AwayTeam]],$A55, Table1[[HomeTeam]:[HomeTeam]], G$36)))+( COUNTIFS(Table1[[GameIsOver]:[GameIsOver]],1,Table1[[AwayTeam]:[AwayTeam]],G$36, Table1[[HomeTeam]:[HomeTeam]],$A55))), "")</f>
        <v>1</v>
      </c>
      <c r="H55" s="50" t="str">
        <f>IFERROR(((2 * (SUMIFS(Table1[[AwayWon]:[AwayWon]], Table1[[GameIsOver]:[GameIsOver]], 1, Table1[[AwayTeam]:[AwayTeam]], $A55, Table1[[HomeTeam]:[HomeTeam]], H$36) + SUMIFS(Table1[[HomeWon]:[HomeWon]], Table1[[GameIsOver]:[GameIsOver]], 1, Table1[[HomeTeam]:[HomeTeam]], $A55, Table1[[AwayTeam]:[AwayTeam]], H$36))) + (SUMIFS(Table1[[HomeWon]:[HomeWon]], Table1[[GameIsOver]:[GameIsOver]], 1, Table1[[AwayTeam]:[AwayTeam]], $A55, Table1[[HomeTeam]:[HomeTeam]],  H$36, Table1[[ActualResult]:[ActualResult]], "OT") + SUMIFS(Table1[[AwayWon]:[AwayWon]], Table1[[GameIsOver]:[GameIsOver]], 1, Table1[[HomeTeam]:[HomeTeam]], $A55, Table1[[AwayTeam]:[AwayTeam]], H$36, Table1[[ActualResult]:[ActualResult]], "OT") + SUMIFS(Table1[[HomeWon]:[HomeWon]], Table1[[GameIsOver]:[GameIsOver]], 1, Table1[[AwayTeam]:[AwayTeam]], $A55, Table1[[HomeTeam]:[HomeTeam]], H$36, Table1[[ActualResult]:[ActualResult]], "SO") + SUMIFS(Table1[[AwayWon]:[AwayWon]], Table1[[GameIsOver]:[GameIsOver]], 1, Table1[[HomeTeam]:[HomeTeam]], $A55, Table1[[AwayTeam]:[AwayTeam]], H$36, Table1[[ActualResult]:[ActualResult]], "SO")))/ (2*((COUNTIFS(Table1[[GameIsOver]:[GameIsOver]],1,Table1[[AwayTeam]:[AwayTeam]],$A55, Table1[[HomeTeam]:[HomeTeam]], H$36)))+( COUNTIFS(Table1[[GameIsOver]:[GameIsOver]],1,Table1[[AwayTeam]:[AwayTeam]],H$36, Table1[[HomeTeam]:[HomeTeam]],$A55))), "")</f>
        <v/>
      </c>
      <c r="I55" s="52" t="str">
        <f>IFERROR(((2 * (SUMIFS(Table1[[AwayWon]:[AwayWon]], Table1[[GameIsOver]:[GameIsOver]], 1, Table1[[AwayTeam]:[AwayTeam]], $A55, Table1[[HomeTeam]:[HomeTeam]], I$36) + SUMIFS(Table1[[HomeWon]:[HomeWon]], Table1[[GameIsOver]:[GameIsOver]], 1, Table1[[HomeTeam]:[HomeTeam]], $A55, Table1[[AwayTeam]:[AwayTeam]], I$36))) + (SUMIFS(Table1[[HomeWon]:[HomeWon]], Table1[[GameIsOver]:[GameIsOver]], 1, Table1[[AwayTeam]:[AwayTeam]], $A55, Table1[[HomeTeam]:[HomeTeam]],  I$36, Table1[[ActualResult]:[ActualResult]], "OT") + SUMIFS(Table1[[AwayWon]:[AwayWon]], Table1[[GameIsOver]:[GameIsOver]], 1, Table1[[HomeTeam]:[HomeTeam]], $A55, Table1[[AwayTeam]:[AwayTeam]], I$36, Table1[[ActualResult]:[ActualResult]], "OT") + SUMIFS(Table1[[HomeWon]:[HomeWon]], Table1[[GameIsOver]:[GameIsOver]], 1, Table1[[AwayTeam]:[AwayTeam]], $A55, Table1[[HomeTeam]:[HomeTeam]], I$36, Table1[[ActualResult]:[ActualResult]], "SO") + SUMIFS(Table1[[AwayWon]:[AwayWon]], Table1[[GameIsOver]:[GameIsOver]], 1, Table1[[HomeTeam]:[HomeTeam]], $A55, Table1[[AwayTeam]:[AwayTeam]], I$36, Table1[[ActualResult]:[ActualResult]], "SO")))/ (2*((COUNTIFS(Table1[[GameIsOver]:[GameIsOver]],1,Table1[[AwayTeam]:[AwayTeam]],$A55, Table1[[HomeTeam]:[HomeTeam]], I$36)))+( COUNTIFS(Table1[[GameIsOver]:[GameIsOver]],1,Table1[[AwayTeam]:[AwayTeam]],I$36, Table1[[HomeTeam]:[HomeTeam]],$A55))), "")</f>
        <v/>
      </c>
      <c r="J55" s="50" t="str">
        <f>IFERROR(((2 * (SUMIFS(Table1[[AwayWon]:[AwayWon]], Table1[[GameIsOver]:[GameIsOver]], 1, Table1[[AwayTeam]:[AwayTeam]], $A55, Table1[[HomeTeam]:[HomeTeam]], J$36) + SUMIFS(Table1[[HomeWon]:[HomeWon]], Table1[[GameIsOver]:[GameIsOver]], 1, Table1[[HomeTeam]:[HomeTeam]], $A55, Table1[[AwayTeam]:[AwayTeam]], J$36))) + (SUMIFS(Table1[[HomeWon]:[HomeWon]], Table1[[GameIsOver]:[GameIsOver]], 1, Table1[[AwayTeam]:[AwayTeam]], $A55, Table1[[HomeTeam]:[HomeTeam]],  J$36, Table1[[ActualResult]:[ActualResult]], "OT") + SUMIFS(Table1[[AwayWon]:[AwayWon]], Table1[[GameIsOver]:[GameIsOver]], 1, Table1[[HomeTeam]:[HomeTeam]], $A55, Table1[[AwayTeam]:[AwayTeam]], J$36, Table1[[ActualResult]:[ActualResult]], "OT") + SUMIFS(Table1[[HomeWon]:[HomeWon]], Table1[[GameIsOver]:[GameIsOver]], 1, Table1[[AwayTeam]:[AwayTeam]], $A55, Table1[[HomeTeam]:[HomeTeam]], J$36, Table1[[ActualResult]:[ActualResult]], "SO") + SUMIFS(Table1[[AwayWon]:[AwayWon]], Table1[[GameIsOver]:[GameIsOver]], 1, Table1[[HomeTeam]:[HomeTeam]], $A55, Table1[[AwayTeam]:[AwayTeam]], J$36, Table1[[ActualResult]:[ActualResult]], "SO")))/ (2*((COUNTIFS(Table1[[GameIsOver]:[GameIsOver]],1,Table1[[AwayTeam]:[AwayTeam]],$A55, Table1[[HomeTeam]:[HomeTeam]], J$36)))+( COUNTIFS(Table1[[GameIsOver]:[GameIsOver]],1,Table1[[AwayTeam]:[AwayTeam]],J$36, Table1[[HomeTeam]:[HomeTeam]],$A55))), "")</f>
        <v/>
      </c>
      <c r="K55" s="50" t="str">
        <f>IFERROR(((2 * (SUMIFS(Table1[[AwayWon]:[AwayWon]], Table1[[GameIsOver]:[GameIsOver]], 1, Table1[[AwayTeam]:[AwayTeam]], $A55, Table1[[HomeTeam]:[HomeTeam]], K$36) + SUMIFS(Table1[[HomeWon]:[HomeWon]], Table1[[GameIsOver]:[GameIsOver]], 1, Table1[[HomeTeam]:[HomeTeam]], $A55, Table1[[AwayTeam]:[AwayTeam]], K$36))) + (SUMIFS(Table1[[HomeWon]:[HomeWon]], Table1[[GameIsOver]:[GameIsOver]], 1, Table1[[AwayTeam]:[AwayTeam]], $A55, Table1[[HomeTeam]:[HomeTeam]],  K$36, Table1[[ActualResult]:[ActualResult]], "OT") + SUMIFS(Table1[[AwayWon]:[AwayWon]], Table1[[GameIsOver]:[GameIsOver]], 1, Table1[[HomeTeam]:[HomeTeam]], $A55, Table1[[AwayTeam]:[AwayTeam]], K$36, Table1[[ActualResult]:[ActualResult]], "OT") + SUMIFS(Table1[[HomeWon]:[HomeWon]], Table1[[GameIsOver]:[GameIsOver]], 1, Table1[[AwayTeam]:[AwayTeam]], $A55, Table1[[HomeTeam]:[HomeTeam]], K$36, Table1[[ActualResult]:[ActualResult]], "SO") + SUMIFS(Table1[[AwayWon]:[AwayWon]], Table1[[GameIsOver]:[GameIsOver]], 1, Table1[[HomeTeam]:[HomeTeam]], $A55, Table1[[AwayTeam]:[AwayTeam]], K$36, Table1[[ActualResult]:[ActualResult]], "SO")))/ (2*((COUNTIFS(Table1[[GameIsOver]:[GameIsOver]],1,Table1[[AwayTeam]:[AwayTeam]],$A55, Table1[[HomeTeam]:[HomeTeam]], K$36)))+( COUNTIFS(Table1[[GameIsOver]:[GameIsOver]],1,Table1[[AwayTeam]:[AwayTeam]],K$36, Table1[[HomeTeam]:[HomeTeam]],$A55))), "")</f>
        <v/>
      </c>
      <c r="L55" s="50" t="str">
        <f>IFERROR(((2 * (SUMIFS(Table1[[AwayWon]:[AwayWon]], Table1[[GameIsOver]:[GameIsOver]], 1, Table1[[AwayTeam]:[AwayTeam]], $A55, Table1[[HomeTeam]:[HomeTeam]], L$36) + SUMIFS(Table1[[HomeWon]:[HomeWon]], Table1[[GameIsOver]:[GameIsOver]], 1, Table1[[HomeTeam]:[HomeTeam]], $A55, Table1[[AwayTeam]:[AwayTeam]], L$36))) + (SUMIFS(Table1[[HomeWon]:[HomeWon]], Table1[[GameIsOver]:[GameIsOver]], 1, Table1[[AwayTeam]:[AwayTeam]], $A55, Table1[[HomeTeam]:[HomeTeam]],  L$36, Table1[[ActualResult]:[ActualResult]], "OT") + SUMIFS(Table1[[AwayWon]:[AwayWon]], Table1[[GameIsOver]:[GameIsOver]], 1, Table1[[HomeTeam]:[HomeTeam]], $A55, Table1[[AwayTeam]:[AwayTeam]], L$36, Table1[[ActualResult]:[ActualResult]], "OT") + SUMIFS(Table1[[HomeWon]:[HomeWon]], Table1[[GameIsOver]:[GameIsOver]], 1, Table1[[AwayTeam]:[AwayTeam]], $A55, Table1[[HomeTeam]:[HomeTeam]], L$36, Table1[[ActualResult]:[ActualResult]], "SO") + SUMIFS(Table1[[AwayWon]:[AwayWon]], Table1[[GameIsOver]:[GameIsOver]], 1, Table1[[HomeTeam]:[HomeTeam]], $A55, Table1[[AwayTeam]:[AwayTeam]], L$36, Table1[[ActualResult]:[ActualResult]], "SO")))/ (2*((COUNTIFS(Table1[[GameIsOver]:[GameIsOver]],1,Table1[[AwayTeam]:[AwayTeam]],$A55, Table1[[HomeTeam]:[HomeTeam]], L$36)))+( COUNTIFS(Table1[[GameIsOver]:[GameIsOver]],1,Table1[[AwayTeam]:[AwayTeam]],L$36, Table1[[HomeTeam]:[HomeTeam]],$A55))), "")</f>
        <v/>
      </c>
      <c r="M55" s="50" t="str">
        <f>IFERROR(((2 * (SUMIFS(Table1[[AwayWon]:[AwayWon]], Table1[[GameIsOver]:[GameIsOver]], 1, Table1[[AwayTeam]:[AwayTeam]], $A55, Table1[[HomeTeam]:[HomeTeam]], M$36) + SUMIFS(Table1[[HomeWon]:[HomeWon]], Table1[[GameIsOver]:[GameIsOver]], 1, Table1[[HomeTeam]:[HomeTeam]], $A55, Table1[[AwayTeam]:[AwayTeam]], M$36))) + (SUMIFS(Table1[[HomeWon]:[HomeWon]], Table1[[GameIsOver]:[GameIsOver]], 1, Table1[[AwayTeam]:[AwayTeam]], $A55, Table1[[HomeTeam]:[HomeTeam]],  M$36, Table1[[ActualResult]:[ActualResult]], "OT") + SUMIFS(Table1[[AwayWon]:[AwayWon]], Table1[[GameIsOver]:[GameIsOver]], 1, Table1[[HomeTeam]:[HomeTeam]], $A55, Table1[[AwayTeam]:[AwayTeam]], M$36, Table1[[ActualResult]:[ActualResult]], "OT") + SUMIFS(Table1[[HomeWon]:[HomeWon]], Table1[[GameIsOver]:[GameIsOver]], 1, Table1[[AwayTeam]:[AwayTeam]], $A55, Table1[[HomeTeam]:[HomeTeam]], M$36, Table1[[ActualResult]:[ActualResult]], "SO") + SUMIFS(Table1[[AwayWon]:[AwayWon]], Table1[[GameIsOver]:[GameIsOver]], 1, Table1[[HomeTeam]:[HomeTeam]], $A55, Table1[[AwayTeam]:[AwayTeam]], M$36, Table1[[ActualResult]:[ActualResult]], "SO")))/ (2*((COUNTIFS(Table1[[GameIsOver]:[GameIsOver]],1,Table1[[AwayTeam]:[AwayTeam]],$A55, Table1[[HomeTeam]:[HomeTeam]], M$36)))+( COUNTIFS(Table1[[GameIsOver]:[GameIsOver]],1,Table1[[AwayTeam]:[AwayTeam]],M$36, Table1[[HomeTeam]:[HomeTeam]],$A55))), "")</f>
        <v/>
      </c>
      <c r="N55" s="50" t="str">
        <f>IFERROR(((2 * (SUMIFS(Table1[[AwayWon]:[AwayWon]], Table1[[GameIsOver]:[GameIsOver]], 1, Table1[[AwayTeam]:[AwayTeam]], $A55, Table1[[HomeTeam]:[HomeTeam]], N$36) + SUMIFS(Table1[[HomeWon]:[HomeWon]], Table1[[GameIsOver]:[GameIsOver]], 1, Table1[[HomeTeam]:[HomeTeam]], $A55, Table1[[AwayTeam]:[AwayTeam]], N$36))) + (SUMIFS(Table1[[HomeWon]:[HomeWon]], Table1[[GameIsOver]:[GameIsOver]], 1, Table1[[AwayTeam]:[AwayTeam]], $A55, Table1[[HomeTeam]:[HomeTeam]],  N$36, Table1[[ActualResult]:[ActualResult]], "OT") + SUMIFS(Table1[[AwayWon]:[AwayWon]], Table1[[GameIsOver]:[GameIsOver]], 1, Table1[[HomeTeam]:[HomeTeam]], $A55, Table1[[AwayTeam]:[AwayTeam]], N$36, Table1[[ActualResult]:[ActualResult]], "OT") + SUMIFS(Table1[[HomeWon]:[HomeWon]], Table1[[GameIsOver]:[GameIsOver]], 1, Table1[[AwayTeam]:[AwayTeam]], $A55, Table1[[HomeTeam]:[HomeTeam]], N$36, Table1[[ActualResult]:[ActualResult]], "SO") + SUMIFS(Table1[[AwayWon]:[AwayWon]], Table1[[GameIsOver]:[GameIsOver]], 1, Table1[[HomeTeam]:[HomeTeam]], $A55, Table1[[AwayTeam]:[AwayTeam]], N$36, Table1[[ActualResult]:[ActualResult]], "SO")))/ (2*((COUNTIFS(Table1[[GameIsOver]:[GameIsOver]],1,Table1[[AwayTeam]:[AwayTeam]],$A55, Table1[[HomeTeam]:[HomeTeam]], N$36)))+( COUNTIFS(Table1[[GameIsOver]:[GameIsOver]],1,Table1[[AwayTeam]:[AwayTeam]],N$36, Table1[[HomeTeam]:[HomeTeam]],$A55))), "")</f>
        <v/>
      </c>
      <c r="O55" s="50" t="str">
        <f>IFERROR(((2 * (SUMIFS(Table1[[AwayWon]:[AwayWon]], Table1[[GameIsOver]:[GameIsOver]], 1, Table1[[AwayTeam]:[AwayTeam]], $A55, Table1[[HomeTeam]:[HomeTeam]], O$36) + SUMIFS(Table1[[HomeWon]:[HomeWon]], Table1[[GameIsOver]:[GameIsOver]], 1, Table1[[HomeTeam]:[HomeTeam]], $A55, Table1[[AwayTeam]:[AwayTeam]], O$36))) + (SUMIFS(Table1[[HomeWon]:[HomeWon]], Table1[[GameIsOver]:[GameIsOver]], 1, Table1[[AwayTeam]:[AwayTeam]], $A55, Table1[[HomeTeam]:[HomeTeam]],  O$36, Table1[[ActualResult]:[ActualResult]], "OT") + SUMIFS(Table1[[AwayWon]:[AwayWon]], Table1[[GameIsOver]:[GameIsOver]], 1, Table1[[HomeTeam]:[HomeTeam]], $A55, Table1[[AwayTeam]:[AwayTeam]], O$36, Table1[[ActualResult]:[ActualResult]], "OT") + SUMIFS(Table1[[HomeWon]:[HomeWon]], Table1[[GameIsOver]:[GameIsOver]], 1, Table1[[AwayTeam]:[AwayTeam]], $A55, Table1[[HomeTeam]:[HomeTeam]], O$36, Table1[[ActualResult]:[ActualResult]], "SO") + SUMIFS(Table1[[AwayWon]:[AwayWon]], Table1[[GameIsOver]:[GameIsOver]], 1, Table1[[HomeTeam]:[HomeTeam]], $A55, Table1[[AwayTeam]:[AwayTeam]], O$36, Table1[[ActualResult]:[ActualResult]], "SO")))/ (2*((COUNTIFS(Table1[[GameIsOver]:[GameIsOver]],1,Table1[[AwayTeam]:[AwayTeam]],$A55, Table1[[HomeTeam]:[HomeTeam]], O$36)))+( COUNTIFS(Table1[[GameIsOver]:[GameIsOver]],1,Table1[[AwayTeam]:[AwayTeam]],O$36, Table1[[HomeTeam]:[HomeTeam]],$A55))), "")</f>
        <v/>
      </c>
      <c r="P55" s="50" t="str">
        <f>IFERROR(((2 * (SUMIFS(Table1[[AwayWon]:[AwayWon]], Table1[[GameIsOver]:[GameIsOver]], 1, Table1[[AwayTeam]:[AwayTeam]], $A55, Table1[[HomeTeam]:[HomeTeam]], P$36) + SUMIFS(Table1[[HomeWon]:[HomeWon]], Table1[[GameIsOver]:[GameIsOver]], 1, Table1[[HomeTeam]:[HomeTeam]], $A55, Table1[[AwayTeam]:[AwayTeam]], P$36))) + (SUMIFS(Table1[[HomeWon]:[HomeWon]], Table1[[GameIsOver]:[GameIsOver]], 1, Table1[[AwayTeam]:[AwayTeam]], $A55, Table1[[HomeTeam]:[HomeTeam]],  P$36, Table1[[ActualResult]:[ActualResult]], "OT") + SUMIFS(Table1[[AwayWon]:[AwayWon]], Table1[[GameIsOver]:[GameIsOver]], 1, Table1[[HomeTeam]:[HomeTeam]], $A55, Table1[[AwayTeam]:[AwayTeam]], P$36, Table1[[ActualResult]:[ActualResult]], "OT") + SUMIFS(Table1[[HomeWon]:[HomeWon]], Table1[[GameIsOver]:[GameIsOver]], 1, Table1[[AwayTeam]:[AwayTeam]], $A55, Table1[[HomeTeam]:[HomeTeam]], P$36, Table1[[ActualResult]:[ActualResult]], "SO") + SUMIFS(Table1[[AwayWon]:[AwayWon]], Table1[[GameIsOver]:[GameIsOver]], 1, Table1[[HomeTeam]:[HomeTeam]], $A55, Table1[[AwayTeam]:[AwayTeam]], P$36, Table1[[ActualResult]:[ActualResult]], "SO")))/ (2*((COUNTIFS(Table1[[GameIsOver]:[GameIsOver]],1,Table1[[AwayTeam]:[AwayTeam]],$A55, Table1[[HomeTeam]:[HomeTeam]], P$36)))+( COUNTIFS(Table1[[GameIsOver]:[GameIsOver]],1,Table1[[AwayTeam]:[AwayTeam]],P$36, Table1[[HomeTeam]:[HomeTeam]],$A55))), "")</f>
        <v/>
      </c>
      <c r="Q55" s="52" t="str">
        <f>IFERROR(((2 * (SUMIFS(Table1[[AwayWon]:[AwayWon]], Table1[[GameIsOver]:[GameIsOver]], 1, Table1[[AwayTeam]:[AwayTeam]], $A55, Table1[[HomeTeam]:[HomeTeam]], Q$36) + SUMIFS(Table1[[HomeWon]:[HomeWon]], Table1[[GameIsOver]:[GameIsOver]], 1, Table1[[HomeTeam]:[HomeTeam]], $A55, Table1[[AwayTeam]:[AwayTeam]], Q$36))) + (SUMIFS(Table1[[HomeWon]:[HomeWon]], Table1[[GameIsOver]:[GameIsOver]], 1, Table1[[AwayTeam]:[AwayTeam]], $A55, Table1[[HomeTeam]:[HomeTeam]],  Q$36, Table1[[ActualResult]:[ActualResult]], "OT") + SUMIFS(Table1[[AwayWon]:[AwayWon]], Table1[[GameIsOver]:[GameIsOver]], 1, Table1[[HomeTeam]:[HomeTeam]], $A55, Table1[[AwayTeam]:[AwayTeam]], Q$36, Table1[[ActualResult]:[ActualResult]], "OT") + SUMIFS(Table1[[HomeWon]:[HomeWon]], Table1[[GameIsOver]:[GameIsOver]], 1, Table1[[AwayTeam]:[AwayTeam]], $A55, Table1[[HomeTeam]:[HomeTeam]], Q$36, Table1[[ActualResult]:[ActualResult]], "SO") + SUMIFS(Table1[[AwayWon]:[AwayWon]], Table1[[GameIsOver]:[GameIsOver]], 1, Table1[[HomeTeam]:[HomeTeam]], $A55, Table1[[AwayTeam]:[AwayTeam]], Q$36, Table1[[ActualResult]:[ActualResult]], "SO")))/ (2*((COUNTIFS(Table1[[GameIsOver]:[GameIsOver]],1,Table1[[AwayTeam]:[AwayTeam]],$A55, Table1[[HomeTeam]:[HomeTeam]], Q$36)))+( COUNTIFS(Table1[[GameIsOver]:[GameIsOver]],1,Table1[[AwayTeam]:[AwayTeam]],Q$36, Table1[[HomeTeam]:[HomeTeam]],$A55))), "")</f>
        <v/>
      </c>
      <c r="R55" s="50" t="str">
        <f>IFERROR(((2 * (SUMIFS(Table1[[AwayWon]:[AwayWon]], Table1[[GameIsOver]:[GameIsOver]], 1, Table1[[AwayTeam]:[AwayTeam]], $A55, Table1[[HomeTeam]:[HomeTeam]], R$36) + SUMIFS(Table1[[HomeWon]:[HomeWon]], Table1[[GameIsOver]:[GameIsOver]], 1, Table1[[HomeTeam]:[HomeTeam]], $A55, Table1[[AwayTeam]:[AwayTeam]], R$36))) + (SUMIFS(Table1[[HomeWon]:[HomeWon]], Table1[[GameIsOver]:[GameIsOver]], 1, Table1[[AwayTeam]:[AwayTeam]], $A55, Table1[[HomeTeam]:[HomeTeam]],  R$36, Table1[[ActualResult]:[ActualResult]], "OT") + SUMIFS(Table1[[AwayWon]:[AwayWon]], Table1[[GameIsOver]:[GameIsOver]], 1, Table1[[HomeTeam]:[HomeTeam]], $A55, Table1[[AwayTeam]:[AwayTeam]], R$36, Table1[[ActualResult]:[ActualResult]], "OT") + SUMIFS(Table1[[HomeWon]:[HomeWon]], Table1[[GameIsOver]:[GameIsOver]], 1, Table1[[AwayTeam]:[AwayTeam]], $A55, Table1[[HomeTeam]:[HomeTeam]], R$36, Table1[[ActualResult]:[ActualResult]], "SO") + SUMIFS(Table1[[AwayWon]:[AwayWon]], Table1[[GameIsOver]:[GameIsOver]], 1, Table1[[HomeTeam]:[HomeTeam]], $A55, Table1[[AwayTeam]:[AwayTeam]], R$36, Table1[[ActualResult]:[ActualResult]], "SO")))/ (2*((COUNTIFS(Table1[[GameIsOver]:[GameIsOver]],1,Table1[[AwayTeam]:[AwayTeam]],$A55, Table1[[HomeTeam]:[HomeTeam]], R$36)))+( COUNTIFS(Table1[[GameIsOver]:[GameIsOver]],1,Table1[[AwayTeam]:[AwayTeam]],R$36, Table1[[HomeTeam]:[HomeTeam]],$A55))), "")</f>
        <v/>
      </c>
      <c r="S55" s="50" t="str">
        <f>IFERROR(((2 * (SUMIFS(Table1[[AwayWon]:[AwayWon]], Table1[[GameIsOver]:[GameIsOver]], 1, Table1[[AwayTeam]:[AwayTeam]], $A55, Table1[[HomeTeam]:[HomeTeam]], S$36) + SUMIFS(Table1[[HomeWon]:[HomeWon]], Table1[[GameIsOver]:[GameIsOver]], 1, Table1[[HomeTeam]:[HomeTeam]], $A55, Table1[[AwayTeam]:[AwayTeam]], S$36))) + (SUMIFS(Table1[[HomeWon]:[HomeWon]], Table1[[GameIsOver]:[GameIsOver]], 1, Table1[[AwayTeam]:[AwayTeam]], $A55, Table1[[HomeTeam]:[HomeTeam]],  S$36, Table1[[ActualResult]:[ActualResult]], "OT") + SUMIFS(Table1[[AwayWon]:[AwayWon]], Table1[[GameIsOver]:[GameIsOver]], 1, Table1[[HomeTeam]:[HomeTeam]], $A55, Table1[[AwayTeam]:[AwayTeam]], S$36, Table1[[ActualResult]:[ActualResult]], "OT") + SUMIFS(Table1[[HomeWon]:[HomeWon]], Table1[[GameIsOver]:[GameIsOver]], 1, Table1[[AwayTeam]:[AwayTeam]], $A55, Table1[[HomeTeam]:[HomeTeam]], S$36, Table1[[ActualResult]:[ActualResult]], "SO") + SUMIFS(Table1[[AwayWon]:[AwayWon]], Table1[[GameIsOver]:[GameIsOver]], 1, Table1[[HomeTeam]:[HomeTeam]], $A55, Table1[[AwayTeam]:[AwayTeam]], S$36, Table1[[ActualResult]:[ActualResult]], "SO")))/ (2*((COUNTIFS(Table1[[GameIsOver]:[GameIsOver]],1,Table1[[AwayTeam]:[AwayTeam]],$A55, Table1[[HomeTeam]:[HomeTeam]], S$36)))+( COUNTIFS(Table1[[GameIsOver]:[GameIsOver]],1,Table1[[AwayTeam]:[AwayTeam]],S$36, Table1[[HomeTeam]:[HomeTeam]],$A55))), "")</f>
        <v/>
      </c>
      <c r="T55" s="50" t="str">
        <f>IFERROR(((2 * (SUMIFS(Table1[[AwayWon]:[AwayWon]], Table1[[GameIsOver]:[GameIsOver]], 1, Table1[[AwayTeam]:[AwayTeam]], $A55, Table1[[HomeTeam]:[HomeTeam]], T$36) + SUMIFS(Table1[[HomeWon]:[HomeWon]], Table1[[GameIsOver]:[GameIsOver]], 1, Table1[[HomeTeam]:[HomeTeam]], $A55, Table1[[AwayTeam]:[AwayTeam]], T$36))) + (SUMIFS(Table1[[HomeWon]:[HomeWon]], Table1[[GameIsOver]:[GameIsOver]], 1, Table1[[AwayTeam]:[AwayTeam]], $A55, Table1[[HomeTeam]:[HomeTeam]],  T$36, Table1[[ActualResult]:[ActualResult]], "OT") + SUMIFS(Table1[[AwayWon]:[AwayWon]], Table1[[GameIsOver]:[GameIsOver]], 1, Table1[[HomeTeam]:[HomeTeam]], $A55, Table1[[AwayTeam]:[AwayTeam]], T$36, Table1[[ActualResult]:[ActualResult]], "OT") + SUMIFS(Table1[[HomeWon]:[HomeWon]], Table1[[GameIsOver]:[GameIsOver]], 1, Table1[[AwayTeam]:[AwayTeam]], $A55, Table1[[HomeTeam]:[HomeTeam]], T$36, Table1[[ActualResult]:[ActualResult]], "SO") + SUMIFS(Table1[[AwayWon]:[AwayWon]], Table1[[GameIsOver]:[GameIsOver]], 1, Table1[[HomeTeam]:[HomeTeam]], $A55, Table1[[AwayTeam]:[AwayTeam]], T$36, Table1[[ActualResult]:[ActualResult]], "SO")))/ (2*((COUNTIFS(Table1[[GameIsOver]:[GameIsOver]],1,Table1[[AwayTeam]:[AwayTeam]],$A55, Table1[[HomeTeam]:[HomeTeam]], T$36)))+( COUNTIFS(Table1[[GameIsOver]:[GameIsOver]],1,Table1[[AwayTeam]:[AwayTeam]],T$36, Table1[[HomeTeam]:[HomeTeam]],$A55))), "")</f>
        <v/>
      </c>
      <c r="U55" s="50" t="str">
        <f>IFERROR(((2 * (SUMIFS(Table1[[AwayWon]:[AwayWon]], Table1[[GameIsOver]:[GameIsOver]], 1, Table1[[AwayTeam]:[AwayTeam]], $A55, Table1[[HomeTeam]:[HomeTeam]], U$36) + SUMIFS(Table1[[HomeWon]:[HomeWon]], Table1[[GameIsOver]:[GameIsOver]], 1, Table1[[HomeTeam]:[HomeTeam]], $A55, Table1[[AwayTeam]:[AwayTeam]], U$36))) + (SUMIFS(Table1[[HomeWon]:[HomeWon]], Table1[[GameIsOver]:[GameIsOver]], 1, Table1[[AwayTeam]:[AwayTeam]], $A55, Table1[[HomeTeam]:[HomeTeam]],  U$36, Table1[[ActualResult]:[ActualResult]], "OT") + SUMIFS(Table1[[AwayWon]:[AwayWon]], Table1[[GameIsOver]:[GameIsOver]], 1, Table1[[HomeTeam]:[HomeTeam]], $A55, Table1[[AwayTeam]:[AwayTeam]], U$36, Table1[[ActualResult]:[ActualResult]], "OT") + SUMIFS(Table1[[HomeWon]:[HomeWon]], Table1[[GameIsOver]:[GameIsOver]], 1, Table1[[AwayTeam]:[AwayTeam]], $A55, Table1[[HomeTeam]:[HomeTeam]], U$36, Table1[[ActualResult]:[ActualResult]], "SO") + SUMIFS(Table1[[AwayWon]:[AwayWon]], Table1[[GameIsOver]:[GameIsOver]], 1, Table1[[HomeTeam]:[HomeTeam]], $A55, Table1[[AwayTeam]:[AwayTeam]], U$36, Table1[[ActualResult]:[ActualResult]], "SO")))/ (2*((COUNTIFS(Table1[[GameIsOver]:[GameIsOver]],1,Table1[[AwayTeam]:[AwayTeam]],$A55, Table1[[HomeTeam]:[HomeTeam]], U$36)))+( COUNTIFS(Table1[[GameIsOver]:[GameIsOver]],1,Table1[[AwayTeam]:[AwayTeam]],U$36, Table1[[HomeTeam]:[HomeTeam]],$A55))), "")</f>
        <v/>
      </c>
      <c r="V55" s="50" t="str">
        <f>IFERROR(((2 * (SUMIFS(Table1[[AwayWon]:[AwayWon]], Table1[[GameIsOver]:[GameIsOver]], 1, Table1[[AwayTeam]:[AwayTeam]], $A55, Table1[[HomeTeam]:[HomeTeam]], V$36) + SUMIFS(Table1[[HomeWon]:[HomeWon]], Table1[[GameIsOver]:[GameIsOver]], 1, Table1[[HomeTeam]:[HomeTeam]], $A55, Table1[[AwayTeam]:[AwayTeam]], V$36))) + (SUMIFS(Table1[[HomeWon]:[HomeWon]], Table1[[GameIsOver]:[GameIsOver]], 1, Table1[[AwayTeam]:[AwayTeam]], $A55, Table1[[HomeTeam]:[HomeTeam]],  V$36, Table1[[ActualResult]:[ActualResult]], "OT") + SUMIFS(Table1[[AwayWon]:[AwayWon]], Table1[[GameIsOver]:[GameIsOver]], 1, Table1[[HomeTeam]:[HomeTeam]], $A55, Table1[[AwayTeam]:[AwayTeam]], V$36, Table1[[ActualResult]:[ActualResult]], "OT") + SUMIFS(Table1[[HomeWon]:[HomeWon]], Table1[[GameIsOver]:[GameIsOver]], 1, Table1[[AwayTeam]:[AwayTeam]], $A55, Table1[[HomeTeam]:[HomeTeam]], V$36, Table1[[ActualResult]:[ActualResult]], "SO") + SUMIFS(Table1[[AwayWon]:[AwayWon]], Table1[[GameIsOver]:[GameIsOver]], 1, Table1[[HomeTeam]:[HomeTeam]], $A55, Table1[[AwayTeam]:[AwayTeam]], V$36, Table1[[ActualResult]:[ActualResult]], "SO")))/ (2*((COUNTIFS(Table1[[GameIsOver]:[GameIsOver]],1,Table1[[AwayTeam]:[AwayTeam]],$A55, Table1[[HomeTeam]:[HomeTeam]], V$36)))+( COUNTIFS(Table1[[GameIsOver]:[GameIsOver]],1,Table1[[AwayTeam]:[AwayTeam]],V$36, Table1[[HomeTeam]:[HomeTeam]],$A55))), "")</f>
        <v/>
      </c>
      <c r="W55" s="50" t="str">
        <f>IFERROR(((2 * (SUMIFS(Table1[[AwayWon]:[AwayWon]], Table1[[GameIsOver]:[GameIsOver]], 1, Table1[[AwayTeam]:[AwayTeam]], $A55, Table1[[HomeTeam]:[HomeTeam]], W$36) + SUMIFS(Table1[[HomeWon]:[HomeWon]], Table1[[GameIsOver]:[GameIsOver]], 1, Table1[[HomeTeam]:[HomeTeam]], $A55, Table1[[AwayTeam]:[AwayTeam]], W$36))) + (SUMIFS(Table1[[HomeWon]:[HomeWon]], Table1[[GameIsOver]:[GameIsOver]], 1, Table1[[AwayTeam]:[AwayTeam]], $A55, Table1[[HomeTeam]:[HomeTeam]],  W$36, Table1[[ActualResult]:[ActualResult]], "OT") + SUMIFS(Table1[[AwayWon]:[AwayWon]], Table1[[GameIsOver]:[GameIsOver]], 1, Table1[[HomeTeam]:[HomeTeam]], $A55, Table1[[AwayTeam]:[AwayTeam]], W$36, Table1[[ActualResult]:[ActualResult]], "OT") + SUMIFS(Table1[[HomeWon]:[HomeWon]], Table1[[GameIsOver]:[GameIsOver]], 1, Table1[[AwayTeam]:[AwayTeam]], $A55, Table1[[HomeTeam]:[HomeTeam]], W$36, Table1[[ActualResult]:[ActualResult]], "SO") + SUMIFS(Table1[[AwayWon]:[AwayWon]], Table1[[GameIsOver]:[GameIsOver]], 1, Table1[[HomeTeam]:[HomeTeam]], $A55, Table1[[AwayTeam]:[AwayTeam]], W$36, Table1[[ActualResult]:[ActualResult]], "SO")))/ (2*((COUNTIFS(Table1[[GameIsOver]:[GameIsOver]],1,Table1[[AwayTeam]:[AwayTeam]],$A55, Table1[[HomeTeam]:[HomeTeam]], W$36)))+( COUNTIFS(Table1[[GameIsOver]:[GameIsOver]],1,Table1[[AwayTeam]:[AwayTeam]],W$36, Table1[[HomeTeam]:[HomeTeam]],$A55))), "")</f>
        <v/>
      </c>
      <c r="X55" s="50" t="str">
        <f>IFERROR(((2 * (SUMIFS(Table1[[AwayWon]:[AwayWon]], Table1[[GameIsOver]:[GameIsOver]], 1, Table1[[AwayTeam]:[AwayTeam]], $A55, Table1[[HomeTeam]:[HomeTeam]], X$36) + SUMIFS(Table1[[HomeWon]:[HomeWon]], Table1[[GameIsOver]:[GameIsOver]], 1, Table1[[HomeTeam]:[HomeTeam]], $A55, Table1[[AwayTeam]:[AwayTeam]], X$36))) + (SUMIFS(Table1[[HomeWon]:[HomeWon]], Table1[[GameIsOver]:[GameIsOver]], 1, Table1[[AwayTeam]:[AwayTeam]], $A55, Table1[[HomeTeam]:[HomeTeam]],  X$36, Table1[[ActualResult]:[ActualResult]], "OT") + SUMIFS(Table1[[AwayWon]:[AwayWon]], Table1[[GameIsOver]:[GameIsOver]], 1, Table1[[HomeTeam]:[HomeTeam]], $A55, Table1[[AwayTeam]:[AwayTeam]], X$36, Table1[[ActualResult]:[ActualResult]], "OT") + SUMIFS(Table1[[HomeWon]:[HomeWon]], Table1[[GameIsOver]:[GameIsOver]], 1, Table1[[AwayTeam]:[AwayTeam]], $A55, Table1[[HomeTeam]:[HomeTeam]], X$36, Table1[[ActualResult]:[ActualResult]], "SO") + SUMIFS(Table1[[AwayWon]:[AwayWon]], Table1[[GameIsOver]:[GameIsOver]], 1, Table1[[HomeTeam]:[HomeTeam]], $A55, Table1[[AwayTeam]:[AwayTeam]], X$36, Table1[[ActualResult]:[ActualResult]], "SO")))/ (2*((COUNTIFS(Table1[[GameIsOver]:[GameIsOver]],1,Table1[[AwayTeam]:[AwayTeam]],$A55, Table1[[HomeTeam]:[HomeTeam]], X$36)))+( COUNTIFS(Table1[[GameIsOver]:[GameIsOver]],1,Table1[[AwayTeam]:[AwayTeam]],X$36, Table1[[HomeTeam]:[HomeTeam]],$A55))), "")</f>
        <v/>
      </c>
      <c r="Y55" s="52" t="str">
        <f>IFERROR(((2 * (SUMIFS(Table1[[AwayWon]:[AwayWon]], Table1[[GameIsOver]:[GameIsOver]], 1, Table1[[AwayTeam]:[AwayTeam]], $A55, Table1[[HomeTeam]:[HomeTeam]], Y$36) + SUMIFS(Table1[[HomeWon]:[HomeWon]], Table1[[GameIsOver]:[GameIsOver]], 1, Table1[[HomeTeam]:[HomeTeam]], $A55, Table1[[AwayTeam]:[AwayTeam]], Y$36))) + (SUMIFS(Table1[[HomeWon]:[HomeWon]], Table1[[GameIsOver]:[GameIsOver]], 1, Table1[[AwayTeam]:[AwayTeam]], $A55, Table1[[HomeTeam]:[HomeTeam]],  Y$36, Table1[[ActualResult]:[ActualResult]], "OT") + SUMIFS(Table1[[AwayWon]:[AwayWon]], Table1[[GameIsOver]:[GameIsOver]], 1, Table1[[HomeTeam]:[HomeTeam]], $A55, Table1[[AwayTeam]:[AwayTeam]], Y$36, Table1[[ActualResult]:[ActualResult]], "OT") + SUMIFS(Table1[[HomeWon]:[HomeWon]], Table1[[GameIsOver]:[GameIsOver]], 1, Table1[[AwayTeam]:[AwayTeam]], $A55, Table1[[HomeTeam]:[HomeTeam]], Y$36, Table1[[ActualResult]:[ActualResult]], "SO") + SUMIFS(Table1[[AwayWon]:[AwayWon]], Table1[[GameIsOver]:[GameIsOver]], 1, Table1[[HomeTeam]:[HomeTeam]], $A55, Table1[[AwayTeam]:[AwayTeam]], Y$36, Table1[[ActualResult]:[ActualResult]], "SO")))/ (2*((COUNTIFS(Table1[[GameIsOver]:[GameIsOver]],1,Table1[[AwayTeam]:[AwayTeam]],$A55, Table1[[HomeTeam]:[HomeTeam]], Y$36)))+( COUNTIFS(Table1[[GameIsOver]:[GameIsOver]],1,Table1[[AwayTeam]:[AwayTeam]],Y$36, Table1[[HomeTeam]:[HomeTeam]],$A55))), "")</f>
        <v/>
      </c>
      <c r="Z55" s="50" t="str">
        <f>IFERROR(((2 * (SUMIFS(Table1[[AwayWon]:[AwayWon]], Table1[[GameIsOver]:[GameIsOver]], 1, Table1[[AwayTeam]:[AwayTeam]], $A55, Table1[[HomeTeam]:[HomeTeam]], Z$36) + SUMIFS(Table1[[HomeWon]:[HomeWon]], Table1[[GameIsOver]:[GameIsOver]], 1, Table1[[HomeTeam]:[HomeTeam]], $A55, Table1[[AwayTeam]:[AwayTeam]], Z$36))) + (SUMIFS(Table1[[HomeWon]:[HomeWon]], Table1[[GameIsOver]:[GameIsOver]], 1, Table1[[AwayTeam]:[AwayTeam]], $A55, Table1[[HomeTeam]:[HomeTeam]],  Z$36, Table1[[ActualResult]:[ActualResult]], "OT") + SUMIFS(Table1[[AwayWon]:[AwayWon]], Table1[[GameIsOver]:[GameIsOver]], 1, Table1[[HomeTeam]:[HomeTeam]], $A55, Table1[[AwayTeam]:[AwayTeam]], Z$36, Table1[[ActualResult]:[ActualResult]], "OT") + SUMIFS(Table1[[HomeWon]:[HomeWon]], Table1[[GameIsOver]:[GameIsOver]], 1, Table1[[AwayTeam]:[AwayTeam]], $A55, Table1[[HomeTeam]:[HomeTeam]], Z$36, Table1[[ActualResult]:[ActualResult]], "SO") + SUMIFS(Table1[[AwayWon]:[AwayWon]], Table1[[GameIsOver]:[GameIsOver]], 1, Table1[[HomeTeam]:[HomeTeam]], $A55, Table1[[AwayTeam]:[AwayTeam]], Z$36, Table1[[ActualResult]:[ActualResult]], "SO")))/ (2*((COUNTIFS(Table1[[GameIsOver]:[GameIsOver]],1,Table1[[AwayTeam]:[AwayTeam]],$A55, Table1[[HomeTeam]:[HomeTeam]], Z$36)))+( COUNTIFS(Table1[[GameIsOver]:[GameIsOver]],1,Table1[[AwayTeam]:[AwayTeam]],Z$36, Table1[[HomeTeam]:[HomeTeam]],$A55))), "")</f>
        <v/>
      </c>
      <c r="AA55" s="50" t="str">
        <f>IFERROR(((2 * (SUMIFS(Table1[[AwayWon]:[AwayWon]], Table1[[GameIsOver]:[GameIsOver]], 1, Table1[[AwayTeam]:[AwayTeam]], $A55, Table1[[HomeTeam]:[HomeTeam]], AA$36) + SUMIFS(Table1[[HomeWon]:[HomeWon]], Table1[[GameIsOver]:[GameIsOver]], 1, Table1[[HomeTeam]:[HomeTeam]], $A55, Table1[[AwayTeam]:[AwayTeam]], AA$36))) + (SUMIFS(Table1[[HomeWon]:[HomeWon]], Table1[[GameIsOver]:[GameIsOver]], 1, Table1[[AwayTeam]:[AwayTeam]], $A55, Table1[[HomeTeam]:[HomeTeam]],  AA$36, Table1[[ActualResult]:[ActualResult]], "OT") + SUMIFS(Table1[[AwayWon]:[AwayWon]], Table1[[GameIsOver]:[GameIsOver]], 1, Table1[[HomeTeam]:[HomeTeam]], $A55, Table1[[AwayTeam]:[AwayTeam]], AA$36, Table1[[ActualResult]:[ActualResult]], "OT") + SUMIFS(Table1[[HomeWon]:[HomeWon]], Table1[[GameIsOver]:[GameIsOver]], 1, Table1[[AwayTeam]:[AwayTeam]], $A55, Table1[[HomeTeam]:[HomeTeam]], AA$36, Table1[[ActualResult]:[ActualResult]], "SO") + SUMIFS(Table1[[AwayWon]:[AwayWon]], Table1[[GameIsOver]:[GameIsOver]], 1, Table1[[HomeTeam]:[HomeTeam]], $A55, Table1[[AwayTeam]:[AwayTeam]], AA$36, Table1[[ActualResult]:[ActualResult]], "SO")))/ (2*((COUNTIFS(Table1[[GameIsOver]:[GameIsOver]],1,Table1[[AwayTeam]:[AwayTeam]],$A55, Table1[[HomeTeam]:[HomeTeam]], AA$36)))+( COUNTIFS(Table1[[GameIsOver]:[GameIsOver]],1,Table1[[AwayTeam]:[AwayTeam]],AA$36, Table1[[HomeTeam]:[HomeTeam]],$A55))), "")</f>
        <v/>
      </c>
      <c r="AB55" s="50" t="str">
        <f>IFERROR(((2 * (SUMIFS(Table1[[AwayWon]:[AwayWon]], Table1[[GameIsOver]:[GameIsOver]], 1, Table1[[AwayTeam]:[AwayTeam]], $A55, Table1[[HomeTeam]:[HomeTeam]], AB$36) + SUMIFS(Table1[[HomeWon]:[HomeWon]], Table1[[GameIsOver]:[GameIsOver]], 1, Table1[[HomeTeam]:[HomeTeam]], $A55, Table1[[AwayTeam]:[AwayTeam]], AB$36))) + (SUMIFS(Table1[[HomeWon]:[HomeWon]], Table1[[GameIsOver]:[GameIsOver]], 1, Table1[[AwayTeam]:[AwayTeam]], $A55, Table1[[HomeTeam]:[HomeTeam]],  AB$36, Table1[[ActualResult]:[ActualResult]], "OT") + SUMIFS(Table1[[AwayWon]:[AwayWon]], Table1[[GameIsOver]:[GameIsOver]], 1, Table1[[HomeTeam]:[HomeTeam]], $A55, Table1[[AwayTeam]:[AwayTeam]], AB$36, Table1[[ActualResult]:[ActualResult]], "OT") + SUMIFS(Table1[[HomeWon]:[HomeWon]], Table1[[GameIsOver]:[GameIsOver]], 1, Table1[[AwayTeam]:[AwayTeam]], $A55, Table1[[HomeTeam]:[HomeTeam]], AB$36, Table1[[ActualResult]:[ActualResult]], "SO") + SUMIFS(Table1[[AwayWon]:[AwayWon]], Table1[[GameIsOver]:[GameIsOver]], 1, Table1[[HomeTeam]:[HomeTeam]], $A55, Table1[[AwayTeam]:[AwayTeam]], AB$36, Table1[[ActualResult]:[ActualResult]], "SO")))/ (2*((COUNTIFS(Table1[[GameIsOver]:[GameIsOver]],1,Table1[[AwayTeam]:[AwayTeam]],$A55, Table1[[HomeTeam]:[HomeTeam]], AB$36)))+( COUNTIFS(Table1[[GameIsOver]:[GameIsOver]],1,Table1[[AwayTeam]:[AwayTeam]],AB$36, Table1[[HomeTeam]:[HomeTeam]],$A55))), "")</f>
        <v/>
      </c>
      <c r="AC55" s="50" t="str">
        <f>IFERROR(((2 * (SUMIFS(Table1[[AwayWon]:[AwayWon]], Table1[[GameIsOver]:[GameIsOver]], 1, Table1[[AwayTeam]:[AwayTeam]], $A55, Table1[[HomeTeam]:[HomeTeam]], AC$36) + SUMIFS(Table1[[HomeWon]:[HomeWon]], Table1[[GameIsOver]:[GameIsOver]], 1, Table1[[HomeTeam]:[HomeTeam]], $A55, Table1[[AwayTeam]:[AwayTeam]], AC$36))) + (SUMIFS(Table1[[HomeWon]:[HomeWon]], Table1[[GameIsOver]:[GameIsOver]], 1, Table1[[AwayTeam]:[AwayTeam]], $A55, Table1[[HomeTeam]:[HomeTeam]],  AC$36, Table1[[ActualResult]:[ActualResult]], "OT") + SUMIFS(Table1[[AwayWon]:[AwayWon]], Table1[[GameIsOver]:[GameIsOver]], 1, Table1[[HomeTeam]:[HomeTeam]], $A55, Table1[[AwayTeam]:[AwayTeam]], AC$36, Table1[[ActualResult]:[ActualResult]], "OT") + SUMIFS(Table1[[HomeWon]:[HomeWon]], Table1[[GameIsOver]:[GameIsOver]], 1, Table1[[AwayTeam]:[AwayTeam]], $A55, Table1[[HomeTeam]:[HomeTeam]], AC$36, Table1[[ActualResult]:[ActualResult]], "SO") + SUMIFS(Table1[[AwayWon]:[AwayWon]], Table1[[GameIsOver]:[GameIsOver]], 1, Table1[[HomeTeam]:[HomeTeam]], $A55, Table1[[AwayTeam]:[AwayTeam]], AC$36, Table1[[ActualResult]:[ActualResult]], "SO")))/ (2*((COUNTIFS(Table1[[GameIsOver]:[GameIsOver]],1,Table1[[AwayTeam]:[AwayTeam]],$A55, Table1[[HomeTeam]:[HomeTeam]], AC$36)))+( COUNTIFS(Table1[[GameIsOver]:[GameIsOver]],1,Table1[[AwayTeam]:[AwayTeam]],AC$36, Table1[[HomeTeam]:[HomeTeam]],$A55))), "")</f>
        <v/>
      </c>
      <c r="AD55" s="50" t="str">
        <f>IFERROR(((2 * (SUMIFS(Table1[[AwayWon]:[AwayWon]], Table1[[GameIsOver]:[GameIsOver]], 1, Table1[[AwayTeam]:[AwayTeam]], $A55, Table1[[HomeTeam]:[HomeTeam]], AD$36) + SUMIFS(Table1[[HomeWon]:[HomeWon]], Table1[[GameIsOver]:[GameIsOver]], 1, Table1[[HomeTeam]:[HomeTeam]], $A55, Table1[[AwayTeam]:[AwayTeam]], AD$36))) + (SUMIFS(Table1[[HomeWon]:[HomeWon]], Table1[[GameIsOver]:[GameIsOver]], 1, Table1[[AwayTeam]:[AwayTeam]], $A55, Table1[[HomeTeam]:[HomeTeam]],  AD$36, Table1[[ActualResult]:[ActualResult]], "OT") + SUMIFS(Table1[[AwayWon]:[AwayWon]], Table1[[GameIsOver]:[GameIsOver]], 1, Table1[[HomeTeam]:[HomeTeam]], $A55, Table1[[AwayTeam]:[AwayTeam]], AD$36, Table1[[ActualResult]:[ActualResult]], "OT") + SUMIFS(Table1[[HomeWon]:[HomeWon]], Table1[[GameIsOver]:[GameIsOver]], 1, Table1[[AwayTeam]:[AwayTeam]], $A55, Table1[[HomeTeam]:[HomeTeam]], AD$36, Table1[[ActualResult]:[ActualResult]], "SO") + SUMIFS(Table1[[AwayWon]:[AwayWon]], Table1[[GameIsOver]:[GameIsOver]], 1, Table1[[HomeTeam]:[HomeTeam]], $A55, Table1[[AwayTeam]:[AwayTeam]], AD$36, Table1[[ActualResult]:[ActualResult]], "SO")))/ (2*((COUNTIFS(Table1[[GameIsOver]:[GameIsOver]],1,Table1[[AwayTeam]:[AwayTeam]],$A55, Table1[[HomeTeam]:[HomeTeam]], AD$36)))+( COUNTIFS(Table1[[GameIsOver]:[GameIsOver]],1,Table1[[AwayTeam]:[AwayTeam]],AD$36, Table1[[HomeTeam]:[HomeTeam]],$A55))), "")</f>
        <v/>
      </c>
      <c r="AE55" s="50" t="str">
        <f>IFERROR(((2 * (SUMIFS(Table1[[AwayWon]:[AwayWon]], Table1[[GameIsOver]:[GameIsOver]], 1, Table1[[AwayTeam]:[AwayTeam]], $A55, Table1[[HomeTeam]:[HomeTeam]], AE$36) + SUMIFS(Table1[[HomeWon]:[HomeWon]], Table1[[GameIsOver]:[GameIsOver]], 1, Table1[[HomeTeam]:[HomeTeam]], $A55, Table1[[AwayTeam]:[AwayTeam]], AE$36))) + (SUMIFS(Table1[[HomeWon]:[HomeWon]], Table1[[GameIsOver]:[GameIsOver]], 1, Table1[[AwayTeam]:[AwayTeam]], $A55, Table1[[HomeTeam]:[HomeTeam]],  AE$36, Table1[[ActualResult]:[ActualResult]], "OT") + SUMIFS(Table1[[AwayWon]:[AwayWon]], Table1[[GameIsOver]:[GameIsOver]], 1, Table1[[HomeTeam]:[HomeTeam]], $A55, Table1[[AwayTeam]:[AwayTeam]], AE$36, Table1[[ActualResult]:[ActualResult]], "OT") + SUMIFS(Table1[[HomeWon]:[HomeWon]], Table1[[GameIsOver]:[GameIsOver]], 1, Table1[[AwayTeam]:[AwayTeam]], $A55, Table1[[HomeTeam]:[HomeTeam]], AE$36, Table1[[ActualResult]:[ActualResult]], "SO") + SUMIFS(Table1[[AwayWon]:[AwayWon]], Table1[[GameIsOver]:[GameIsOver]], 1, Table1[[HomeTeam]:[HomeTeam]], $A55, Table1[[AwayTeam]:[AwayTeam]], AE$36, Table1[[ActualResult]:[ActualResult]], "SO")))/ (2*((COUNTIFS(Table1[[GameIsOver]:[GameIsOver]],1,Table1[[AwayTeam]:[AwayTeam]],$A55, Table1[[HomeTeam]:[HomeTeam]], AE$36)))+( COUNTIFS(Table1[[GameIsOver]:[GameIsOver]],1,Table1[[AwayTeam]:[AwayTeam]],AE$36, Table1[[HomeTeam]:[HomeTeam]],$A55))), "")</f>
        <v/>
      </c>
      <c r="AF55" s="50" t="str">
        <f>IFERROR(((2 * (SUMIFS(Table1[[AwayWon]:[AwayWon]], Table1[[GameIsOver]:[GameIsOver]], 1, Table1[[AwayTeam]:[AwayTeam]], $A55, Table1[[HomeTeam]:[HomeTeam]], AF$36) + SUMIFS(Table1[[HomeWon]:[HomeWon]], Table1[[GameIsOver]:[GameIsOver]], 1, Table1[[HomeTeam]:[HomeTeam]], $A55, Table1[[AwayTeam]:[AwayTeam]], AF$36))) + (SUMIFS(Table1[[HomeWon]:[HomeWon]], Table1[[GameIsOver]:[GameIsOver]], 1, Table1[[AwayTeam]:[AwayTeam]], $A55, Table1[[HomeTeam]:[HomeTeam]],  AF$36, Table1[[ActualResult]:[ActualResult]], "OT") + SUMIFS(Table1[[AwayWon]:[AwayWon]], Table1[[GameIsOver]:[GameIsOver]], 1, Table1[[HomeTeam]:[HomeTeam]], $A55, Table1[[AwayTeam]:[AwayTeam]], AF$36, Table1[[ActualResult]:[ActualResult]], "OT") + SUMIFS(Table1[[HomeWon]:[HomeWon]], Table1[[GameIsOver]:[GameIsOver]], 1, Table1[[AwayTeam]:[AwayTeam]], $A55, Table1[[HomeTeam]:[HomeTeam]], AF$36, Table1[[ActualResult]:[ActualResult]], "SO") + SUMIFS(Table1[[AwayWon]:[AwayWon]], Table1[[GameIsOver]:[GameIsOver]], 1, Table1[[HomeTeam]:[HomeTeam]], $A55, Table1[[AwayTeam]:[AwayTeam]], AF$36, Table1[[ActualResult]:[ActualResult]], "SO")))/ (2*((COUNTIFS(Table1[[GameIsOver]:[GameIsOver]],1,Table1[[AwayTeam]:[AwayTeam]],$A55, Table1[[HomeTeam]:[HomeTeam]], AF$36)))+( COUNTIFS(Table1[[GameIsOver]:[GameIsOver]],1,Table1[[AwayTeam]:[AwayTeam]],AF$36, Table1[[HomeTeam]:[HomeTeam]],$A55))), "")</f>
        <v/>
      </c>
      <c r="AG55" s="50" t="str">
        <f>IFERROR(((2 * (SUMIFS(Table1[[AwayWon]:[AwayWon]], Table1[[GameIsOver]:[GameIsOver]], 1, Table1[[AwayTeam]:[AwayTeam]], $A55, Table1[[HomeTeam]:[HomeTeam]], AG$36) + SUMIFS(Table1[[HomeWon]:[HomeWon]], Table1[[GameIsOver]:[GameIsOver]], 1, Table1[[HomeTeam]:[HomeTeam]], $A55, Table1[[AwayTeam]:[AwayTeam]], AG$36))) + (SUMIFS(Table1[[HomeWon]:[HomeWon]], Table1[[GameIsOver]:[GameIsOver]], 1, Table1[[AwayTeam]:[AwayTeam]], $A55, Table1[[HomeTeam]:[HomeTeam]],  AG$36, Table1[[ActualResult]:[ActualResult]], "OT") + SUMIFS(Table1[[AwayWon]:[AwayWon]], Table1[[GameIsOver]:[GameIsOver]], 1, Table1[[HomeTeam]:[HomeTeam]], $A55, Table1[[AwayTeam]:[AwayTeam]], AG$36, Table1[[ActualResult]:[ActualResult]], "OT") + SUMIFS(Table1[[HomeWon]:[HomeWon]], Table1[[GameIsOver]:[GameIsOver]], 1, Table1[[AwayTeam]:[AwayTeam]], $A55, Table1[[HomeTeam]:[HomeTeam]], AG$36, Table1[[ActualResult]:[ActualResult]], "SO") + SUMIFS(Table1[[AwayWon]:[AwayWon]], Table1[[GameIsOver]:[GameIsOver]], 1, Table1[[HomeTeam]:[HomeTeam]], $A55, Table1[[AwayTeam]:[AwayTeam]], AG$36, Table1[[ActualResult]:[ActualResult]], "SO")))/ (2*((COUNTIFS(Table1[[GameIsOver]:[GameIsOver]],1,Table1[[AwayTeam]:[AwayTeam]],$A55, Table1[[HomeTeam]:[HomeTeam]], AG$36)))+( COUNTIFS(Table1[[GameIsOver]:[GameIsOver]],1,Table1[[AwayTeam]:[AwayTeam]],AG$36, Table1[[HomeTeam]:[HomeTeam]],$A55))), "")</f>
        <v/>
      </c>
      <c r="AH55" s="51" t="e">
        <f t="shared" si="0"/>
        <v>#DIV/0!</v>
      </c>
      <c r="AI55" s="51">
        <f t="shared" si="1"/>
        <v>1</v>
      </c>
      <c r="AJ55" s="52" t="e">
        <f t="shared" si="2"/>
        <v>#DIV/0!</v>
      </c>
      <c r="AK55" s="52" t="e">
        <f t="shared" si="3"/>
        <v>#DIV/0!</v>
      </c>
      <c r="AL55" s="52" t="e">
        <f t="shared" si="4"/>
        <v>#DIV/0!</v>
      </c>
      <c r="AM55" s="52">
        <f t="shared" si="5"/>
        <v>1</v>
      </c>
    </row>
    <row r="56" spans="1:39" x14ac:dyDescent="0.25">
      <c r="A56" s="28" t="s">
        <v>50</v>
      </c>
      <c r="B56" s="50" t="str">
        <f>IFERROR(((2 * (SUMIFS(Table1[[AwayWon]:[AwayWon]], Table1[[GameIsOver]:[GameIsOver]], 1, Table1[[AwayTeam]:[AwayTeam]], $A56, Table1[[HomeTeam]:[HomeTeam]], B$36) + SUMIFS(Table1[[HomeWon]:[HomeWon]], Table1[[GameIsOver]:[GameIsOver]], 1, Table1[[HomeTeam]:[HomeTeam]], $A56, Table1[[AwayTeam]:[AwayTeam]], B$36))) + (SUMIFS(Table1[[HomeWon]:[HomeWon]], Table1[[GameIsOver]:[GameIsOver]], 1, Table1[[AwayTeam]:[AwayTeam]], $A56, Table1[[HomeTeam]:[HomeTeam]],  B$36, Table1[[ActualResult]:[ActualResult]], "OT") + SUMIFS(Table1[[AwayWon]:[AwayWon]], Table1[[GameIsOver]:[GameIsOver]], 1, Table1[[HomeTeam]:[HomeTeam]], $A56, Table1[[AwayTeam]:[AwayTeam]], B$36, Table1[[ActualResult]:[ActualResult]], "OT") + SUMIFS(Table1[[HomeWon]:[HomeWon]], Table1[[GameIsOver]:[GameIsOver]], 1, Table1[[AwayTeam]:[AwayTeam]], $A56, Table1[[HomeTeam]:[HomeTeam]], B$36, Table1[[ActualResult]:[ActualResult]], "SO") + SUMIFS(Table1[[AwayWon]:[AwayWon]], Table1[[GameIsOver]:[GameIsOver]], 1, Table1[[HomeTeam]:[HomeTeam]], $A56, Table1[[AwayTeam]:[AwayTeam]], B$36, Table1[[ActualResult]:[ActualResult]], "SO")))/ (2*((COUNTIFS(Table1[[GameIsOver]:[GameIsOver]],1,Table1[[AwayTeam]:[AwayTeam]],$A56, Table1[[HomeTeam]:[HomeTeam]], B$36)))+( COUNTIFS(Table1[[GameIsOver]:[GameIsOver]],1,Table1[[AwayTeam]:[AwayTeam]],B$36, Table1[[HomeTeam]:[HomeTeam]],$A56))), "")</f>
        <v/>
      </c>
      <c r="C56" s="50" t="str">
        <f>IFERROR(((2 * (SUMIFS(Table1[[AwayWon]:[AwayWon]], Table1[[GameIsOver]:[GameIsOver]], 1, Table1[[AwayTeam]:[AwayTeam]], $A56, Table1[[HomeTeam]:[HomeTeam]], C$36) + SUMIFS(Table1[[HomeWon]:[HomeWon]], Table1[[GameIsOver]:[GameIsOver]], 1, Table1[[HomeTeam]:[HomeTeam]], $A56, Table1[[AwayTeam]:[AwayTeam]], C$36))) + (SUMIFS(Table1[[HomeWon]:[HomeWon]], Table1[[GameIsOver]:[GameIsOver]], 1, Table1[[AwayTeam]:[AwayTeam]], $A56, Table1[[HomeTeam]:[HomeTeam]],  C$36, Table1[[ActualResult]:[ActualResult]], "OT") + SUMIFS(Table1[[AwayWon]:[AwayWon]], Table1[[GameIsOver]:[GameIsOver]], 1, Table1[[HomeTeam]:[HomeTeam]], $A56, Table1[[AwayTeam]:[AwayTeam]], C$36, Table1[[ActualResult]:[ActualResult]], "OT") + SUMIFS(Table1[[HomeWon]:[HomeWon]], Table1[[GameIsOver]:[GameIsOver]], 1, Table1[[AwayTeam]:[AwayTeam]], $A56, Table1[[HomeTeam]:[HomeTeam]], C$36, Table1[[ActualResult]:[ActualResult]], "SO") + SUMIFS(Table1[[AwayWon]:[AwayWon]], Table1[[GameIsOver]:[GameIsOver]], 1, Table1[[HomeTeam]:[HomeTeam]], $A56, Table1[[AwayTeam]:[AwayTeam]], C$36, Table1[[ActualResult]:[ActualResult]], "SO")))/ (2*((COUNTIFS(Table1[[GameIsOver]:[GameIsOver]],1,Table1[[AwayTeam]:[AwayTeam]],$A56, Table1[[HomeTeam]:[HomeTeam]], C$36)))+( COUNTIFS(Table1[[GameIsOver]:[GameIsOver]],1,Table1[[AwayTeam]:[AwayTeam]],C$36, Table1[[HomeTeam]:[HomeTeam]],$A56))), "")</f>
        <v/>
      </c>
      <c r="D56" s="50" t="str">
        <f>IFERROR(((2 * (SUMIFS(Table1[[AwayWon]:[AwayWon]], Table1[[GameIsOver]:[GameIsOver]], 1, Table1[[AwayTeam]:[AwayTeam]], $A56, Table1[[HomeTeam]:[HomeTeam]], D$36) + SUMIFS(Table1[[HomeWon]:[HomeWon]], Table1[[GameIsOver]:[GameIsOver]], 1, Table1[[HomeTeam]:[HomeTeam]], $A56, Table1[[AwayTeam]:[AwayTeam]], D$36))) + (SUMIFS(Table1[[HomeWon]:[HomeWon]], Table1[[GameIsOver]:[GameIsOver]], 1, Table1[[AwayTeam]:[AwayTeam]], $A56, Table1[[HomeTeam]:[HomeTeam]],  D$36, Table1[[ActualResult]:[ActualResult]], "OT") + SUMIFS(Table1[[AwayWon]:[AwayWon]], Table1[[GameIsOver]:[GameIsOver]], 1, Table1[[HomeTeam]:[HomeTeam]], $A56, Table1[[AwayTeam]:[AwayTeam]], D$36, Table1[[ActualResult]:[ActualResult]], "OT") + SUMIFS(Table1[[HomeWon]:[HomeWon]], Table1[[GameIsOver]:[GameIsOver]], 1, Table1[[AwayTeam]:[AwayTeam]], $A56, Table1[[HomeTeam]:[HomeTeam]], D$36, Table1[[ActualResult]:[ActualResult]], "SO") + SUMIFS(Table1[[AwayWon]:[AwayWon]], Table1[[GameIsOver]:[GameIsOver]], 1, Table1[[HomeTeam]:[HomeTeam]], $A56, Table1[[AwayTeam]:[AwayTeam]], D$36, Table1[[ActualResult]:[ActualResult]], "SO")))/ (2*((COUNTIFS(Table1[[GameIsOver]:[GameIsOver]],1,Table1[[AwayTeam]:[AwayTeam]],$A56, Table1[[HomeTeam]:[HomeTeam]], D$36)))+( COUNTIFS(Table1[[GameIsOver]:[GameIsOver]],1,Table1[[AwayTeam]:[AwayTeam]],D$36, Table1[[HomeTeam]:[HomeTeam]],$A56))), "")</f>
        <v/>
      </c>
      <c r="E56" s="50" t="str">
        <f>IFERROR(((2 * (SUMIFS(Table1[[AwayWon]:[AwayWon]], Table1[[GameIsOver]:[GameIsOver]], 1, Table1[[AwayTeam]:[AwayTeam]], $A56, Table1[[HomeTeam]:[HomeTeam]], E$36) + SUMIFS(Table1[[HomeWon]:[HomeWon]], Table1[[GameIsOver]:[GameIsOver]], 1, Table1[[HomeTeam]:[HomeTeam]], $A56, Table1[[AwayTeam]:[AwayTeam]], E$36))) + (SUMIFS(Table1[[HomeWon]:[HomeWon]], Table1[[GameIsOver]:[GameIsOver]], 1, Table1[[AwayTeam]:[AwayTeam]], $A56, Table1[[HomeTeam]:[HomeTeam]],  E$36, Table1[[ActualResult]:[ActualResult]], "OT") + SUMIFS(Table1[[AwayWon]:[AwayWon]], Table1[[GameIsOver]:[GameIsOver]], 1, Table1[[HomeTeam]:[HomeTeam]], $A56, Table1[[AwayTeam]:[AwayTeam]], E$36, Table1[[ActualResult]:[ActualResult]], "OT") + SUMIFS(Table1[[HomeWon]:[HomeWon]], Table1[[GameIsOver]:[GameIsOver]], 1, Table1[[AwayTeam]:[AwayTeam]], $A56, Table1[[HomeTeam]:[HomeTeam]], E$36, Table1[[ActualResult]:[ActualResult]], "SO") + SUMIFS(Table1[[AwayWon]:[AwayWon]], Table1[[GameIsOver]:[GameIsOver]], 1, Table1[[HomeTeam]:[HomeTeam]], $A56, Table1[[AwayTeam]:[AwayTeam]], E$36, Table1[[ActualResult]:[ActualResult]], "SO")))/ (2*((COUNTIFS(Table1[[GameIsOver]:[GameIsOver]],1,Table1[[AwayTeam]:[AwayTeam]],$A56, Table1[[HomeTeam]:[HomeTeam]], E$36)))+( COUNTIFS(Table1[[GameIsOver]:[GameIsOver]],1,Table1[[AwayTeam]:[AwayTeam]],E$36, Table1[[HomeTeam]:[HomeTeam]],$A56))), "")</f>
        <v/>
      </c>
      <c r="F56" s="50" t="str">
        <f>IFERROR(((2 * (SUMIFS(Table1[[AwayWon]:[AwayWon]], Table1[[GameIsOver]:[GameIsOver]], 1, Table1[[AwayTeam]:[AwayTeam]], $A56, Table1[[HomeTeam]:[HomeTeam]], F$36) + SUMIFS(Table1[[HomeWon]:[HomeWon]], Table1[[GameIsOver]:[GameIsOver]], 1, Table1[[HomeTeam]:[HomeTeam]], $A56, Table1[[AwayTeam]:[AwayTeam]], F$36))) + (SUMIFS(Table1[[HomeWon]:[HomeWon]], Table1[[GameIsOver]:[GameIsOver]], 1, Table1[[AwayTeam]:[AwayTeam]], $A56, Table1[[HomeTeam]:[HomeTeam]],  F$36, Table1[[ActualResult]:[ActualResult]], "OT") + SUMIFS(Table1[[AwayWon]:[AwayWon]], Table1[[GameIsOver]:[GameIsOver]], 1, Table1[[HomeTeam]:[HomeTeam]], $A56, Table1[[AwayTeam]:[AwayTeam]], F$36, Table1[[ActualResult]:[ActualResult]], "OT") + SUMIFS(Table1[[HomeWon]:[HomeWon]], Table1[[GameIsOver]:[GameIsOver]], 1, Table1[[AwayTeam]:[AwayTeam]], $A56, Table1[[HomeTeam]:[HomeTeam]], F$36, Table1[[ActualResult]:[ActualResult]], "SO") + SUMIFS(Table1[[AwayWon]:[AwayWon]], Table1[[GameIsOver]:[GameIsOver]], 1, Table1[[HomeTeam]:[HomeTeam]], $A56, Table1[[AwayTeam]:[AwayTeam]], F$36, Table1[[ActualResult]:[ActualResult]], "SO")))/ (2*((COUNTIFS(Table1[[GameIsOver]:[GameIsOver]],1,Table1[[AwayTeam]:[AwayTeam]],$A56, Table1[[HomeTeam]:[HomeTeam]], F$36)))+( COUNTIFS(Table1[[GameIsOver]:[GameIsOver]],1,Table1[[AwayTeam]:[AwayTeam]],F$36, Table1[[HomeTeam]:[HomeTeam]],$A56))), "")</f>
        <v/>
      </c>
      <c r="G56" s="50" t="str">
        <f>IFERROR(((2 * (SUMIFS(Table1[[AwayWon]:[AwayWon]], Table1[[GameIsOver]:[GameIsOver]], 1, Table1[[AwayTeam]:[AwayTeam]], $A56, Table1[[HomeTeam]:[HomeTeam]], G$36) + SUMIFS(Table1[[HomeWon]:[HomeWon]], Table1[[GameIsOver]:[GameIsOver]], 1, Table1[[HomeTeam]:[HomeTeam]], $A56, Table1[[AwayTeam]:[AwayTeam]], G$36))) + (SUMIFS(Table1[[HomeWon]:[HomeWon]], Table1[[GameIsOver]:[GameIsOver]], 1, Table1[[AwayTeam]:[AwayTeam]], $A56, Table1[[HomeTeam]:[HomeTeam]],  G$36, Table1[[ActualResult]:[ActualResult]], "OT") + SUMIFS(Table1[[AwayWon]:[AwayWon]], Table1[[GameIsOver]:[GameIsOver]], 1, Table1[[HomeTeam]:[HomeTeam]], $A56, Table1[[AwayTeam]:[AwayTeam]], G$36, Table1[[ActualResult]:[ActualResult]], "OT") + SUMIFS(Table1[[HomeWon]:[HomeWon]], Table1[[GameIsOver]:[GameIsOver]], 1, Table1[[AwayTeam]:[AwayTeam]], $A56, Table1[[HomeTeam]:[HomeTeam]], G$36, Table1[[ActualResult]:[ActualResult]], "SO") + SUMIFS(Table1[[AwayWon]:[AwayWon]], Table1[[GameIsOver]:[GameIsOver]], 1, Table1[[HomeTeam]:[HomeTeam]], $A56, Table1[[AwayTeam]:[AwayTeam]], G$36, Table1[[ActualResult]:[ActualResult]], "SO")))/ (2*((COUNTIFS(Table1[[GameIsOver]:[GameIsOver]],1,Table1[[AwayTeam]:[AwayTeam]],$A56, Table1[[HomeTeam]:[HomeTeam]], G$36)))+( COUNTIFS(Table1[[GameIsOver]:[GameIsOver]],1,Table1[[AwayTeam]:[AwayTeam]],G$36, Table1[[HomeTeam]:[HomeTeam]],$A56))), "")</f>
        <v/>
      </c>
      <c r="H56" s="50" t="str">
        <f>IFERROR(((2 * (SUMIFS(Table1[[AwayWon]:[AwayWon]], Table1[[GameIsOver]:[GameIsOver]], 1, Table1[[AwayTeam]:[AwayTeam]], $A56, Table1[[HomeTeam]:[HomeTeam]], H$36) + SUMIFS(Table1[[HomeWon]:[HomeWon]], Table1[[GameIsOver]:[GameIsOver]], 1, Table1[[HomeTeam]:[HomeTeam]], $A56, Table1[[AwayTeam]:[AwayTeam]], H$36))) + (SUMIFS(Table1[[HomeWon]:[HomeWon]], Table1[[GameIsOver]:[GameIsOver]], 1, Table1[[AwayTeam]:[AwayTeam]], $A56, Table1[[HomeTeam]:[HomeTeam]],  H$36, Table1[[ActualResult]:[ActualResult]], "OT") + SUMIFS(Table1[[AwayWon]:[AwayWon]], Table1[[GameIsOver]:[GameIsOver]], 1, Table1[[HomeTeam]:[HomeTeam]], $A56, Table1[[AwayTeam]:[AwayTeam]], H$36, Table1[[ActualResult]:[ActualResult]], "OT") + SUMIFS(Table1[[HomeWon]:[HomeWon]], Table1[[GameIsOver]:[GameIsOver]], 1, Table1[[AwayTeam]:[AwayTeam]], $A56, Table1[[HomeTeam]:[HomeTeam]], H$36, Table1[[ActualResult]:[ActualResult]], "SO") + SUMIFS(Table1[[AwayWon]:[AwayWon]], Table1[[GameIsOver]:[GameIsOver]], 1, Table1[[HomeTeam]:[HomeTeam]], $A56, Table1[[AwayTeam]:[AwayTeam]], H$36, Table1[[ActualResult]:[ActualResult]], "SO")))/ (2*((COUNTIFS(Table1[[GameIsOver]:[GameIsOver]],1,Table1[[AwayTeam]:[AwayTeam]],$A56, Table1[[HomeTeam]:[HomeTeam]], H$36)))+( COUNTIFS(Table1[[GameIsOver]:[GameIsOver]],1,Table1[[AwayTeam]:[AwayTeam]],H$36, Table1[[HomeTeam]:[HomeTeam]],$A56))), "")</f>
        <v/>
      </c>
      <c r="I56" s="52" t="str">
        <f>IFERROR(((2 * (SUMIFS(Table1[[AwayWon]:[AwayWon]], Table1[[GameIsOver]:[GameIsOver]], 1, Table1[[AwayTeam]:[AwayTeam]], $A56, Table1[[HomeTeam]:[HomeTeam]], I$36) + SUMIFS(Table1[[HomeWon]:[HomeWon]], Table1[[GameIsOver]:[GameIsOver]], 1, Table1[[HomeTeam]:[HomeTeam]], $A56, Table1[[AwayTeam]:[AwayTeam]], I$36))) + (SUMIFS(Table1[[HomeWon]:[HomeWon]], Table1[[GameIsOver]:[GameIsOver]], 1, Table1[[AwayTeam]:[AwayTeam]], $A56, Table1[[HomeTeam]:[HomeTeam]],  I$36, Table1[[ActualResult]:[ActualResult]], "OT") + SUMIFS(Table1[[AwayWon]:[AwayWon]], Table1[[GameIsOver]:[GameIsOver]], 1, Table1[[HomeTeam]:[HomeTeam]], $A56, Table1[[AwayTeam]:[AwayTeam]], I$36, Table1[[ActualResult]:[ActualResult]], "OT") + SUMIFS(Table1[[HomeWon]:[HomeWon]], Table1[[GameIsOver]:[GameIsOver]], 1, Table1[[AwayTeam]:[AwayTeam]], $A56, Table1[[HomeTeam]:[HomeTeam]], I$36, Table1[[ActualResult]:[ActualResult]], "SO") + SUMIFS(Table1[[AwayWon]:[AwayWon]], Table1[[GameIsOver]:[GameIsOver]], 1, Table1[[HomeTeam]:[HomeTeam]], $A56, Table1[[AwayTeam]:[AwayTeam]], I$36, Table1[[ActualResult]:[ActualResult]], "SO")))/ (2*((COUNTIFS(Table1[[GameIsOver]:[GameIsOver]],1,Table1[[AwayTeam]:[AwayTeam]],$A56, Table1[[HomeTeam]:[HomeTeam]], I$36)))+( COUNTIFS(Table1[[GameIsOver]:[GameIsOver]],1,Table1[[AwayTeam]:[AwayTeam]],I$36, Table1[[HomeTeam]:[HomeTeam]],$A56))), "")</f>
        <v/>
      </c>
      <c r="J56" s="50" t="str">
        <f>IFERROR(((2 * (SUMIFS(Table1[[AwayWon]:[AwayWon]], Table1[[GameIsOver]:[GameIsOver]], 1, Table1[[AwayTeam]:[AwayTeam]], $A56, Table1[[HomeTeam]:[HomeTeam]], J$36) + SUMIFS(Table1[[HomeWon]:[HomeWon]], Table1[[GameIsOver]:[GameIsOver]], 1, Table1[[HomeTeam]:[HomeTeam]], $A56, Table1[[AwayTeam]:[AwayTeam]], J$36))) + (SUMIFS(Table1[[HomeWon]:[HomeWon]], Table1[[GameIsOver]:[GameIsOver]], 1, Table1[[AwayTeam]:[AwayTeam]], $A56, Table1[[HomeTeam]:[HomeTeam]],  J$36, Table1[[ActualResult]:[ActualResult]], "OT") + SUMIFS(Table1[[AwayWon]:[AwayWon]], Table1[[GameIsOver]:[GameIsOver]], 1, Table1[[HomeTeam]:[HomeTeam]], $A56, Table1[[AwayTeam]:[AwayTeam]], J$36, Table1[[ActualResult]:[ActualResult]], "OT") + SUMIFS(Table1[[HomeWon]:[HomeWon]], Table1[[GameIsOver]:[GameIsOver]], 1, Table1[[AwayTeam]:[AwayTeam]], $A56, Table1[[HomeTeam]:[HomeTeam]], J$36, Table1[[ActualResult]:[ActualResult]], "SO") + SUMIFS(Table1[[AwayWon]:[AwayWon]], Table1[[GameIsOver]:[GameIsOver]], 1, Table1[[HomeTeam]:[HomeTeam]], $A56, Table1[[AwayTeam]:[AwayTeam]], J$36, Table1[[ActualResult]:[ActualResult]], "SO")))/ (2*((COUNTIFS(Table1[[GameIsOver]:[GameIsOver]],1,Table1[[AwayTeam]:[AwayTeam]],$A56, Table1[[HomeTeam]:[HomeTeam]], J$36)))+( COUNTIFS(Table1[[GameIsOver]:[GameIsOver]],1,Table1[[AwayTeam]:[AwayTeam]],J$36, Table1[[HomeTeam]:[HomeTeam]],$A56))), "")</f>
        <v/>
      </c>
      <c r="K56" s="50" t="str">
        <f>IFERROR(((2 * (SUMIFS(Table1[[AwayWon]:[AwayWon]], Table1[[GameIsOver]:[GameIsOver]], 1, Table1[[AwayTeam]:[AwayTeam]], $A56, Table1[[HomeTeam]:[HomeTeam]], K$36) + SUMIFS(Table1[[HomeWon]:[HomeWon]], Table1[[GameIsOver]:[GameIsOver]], 1, Table1[[HomeTeam]:[HomeTeam]], $A56, Table1[[AwayTeam]:[AwayTeam]], K$36))) + (SUMIFS(Table1[[HomeWon]:[HomeWon]], Table1[[GameIsOver]:[GameIsOver]], 1, Table1[[AwayTeam]:[AwayTeam]], $A56, Table1[[HomeTeam]:[HomeTeam]],  K$36, Table1[[ActualResult]:[ActualResult]], "OT") + SUMIFS(Table1[[AwayWon]:[AwayWon]], Table1[[GameIsOver]:[GameIsOver]], 1, Table1[[HomeTeam]:[HomeTeam]], $A56, Table1[[AwayTeam]:[AwayTeam]], K$36, Table1[[ActualResult]:[ActualResult]], "OT") + SUMIFS(Table1[[HomeWon]:[HomeWon]], Table1[[GameIsOver]:[GameIsOver]], 1, Table1[[AwayTeam]:[AwayTeam]], $A56, Table1[[HomeTeam]:[HomeTeam]], K$36, Table1[[ActualResult]:[ActualResult]], "SO") + SUMIFS(Table1[[AwayWon]:[AwayWon]], Table1[[GameIsOver]:[GameIsOver]], 1, Table1[[HomeTeam]:[HomeTeam]], $A56, Table1[[AwayTeam]:[AwayTeam]], K$36, Table1[[ActualResult]:[ActualResult]], "SO")))/ (2*((COUNTIFS(Table1[[GameIsOver]:[GameIsOver]],1,Table1[[AwayTeam]:[AwayTeam]],$A56, Table1[[HomeTeam]:[HomeTeam]], K$36)))+( COUNTIFS(Table1[[GameIsOver]:[GameIsOver]],1,Table1[[AwayTeam]:[AwayTeam]],K$36, Table1[[HomeTeam]:[HomeTeam]],$A56))), "")</f>
        <v/>
      </c>
      <c r="L56" s="50" t="str">
        <f>IFERROR(((2 * (SUMIFS(Table1[[AwayWon]:[AwayWon]], Table1[[GameIsOver]:[GameIsOver]], 1, Table1[[AwayTeam]:[AwayTeam]], $A56, Table1[[HomeTeam]:[HomeTeam]], L$36) + SUMIFS(Table1[[HomeWon]:[HomeWon]], Table1[[GameIsOver]:[GameIsOver]], 1, Table1[[HomeTeam]:[HomeTeam]], $A56, Table1[[AwayTeam]:[AwayTeam]], L$36))) + (SUMIFS(Table1[[HomeWon]:[HomeWon]], Table1[[GameIsOver]:[GameIsOver]], 1, Table1[[AwayTeam]:[AwayTeam]], $A56, Table1[[HomeTeam]:[HomeTeam]],  L$36, Table1[[ActualResult]:[ActualResult]], "OT") + SUMIFS(Table1[[AwayWon]:[AwayWon]], Table1[[GameIsOver]:[GameIsOver]], 1, Table1[[HomeTeam]:[HomeTeam]], $A56, Table1[[AwayTeam]:[AwayTeam]], L$36, Table1[[ActualResult]:[ActualResult]], "OT") + SUMIFS(Table1[[HomeWon]:[HomeWon]], Table1[[GameIsOver]:[GameIsOver]], 1, Table1[[AwayTeam]:[AwayTeam]], $A56, Table1[[HomeTeam]:[HomeTeam]], L$36, Table1[[ActualResult]:[ActualResult]], "SO") + SUMIFS(Table1[[AwayWon]:[AwayWon]], Table1[[GameIsOver]:[GameIsOver]], 1, Table1[[HomeTeam]:[HomeTeam]], $A56, Table1[[AwayTeam]:[AwayTeam]], L$36, Table1[[ActualResult]:[ActualResult]], "SO")))/ (2*((COUNTIFS(Table1[[GameIsOver]:[GameIsOver]],1,Table1[[AwayTeam]:[AwayTeam]],$A56, Table1[[HomeTeam]:[HomeTeam]], L$36)))+( COUNTIFS(Table1[[GameIsOver]:[GameIsOver]],1,Table1[[AwayTeam]:[AwayTeam]],L$36, Table1[[HomeTeam]:[HomeTeam]],$A56))), "")</f>
        <v/>
      </c>
      <c r="M56" s="50" t="str">
        <f>IFERROR(((2 * (SUMIFS(Table1[[AwayWon]:[AwayWon]], Table1[[GameIsOver]:[GameIsOver]], 1, Table1[[AwayTeam]:[AwayTeam]], $A56, Table1[[HomeTeam]:[HomeTeam]], M$36) + SUMIFS(Table1[[HomeWon]:[HomeWon]], Table1[[GameIsOver]:[GameIsOver]], 1, Table1[[HomeTeam]:[HomeTeam]], $A56, Table1[[AwayTeam]:[AwayTeam]], M$36))) + (SUMIFS(Table1[[HomeWon]:[HomeWon]], Table1[[GameIsOver]:[GameIsOver]], 1, Table1[[AwayTeam]:[AwayTeam]], $A56, Table1[[HomeTeam]:[HomeTeam]],  M$36, Table1[[ActualResult]:[ActualResult]], "OT") + SUMIFS(Table1[[AwayWon]:[AwayWon]], Table1[[GameIsOver]:[GameIsOver]], 1, Table1[[HomeTeam]:[HomeTeam]], $A56, Table1[[AwayTeam]:[AwayTeam]], M$36, Table1[[ActualResult]:[ActualResult]], "OT") + SUMIFS(Table1[[HomeWon]:[HomeWon]], Table1[[GameIsOver]:[GameIsOver]], 1, Table1[[AwayTeam]:[AwayTeam]], $A56, Table1[[HomeTeam]:[HomeTeam]], M$36, Table1[[ActualResult]:[ActualResult]], "SO") + SUMIFS(Table1[[AwayWon]:[AwayWon]], Table1[[GameIsOver]:[GameIsOver]], 1, Table1[[HomeTeam]:[HomeTeam]], $A56, Table1[[AwayTeam]:[AwayTeam]], M$36, Table1[[ActualResult]:[ActualResult]], "SO")))/ (2*((COUNTIFS(Table1[[GameIsOver]:[GameIsOver]],1,Table1[[AwayTeam]:[AwayTeam]],$A56, Table1[[HomeTeam]:[HomeTeam]], M$36)))+( COUNTIFS(Table1[[GameIsOver]:[GameIsOver]],1,Table1[[AwayTeam]:[AwayTeam]],M$36, Table1[[HomeTeam]:[HomeTeam]],$A56))), "")</f>
        <v/>
      </c>
      <c r="N56" s="50" t="str">
        <f>IFERROR(((2 * (SUMIFS(Table1[[AwayWon]:[AwayWon]], Table1[[GameIsOver]:[GameIsOver]], 1, Table1[[AwayTeam]:[AwayTeam]], $A56, Table1[[HomeTeam]:[HomeTeam]], N$36) + SUMIFS(Table1[[HomeWon]:[HomeWon]], Table1[[GameIsOver]:[GameIsOver]], 1, Table1[[HomeTeam]:[HomeTeam]], $A56, Table1[[AwayTeam]:[AwayTeam]], N$36))) + (SUMIFS(Table1[[HomeWon]:[HomeWon]], Table1[[GameIsOver]:[GameIsOver]], 1, Table1[[AwayTeam]:[AwayTeam]], $A56, Table1[[HomeTeam]:[HomeTeam]],  N$36, Table1[[ActualResult]:[ActualResult]], "OT") + SUMIFS(Table1[[AwayWon]:[AwayWon]], Table1[[GameIsOver]:[GameIsOver]], 1, Table1[[HomeTeam]:[HomeTeam]], $A56, Table1[[AwayTeam]:[AwayTeam]], N$36, Table1[[ActualResult]:[ActualResult]], "OT") + SUMIFS(Table1[[HomeWon]:[HomeWon]], Table1[[GameIsOver]:[GameIsOver]], 1, Table1[[AwayTeam]:[AwayTeam]], $A56, Table1[[HomeTeam]:[HomeTeam]], N$36, Table1[[ActualResult]:[ActualResult]], "SO") + SUMIFS(Table1[[AwayWon]:[AwayWon]], Table1[[GameIsOver]:[GameIsOver]], 1, Table1[[HomeTeam]:[HomeTeam]], $A56, Table1[[AwayTeam]:[AwayTeam]], N$36, Table1[[ActualResult]:[ActualResult]], "SO")))/ (2*((COUNTIFS(Table1[[GameIsOver]:[GameIsOver]],1,Table1[[AwayTeam]:[AwayTeam]],$A56, Table1[[HomeTeam]:[HomeTeam]], N$36)))+( COUNTIFS(Table1[[GameIsOver]:[GameIsOver]],1,Table1[[AwayTeam]:[AwayTeam]],N$36, Table1[[HomeTeam]:[HomeTeam]],$A56))), "")</f>
        <v/>
      </c>
      <c r="O56" s="50">
        <f>IFERROR(((2 * (SUMIFS(Table1[[AwayWon]:[AwayWon]], Table1[[GameIsOver]:[GameIsOver]], 1, Table1[[AwayTeam]:[AwayTeam]], $A56, Table1[[HomeTeam]:[HomeTeam]], O$36) + SUMIFS(Table1[[HomeWon]:[HomeWon]], Table1[[GameIsOver]:[GameIsOver]], 1, Table1[[HomeTeam]:[HomeTeam]], $A56, Table1[[AwayTeam]:[AwayTeam]], O$36))) + (SUMIFS(Table1[[HomeWon]:[HomeWon]], Table1[[GameIsOver]:[GameIsOver]], 1, Table1[[AwayTeam]:[AwayTeam]], $A56, Table1[[HomeTeam]:[HomeTeam]],  O$36, Table1[[ActualResult]:[ActualResult]], "OT") + SUMIFS(Table1[[AwayWon]:[AwayWon]], Table1[[GameIsOver]:[GameIsOver]], 1, Table1[[HomeTeam]:[HomeTeam]], $A56, Table1[[AwayTeam]:[AwayTeam]], O$36, Table1[[ActualResult]:[ActualResult]], "OT") + SUMIFS(Table1[[HomeWon]:[HomeWon]], Table1[[GameIsOver]:[GameIsOver]], 1, Table1[[AwayTeam]:[AwayTeam]], $A56, Table1[[HomeTeam]:[HomeTeam]], O$36, Table1[[ActualResult]:[ActualResult]], "SO") + SUMIFS(Table1[[AwayWon]:[AwayWon]], Table1[[GameIsOver]:[GameIsOver]], 1, Table1[[HomeTeam]:[HomeTeam]], $A56, Table1[[AwayTeam]:[AwayTeam]], O$36, Table1[[ActualResult]:[ActualResult]], "SO")))/ (2*((COUNTIFS(Table1[[GameIsOver]:[GameIsOver]],1,Table1[[AwayTeam]:[AwayTeam]],$A56, Table1[[HomeTeam]:[HomeTeam]], O$36)))+( COUNTIFS(Table1[[GameIsOver]:[GameIsOver]],1,Table1[[AwayTeam]:[AwayTeam]],O$36, Table1[[HomeTeam]:[HomeTeam]],$A56))), "")</f>
        <v>1</v>
      </c>
      <c r="P56" s="50" t="str">
        <f>IFERROR(((2 * (SUMIFS(Table1[[AwayWon]:[AwayWon]], Table1[[GameIsOver]:[GameIsOver]], 1, Table1[[AwayTeam]:[AwayTeam]], $A56, Table1[[HomeTeam]:[HomeTeam]], P$36) + SUMIFS(Table1[[HomeWon]:[HomeWon]], Table1[[GameIsOver]:[GameIsOver]], 1, Table1[[HomeTeam]:[HomeTeam]], $A56, Table1[[AwayTeam]:[AwayTeam]], P$36))) + (SUMIFS(Table1[[HomeWon]:[HomeWon]], Table1[[GameIsOver]:[GameIsOver]], 1, Table1[[AwayTeam]:[AwayTeam]], $A56, Table1[[HomeTeam]:[HomeTeam]],  P$36, Table1[[ActualResult]:[ActualResult]], "OT") + SUMIFS(Table1[[AwayWon]:[AwayWon]], Table1[[GameIsOver]:[GameIsOver]], 1, Table1[[HomeTeam]:[HomeTeam]], $A56, Table1[[AwayTeam]:[AwayTeam]], P$36, Table1[[ActualResult]:[ActualResult]], "OT") + SUMIFS(Table1[[HomeWon]:[HomeWon]], Table1[[GameIsOver]:[GameIsOver]], 1, Table1[[AwayTeam]:[AwayTeam]], $A56, Table1[[HomeTeam]:[HomeTeam]], P$36, Table1[[ActualResult]:[ActualResult]], "SO") + SUMIFS(Table1[[AwayWon]:[AwayWon]], Table1[[GameIsOver]:[GameIsOver]], 1, Table1[[HomeTeam]:[HomeTeam]], $A56, Table1[[AwayTeam]:[AwayTeam]], P$36, Table1[[ActualResult]:[ActualResult]], "SO")))/ (2*((COUNTIFS(Table1[[GameIsOver]:[GameIsOver]],1,Table1[[AwayTeam]:[AwayTeam]],$A56, Table1[[HomeTeam]:[HomeTeam]], P$36)))+( COUNTIFS(Table1[[GameIsOver]:[GameIsOver]],1,Table1[[AwayTeam]:[AwayTeam]],P$36, Table1[[HomeTeam]:[HomeTeam]],$A56))), "")</f>
        <v/>
      </c>
      <c r="Q56" s="52" t="str">
        <f>IFERROR(((2 * (SUMIFS(Table1[[AwayWon]:[AwayWon]], Table1[[GameIsOver]:[GameIsOver]], 1, Table1[[AwayTeam]:[AwayTeam]], $A56, Table1[[HomeTeam]:[HomeTeam]], Q$36) + SUMIFS(Table1[[HomeWon]:[HomeWon]], Table1[[GameIsOver]:[GameIsOver]], 1, Table1[[HomeTeam]:[HomeTeam]], $A56, Table1[[AwayTeam]:[AwayTeam]], Q$36))) + (SUMIFS(Table1[[HomeWon]:[HomeWon]], Table1[[GameIsOver]:[GameIsOver]], 1, Table1[[AwayTeam]:[AwayTeam]], $A56, Table1[[HomeTeam]:[HomeTeam]],  Q$36, Table1[[ActualResult]:[ActualResult]], "OT") + SUMIFS(Table1[[AwayWon]:[AwayWon]], Table1[[GameIsOver]:[GameIsOver]], 1, Table1[[HomeTeam]:[HomeTeam]], $A56, Table1[[AwayTeam]:[AwayTeam]], Q$36, Table1[[ActualResult]:[ActualResult]], "OT") + SUMIFS(Table1[[HomeWon]:[HomeWon]], Table1[[GameIsOver]:[GameIsOver]], 1, Table1[[AwayTeam]:[AwayTeam]], $A56, Table1[[HomeTeam]:[HomeTeam]], Q$36, Table1[[ActualResult]:[ActualResult]], "SO") + SUMIFS(Table1[[AwayWon]:[AwayWon]], Table1[[GameIsOver]:[GameIsOver]], 1, Table1[[HomeTeam]:[HomeTeam]], $A56, Table1[[AwayTeam]:[AwayTeam]], Q$36, Table1[[ActualResult]:[ActualResult]], "SO")))/ (2*((COUNTIFS(Table1[[GameIsOver]:[GameIsOver]],1,Table1[[AwayTeam]:[AwayTeam]],$A56, Table1[[HomeTeam]:[HomeTeam]], Q$36)))+( COUNTIFS(Table1[[GameIsOver]:[GameIsOver]],1,Table1[[AwayTeam]:[AwayTeam]],Q$36, Table1[[HomeTeam]:[HomeTeam]],$A56))), "")</f>
        <v/>
      </c>
      <c r="R56" s="50" t="str">
        <f>IFERROR(((2 * (SUMIFS(Table1[[AwayWon]:[AwayWon]], Table1[[GameIsOver]:[GameIsOver]], 1, Table1[[AwayTeam]:[AwayTeam]], $A56, Table1[[HomeTeam]:[HomeTeam]], R$36) + SUMIFS(Table1[[HomeWon]:[HomeWon]], Table1[[GameIsOver]:[GameIsOver]], 1, Table1[[HomeTeam]:[HomeTeam]], $A56, Table1[[AwayTeam]:[AwayTeam]], R$36))) + (SUMIFS(Table1[[HomeWon]:[HomeWon]], Table1[[GameIsOver]:[GameIsOver]], 1, Table1[[AwayTeam]:[AwayTeam]], $A56, Table1[[HomeTeam]:[HomeTeam]],  R$36, Table1[[ActualResult]:[ActualResult]], "OT") + SUMIFS(Table1[[AwayWon]:[AwayWon]], Table1[[GameIsOver]:[GameIsOver]], 1, Table1[[HomeTeam]:[HomeTeam]], $A56, Table1[[AwayTeam]:[AwayTeam]], R$36, Table1[[ActualResult]:[ActualResult]], "OT") + SUMIFS(Table1[[HomeWon]:[HomeWon]], Table1[[GameIsOver]:[GameIsOver]], 1, Table1[[AwayTeam]:[AwayTeam]], $A56, Table1[[HomeTeam]:[HomeTeam]], R$36, Table1[[ActualResult]:[ActualResult]], "SO") + SUMIFS(Table1[[AwayWon]:[AwayWon]], Table1[[GameIsOver]:[GameIsOver]], 1, Table1[[HomeTeam]:[HomeTeam]], $A56, Table1[[AwayTeam]:[AwayTeam]], R$36, Table1[[ActualResult]:[ActualResult]], "SO")))/ (2*((COUNTIFS(Table1[[GameIsOver]:[GameIsOver]],1,Table1[[AwayTeam]:[AwayTeam]],$A56, Table1[[HomeTeam]:[HomeTeam]], R$36)))+( COUNTIFS(Table1[[GameIsOver]:[GameIsOver]],1,Table1[[AwayTeam]:[AwayTeam]],R$36, Table1[[HomeTeam]:[HomeTeam]],$A56))), "")</f>
        <v/>
      </c>
      <c r="S56" s="50" t="str">
        <f>IFERROR(((2 * (SUMIFS(Table1[[AwayWon]:[AwayWon]], Table1[[GameIsOver]:[GameIsOver]], 1, Table1[[AwayTeam]:[AwayTeam]], $A56, Table1[[HomeTeam]:[HomeTeam]], S$36) + SUMIFS(Table1[[HomeWon]:[HomeWon]], Table1[[GameIsOver]:[GameIsOver]], 1, Table1[[HomeTeam]:[HomeTeam]], $A56, Table1[[AwayTeam]:[AwayTeam]], S$36))) + (SUMIFS(Table1[[HomeWon]:[HomeWon]], Table1[[GameIsOver]:[GameIsOver]], 1, Table1[[AwayTeam]:[AwayTeam]], $A56, Table1[[HomeTeam]:[HomeTeam]],  S$36, Table1[[ActualResult]:[ActualResult]], "OT") + SUMIFS(Table1[[AwayWon]:[AwayWon]], Table1[[GameIsOver]:[GameIsOver]], 1, Table1[[HomeTeam]:[HomeTeam]], $A56, Table1[[AwayTeam]:[AwayTeam]], S$36, Table1[[ActualResult]:[ActualResult]], "OT") + SUMIFS(Table1[[HomeWon]:[HomeWon]], Table1[[GameIsOver]:[GameIsOver]], 1, Table1[[AwayTeam]:[AwayTeam]], $A56, Table1[[HomeTeam]:[HomeTeam]], S$36, Table1[[ActualResult]:[ActualResult]], "SO") + SUMIFS(Table1[[AwayWon]:[AwayWon]], Table1[[GameIsOver]:[GameIsOver]], 1, Table1[[HomeTeam]:[HomeTeam]], $A56, Table1[[AwayTeam]:[AwayTeam]], S$36, Table1[[ActualResult]:[ActualResult]], "SO")))/ (2*((COUNTIFS(Table1[[GameIsOver]:[GameIsOver]],1,Table1[[AwayTeam]:[AwayTeam]],$A56, Table1[[HomeTeam]:[HomeTeam]], S$36)))+( COUNTIFS(Table1[[GameIsOver]:[GameIsOver]],1,Table1[[AwayTeam]:[AwayTeam]],S$36, Table1[[HomeTeam]:[HomeTeam]],$A56))), "")</f>
        <v/>
      </c>
      <c r="T56" s="50" t="str">
        <f>IFERROR(((2 * (SUMIFS(Table1[[AwayWon]:[AwayWon]], Table1[[GameIsOver]:[GameIsOver]], 1, Table1[[AwayTeam]:[AwayTeam]], $A56, Table1[[HomeTeam]:[HomeTeam]], T$36) + SUMIFS(Table1[[HomeWon]:[HomeWon]], Table1[[GameIsOver]:[GameIsOver]], 1, Table1[[HomeTeam]:[HomeTeam]], $A56, Table1[[AwayTeam]:[AwayTeam]], T$36))) + (SUMIFS(Table1[[HomeWon]:[HomeWon]], Table1[[GameIsOver]:[GameIsOver]], 1, Table1[[AwayTeam]:[AwayTeam]], $A56, Table1[[HomeTeam]:[HomeTeam]],  T$36, Table1[[ActualResult]:[ActualResult]], "OT") + SUMIFS(Table1[[AwayWon]:[AwayWon]], Table1[[GameIsOver]:[GameIsOver]], 1, Table1[[HomeTeam]:[HomeTeam]], $A56, Table1[[AwayTeam]:[AwayTeam]], T$36, Table1[[ActualResult]:[ActualResult]], "OT") + SUMIFS(Table1[[HomeWon]:[HomeWon]], Table1[[GameIsOver]:[GameIsOver]], 1, Table1[[AwayTeam]:[AwayTeam]], $A56, Table1[[HomeTeam]:[HomeTeam]], T$36, Table1[[ActualResult]:[ActualResult]], "SO") + SUMIFS(Table1[[AwayWon]:[AwayWon]], Table1[[GameIsOver]:[GameIsOver]], 1, Table1[[HomeTeam]:[HomeTeam]], $A56, Table1[[AwayTeam]:[AwayTeam]], T$36, Table1[[ActualResult]:[ActualResult]], "SO")))/ (2*((COUNTIFS(Table1[[GameIsOver]:[GameIsOver]],1,Table1[[AwayTeam]:[AwayTeam]],$A56, Table1[[HomeTeam]:[HomeTeam]], T$36)))+( COUNTIFS(Table1[[GameIsOver]:[GameIsOver]],1,Table1[[AwayTeam]:[AwayTeam]],T$36, Table1[[HomeTeam]:[HomeTeam]],$A56))), "")</f>
        <v/>
      </c>
      <c r="U56" s="50" t="str">
        <f>IFERROR(((2 * (SUMIFS(Table1[[AwayWon]:[AwayWon]], Table1[[GameIsOver]:[GameIsOver]], 1, Table1[[AwayTeam]:[AwayTeam]], $A56, Table1[[HomeTeam]:[HomeTeam]], U$36) + SUMIFS(Table1[[HomeWon]:[HomeWon]], Table1[[GameIsOver]:[GameIsOver]], 1, Table1[[HomeTeam]:[HomeTeam]], $A56, Table1[[AwayTeam]:[AwayTeam]], U$36))) + (SUMIFS(Table1[[HomeWon]:[HomeWon]], Table1[[GameIsOver]:[GameIsOver]], 1, Table1[[AwayTeam]:[AwayTeam]], $A56, Table1[[HomeTeam]:[HomeTeam]],  U$36, Table1[[ActualResult]:[ActualResult]], "OT") + SUMIFS(Table1[[AwayWon]:[AwayWon]], Table1[[GameIsOver]:[GameIsOver]], 1, Table1[[HomeTeam]:[HomeTeam]], $A56, Table1[[AwayTeam]:[AwayTeam]], U$36, Table1[[ActualResult]:[ActualResult]], "OT") + SUMIFS(Table1[[HomeWon]:[HomeWon]], Table1[[GameIsOver]:[GameIsOver]], 1, Table1[[AwayTeam]:[AwayTeam]], $A56, Table1[[HomeTeam]:[HomeTeam]], U$36, Table1[[ActualResult]:[ActualResult]], "SO") + SUMIFS(Table1[[AwayWon]:[AwayWon]], Table1[[GameIsOver]:[GameIsOver]], 1, Table1[[HomeTeam]:[HomeTeam]], $A56, Table1[[AwayTeam]:[AwayTeam]], U$36, Table1[[ActualResult]:[ActualResult]], "SO")))/ (2*((COUNTIFS(Table1[[GameIsOver]:[GameIsOver]],1,Table1[[AwayTeam]:[AwayTeam]],$A56, Table1[[HomeTeam]:[HomeTeam]], U$36)))+( COUNTIFS(Table1[[GameIsOver]:[GameIsOver]],1,Table1[[AwayTeam]:[AwayTeam]],U$36, Table1[[HomeTeam]:[HomeTeam]],$A56))), "")</f>
        <v/>
      </c>
      <c r="V56" s="50" t="str">
        <f>IFERROR(((2 * (SUMIFS(Table1[[AwayWon]:[AwayWon]], Table1[[GameIsOver]:[GameIsOver]], 1, Table1[[AwayTeam]:[AwayTeam]], $A56, Table1[[HomeTeam]:[HomeTeam]], V$36) + SUMIFS(Table1[[HomeWon]:[HomeWon]], Table1[[GameIsOver]:[GameIsOver]], 1, Table1[[HomeTeam]:[HomeTeam]], $A56, Table1[[AwayTeam]:[AwayTeam]], V$36))) + (SUMIFS(Table1[[HomeWon]:[HomeWon]], Table1[[GameIsOver]:[GameIsOver]], 1, Table1[[AwayTeam]:[AwayTeam]], $A56, Table1[[HomeTeam]:[HomeTeam]],  V$36, Table1[[ActualResult]:[ActualResult]], "OT") + SUMIFS(Table1[[AwayWon]:[AwayWon]], Table1[[GameIsOver]:[GameIsOver]], 1, Table1[[HomeTeam]:[HomeTeam]], $A56, Table1[[AwayTeam]:[AwayTeam]], V$36, Table1[[ActualResult]:[ActualResult]], "OT") + SUMIFS(Table1[[HomeWon]:[HomeWon]], Table1[[GameIsOver]:[GameIsOver]], 1, Table1[[AwayTeam]:[AwayTeam]], $A56, Table1[[HomeTeam]:[HomeTeam]], V$36, Table1[[ActualResult]:[ActualResult]], "SO") + SUMIFS(Table1[[AwayWon]:[AwayWon]], Table1[[GameIsOver]:[GameIsOver]], 1, Table1[[HomeTeam]:[HomeTeam]], $A56, Table1[[AwayTeam]:[AwayTeam]], V$36, Table1[[ActualResult]:[ActualResult]], "SO")))/ (2*((COUNTIFS(Table1[[GameIsOver]:[GameIsOver]],1,Table1[[AwayTeam]:[AwayTeam]],$A56, Table1[[HomeTeam]:[HomeTeam]], V$36)))+( COUNTIFS(Table1[[GameIsOver]:[GameIsOver]],1,Table1[[AwayTeam]:[AwayTeam]],V$36, Table1[[HomeTeam]:[HomeTeam]],$A56))), "")</f>
        <v/>
      </c>
      <c r="W56" s="50" t="str">
        <f>IFERROR(((2 * (SUMIFS(Table1[[AwayWon]:[AwayWon]], Table1[[GameIsOver]:[GameIsOver]], 1, Table1[[AwayTeam]:[AwayTeam]], $A56, Table1[[HomeTeam]:[HomeTeam]], W$36) + SUMIFS(Table1[[HomeWon]:[HomeWon]], Table1[[GameIsOver]:[GameIsOver]], 1, Table1[[HomeTeam]:[HomeTeam]], $A56, Table1[[AwayTeam]:[AwayTeam]], W$36))) + (SUMIFS(Table1[[HomeWon]:[HomeWon]], Table1[[GameIsOver]:[GameIsOver]], 1, Table1[[AwayTeam]:[AwayTeam]], $A56, Table1[[HomeTeam]:[HomeTeam]],  W$36, Table1[[ActualResult]:[ActualResult]], "OT") + SUMIFS(Table1[[AwayWon]:[AwayWon]], Table1[[GameIsOver]:[GameIsOver]], 1, Table1[[HomeTeam]:[HomeTeam]], $A56, Table1[[AwayTeam]:[AwayTeam]], W$36, Table1[[ActualResult]:[ActualResult]], "OT") + SUMIFS(Table1[[HomeWon]:[HomeWon]], Table1[[GameIsOver]:[GameIsOver]], 1, Table1[[AwayTeam]:[AwayTeam]], $A56, Table1[[HomeTeam]:[HomeTeam]], W$36, Table1[[ActualResult]:[ActualResult]], "SO") + SUMIFS(Table1[[AwayWon]:[AwayWon]], Table1[[GameIsOver]:[GameIsOver]], 1, Table1[[HomeTeam]:[HomeTeam]], $A56, Table1[[AwayTeam]:[AwayTeam]], W$36, Table1[[ActualResult]:[ActualResult]], "SO")))/ (2*((COUNTIFS(Table1[[GameIsOver]:[GameIsOver]],1,Table1[[AwayTeam]:[AwayTeam]],$A56, Table1[[HomeTeam]:[HomeTeam]], W$36)))+( COUNTIFS(Table1[[GameIsOver]:[GameIsOver]],1,Table1[[AwayTeam]:[AwayTeam]],W$36, Table1[[HomeTeam]:[HomeTeam]],$A56))), "")</f>
        <v/>
      </c>
      <c r="X56" s="50" t="str">
        <f>IFERROR(((2 * (SUMIFS(Table1[[AwayWon]:[AwayWon]], Table1[[GameIsOver]:[GameIsOver]], 1, Table1[[AwayTeam]:[AwayTeam]], $A56, Table1[[HomeTeam]:[HomeTeam]], X$36) + SUMIFS(Table1[[HomeWon]:[HomeWon]], Table1[[GameIsOver]:[GameIsOver]], 1, Table1[[HomeTeam]:[HomeTeam]], $A56, Table1[[AwayTeam]:[AwayTeam]], X$36))) + (SUMIFS(Table1[[HomeWon]:[HomeWon]], Table1[[GameIsOver]:[GameIsOver]], 1, Table1[[AwayTeam]:[AwayTeam]], $A56, Table1[[HomeTeam]:[HomeTeam]],  X$36, Table1[[ActualResult]:[ActualResult]], "OT") + SUMIFS(Table1[[AwayWon]:[AwayWon]], Table1[[GameIsOver]:[GameIsOver]], 1, Table1[[HomeTeam]:[HomeTeam]], $A56, Table1[[AwayTeam]:[AwayTeam]], X$36, Table1[[ActualResult]:[ActualResult]], "OT") + SUMIFS(Table1[[HomeWon]:[HomeWon]], Table1[[GameIsOver]:[GameIsOver]], 1, Table1[[AwayTeam]:[AwayTeam]], $A56, Table1[[HomeTeam]:[HomeTeam]], X$36, Table1[[ActualResult]:[ActualResult]], "SO") + SUMIFS(Table1[[AwayWon]:[AwayWon]], Table1[[GameIsOver]:[GameIsOver]], 1, Table1[[HomeTeam]:[HomeTeam]], $A56, Table1[[AwayTeam]:[AwayTeam]], X$36, Table1[[ActualResult]:[ActualResult]], "SO")))/ (2*((COUNTIFS(Table1[[GameIsOver]:[GameIsOver]],1,Table1[[AwayTeam]:[AwayTeam]],$A56, Table1[[HomeTeam]:[HomeTeam]], X$36)))+( COUNTIFS(Table1[[GameIsOver]:[GameIsOver]],1,Table1[[AwayTeam]:[AwayTeam]],X$36, Table1[[HomeTeam]:[HomeTeam]],$A56))), "")</f>
        <v/>
      </c>
      <c r="Y56" s="52" t="str">
        <f>IFERROR(((2 * (SUMIFS(Table1[[AwayWon]:[AwayWon]], Table1[[GameIsOver]:[GameIsOver]], 1, Table1[[AwayTeam]:[AwayTeam]], $A56, Table1[[HomeTeam]:[HomeTeam]], Y$36) + SUMIFS(Table1[[HomeWon]:[HomeWon]], Table1[[GameIsOver]:[GameIsOver]], 1, Table1[[HomeTeam]:[HomeTeam]], $A56, Table1[[AwayTeam]:[AwayTeam]], Y$36))) + (SUMIFS(Table1[[HomeWon]:[HomeWon]], Table1[[GameIsOver]:[GameIsOver]], 1, Table1[[AwayTeam]:[AwayTeam]], $A56, Table1[[HomeTeam]:[HomeTeam]],  Y$36, Table1[[ActualResult]:[ActualResult]], "OT") + SUMIFS(Table1[[AwayWon]:[AwayWon]], Table1[[GameIsOver]:[GameIsOver]], 1, Table1[[HomeTeam]:[HomeTeam]], $A56, Table1[[AwayTeam]:[AwayTeam]], Y$36, Table1[[ActualResult]:[ActualResult]], "OT") + SUMIFS(Table1[[HomeWon]:[HomeWon]], Table1[[GameIsOver]:[GameIsOver]], 1, Table1[[AwayTeam]:[AwayTeam]], $A56, Table1[[HomeTeam]:[HomeTeam]], Y$36, Table1[[ActualResult]:[ActualResult]], "SO") + SUMIFS(Table1[[AwayWon]:[AwayWon]], Table1[[GameIsOver]:[GameIsOver]], 1, Table1[[HomeTeam]:[HomeTeam]], $A56, Table1[[AwayTeam]:[AwayTeam]], Y$36, Table1[[ActualResult]:[ActualResult]], "SO")))/ (2*((COUNTIFS(Table1[[GameIsOver]:[GameIsOver]],1,Table1[[AwayTeam]:[AwayTeam]],$A56, Table1[[HomeTeam]:[HomeTeam]], Y$36)))+( COUNTIFS(Table1[[GameIsOver]:[GameIsOver]],1,Table1[[AwayTeam]:[AwayTeam]],Y$36, Table1[[HomeTeam]:[HomeTeam]],$A56))), "")</f>
        <v/>
      </c>
      <c r="Z56" s="50" t="str">
        <f>IFERROR(((2 * (SUMIFS(Table1[[AwayWon]:[AwayWon]], Table1[[GameIsOver]:[GameIsOver]], 1, Table1[[AwayTeam]:[AwayTeam]], $A56, Table1[[HomeTeam]:[HomeTeam]], Z$36) + SUMIFS(Table1[[HomeWon]:[HomeWon]], Table1[[GameIsOver]:[GameIsOver]], 1, Table1[[HomeTeam]:[HomeTeam]], $A56, Table1[[AwayTeam]:[AwayTeam]], Z$36))) + (SUMIFS(Table1[[HomeWon]:[HomeWon]], Table1[[GameIsOver]:[GameIsOver]], 1, Table1[[AwayTeam]:[AwayTeam]], $A56, Table1[[HomeTeam]:[HomeTeam]],  Z$36, Table1[[ActualResult]:[ActualResult]], "OT") + SUMIFS(Table1[[AwayWon]:[AwayWon]], Table1[[GameIsOver]:[GameIsOver]], 1, Table1[[HomeTeam]:[HomeTeam]], $A56, Table1[[AwayTeam]:[AwayTeam]], Z$36, Table1[[ActualResult]:[ActualResult]], "OT") + SUMIFS(Table1[[HomeWon]:[HomeWon]], Table1[[GameIsOver]:[GameIsOver]], 1, Table1[[AwayTeam]:[AwayTeam]], $A56, Table1[[HomeTeam]:[HomeTeam]], Z$36, Table1[[ActualResult]:[ActualResult]], "SO") + SUMIFS(Table1[[AwayWon]:[AwayWon]], Table1[[GameIsOver]:[GameIsOver]], 1, Table1[[HomeTeam]:[HomeTeam]], $A56, Table1[[AwayTeam]:[AwayTeam]], Z$36, Table1[[ActualResult]:[ActualResult]], "SO")))/ (2*((COUNTIFS(Table1[[GameIsOver]:[GameIsOver]],1,Table1[[AwayTeam]:[AwayTeam]],$A56, Table1[[HomeTeam]:[HomeTeam]], Z$36)))+( COUNTIFS(Table1[[GameIsOver]:[GameIsOver]],1,Table1[[AwayTeam]:[AwayTeam]],Z$36, Table1[[HomeTeam]:[HomeTeam]],$A56))), "")</f>
        <v/>
      </c>
      <c r="AA56" s="50" t="str">
        <f>IFERROR(((2 * (SUMIFS(Table1[[AwayWon]:[AwayWon]], Table1[[GameIsOver]:[GameIsOver]], 1, Table1[[AwayTeam]:[AwayTeam]], $A56, Table1[[HomeTeam]:[HomeTeam]], AA$36) + SUMIFS(Table1[[HomeWon]:[HomeWon]], Table1[[GameIsOver]:[GameIsOver]], 1, Table1[[HomeTeam]:[HomeTeam]], $A56, Table1[[AwayTeam]:[AwayTeam]], AA$36))) + (SUMIFS(Table1[[HomeWon]:[HomeWon]], Table1[[GameIsOver]:[GameIsOver]], 1, Table1[[AwayTeam]:[AwayTeam]], $A56, Table1[[HomeTeam]:[HomeTeam]],  AA$36, Table1[[ActualResult]:[ActualResult]], "OT") + SUMIFS(Table1[[AwayWon]:[AwayWon]], Table1[[GameIsOver]:[GameIsOver]], 1, Table1[[HomeTeam]:[HomeTeam]], $A56, Table1[[AwayTeam]:[AwayTeam]], AA$36, Table1[[ActualResult]:[ActualResult]], "OT") + SUMIFS(Table1[[HomeWon]:[HomeWon]], Table1[[GameIsOver]:[GameIsOver]], 1, Table1[[AwayTeam]:[AwayTeam]], $A56, Table1[[HomeTeam]:[HomeTeam]], AA$36, Table1[[ActualResult]:[ActualResult]], "SO") + SUMIFS(Table1[[AwayWon]:[AwayWon]], Table1[[GameIsOver]:[GameIsOver]], 1, Table1[[HomeTeam]:[HomeTeam]], $A56, Table1[[AwayTeam]:[AwayTeam]], AA$36, Table1[[ActualResult]:[ActualResult]], "SO")))/ (2*((COUNTIFS(Table1[[GameIsOver]:[GameIsOver]],1,Table1[[AwayTeam]:[AwayTeam]],$A56, Table1[[HomeTeam]:[HomeTeam]], AA$36)))+( COUNTIFS(Table1[[GameIsOver]:[GameIsOver]],1,Table1[[AwayTeam]:[AwayTeam]],AA$36, Table1[[HomeTeam]:[HomeTeam]],$A56))), "")</f>
        <v/>
      </c>
      <c r="AB56" s="50" t="str">
        <f>IFERROR(((2 * (SUMIFS(Table1[[AwayWon]:[AwayWon]], Table1[[GameIsOver]:[GameIsOver]], 1, Table1[[AwayTeam]:[AwayTeam]], $A56, Table1[[HomeTeam]:[HomeTeam]], AB$36) + SUMIFS(Table1[[HomeWon]:[HomeWon]], Table1[[GameIsOver]:[GameIsOver]], 1, Table1[[HomeTeam]:[HomeTeam]], $A56, Table1[[AwayTeam]:[AwayTeam]], AB$36))) + (SUMIFS(Table1[[HomeWon]:[HomeWon]], Table1[[GameIsOver]:[GameIsOver]], 1, Table1[[AwayTeam]:[AwayTeam]], $A56, Table1[[HomeTeam]:[HomeTeam]],  AB$36, Table1[[ActualResult]:[ActualResult]], "OT") + SUMIFS(Table1[[AwayWon]:[AwayWon]], Table1[[GameIsOver]:[GameIsOver]], 1, Table1[[HomeTeam]:[HomeTeam]], $A56, Table1[[AwayTeam]:[AwayTeam]], AB$36, Table1[[ActualResult]:[ActualResult]], "OT") + SUMIFS(Table1[[HomeWon]:[HomeWon]], Table1[[GameIsOver]:[GameIsOver]], 1, Table1[[AwayTeam]:[AwayTeam]], $A56, Table1[[HomeTeam]:[HomeTeam]], AB$36, Table1[[ActualResult]:[ActualResult]], "SO") + SUMIFS(Table1[[AwayWon]:[AwayWon]], Table1[[GameIsOver]:[GameIsOver]], 1, Table1[[HomeTeam]:[HomeTeam]], $A56, Table1[[AwayTeam]:[AwayTeam]], AB$36, Table1[[ActualResult]:[ActualResult]], "SO")))/ (2*((COUNTIFS(Table1[[GameIsOver]:[GameIsOver]],1,Table1[[AwayTeam]:[AwayTeam]],$A56, Table1[[HomeTeam]:[HomeTeam]], AB$36)))+( COUNTIFS(Table1[[GameIsOver]:[GameIsOver]],1,Table1[[AwayTeam]:[AwayTeam]],AB$36, Table1[[HomeTeam]:[HomeTeam]],$A56))), "")</f>
        <v/>
      </c>
      <c r="AC56" s="50" t="str">
        <f>IFERROR(((2 * (SUMIFS(Table1[[AwayWon]:[AwayWon]], Table1[[GameIsOver]:[GameIsOver]], 1, Table1[[AwayTeam]:[AwayTeam]], $A56, Table1[[HomeTeam]:[HomeTeam]], AC$36) + SUMIFS(Table1[[HomeWon]:[HomeWon]], Table1[[GameIsOver]:[GameIsOver]], 1, Table1[[HomeTeam]:[HomeTeam]], $A56, Table1[[AwayTeam]:[AwayTeam]], AC$36))) + (SUMIFS(Table1[[HomeWon]:[HomeWon]], Table1[[GameIsOver]:[GameIsOver]], 1, Table1[[AwayTeam]:[AwayTeam]], $A56, Table1[[HomeTeam]:[HomeTeam]],  AC$36, Table1[[ActualResult]:[ActualResult]], "OT") + SUMIFS(Table1[[AwayWon]:[AwayWon]], Table1[[GameIsOver]:[GameIsOver]], 1, Table1[[HomeTeam]:[HomeTeam]], $A56, Table1[[AwayTeam]:[AwayTeam]], AC$36, Table1[[ActualResult]:[ActualResult]], "OT") + SUMIFS(Table1[[HomeWon]:[HomeWon]], Table1[[GameIsOver]:[GameIsOver]], 1, Table1[[AwayTeam]:[AwayTeam]], $A56, Table1[[HomeTeam]:[HomeTeam]], AC$36, Table1[[ActualResult]:[ActualResult]], "SO") + SUMIFS(Table1[[AwayWon]:[AwayWon]], Table1[[GameIsOver]:[GameIsOver]], 1, Table1[[HomeTeam]:[HomeTeam]], $A56, Table1[[AwayTeam]:[AwayTeam]], AC$36, Table1[[ActualResult]:[ActualResult]], "SO")))/ (2*((COUNTIFS(Table1[[GameIsOver]:[GameIsOver]],1,Table1[[AwayTeam]:[AwayTeam]],$A56, Table1[[HomeTeam]:[HomeTeam]], AC$36)))+( COUNTIFS(Table1[[GameIsOver]:[GameIsOver]],1,Table1[[AwayTeam]:[AwayTeam]],AC$36, Table1[[HomeTeam]:[HomeTeam]],$A56))), "")</f>
        <v/>
      </c>
      <c r="AD56" s="50" t="str">
        <f>IFERROR(((2 * (SUMIFS(Table1[[AwayWon]:[AwayWon]], Table1[[GameIsOver]:[GameIsOver]], 1, Table1[[AwayTeam]:[AwayTeam]], $A56, Table1[[HomeTeam]:[HomeTeam]], AD$36) + SUMIFS(Table1[[HomeWon]:[HomeWon]], Table1[[GameIsOver]:[GameIsOver]], 1, Table1[[HomeTeam]:[HomeTeam]], $A56, Table1[[AwayTeam]:[AwayTeam]], AD$36))) + (SUMIFS(Table1[[HomeWon]:[HomeWon]], Table1[[GameIsOver]:[GameIsOver]], 1, Table1[[AwayTeam]:[AwayTeam]], $A56, Table1[[HomeTeam]:[HomeTeam]],  AD$36, Table1[[ActualResult]:[ActualResult]], "OT") + SUMIFS(Table1[[AwayWon]:[AwayWon]], Table1[[GameIsOver]:[GameIsOver]], 1, Table1[[HomeTeam]:[HomeTeam]], $A56, Table1[[AwayTeam]:[AwayTeam]], AD$36, Table1[[ActualResult]:[ActualResult]], "OT") + SUMIFS(Table1[[HomeWon]:[HomeWon]], Table1[[GameIsOver]:[GameIsOver]], 1, Table1[[AwayTeam]:[AwayTeam]], $A56, Table1[[HomeTeam]:[HomeTeam]], AD$36, Table1[[ActualResult]:[ActualResult]], "SO") + SUMIFS(Table1[[AwayWon]:[AwayWon]], Table1[[GameIsOver]:[GameIsOver]], 1, Table1[[HomeTeam]:[HomeTeam]], $A56, Table1[[AwayTeam]:[AwayTeam]], AD$36, Table1[[ActualResult]:[ActualResult]], "SO")))/ (2*((COUNTIFS(Table1[[GameIsOver]:[GameIsOver]],1,Table1[[AwayTeam]:[AwayTeam]],$A56, Table1[[HomeTeam]:[HomeTeam]], AD$36)))+( COUNTIFS(Table1[[GameIsOver]:[GameIsOver]],1,Table1[[AwayTeam]:[AwayTeam]],AD$36, Table1[[HomeTeam]:[HomeTeam]],$A56))), "")</f>
        <v/>
      </c>
      <c r="AE56" s="50" t="str">
        <f>IFERROR(((2 * (SUMIFS(Table1[[AwayWon]:[AwayWon]], Table1[[GameIsOver]:[GameIsOver]], 1, Table1[[AwayTeam]:[AwayTeam]], $A56, Table1[[HomeTeam]:[HomeTeam]], AE$36) + SUMIFS(Table1[[HomeWon]:[HomeWon]], Table1[[GameIsOver]:[GameIsOver]], 1, Table1[[HomeTeam]:[HomeTeam]], $A56, Table1[[AwayTeam]:[AwayTeam]], AE$36))) + (SUMIFS(Table1[[HomeWon]:[HomeWon]], Table1[[GameIsOver]:[GameIsOver]], 1, Table1[[AwayTeam]:[AwayTeam]], $A56, Table1[[HomeTeam]:[HomeTeam]],  AE$36, Table1[[ActualResult]:[ActualResult]], "OT") + SUMIFS(Table1[[AwayWon]:[AwayWon]], Table1[[GameIsOver]:[GameIsOver]], 1, Table1[[HomeTeam]:[HomeTeam]], $A56, Table1[[AwayTeam]:[AwayTeam]], AE$36, Table1[[ActualResult]:[ActualResult]], "OT") + SUMIFS(Table1[[HomeWon]:[HomeWon]], Table1[[GameIsOver]:[GameIsOver]], 1, Table1[[AwayTeam]:[AwayTeam]], $A56, Table1[[HomeTeam]:[HomeTeam]], AE$36, Table1[[ActualResult]:[ActualResult]], "SO") + SUMIFS(Table1[[AwayWon]:[AwayWon]], Table1[[GameIsOver]:[GameIsOver]], 1, Table1[[HomeTeam]:[HomeTeam]], $A56, Table1[[AwayTeam]:[AwayTeam]], AE$36, Table1[[ActualResult]:[ActualResult]], "SO")))/ (2*((COUNTIFS(Table1[[GameIsOver]:[GameIsOver]],1,Table1[[AwayTeam]:[AwayTeam]],$A56, Table1[[HomeTeam]:[HomeTeam]], AE$36)))+( COUNTIFS(Table1[[GameIsOver]:[GameIsOver]],1,Table1[[AwayTeam]:[AwayTeam]],AE$36, Table1[[HomeTeam]:[HomeTeam]],$A56))), "")</f>
        <v/>
      </c>
      <c r="AF56" s="50" t="str">
        <f>IFERROR(((2 * (SUMIFS(Table1[[AwayWon]:[AwayWon]], Table1[[GameIsOver]:[GameIsOver]], 1, Table1[[AwayTeam]:[AwayTeam]], $A56, Table1[[HomeTeam]:[HomeTeam]], AF$36) + SUMIFS(Table1[[HomeWon]:[HomeWon]], Table1[[GameIsOver]:[GameIsOver]], 1, Table1[[HomeTeam]:[HomeTeam]], $A56, Table1[[AwayTeam]:[AwayTeam]], AF$36))) + (SUMIFS(Table1[[HomeWon]:[HomeWon]], Table1[[GameIsOver]:[GameIsOver]], 1, Table1[[AwayTeam]:[AwayTeam]], $A56, Table1[[HomeTeam]:[HomeTeam]],  AF$36, Table1[[ActualResult]:[ActualResult]], "OT") + SUMIFS(Table1[[AwayWon]:[AwayWon]], Table1[[GameIsOver]:[GameIsOver]], 1, Table1[[HomeTeam]:[HomeTeam]], $A56, Table1[[AwayTeam]:[AwayTeam]], AF$36, Table1[[ActualResult]:[ActualResult]], "OT") + SUMIFS(Table1[[HomeWon]:[HomeWon]], Table1[[GameIsOver]:[GameIsOver]], 1, Table1[[AwayTeam]:[AwayTeam]], $A56, Table1[[HomeTeam]:[HomeTeam]], AF$36, Table1[[ActualResult]:[ActualResult]], "SO") + SUMIFS(Table1[[AwayWon]:[AwayWon]], Table1[[GameIsOver]:[GameIsOver]], 1, Table1[[HomeTeam]:[HomeTeam]], $A56, Table1[[AwayTeam]:[AwayTeam]], AF$36, Table1[[ActualResult]:[ActualResult]], "SO")))/ (2*((COUNTIFS(Table1[[GameIsOver]:[GameIsOver]],1,Table1[[AwayTeam]:[AwayTeam]],$A56, Table1[[HomeTeam]:[HomeTeam]], AF$36)))+( COUNTIFS(Table1[[GameIsOver]:[GameIsOver]],1,Table1[[AwayTeam]:[AwayTeam]],AF$36, Table1[[HomeTeam]:[HomeTeam]],$A56))), "")</f>
        <v/>
      </c>
      <c r="AG56" s="50" t="str">
        <f>IFERROR(((2 * (SUMIFS(Table1[[AwayWon]:[AwayWon]], Table1[[GameIsOver]:[GameIsOver]], 1, Table1[[AwayTeam]:[AwayTeam]], $A56, Table1[[HomeTeam]:[HomeTeam]], AG$36) + SUMIFS(Table1[[HomeWon]:[HomeWon]], Table1[[GameIsOver]:[GameIsOver]], 1, Table1[[HomeTeam]:[HomeTeam]], $A56, Table1[[AwayTeam]:[AwayTeam]], AG$36))) + (SUMIFS(Table1[[HomeWon]:[HomeWon]], Table1[[GameIsOver]:[GameIsOver]], 1, Table1[[AwayTeam]:[AwayTeam]], $A56, Table1[[HomeTeam]:[HomeTeam]],  AG$36, Table1[[ActualResult]:[ActualResult]], "OT") + SUMIFS(Table1[[AwayWon]:[AwayWon]], Table1[[GameIsOver]:[GameIsOver]], 1, Table1[[HomeTeam]:[HomeTeam]], $A56, Table1[[AwayTeam]:[AwayTeam]], AG$36, Table1[[ActualResult]:[ActualResult]], "OT") + SUMIFS(Table1[[HomeWon]:[HomeWon]], Table1[[GameIsOver]:[GameIsOver]], 1, Table1[[AwayTeam]:[AwayTeam]], $A56, Table1[[HomeTeam]:[HomeTeam]], AG$36, Table1[[ActualResult]:[ActualResult]], "SO") + SUMIFS(Table1[[AwayWon]:[AwayWon]], Table1[[GameIsOver]:[GameIsOver]], 1, Table1[[HomeTeam]:[HomeTeam]], $A56, Table1[[AwayTeam]:[AwayTeam]], AG$36, Table1[[ActualResult]:[ActualResult]], "SO")))/ (2*((COUNTIFS(Table1[[GameIsOver]:[GameIsOver]],1,Table1[[AwayTeam]:[AwayTeam]],$A56, Table1[[HomeTeam]:[HomeTeam]], AG$36)))+( COUNTIFS(Table1[[GameIsOver]:[GameIsOver]],1,Table1[[AwayTeam]:[AwayTeam]],AG$36, Table1[[HomeTeam]:[HomeTeam]],$A56))), "")</f>
        <v/>
      </c>
      <c r="AH56" s="51" t="e">
        <f t="shared" si="0"/>
        <v>#DIV/0!</v>
      </c>
      <c r="AI56" s="51">
        <f t="shared" si="1"/>
        <v>1</v>
      </c>
      <c r="AJ56" s="52" t="e">
        <f t="shared" si="2"/>
        <v>#DIV/0!</v>
      </c>
      <c r="AK56" s="52" t="e">
        <f t="shared" si="3"/>
        <v>#DIV/0!</v>
      </c>
      <c r="AL56" s="52">
        <f t="shared" si="4"/>
        <v>1</v>
      </c>
      <c r="AM56" s="52" t="e">
        <f t="shared" si="5"/>
        <v>#DIV/0!</v>
      </c>
    </row>
    <row r="57" spans="1:39" x14ac:dyDescent="0.25">
      <c r="A57" s="28" t="s">
        <v>51</v>
      </c>
      <c r="B57" s="50" t="str">
        <f>IFERROR(((2 * (SUMIFS(Table1[[AwayWon]:[AwayWon]], Table1[[GameIsOver]:[GameIsOver]], 1, Table1[[AwayTeam]:[AwayTeam]], $A57, Table1[[HomeTeam]:[HomeTeam]], B$36) + SUMIFS(Table1[[HomeWon]:[HomeWon]], Table1[[GameIsOver]:[GameIsOver]], 1, Table1[[HomeTeam]:[HomeTeam]], $A57, Table1[[AwayTeam]:[AwayTeam]], B$36))) + (SUMIFS(Table1[[HomeWon]:[HomeWon]], Table1[[GameIsOver]:[GameIsOver]], 1, Table1[[AwayTeam]:[AwayTeam]], $A57, Table1[[HomeTeam]:[HomeTeam]],  B$36, Table1[[ActualResult]:[ActualResult]], "OT") + SUMIFS(Table1[[AwayWon]:[AwayWon]], Table1[[GameIsOver]:[GameIsOver]], 1, Table1[[HomeTeam]:[HomeTeam]], $A57, Table1[[AwayTeam]:[AwayTeam]], B$36, Table1[[ActualResult]:[ActualResult]], "OT") + SUMIFS(Table1[[HomeWon]:[HomeWon]], Table1[[GameIsOver]:[GameIsOver]], 1, Table1[[AwayTeam]:[AwayTeam]], $A57, Table1[[HomeTeam]:[HomeTeam]], B$36, Table1[[ActualResult]:[ActualResult]], "SO") + SUMIFS(Table1[[AwayWon]:[AwayWon]], Table1[[GameIsOver]:[GameIsOver]], 1, Table1[[HomeTeam]:[HomeTeam]], $A57, Table1[[AwayTeam]:[AwayTeam]], B$36, Table1[[ActualResult]:[ActualResult]], "SO")))/ (2*((COUNTIFS(Table1[[GameIsOver]:[GameIsOver]],1,Table1[[AwayTeam]:[AwayTeam]],$A57, Table1[[HomeTeam]:[HomeTeam]], B$36)))+( COUNTIFS(Table1[[GameIsOver]:[GameIsOver]],1,Table1[[AwayTeam]:[AwayTeam]],B$36, Table1[[HomeTeam]:[HomeTeam]],$A57))), "")</f>
        <v/>
      </c>
      <c r="C57" s="50" t="str">
        <f>IFERROR(((2 * (SUMIFS(Table1[[AwayWon]:[AwayWon]], Table1[[GameIsOver]:[GameIsOver]], 1, Table1[[AwayTeam]:[AwayTeam]], $A57, Table1[[HomeTeam]:[HomeTeam]], C$36) + SUMIFS(Table1[[HomeWon]:[HomeWon]], Table1[[GameIsOver]:[GameIsOver]], 1, Table1[[HomeTeam]:[HomeTeam]], $A57, Table1[[AwayTeam]:[AwayTeam]], C$36))) + (SUMIFS(Table1[[HomeWon]:[HomeWon]], Table1[[GameIsOver]:[GameIsOver]], 1, Table1[[AwayTeam]:[AwayTeam]], $A57, Table1[[HomeTeam]:[HomeTeam]],  C$36, Table1[[ActualResult]:[ActualResult]], "OT") + SUMIFS(Table1[[AwayWon]:[AwayWon]], Table1[[GameIsOver]:[GameIsOver]], 1, Table1[[HomeTeam]:[HomeTeam]], $A57, Table1[[AwayTeam]:[AwayTeam]], C$36, Table1[[ActualResult]:[ActualResult]], "OT") + SUMIFS(Table1[[HomeWon]:[HomeWon]], Table1[[GameIsOver]:[GameIsOver]], 1, Table1[[AwayTeam]:[AwayTeam]], $A57, Table1[[HomeTeam]:[HomeTeam]], C$36, Table1[[ActualResult]:[ActualResult]], "SO") + SUMIFS(Table1[[AwayWon]:[AwayWon]], Table1[[GameIsOver]:[GameIsOver]], 1, Table1[[HomeTeam]:[HomeTeam]], $A57, Table1[[AwayTeam]:[AwayTeam]], C$36, Table1[[ActualResult]:[ActualResult]], "SO")))/ (2*((COUNTIFS(Table1[[GameIsOver]:[GameIsOver]],1,Table1[[AwayTeam]:[AwayTeam]],$A57, Table1[[HomeTeam]:[HomeTeam]], C$36)))+( COUNTIFS(Table1[[GameIsOver]:[GameIsOver]],1,Table1[[AwayTeam]:[AwayTeam]],C$36, Table1[[HomeTeam]:[HomeTeam]],$A57))), "")</f>
        <v/>
      </c>
      <c r="D57" s="50" t="str">
        <f>IFERROR(((2 * (SUMIFS(Table1[[AwayWon]:[AwayWon]], Table1[[GameIsOver]:[GameIsOver]], 1, Table1[[AwayTeam]:[AwayTeam]], $A57, Table1[[HomeTeam]:[HomeTeam]], D$36) + SUMIFS(Table1[[HomeWon]:[HomeWon]], Table1[[GameIsOver]:[GameIsOver]], 1, Table1[[HomeTeam]:[HomeTeam]], $A57, Table1[[AwayTeam]:[AwayTeam]], D$36))) + (SUMIFS(Table1[[HomeWon]:[HomeWon]], Table1[[GameIsOver]:[GameIsOver]], 1, Table1[[AwayTeam]:[AwayTeam]], $A57, Table1[[HomeTeam]:[HomeTeam]],  D$36, Table1[[ActualResult]:[ActualResult]], "OT") + SUMIFS(Table1[[AwayWon]:[AwayWon]], Table1[[GameIsOver]:[GameIsOver]], 1, Table1[[HomeTeam]:[HomeTeam]], $A57, Table1[[AwayTeam]:[AwayTeam]], D$36, Table1[[ActualResult]:[ActualResult]], "OT") + SUMIFS(Table1[[HomeWon]:[HomeWon]], Table1[[GameIsOver]:[GameIsOver]], 1, Table1[[AwayTeam]:[AwayTeam]], $A57, Table1[[HomeTeam]:[HomeTeam]], D$36, Table1[[ActualResult]:[ActualResult]], "SO") + SUMIFS(Table1[[AwayWon]:[AwayWon]], Table1[[GameIsOver]:[GameIsOver]], 1, Table1[[HomeTeam]:[HomeTeam]], $A57, Table1[[AwayTeam]:[AwayTeam]], D$36, Table1[[ActualResult]:[ActualResult]], "SO")))/ (2*((COUNTIFS(Table1[[GameIsOver]:[GameIsOver]],1,Table1[[AwayTeam]:[AwayTeam]],$A57, Table1[[HomeTeam]:[HomeTeam]], D$36)))+( COUNTIFS(Table1[[GameIsOver]:[GameIsOver]],1,Table1[[AwayTeam]:[AwayTeam]],D$36, Table1[[HomeTeam]:[HomeTeam]],$A57))), "")</f>
        <v/>
      </c>
      <c r="E57" s="50" t="str">
        <f>IFERROR(((2 * (SUMIFS(Table1[[AwayWon]:[AwayWon]], Table1[[GameIsOver]:[GameIsOver]], 1, Table1[[AwayTeam]:[AwayTeam]], $A57, Table1[[HomeTeam]:[HomeTeam]], E$36) + SUMIFS(Table1[[HomeWon]:[HomeWon]], Table1[[GameIsOver]:[GameIsOver]], 1, Table1[[HomeTeam]:[HomeTeam]], $A57, Table1[[AwayTeam]:[AwayTeam]], E$36))) + (SUMIFS(Table1[[HomeWon]:[HomeWon]], Table1[[GameIsOver]:[GameIsOver]], 1, Table1[[AwayTeam]:[AwayTeam]], $A57, Table1[[HomeTeam]:[HomeTeam]],  E$36, Table1[[ActualResult]:[ActualResult]], "OT") + SUMIFS(Table1[[AwayWon]:[AwayWon]], Table1[[GameIsOver]:[GameIsOver]], 1, Table1[[HomeTeam]:[HomeTeam]], $A57, Table1[[AwayTeam]:[AwayTeam]], E$36, Table1[[ActualResult]:[ActualResult]], "OT") + SUMIFS(Table1[[HomeWon]:[HomeWon]], Table1[[GameIsOver]:[GameIsOver]], 1, Table1[[AwayTeam]:[AwayTeam]], $A57, Table1[[HomeTeam]:[HomeTeam]], E$36, Table1[[ActualResult]:[ActualResult]], "SO") + SUMIFS(Table1[[AwayWon]:[AwayWon]], Table1[[GameIsOver]:[GameIsOver]], 1, Table1[[HomeTeam]:[HomeTeam]], $A57, Table1[[AwayTeam]:[AwayTeam]], E$36, Table1[[ActualResult]:[ActualResult]], "SO")))/ (2*((COUNTIFS(Table1[[GameIsOver]:[GameIsOver]],1,Table1[[AwayTeam]:[AwayTeam]],$A57, Table1[[HomeTeam]:[HomeTeam]], E$36)))+( COUNTIFS(Table1[[GameIsOver]:[GameIsOver]],1,Table1[[AwayTeam]:[AwayTeam]],E$36, Table1[[HomeTeam]:[HomeTeam]],$A57))), "")</f>
        <v/>
      </c>
      <c r="F57" s="50" t="str">
        <f>IFERROR(((2 * (SUMIFS(Table1[[AwayWon]:[AwayWon]], Table1[[GameIsOver]:[GameIsOver]], 1, Table1[[AwayTeam]:[AwayTeam]], $A57, Table1[[HomeTeam]:[HomeTeam]], F$36) + SUMIFS(Table1[[HomeWon]:[HomeWon]], Table1[[GameIsOver]:[GameIsOver]], 1, Table1[[HomeTeam]:[HomeTeam]], $A57, Table1[[AwayTeam]:[AwayTeam]], F$36))) + (SUMIFS(Table1[[HomeWon]:[HomeWon]], Table1[[GameIsOver]:[GameIsOver]], 1, Table1[[AwayTeam]:[AwayTeam]], $A57, Table1[[HomeTeam]:[HomeTeam]],  F$36, Table1[[ActualResult]:[ActualResult]], "OT") + SUMIFS(Table1[[AwayWon]:[AwayWon]], Table1[[GameIsOver]:[GameIsOver]], 1, Table1[[HomeTeam]:[HomeTeam]], $A57, Table1[[AwayTeam]:[AwayTeam]], F$36, Table1[[ActualResult]:[ActualResult]], "OT") + SUMIFS(Table1[[HomeWon]:[HomeWon]], Table1[[GameIsOver]:[GameIsOver]], 1, Table1[[AwayTeam]:[AwayTeam]], $A57, Table1[[HomeTeam]:[HomeTeam]], F$36, Table1[[ActualResult]:[ActualResult]], "SO") + SUMIFS(Table1[[AwayWon]:[AwayWon]], Table1[[GameIsOver]:[GameIsOver]], 1, Table1[[HomeTeam]:[HomeTeam]], $A57, Table1[[AwayTeam]:[AwayTeam]], F$36, Table1[[ActualResult]:[ActualResult]], "SO")))/ (2*((COUNTIFS(Table1[[GameIsOver]:[GameIsOver]],1,Table1[[AwayTeam]:[AwayTeam]],$A57, Table1[[HomeTeam]:[HomeTeam]], F$36)))+( COUNTIFS(Table1[[GameIsOver]:[GameIsOver]],1,Table1[[AwayTeam]:[AwayTeam]],F$36, Table1[[HomeTeam]:[HomeTeam]],$A57))), "")</f>
        <v/>
      </c>
      <c r="G57" s="50" t="str">
        <f>IFERROR(((2 * (SUMIFS(Table1[[AwayWon]:[AwayWon]], Table1[[GameIsOver]:[GameIsOver]], 1, Table1[[AwayTeam]:[AwayTeam]], $A57, Table1[[HomeTeam]:[HomeTeam]], G$36) + SUMIFS(Table1[[HomeWon]:[HomeWon]], Table1[[GameIsOver]:[GameIsOver]], 1, Table1[[HomeTeam]:[HomeTeam]], $A57, Table1[[AwayTeam]:[AwayTeam]], G$36))) + (SUMIFS(Table1[[HomeWon]:[HomeWon]], Table1[[GameIsOver]:[GameIsOver]], 1, Table1[[AwayTeam]:[AwayTeam]], $A57, Table1[[HomeTeam]:[HomeTeam]],  G$36, Table1[[ActualResult]:[ActualResult]], "OT") + SUMIFS(Table1[[AwayWon]:[AwayWon]], Table1[[GameIsOver]:[GameIsOver]], 1, Table1[[HomeTeam]:[HomeTeam]], $A57, Table1[[AwayTeam]:[AwayTeam]], G$36, Table1[[ActualResult]:[ActualResult]], "OT") + SUMIFS(Table1[[HomeWon]:[HomeWon]], Table1[[GameIsOver]:[GameIsOver]], 1, Table1[[AwayTeam]:[AwayTeam]], $A57, Table1[[HomeTeam]:[HomeTeam]], G$36, Table1[[ActualResult]:[ActualResult]], "SO") + SUMIFS(Table1[[AwayWon]:[AwayWon]], Table1[[GameIsOver]:[GameIsOver]], 1, Table1[[HomeTeam]:[HomeTeam]], $A57, Table1[[AwayTeam]:[AwayTeam]], G$36, Table1[[ActualResult]:[ActualResult]], "SO")))/ (2*((COUNTIFS(Table1[[GameIsOver]:[GameIsOver]],1,Table1[[AwayTeam]:[AwayTeam]],$A57, Table1[[HomeTeam]:[HomeTeam]], G$36)))+( COUNTIFS(Table1[[GameIsOver]:[GameIsOver]],1,Table1[[AwayTeam]:[AwayTeam]],G$36, Table1[[HomeTeam]:[HomeTeam]],$A57))), "")</f>
        <v/>
      </c>
      <c r="H57" s="50" t="str">
        <f>IFERROR(((2 * (SUMIFS(Table1[[AwayWon]:[AwayWon]], Table1[[GameIsOver]:[GameIsOver]], 1, Table1[[AwayTeam]:[AwayTeam]], $A57, Table1[[HomeTeam]:[HomeTeam]], H$36) + SUMIFS(Table1[[HomeWon]:[HomeWon]], Table1[[GameIsOver]:[GameIsOver]], 1, Table1[[HomeTeam]:[HomeTeam]], $A57, Table1[[AwayTeam]:[AwayTeam]], H$36))) + (SUMIFS(Table1[[HomeWon]:[HomeWon]], Table1[[GameIsOver]:[GameIsOver]], 1, Table1[[AwayTeam]:[AwayTeam]], $A57, Table1[[HomeTeam]:[HomeTeam]],  H$36, Table1[[ActualResult]:[ActualResult]], "OT") + SUMIFS(Table1[[AwayWon]:[AwayWon]], Table1[[GameIsOver]:[GameIsOver]], 1, Table1[[HomeTeam]:[HomeTeam]], $A57, Table1[[AwayTeam]:[AwayTeam]], H$36, Table1[[ActualResult]:[ActualResult]], "OT") + SUMIFS(Table1[[HomeWon]:[HomeWon]], Table1[[GameIsOver]:[GameIsOver]], 1, Table1[[AwayTeam]:[AwayTeam]], $A57, Table1[[HomeTeam]:[HomeTeam]], H$36, Table1[[ActualResult]:[ActualResult]], "SO") + SUMIFS(Table1[[AwayWon]:[AwayWon]], Table1[[GameIsOver]:[GameIsOver]], 1, Table1[[HomeTeam]:[HomeTeam]], $A57, Table1[[AwayTeam]:[AwayTeam]], H$36, Table1[[ActualResult]:[ActualResult]], "SO")))/ (2*((COUNTIFS(Table1[[GameIsOver]:[GameIsOver]],1,Table1[[AwayTeam]:[AwayTeam]],$A57, Table1[[HomeTeam]:[HomeTeam]], H$36)))+( COUNTIFS(Table1[[GameIsOver]:[GameIsOver]],1,Table1[[AwayTeam]:[AwayTeam]],H$36, Table1[[HomeTeam]:[HomeTeam]],$A57))), "")</f>
        <v/>
      </c>
      <c r="I57" s="52" t="str">
        <f>IFERROR(((2 * (SUMIFS(Table1[[AwayWon]:[AwayWon]], Table1[[GameIsOver]:[GameIsOver]], 1, Table1[[AwayTeam]:[AwayTeam]], $A57, Table1[[HomeTeam]:[HomeTeam]], I$36) + SUMIFS(Table1[[HomeWon]:[HomeWon]], Table1[[GameIsOver]:[GameIsOver]], 1, Table1[[HomeTeam]:[HomeTeam]], $A57, Table1[[AwayTeam]:[AwayTeam]], I$36))) + (SUMIFS(Table1[[HomeWon]:[HomeWon]], Table1[[GameIsOver]:[GameIsOver]], 1, Table1[[AwayTeam]:[AwayTeam]], $A57, Table1[[HomeTeam]:[HomeTeam]],  I$36, Table1[[ActualResult]:[ActualResult]], "OT") + SUMIFS(Table1[[AwayWon]:[AwayWon]], Table1[[GameIsOver]:[GameIsOver]], 1, Table1[[HomeTeam]:[HomeTeam]], $A57, Table1[[AwayTeam]:[AwayTeam]], I$36, Table1[[ActualResult]:[ActualResult]], "OT") + SUMIFS(Table1[[HomeWon]:[HomeWon]], Table1[[GameIsOver]:[GameIsOver]], 1, Table1[[AwayTeam]:[AwayTeam]], $A57, Table1[[HomeTeam]:[HomeTeam]], I$36, Table1[[ActualResult]:[ActualResult]], "SO") + SUMIFS(Table1[[AwayWon]:[AwayWon]], Table1[[GameIsOver]:[GameIsOver]], 1, Table1[[HomeTeam]:[HomeTeam]], $A57, Table1[[AwayTeam]:[AwayTeam]], I$36, Table1[[ActualResult]:[ActualResult]], "SO")))/ (2*((COUNTIFS(Table1[[GameIsOver]:[GameIsOver]],1,Table1[[AwayTeam]:[AwayTeam]],$A57, Table1[[HomeTeam]:[HomeTeam]], I$36)))+( COUNTIFS(Table1[[GameIsOver]:[GameIsOver]],1,Table1[[AwayTeam]:[AwayTeam]],I$36, Table1[[HomeTeam]:[HomeTeam]],$A57))), "")</f>
        <v/>
      </c>
      <c r="J57" s="50" t="str">
        <f>IFERROR(((2 * (SUMIFS(Table1[[AwayWon]:[AwayWon]], Table1[[GameIsOver]:[GameIsOver]], 1, Table1[[AwayTeam]:[AwayTeam]], $A57, Table1[[HomeTeam]:[HomeTeam]], J$36) + SUMIFS(Table1[[HomeWon]:[HomeWon]], Table1[[GameIsOver]:[GameIsOver]], 1, Table1[[HomeTeam]:[HomeTeam]], $A57, Table1[[AwayTeam]:[AwayTeam]], J$36))) + (SUMIFS(Table1[[HomeWon]:[HomeWon]], Table1[[GameIsOver]:[GameIsOver]], 1, Table1[[AwayTeam]:[AwayTeam]], $A57, Table1[[HomeTeam]:[HomeTeam]],  J$36, Table1[[ActualResult]:[ActualResult]], "OT") + SUMIFS(Table1[[AwayWon]:[AwayWon]], Table1[[GameIsOver]:[GameIsOver]], 1, Table1[[HomeTeam]:[HomeTeam]], $A57, Table1[[AwayTeam]:[AwayTeam]], J$36, Table1[[ActualResult]:[ActualResult]], "OT") + SUMIFS(Table1[[HomeWon]:[HomeWon]], Table1[[GameIsOver]:[GameIsOver]], 1, Table1[[AwayTeam]:[AwayTeam]], $A57, Table1[[HomeTeam]:[HomeTeam]], J$36, Table1[[ActualResult]:[ActualResult]], "SO") + SUMIFS(Table1[[AwayWon]:[AwayWon]], Table1[[GameIsOver]:[GameIsOver]], 1, Table1[[HomeTeam]:[HomeTeam]], $A57, Table1[[AwayTeam]:[AwayTeam]], J$36, Table1[[ActualResult]:[ActualResult]], "SO")))/ (2*((COUNTIFS(Table1[[GameIsOver]:[GameIsOver]],1,Table1[[AwayTeam]:[AwayTeam]],$A57, Table1[[HomeTeam]:[HomeTeam]], J$36)))+( COUNTIFS(Table1[[GameIsOver]:[GameIsOver]],1,Table1[[AwayTeam]:[AwayTeam]],J$36, Table1[[HomeTeam]:[HomeTeam]],$A57))), "")</f>
        <v/>
      </c>
      <c r="K57" s="50" t="str">
        <f>IFERROR(((2 * (SUMIFS(Table1[[AwayWon]:[AwayWon]], Table1[[GameIsOver]:[GameIsOver]], 1, Table1[[AwayTeam]:[AwayTeam]], $A57, Table1[[HomeTeam]:[HomeTeam]], K$36) + SUMIFS(Table1[[HomeWon]:[HomeWon]], Table1[[GameIsOver]:[GameIsOver]], 1, Table1[[HomeTeam]:[HomeTeam]], $A57, Table1[[AwayTeam]:[AwayTeam]], K$36))) + (SUMIFS(Table1[[HomeWon]:[HomeWon]], Table1[[GameIsOver]:[GameIsOver]], 1, Table1[[AwayTeam]:[AwayTeam]], $A57, Table1[[HomeTeam]:[HomeTeam]],  K$36, Table1[[ActualResult]:[ActualResult]], "OT") + SUMIFS(Table1[[AwayWon]:[AwayWon]], Table1[[GameIsOver]:[GameIsOver]], 1, Table1[[HomeTeam]:[HomeTeam]], $A57, Table1[[AwayTeam]:[AwayTeam]], K$36, Table1[[ActualResult]:[ActualResult]], "OT") + SUMIFS(Table1[[HomeWon]:[HomeWon]], Table1[[GameIsOver]:[GameIsOver]], 1, Table1[[AwayTeam]:[AwayTeam]], $A57, Table1[[HomeTeam]:[HomeTeam]], K$36, Table1[[ActualResult]:[ActualResult]], "SO") + SUMIFS(Table1[[AwayWon]:[AwayWon]], Table1[[GameIsOver]:[GameIsOver]], 1, Table1[[HomeTeam]:[HomeTeam]], $A57, Table1[[AwayTeam]:[AwayTeam]], K$36, Table1[[ActualResult]:[ActualResult]], "SO")))/ (2*((COUNTIFS(Table1[[GameIsOver]:[GameIsOver]],1,Table1[[AwayTeam]:[AwayTeam]],$A57, Table1[[HomeTeam]:[HomeTeam]], K$36)))+( COUNTIFS(Table1[[GameIsOver]:[GameIsOver]],1,Table1[[AwayTeam]:[AwayTeam]],K$36, Table1[[HomeTeam]:[HomeTeam]],$A57))), "")</f>
        <v/>
      </c>
      <c r="L57" s="50" t="str">
        <f>IFERROR(((2 * (SUMIFS(Table1[[AwayWon]:[AwayWon]], Table1[[GameIsOver]:[GameIsOver]], 1, Table1[[AwayTeam]:[AwayTeam]], $A57, Table1[[HomeTeam]:[HomeTeam]], L$36) + SUMIFS(Table1[[HomeWon]:[HomeWon]], Table1[[GameIsOver]:[GameIsOver]], 1, Table1[[HomeTeam]:[HomeTeam]], $A57, Table1[[AwayTeam]:[AwayTeam]], L$36))) + (SUMIFS(Table1[[HomeWon]:[HomeWon]], Table1[[GameIsOver]:[GameIsOver]], 1, Table1[[AwayTeam]:[AwayTeam]], $A57, Table1[[HomeTeam]:[HomeTeam]],  L$36, Table1[[ActualResult]:[ActualResult]], "OT") + SUMIFS(Table1[[AwayWon]:[AwayWon]], Table1[[GameIsOver]:[GameIsOver]], 1, Table1[[HomeTeam]:[HomeTeam]], $A57, Table1[[AwayTeam]:[AwayTeam]], L$36, Table1[[ActualResult]:[ActualResult]], "OT") + SUMIFS(Table1[[HomeWon]:[HomeWon]], Table1[[GameIsOver]:[GameIsOver]], 1, Table1[[AwayTeam]:[AwayTeam]], $A57, Table1[[HomeTeam]:[HomeTeam]], L$36, Table1[[ActualResult]:[ActualResult]], "SO") + SUMIFS(Table1[[AwayWon]:[AwayWon]], Table1[[GameIsOver]:[GameIsOver]], 1, Table1[[HomeTeam]:[HomeTeam]], $A57, Table1[[AwayTeam]:[AwayTeam]], L$36, Table1[[ActualResult]:[ActualResult]], "SO")))/ (2*((COUNTIFS(Table1[[GameIsOver]:[GameIsOver]],1,Table1[[AwayTeam]:[AwayTeam]],$A57, Table1[[HomeTeam]:[HomeTeam]], L$36)))+( COUNTIFS(Table1[[GameIsOver]:[GameIsOver]],1,Table1[[AwayTeam]:[AwayTeam]],L$36, Table1[[HomeTeam]:[HomeTeam]],$A57))), "")</f>
        <v/>
      </c>
      <c r="M57" s="50" t="str">
        <f>IFERROR(((2 * (SUMIFS(Table1[[AwayWon]:[AwayWon]], Table1[[GameIsOver]:[GameIsOver]], 1, Table1[[AwayTeam]:[AwayTeam]], $A57, Table1[[HomeTeam]:[HomeTeam]], M$36) + SUMIFS(Table1[[HomeWon]:[HomeWon]], Table1[[GameIsOver]:[GameIsOver]], 1, Table1[[HomeTeam]:[HomeTeam]], $A57, Table1[[AwayTeam]:[AwayTeam]], M$36))) + (SUMIFS(Table1[[HomeWon]:[HomeWon]], Table1[[GameIsOver]:[GameIsOver]], 1, Table1[[AwayTeam]:[AwayTeam]], $A57, Table1[[HomeTeam]:[HomeTeam]],  M$36, Table1[[ActualResult]:[ActualResult]], "OT") + SUMIFS(Table1[[AwayWon]:[AwayWon]], Table1[[GameIsOver]:[GameIsOver]], 1, Table1[[HomeTeam]:[HomeTeam]], $A57, Table1[[AwayTeam]:[AwayTeam]], M$36, Table1[[ActualResult]:[ActualResult]], "OT") + SUMIFS(Table1[[HomeWon]:[HomeWon]], Table1[[GameIsOver]:[GameIsOver]], 1, Table1[[AwayTeam]:[AwayTeam]], $A57, Table1[[HomeTeam]:[HomeTeam]], M$36, Table1[[ActualResult]:[ActualResult]], "SO") + SUMIFS(Table1[[AwayWon]:[AwayWon]], Table1[[GameIsOver]:[GameIsOver]], 1, Table1[[HomeTeam]:[HomeTeam]], $A57, Table1[[AwayTeam]:[AwayTeam]], M$36, Table1[[ActualResult]:[ActualResult]], "SO")))/ (2*((COUNTIFS(Table1[[GameIsOver]:[GameIsOver]],1,Table1[[AwayTeam]:[AwayTeam]],$A57, Table1[[HomeTeam]:[HomeTeam]], M$36)))+( COUNTIFS(Table1[[GameIsOver]:[GameIsOver]],1,Table1[[AwayTeam]:[AwayTeam]],M$36, Table1[[HomeTeam]:[HomeTeam]],$A57))), "")</f>
        <v/>
      </c>
      <c r="N57" s="50" t="str">
        <f>IFERROR(((2 * (SUMIFS(Table1[[AwayWon]:[AwayWon]], Table1[[GameIsOver]:[GameIsOver]], 1, Table1[[AwayTeam]:[AwayTeam]], $A57, Table1[[HomeTeam]:[HomeTeam]], N$36) + SUMIFS(Table1[[HomeWon]:[HomeWon]], Table1[[GameIsOver]:[GameIsOver]], 1, Table1[[HomeTeam]:[HomeTeam]], $A57, Table1[[AwayTeam]:[AwayTeam]], N$36))) + (SUMIFS(Table1[[HomeWon]:[HomeWon]], Table1[[GameIsOver]:[GameIsOver]], 1, Table1[[AwayTeam]:[AwayTeam]], $A57, Table1[[HomeTeam]:[HomeTeam]],  N$36, Table1[[ActualResult]:[ActualResult]], "OT") + SUMIFS(Table1[[AwayWon]:[AwayWon]], Table1[[GameIsOver]:[GameIsOver]], 1, Table1[[HomeTeam]:[HomeTeam]], $A57, Table1[[AwayTeam]:[AwayTeam]], N$36, Table1[[ActualResult]:[ActualResult]], "OT") + SUMIFS(Table1[[HomeWon]:[HomeWon]], Table1[[GameIsOver]:[GameIsOver]], 1, Table1[[AwayTeam]:[AwayTeam]], $A57, Table1[[HomeTeam]:[HomeTeam]], N$36, Table1[[ActualResult]:[ActualResult]], "SO") + SUMIFS(Table1[[AwayWon]:[AwayWon]], Table1[[GameIsOver]:[GameIsOver]], 1, Table1[[HomeTeam]:[HomeTeam]], $A57, Table1[[AwayTeam]:[AwayTeam]], N$36, Table1[[ActualResult]:[ActualResult]], "SO")))/ (2*((COUNTIFS(Table1[[GameIsOver]:[GameIsOver]],1,Table1[[AwayTeam]:[AwayTeam]],$A57, Table1[[HomeTeam]:[HomeTeam]], N$36)))+( COUNTIFS(Table1[[GameIsOver]:[GameIsOver]],1,Table1[[AwayTeam]:[AwayTeam]],N$36, Table1[[HomeTeam]:[HomeTeam]],$A57))), "")</f>
        <v/>
      </c>
      <c r="O57" s="50" t="str">
        <f>IFERROR(((2 * (SUMIFS(Table1[[AwayWon]:[AwayWon]], Table1[[GameIsOver]:[GameIsOver]], 1, Table1[[AwayTeam]:[AwayTeam]], $A57, Table1[[HomeTeam]:[HomeTeam]], O$36) + SUMIFS(Table1[[HomeWon]:[HomeWon]], Table1[[GameIsOver]:[GameIsOver]], 1, Table1[[HomeTeam]:[HomeTeam]], $A57, Table1[[AwayTeam]:[AwayTeam]], O$36))) + (SUMIFS(Table1[[HomeWon]:[HomeWon]], Table1[[GameIsOver]:[GameIsOver]], 1, Table1[[AwayTeam]:[AwayTeam]], $A57, Table1[[HomeTeam]:[HomeTeam]],  O$36, Table1[[ActualResult]:[ActualResult]], "OT") + SUMIFS(Table1[[AwayWon]:[AwayWon]], Table1[[GameIsOver]:[GameIsOver]], 1, Table1[[HomeTeam]:[HomeTeam]], $A57, Table1[[AwayTeam]:[AwayTeam]], O$36, Table1[[ActualResult]:[ActualResult]], "OT") + SUMIFS(Table1[[HomeWon]:[HomeWon]], Table1[[GameIsOver]:[GameIsOver]], 1, Table1[[AwayTeam]:[AwayTeam]], $A57, Table1[[HomeTeam]:[HomeTeam]], O$36, Table1[[ActualResult]:[ActualResult]], "SO") + SUMIFS(Table1[[AwayWon]:[AwayWon]], Table1[[GameIsOver]:[GameIsOver]], 1, Table1[[HomeTeam]:[HomeTeam]], $A57, Table1[[AwayTeam]:[AwayTeam]], O$36, Table1[[ActualResult]:[ActualResult]], "SO")))/ (2*((COUNTIFS(Table1[[GameIsOver]:[GameIsOver]],1,Table1[[AwayTeam]:[AwayTeam]],$A57, Table1[[HomeTeam]:[HomeTeam]], O$36)))+( COUNTIFS(Table1[[GameIsOver]:[GameIsOver]],1,Table1[[AwayTeam]:[AwayTeam]],O$36, Table1[[HomeTeam]:[HomeTeam]],$A57))), "")</f>
        <v/>
      </c>
      <c r="P57" s="50" t="str">
        <f>IFERROR(((2 * (SUMIFS(Table1[[AwayWon]:[AwayWon]], Table1[[GameIsOver]:[GameIsOver]], 1, Table1[[AwayTeam]:[AwayTeam]], $A57, Table1[[HomeTeam]:[HomeTeam]], P$36) + SUMIFS(Table1[[HomeWon]:[HomeWon]], Table1[[GameIsOver]:[GameIsOver]], 1, Table1[[HomeTeam]:[HomeTeam]], $A57, Table1[[AwayTeam]:[AwayTeam]], P$36))) + (SUMIFS(Table1[[HomeWon]:[HomeWon]], Table1[[GameIsOver]:[GameIsOver]], 1, Table1[[AwayTeam]:[AwayTeam]], $A57, Table1[[HomeTeam]:[HomeTeam]],  P$36, Table1[[ActualResult]:[ActualResult]], "OT") + SUMIFS(Table1[[AwayWon]:[AwayWon]], Table1[[GameIsOver]:[GameIsOver]], 1, Table1[[HomeTeam]:[HomeTeam]], $A57, Table1[[AwayTeam]:[AwayTeam]], P$36, Table1[[ActualResult]:[ActualResult]], "OT") + SUMIFS(Table1[[HomeWon]:[HomeWon]], Table1[[GameIsOver]:[GameIsOver]], 1, Table1[[AwayTeam]:[AwayTeam]], $A57, Table1[[HomeTeam]:[HomeTeam]], P$36, Table1[[ActualResult]:[ActualResult]], "SO") + SUMIFS(Table1[[AwayWon]:[AwayWon]], Table1[[GameIsOver]:[GameIsOver]], 1, Table1[[HomeTeam]:[HomeTeam]], $A57, Table1[[AwayTeam]:[AwayTeam]], P$36, Table1[[ActualResult]:[ActualResult]], "SO")))/ (2*((COUNTIFS(Table1[[GameIsOver]:[GameIsOver]],1,Table1[[AwayTeam]:[AwayTeam]],$A57, Table1[[HomeTeam]:[HomeTeam]], P$36)))+( COUNTIFS(Table1[[GameIsOver]:[GameIsOver]],1,Table1[[AwayTeam]:[AwayTeam]],P$36, Table1[[HomeTeam]:[HomeTeam]],$A57))), "")</f>
        <v/>
      </c>
      <c r="Q57" s="52" t="str">
        <f>IFERROR(((2 * (SUMIFS(Table1[[AwayWon]:[AwayWon]], Table1[[GameIsOver]:[GameIsOver]], 1, Table1[[AwayTeam]:[AwayTeam]], $A57, Table1[[HomeTeam]:[HomeTeam]], Q$36) + SUMIFS(Table1[[HomeWon]:[HomeWon]], Table1[[GameIsOver]:[GameIsOver]], 1, Table1[[HomeTeam]:[HomeTeam]], $A57, Table1[[AwayTeam]:[AwayTeam]], Q$36))) + (SUMIFS(Table1[[HomeWon]:[HomeWon]], Table1[[GameIsOver]:[GameIsOver]], 1, Table1[[AwayTeam]:[AwayTeam]], $A57, Table1[[HomeTeam]:[HomeTeam]],  Q$36, Table1[[ActualResult]:[ActualResult]], "OT") + SUMIFS(Table1[[AwayWon]:[AwayWon]], Table1[[GameIsOver]:[GameIsOver]], 1, Table1[[HomeTeam]:[HomeTeam]], $A57, Table1[[AwayTeam]:[AwayTeam]], Q$36, Table1[[ActualResult]:[ActualResult]], "OT") + SUMIFS(Table1[[HomeWon]:[HomeWon]], Table1[[GameIsOver]:[GameIsOver]], 1, Table1[[AwayTeam]:[AwayTeam]], $A57, Table1[[HomeTeam]:[HomeTeam]], Q$36, Table1[[ActualResult]:[ActualResult]], "SO") + SUMIFS(Table1[[AwayWon]:[AwayWon]], Table1[[GameIsOver]:[GameIsOver]], 1, Table1[[HomeTeam]:[HomeTeam]], $A57, Table1[[AwayTeam]:[AwayTeam]], Q$36, Table1[[ActualResult]:[ActualResult]], "SO")))/ (2*((COUNTIFS(Table1[[GameIsOver]:[GameIsOver]],1,Table1[[AwayTeam]:[AwayTeam]],$A57, Table1[[HomeTeam]:[HomeTeam]], Q$36)))+( COUNTIFS(Table1[[GameIsOver]:[GameIsOver]],1,Table1[[AwayTeam]:[AwayTeam]],Q$36, Table1[[HomeTeam]:[HomeTeam]],$A57))), "")</f>
        <v/>
      </c>
      <c r="R57" s="50" t="str">
        <f>IFERROR(((2 * (SUMIFS(Table1[[AwayWon]:[AwayWon]], Table1[[GameIsOver]:[GameIsOver]], 1, Table1[[AwayTeam]:[AwayTeam]], $A57, Table1[[HomeTeam]:[HomeTeam]], R$36) + SUMIFS(Table1[[HomeWon]:[HomeWon]], Table1[[GameIsOver]:[GameIsOver]], 1, Table1[[HomeTeam]:[HomeTeam]], $A57, Table1[[AwayTeam]:[AwayTeam]], R$36))) + (SUMIFS(Table1[[HomeWon]:[HomeWon]], Table1[[GameIsOver]:[GameIsOver]], 1, Table1[[AwayTeam]:[AwayTeam]], $A57, Table1[[HomeTeam]:[HomeTeam]],  R$36, Table1[[ActualResult]:[ActualResult]], "OT") + SUMIFS(Table1[[AwayWon]:[AwayWon]], Table1[[GameIsOver]:[GameIsOver]], 1, Table1[[HomeTeam]:[HomeTeam]], $A57, Table1[[AwayTeam]:[AwayTeam]], R$36, Table1[[ActualResult]:[ActualResult]], "OT") + SUMIFS(Table1[[HomeWon]:[HomeWon]], Table1[[GameIsOver]:[GameIsOver]], 1, Table1[[AwayTeam]:[AwayTeam]], $A57, Table1[[HomeTeam]:[HomeTeam]], R$36, Table1[[ActualResult]:[ActualResult]], "SO") + SUMIFS(Table1[[AwayWon]:[AwayWon]], Table1[[GameIsOver]:[GameIsOver]], 1, Table1[[HomeTeam]:[HomeTeam]], $A57, Table1[[AwayTeam]:[AwayTeam]], R$36, Table1[[ActualResult]:[ActualResult]], "SO")))/ (2*((COUNTIFS(Table1[[GameIsOver]:[GameIsOver]],1,Table1[[AwayTeam]:[AwayTeam]],$A57, Table1[[HomeTeam]:[HomeTeam]], R$36)))+( COUNTIFS(Table1[[GameIsOver]:[GameIsOver]],1,Table1[[AwayTeam]:[AwayTeam]],R$36, Table1[[HomeTeam]:[HomeTeam]],$A57))), "")</f>
        <v/>
      </c>
      <c r="S57" s="50" t="str">
        <f>IFERROR(((2 * (SUMIFS(Table1[[AwayWon]:[AwayWon]], Table1[[GameIsOver]:[GameIsOver]], 1, Table1[[AwayTeam]:[AwayTeam]], $A57, Table1[[HomeTeam]:[HomeTeam]], S$36) + SUMIFS(Table1[[HomeWon]:[HomeWon]], Table1[[GameIsOver]:[GameIsOver]], 1, Table1[[HomeTeam]:[HomeTeam]], $A57, Table1[[AwayTeam]:[AwayTeam]], S$36))) + (SUMIFS(Table1[[HomeWon]:[HomeWon]], Table1[[GameIsOver]:[GameIsOver]], 1, Table1[[AwayTeam]:[AwayTeam]], $A57, Table1[[HomeTeam]:[HomeTeam]],  S$36, Table1[[ActualResult]:[ActualResult]], "OT") + SUMIFS(Table1[[AwayWon]:[AwayWon]], Table1[[GameIsOver]:[GameIsOver]], 1, Table1[[HomeTeam]:[HomeTeam]], $A57, Table1[[AwayTeam]:[AwayTeam]], S$36, Table1[[ActualResult]:[ActualResult]], "OT") + SUMIFS(Table1[[HomeWon]:[HomeWon]], Table1[[GameIsOver]:[GameIsOver]], 1, Table1[[AwayTeam]:[AwayTeam]], $A57, Table1[[HomeTeam]:[HomeTeam]], S$36, Table1[[ActualResult]:[ActualResult]], "SO") + SUMIFS(Table1[[AwayWon]:[AwayWon]], Table1[[GameIsOver]:[GameIsOver]], 1, Table1[[HomeTeam]:[HomeTeam]], $A57, Table1[[AwayTeam]:[AwayTeam]], S$36, Table1[[ActualResult]:[ActualResult]], "SO")))/ (2*((COUNTIFS(Table1[[GameIsOver]:[GameIsOver]],1,Table1[[AwayTeam]:[AwayTeam]],$A57, Table1[[HomeTeam]:[HomeTeam]], S$36)))+( COUNTIFS(Table1[[GameIsOver]:[GameIsOver]],1,Table1[[AwayTeam]:[AwayTeam]],S$36, Table1[[HomeTeam]:[HomeTeam]],$A57))), "")</f>
        <v/>
      </c>
      <c r="T57" s="50" t="str">
        <f>IFERROR(((2 * (SUMIFS(Table1[[AwayWon]:[AwayWon]], Table1[[GameIsOver]:[GameIsOver]], 1, Table1[[AwayTeam]:[AwayTeam]], $A57, Table1[[HomeTeam]:[HomeTeam]], T$36) + SUMIFS(Table1[[HomeWon]:[HomeWon]], Table1[[GameIsOver]:[GameIsOver]], 1, Table1[[HomeTeam]:[HomeTeam]], $A57, Table1[[AwayTeam]:[AwayTeam]], T$36))) + (SUMIFS(Table1[[HomeWon]:[HomeWon]], Table1[[GameIsOver]:[GameIsOver]], 1, Table1[[AwayTeam]:[AwayTeam]], $A57, Table1[[HomeTeam]:[HomeTeam]],  T$36, Table1[[ActualResult]:[ActualResult]], "OT") + SUMIFS(Table1[[AwayWon]:[AwayWon]], Table1[[GameIsOver]:[GameIsOver]], 1, Table1[[HomeTeam]:[HomeTeam]], $A57, Table1[[AwayTeam]:[AwayTeam]], T$36, Table1[[ActualResult]:[ActualResult]], "OT") + SUMIFS(Table1[[HomeWon]:[HomeWon]], Table1[[GameIsOver]:[GameIsOver]], 1, Table1[[AwayTeam]:[AwayTeam]], $A57, Table1[[HomeTeam]:[HomeTeam]], T$36, Table1[[ActualResult]:[ActualResult]], "SO") + SUMIFS(Table1[[AwayWon]:[AwayWon]], Table1[[GameIsOver]:[GameIsOver]], 1, Table1[[HomeTeam]:[HomeTeam]], $A57, Table1[[AwayTeam]:[AwayTeam]], T$36, Table1[[ActualResult]:[ActualResult]], "SO")))/ (2*((COUNTIFS(Table1[[GameIsOver]:[GameIsOver]],1,Table1[[AwayTeam]:[AwayTeam]],$A57, Table1[[HomeTeam]:[HomeTeam]], T$36)))+( COUNTIFS(Table1[[GameIsOver]:[GameIsOver]],1,Table1[[AwayTeam]:[AwayTeam]],T$36, Table1[[HomeTeam]:[HomeTeam]],$A57))), "")</f>
        <v/>
      </c>
      <c r="U57" s="50" t="str">
        <f>IFERROR(((2 * (SUMIFS(Table1[[AwayWon]:[AwayWon]], Table1[[GameIsOver]:[GameIsOver]], 1, Table1[[AwayTeam]:[AwayTeam]], $A57, Table1[[HomeTeam]:[HomeTeam]], U$36) + SUMIFS(Table1[[HomeWon]:[HomeWon]], Table1[[GameIsOver]:[GameIsOver]], 1, Table1[[HomeTeam]:[HomeTeam]], $A57, Table1[[AwayTeam]:[AwayTeam]], U$36))) + (SUMIFS(Table1[[HomeWon]:[HomeWon]], Table1[[GameIsOver]:[GameIsOver]], 1, Table1[[AwayTeam]:[AwayTeam]], $A57, Table1[[HomeTeam]:[HomeTeam]],  U$36, Table1[[ActualResult]:[ActualResult]], "OT") + SUMIFS(Table1[[AwayWon]:[AwayWon]], Table1[[GameIsOver]:[GameIsOver]], 1, Table1[[HomeTeam]:[HomeTeam]], $A57, Table1[[AwayTeam]:[AwayTeam]], U$36, Table1[[ActualResult]:[ActualResult]], "OT") + SUMIFS(Table1[[HomeWon]:[HomeWon]], Table1[[GameIsOver]:[GameIsOver]], 1, Table1[[AwayTeam]:[AwayTeam]], $A57, Table1[[HomeTeam]:[HomeTeam]], U$36, Table1[[ActualResult]:[ActualResult]], "SO") + SUMIFS(Table1[[AwayWon]:[AwayWon]], Table1[[GameIsOver]:[GameIsOver]], 1, Table1[[HomeTeam]:[HomeTeam]], $A57, Table1[[AwayTeam]:[AwayTeam]], U$36, Table1[[ActualResult]:[ActualResult]], "SO")))/ (2*((COUNTIFS(Table1[[GameIsOver]:[GameIsOver]],1,Table1[[AwayTeam]:[AwayTeam]],$A57, Table1[[HomeTeam]:[HomeTeam]], U$36)))+( COUNTIFS(Table1[[GameIsOver]:[GameIsOver]],1,Table1[[AwayTeam]:[AwayTeam]],U$36, Table1[[HomeTeam]:[HomeTeam]],$A57))), "")</f>
        <v/>
      </c>
      <c r="V57" s="50" t="str">
        <f>IFERROR(((2 * (SUMIFS(Table1[[AwayWon]:[AwayWon]], Table1[[GameIsOver]:[GameIsOver]], 1, Table1[[AwayTeam]:[AwayTeam]], $A57, Table1[[HomeTeam]:[HomeTeam]], V$36) + SUMIFS(Table1[[HomeWon]:[HomeWon]], Table1[[GameIsOver]:[GameIsOver]], 1, Table1[[HomeTeam]:[HomeTeam]], $A57, Table1[[AwayTeam]:[AwayTeam]], V$36))) + (SUMIFS(Table1[[HomeWon]:[HomeWon]], Table1[[GameIsOver]:[GameIsOver]], 1, Table1[[AwayTeam]:[AwayTeam]], $A57, Table1[[HomeTeam]:[HomeTeam]],  V$36, Table1[[ActualResult]:[ActualResult]], "OT") + SUMIFS(Table1[[AwayWon]:[AwayWon]], Table1[[GameIsOver]:[GameIsOver]], 1, Table1[[HomeTeam]:[HomeTeam]], $A57, Table1[[AwayTeam]:[AwayTeam]], V$36, Table1[[ActualResult]:[ActualResult]], "OT") + SUMIFS(Table1[[HomeWon]:[HomeWon]], Table1[[GameIsOver]:[GameIsOver]], 1, Table1[[AwayTeam]:[AwayTeam]], $A57, Table1[[HomeTeam]:[HomeTeam]], V$36, Table1[[ActualResult]:[ActualResult]], "SO") + SUMIFS(Table1[[AwayWon]:[AwayWon]], Table1[[GameIsOver]:[GameIsOver]], 1, Table1[[HomeTeam]:[HomeTeam]], $A57, Table1[[AwayTeam]:[AwayTeam]], V$36, Table1[[ActualResult]:[ActualResult]], "SO")))/ (2*((COUNTIFS(Table1[[GameIsOver]:[GameIsOver]],1,Table1[[AwayTeam]:[AwayTeam]],$A57, Table1[[HomeTeam]:[HomeTeam]], V$36)))+( COUNTIFS(Table1[[GameIsOver]:[GameIsOver]],1,Table1[[AwayTeam]:[AwayTeam]],V$36, Table1[[HomeTeam]:[HomeTeam]],$A57))), "")</f>
        <v/>
      </c>
      <c r="W57" s="50" t="str">
        <f>IFERROR(((2 * (SUMIFS(Table1[[AwayWon]:[AwayWon]], Table1[[GameIsOver]:[GameIsOver]], 1, Table1[[AwayTeam]:[AwayTeam]], $A57, Table1[[HomeTeam]:[HomeTeam]], W$36) + SUMIFS(Table1[[HomeWon]:[HomeWon]], Table1[[GameIsOver]:[GameIsOver]], 1, Table1[[HomeTeam]:[HomeTeam]], $A57, Table1[[AwayTeam]:[AwayTeam]], W$36))) + (SUMIFS(Table1[[HomeWon]:[HomeWon]], Table1[[GameIsOver]:[GameIsOver]], 1, Table1[[AwayTeam]:[AwayTeam]], $A57, Table1[[HomeTeam]:[HomeTeam]],  W$36, Table1[[ActualResult]:[ActualResult]], "OT") + SUMIFS(Table1[[AwayWon]:[AwayWon]], Table1[[GameIsOver]:[GameIsOver]], 1, Table1[[HomeTeam]:[HomeTeam]], $A57, Table1[[AwayTeam]:[AwayTeam]], W$36, Table1[[ActualResult]:[ActualResult]], "OT") + SUMIFS(Table1[[HomeWon]:[HomeWon]], Table1[[GameIsOver]:[GameIsOver]], 1, Table1[[AwayTeam]:[AwayTeam]], $A57, Table1[[HomeTeam]:[HomeTeam]], W$36, Table1[[ActualResult]:[ActualResult]], "SO") + SUMIFS(Table1[[AwayWon]:[AwayWon]], Table1[[GameIsOver]:[GameIsOver]], 1, Table1[[HomeTeam]:[HomeTeam]], $A57, Table1[[AwayTeam]:[AwayTeam]], W$36, Table1[[ActualResult]:[ActualResult]], "SO")))/ (2*((COUNTIFS(Table1[[GameIsOver]:[GameIsOver]],1,Table1[[AwayTeam]:[AwayTeam]],$A57, Table1[[HomeTeam]:[HomeTeam]], W$36)))+( COUNTIFS(Table1[[GameIsOver]:[GameIsOver]],1,Table1[[AwayTeam]:[AwayTeam]],W$36, Table1[[HomeTeam]:[HomeTeam]],$A57))), "")</f>
        <v/>
      </c>
      <c r="X57" s="50" t="str">
        <f>IFERROR(((2 * (SUMIFS(Table1[[AwayWon]:[AwayWon]], Table1[[GameIsOver]:[GameIsOver]], 1, Table1[[AwayTeam]:[AwayTeam]], $A57, Table1[[HomeTeam]:[HomeTeam]], X$36) + SUMIFS(Table1[[HomeWon]:[HomeWon]], Table1[[GameIsOver]:[GameIsOver]], 1, Table1[[HomeTeam]:[HomeTeam]], $A57, Table1[[AwayTeam]:[AwayTeam]], X$36))) + (SUMIFS(Table1[[HomeWon]:[HomeWon]], Table1[[GameIsOver]:[GameIsOver]], 1, Table1[[AwayTeam]:[AwayTeam]], $A57, Table1[[HomeTeam]:[HomeTeam]],  X$36, Table1[[ActualResult]:[ActualResult]], "OT") + SUMIFS(Table1[[AwayWon]:[AwayWon]], Table1[[GameIsOver]:[GameIsOver]], 1, Table1[[HomeTeam]:[HomeTeam]], $A57, Table1[[AwayTeam]:[AwayTeam]], X$36, Table1[[ActualResult]:[ActualResult]], "OT") + SUMIFS(Table1[[HomeWon]:[HomeWon]], Table1[[GameIsOver]:[GameIsOver]], 1, Table1[[AwayTeam]:[AwayTeam]], $A57, Table1[[HomeTeam]:[HomeTeam]], X$36, Table1[[ActualResult]:[ActualResult]], "SO") + SUMIFS(Table1[[AwayWon]:[AwayWon]], Table1[[GameIsOver]:[GameIsOver]], 1, Table1[[HomeTeam]:[HomeTeam]], $A57, Table1[[AwayTeam]:[AwayTeam]], X$36, Table1[[ActualResult]:[ActualResult]], "SO")))/ (2*((COUNTIFS(Table1[[GameIsOver]:[GameIsOver]],1,Table1[[AwayTeam]:[AwayTeam]],$A57, Table1[[HomeTeam]:[HomeTeam]], X$36)))+( COUNTIFS(Table1[[GameIsOver]:[GameIsOver]],1,Table1[[AwayTeam]:[AwayTeam]],X$36, Table1[[HomeTeam]:[HomeTeam]],$A57))), "")</f>
        <v/>
      </c>
      <c r="Y57" s="52" t="str">
        <f>IFERROR(((2 * (SUMIFS(Table1[[AwayWon]:[AwayWon]], Table1[[GameIsOver]:[GameIsOver]], 1, Table1[[AwayTeam]:[AwayTeam]], $A57, Table1[[HomeTeam]:[HomeTeam]], Y$36) + SUMIFS(Table1[[HomeWon]:[HomeWon]], Table1[[GameIsOver]:[GameIsOver]], 1, Table1[[HomeTeam]:[HomeTeam]], $A57, Table1[[AwayTeam]:[AwayTeam]], Y$36))) + (SUMIFS(Table1[[HomeWon]:[HomeWon]], Table1[[GameIsOver]:[GameIsOver]], 1, Table1[[AwayTeam]:[AwayTeam]], $A57, Table1[[HomeTeam]:[HomeTeam]],  Y$36, Table1[[ActualResult]:[ActualResult]], "OT") + SUMIFS(Table1[[AwayWon]:[AwayWon]], Table1[[GameIsOver]:[GameIsOver]], 1, Table1[[HomeTeam]:[HomeTeam]], $A57, Table1[[AwayTeam]:[AwayTeam]], Y$36, Table1[[ActualResult]:[ActualResult]], "OT") + SUMIFS(Table1[[HomeWon]:[HomeWon]], Table1[[GameIsOver]:[GameIsOver]], 1, Table1[[AwayTeam]:[AwayTeam]], $A57, Table1[[HomeTeam]:[HomeTeam]], Y$36, Table1[[ActualResult]:[ActualResult]], "SO") + SUMIFS(Table1[[AwayWon]:[AwayWon]], Table1[[GameIsOver]:[GameIsOver]], 1, Table1[[HomeTeam]:[HomeTeam]], $A57, Table1[[AwayTeam]:[AwayTeam]], Y$36, Table1[[ActualResult]:[ActualResult]], "SO")))/ (2*((COUNTIFS(Table1[[GameIsOver]:[GameIsOver]],1,Table1[[AwayTeam]:[AwayTeam]],$A57, Table1[[HomeTeam]:[HomeTeam]], Y$36)))+( COUNTIFS(Table1[[GameIsOver]:[GameIsOver]],1,Table1[[AwayTeam]:[AwayTeam]],Y$36, Table1[[HomeTeam]:[HomeTeam]],$A57))), "")</f>
        <v/>
      </c>
      <c r="Z57" s="50" t="str">
        <f>IFERROR(((2 * (SUMIFS(Table1[[AwayWon]:[AwayWon]], Table1[[GameIsOver]:[GameIsOver]], 1, Table1[[AwayTeam]:[AwayTeam]], $A57, Table1[[HomeTeam]:[HomeTeam]], Z$36) + SUMIFS(Table1[[HomeWon]:[HomeWon]], Table1[[GameIsOver]:[GameIsOver]], 1, Table1[[HomeTeam]:[HomeTeam]], $A57, Table1[[AwayTeam]:[AwayTeam]], Z$36))) + (SUMIFS(Table1[[HomeWon]:[HomeWon]], Table1[[GameIsOver]:[GameIsOver]], 1, Table1[[AwayTeam]:[AwayTeam]], $A57, Table1[[HomeTeam]:[HomeTeam]],  Z$36, Table1[[ActualResult]:[ActualResult]], "OT") + SUMIFS(Table1[[AwayWon]:[AwayWon]], Table1[[GameIsOver]:[GameIsOver]], 1, Table1[[HomeTeam]:[HomeTeam]], $A57, Table1[[AwayTeam]:[AwayTeam]], Z$36, Table1[[ActualResult]:[ActualResult]], "OT") + SUMIFS(Table1[[HomeWon]:[HomeWon]], Table1[[GameIsOver]:[GameIsOver]], 1, Table1[[AwayTeam]:[AwayTeam]], $A57, Table1[[HomeTeam]:[HomeTeam]], Z$36, Table1[[ActualResult]:[ActualResult]], "SO") + SUMIFS(Table1[[AwayWon]:[AwayWon]], Table1[[GameIsOver]:[GameIsOver]], 1, Table1[[HomeTeam]:[HomeTeam]], $A57, Table1[[AwayTeam]:[AwayTeam]], Z$36, Table1[[ActualResult]:[ActualResult]], "SO")))/ (2*((COUNTIFS(Table1[[GameIsOver]:[GameIsOver]],1,Table1[[AwayTeam]:[AwayTeam]],$A57, Table1[[HomeTeam]:[HomeTeam]], Z$36)))+( COUNTIFS(Table1[[GameIsOver]:[GameIsOver]],1,Table1[[AwayTeam]:[AwayTeam]],Z$36, Table1[[HomeTeam]:[HomeTeam]],$A57))), "")</f>
        <v/>
      </c>
      <c r="AA57" s="50" t="str">
        <f>IFERROR(((2 * (SUMIFS(Table1[[AwayWon]:[AwayWon]], Table1[[GameIsOver]:[GameIsOver]], 1, Table1[[AwayTeam]:[AwayTeam]], $A57, Table1[[HomeTeam]:[HomeTeam]], AA$36) + SUMIFS(Table1[[HomeWon]:[HomeWon]], Table1[[GameIsOver]:[GameIsOver]], 1, Table1[[HomeTeam]:[HomeTeam]], $A57, Table1[[AwayTeam]:[AwayTeam]], AA$36))) + (SUMIFS(Table1[[HomeWon]:[HomeWon]], Table1[[GameIsOver]:[GameIsOver]], 1, Table1[[AwayTeam]:[AwayTeam]], $A57, Table1[[HomeTeam]:[HomeTeam]],  AA$36, Table1[[ActualResult]:[ActualResult]], "OT") + SUMIFS(Table1[[AwayWon]:[AwayWon]], Table1[[GameIsOver]:[GameIsOver]], 1, Table1[[HomeTeam]:[HomeTeam]], $A57, Table1[[AwayTeam]:[AwayTeam]], AA$36, Table1[[ActualResult]:[ActualResult]], "OT") + SUMIFS(Table1[[HomeWon]:[HomeWon]], Table1[[GameIsOver]:[GameIsOver]], 1, Table1[[AwayTeam]:[AwayTeam]], $A57, Table1[[HomeTeam]:[HomeTeam]], AA$36, Table1[[ActualResult]:[ActualResult]], "SO") + SUMIFS(Table1[[AwayWon]:[AwayWon]], Table1[[GameIsOver]:[GameIsOver]], 1, Table1[[HomeTeam]:[HomeTeam]], $A57, Table1[[AwayTeam]:[AwayTeam]], AA$36, Table1[[ActualResult]:[ActualResult]], "SO")))/ (2*((COUNTIFS(Table1[[GameIsOver]:[GameIsOver]],1,Table1[[AwayTeam]:[AwayTeam]],$A57, Table1[[HomeTeam]:[HomeTeam]], AA$36)))+( COUNTIFS(Table1[[GameIsOver]:[GameIsOver]],1,Table1[[AwayTeam]:[AwayTeam]],AA$36, Table1[[HomeTeam]:[HomeTeam]],$A57))), "")</f>
        <v/>
      </c>
      <c r="AB57" s="50" t="str">
        <f>IFERROR(((2 * (SUMIFS(Table1[[AwayWon]:[AwayWon]], Table1[[GameIsOver]:[GameIsOver]], 1, Table1[[AwayTeam]:[AwayTeam]], $A57, Table1[[HomeTeam]:[HomeTeam]], AB$36) + SUMIFS(Table1[[HomeWon]:[HomeWon]], Table1[[GameIsOver]:[GameIsOver]], 1, Table1[[HomeTeam]:[HomeTeam]], $A57, Table1[[AwayTeam]:[AwayTeam]], AB$36))) + (SUMIFS(Table1[[HomeWon]:[HomeWon]], Table1[[GameIsOver]:[GameIsOver]], 1, Table1[[AwayTeam]:[AwayTeam]], $A57, Table1[[HomeTeam]:[HomeTeam]],  AB$36, Table1[[ActualResult]:[ActualResult]], "OT") + SUMIFS(Table1[[AwayWon]:[AwayWon]], Table1[[GameIsOver]:[GameIsOver]], 1, Table1[[HomeTeam]:[HomeTeam]], $A57, Table1[[AwayTeam]:[AwayTeam]], AB$36, Table1[[ActualResult]:[ActualResult]], "OT") + SUMIFS(Table1[[HomeWon]:[HomeWon]], Table1[[GameIsOver]:[GameIsOver]], 1, Table1[[AwayTeam]:[AwayTeam]], $A57, Table1[[HomeTeam]:[HomeTeam]], AB$36, Table1[[ActualResult]:[ActualResult]], "SO") + SUMIFS(Table1[[AwayWon]:[AwayWon]], Table1[[GameIsOver]:[GameIsOver]], 1, Table1[[HomeTeam]:[HomeTeam]], $A57, Table1[[AwayTeam]:[AwayTeam]], AB$36, Table1[[ActualResult]:[ActualResult]], "SO")))/ (2*((COUNTIFS(Table1[[GameIsOver]:[GameIsOver]],1,Table1[[AwayTeam]:[AwayTeam]],$A57, Table1[[HomeTeam]:[HomeTeam]], AB$36)))+( COUNTIFS(Table1[[GameIsOver]:[GameIsOver]],1,Table1[[AwayTeam]:[AwayTeam]],AB$36, Table1[[HomeTeam]:[HomeTeam]],$A57))), "")</f>
        <v/>
      </c>
      <c r="AC57" s="50" t="str">
        <f>IFERROR(((2 * (SUMIFS(Table1[[AwayWon]:[AwayWon]], Table1[[GameIsOver]:[GameIsOver]], 1, Table1[[AwayTeam]:[AwayTeam]], $A57, Table1[[HomeTeam]:[HomeTeam]], AC$36) + SUMIFS(Table1[[HomeWon]:[HomeWon]], Table1[[GameIsOver]:[GameIsOver]], 1, Table1[[HomeTeam]:[HomeTeam]], $A57, Table1[[AwayTeam]:[AwayTeam]], AC$36))) + (SUMIFS(Table1[[HomeWon]:[HomeWon]], Table1[[GameIsOver]:[GameIsOver]], 1, Table1[[AwayTeam]:[AwayTeam]], $A57, Table1[[HomeTeam]:[HomeTeam]],  AC$36, Table1[[ActualResult]:[ActualResult]], "OT") + SUMIFS(Table1[[AwayWon]:[AwayWon]], Table1[[GameIsOver]:[GameIsOver]], 1, Table1[[HomeTeam]:[HomeTeam]], $A57, Table1[[AwayTeam]:[AwayTeam]], AC$36, Table1[[ActualResult]:[ActualResult]], "OT") + SUMIFS(Table1[[HomeWon]:[HomeWon]], Table1[[GameIsOver]:[GameIsOver]], 1, Table1[[AwayTeam]:[AwayTeam]], $A57, Table1[[HomeTeam]:[HomeTeam]], AC$36, Table1[[ActualResult]:[ActualResult]], "SO") + SUMIFS(Table1[[AwayWon]:[AwayWon]], Table1[[GameIsOver]:[GameIsOver]], 1, Table1[[HomeTeam]:[HomeTeam]], $A57, Table1[[AwayTeam]:[AwayTeam]], AC$36, Table1[[ActualResult]:[ActualResult]], "SO")))/ (2*((COUNTIFS(Table1[[GameIsOver]:[GameIsOver]],1,Table1[[AwayTeam]:[AwayTeam]],$A57, Table1[[HomeTeam]:[HomeTeam]], AC$36)))+( COUNTIFS(Table1[[GameIsOver]:[GameIsOver]],1,Table1[[AwayTeam]:[AwayTeam]],AC$36, Table1[[HomeTeam]:[HomeTeam]],$A57))), "")</f>
        <v/>
      </c>
      <c r="AD57" s="50" t="str">
        <f>IFERROR(((2 * (SUMIFS(Table1[[AwayWon]:[AwayWon]], Table1[[GameIsOver]:[GameIsOver]], 1, Table1[[AwayTeam]:[AwayTeam]], $A57, Table1[[HomeTeam]:[HomeTeam]], AD$36) + SUMIFS(Table1[[HomeWon]:[HomeWon]], Table1[[GameIsOver]:[GameIsOver]], 1, Table1[[HomeTeam]:[HomeTeam]], $A57, Table1[[AwayTeam]:[AwayTeam]], AD$36))) + (SUMIFS(Table1[[HomeWon]:[HomeWon]], Table1[[GameIsOver]:[GameIsOver]], 1, Table1[[AwayTeam]:[AwayTeam]], $A57, Table1[[HomeTeam]:[HomeTeam]],  AD$36, Table1[[ActualResult]:[ActualResult]], "OT") + SUMIFS(Table1[[AwayWon]:[AwayWon]], Table1[[GameIsOver]:[GameIsOver]], 1, Table1[[HomeTeam]:[HomeTeam]], $A57, Table1[[AwayTeam]:[AwayTeam]], AD$36, Table1[[ActualResult]:[ActualResult]], "OT") + SUMIFS(Table1[[HomeWon]:[HomeWon]], Table1[[GameIsOver]:[GameIsOver]], 1, Table1[[AwayTeam]:[AwayTeam]], $A57, Table1[[HomeTeam]:[HomeTeam]], AD$36, Table1[[ActualResult]:[ActualResult]], "SO") + SUMIFS(Table1[[AwayWon]:[AwayWon]], Table1[[GameIsOver]:[GameIsOver]], 1, Table1[[HomeTeam]:[HomeTeam]], $A57, Table1[[AwayTeam]:[AwayTeam]], AD$36, Table1[[ActualResult]:[ActualResult]], "SO")))/ (2*((COUNTIFS(Table1[[GameIsOver]:[GameIsOver]],1,Table1[[AwayTeam]:[AwayTeam]],$A57, Table1[[HomeTeam]:[HomeTeam]], AD$36)))+( COUNTIFS(Table1[[GameIsOver]:[GameIsOver]],1,Table1[[AwayTeam]:[AwayTeam]],AD$36, Table1[[HomeTeam]:[HomeTeam]],$A57))), "")</f>
        <v/>
      </c>
      <c r="AE57" s="50" t="str">
        <f>IFERROR(((2 * (SUMIFS(Table1[[AwayWon]:[AwayWon]], Table1[[GameIsOver]:[GameIsOver]], 1, Table1[[AwayTeam]:[AwayTeam]], $A57, Table1[[HomeTeam]:[HomeTeam]], AE$36) + SUMIFS(Table1[[HomeWon]:[HomeWon]], Table1[[GameIsOver]:[GameIsOver]], 1, Table1[[HomeTeam]:[HomeTeam]], $A57, Table1[[AwayTeam]:[AwayTeam]], AE$36))) + (SUMIFS(Table1[[HomeWon]:[HomeWon]], Table1[[GameIsOver]:[GameIsOver]], 1, Table1[[AwayTeam]:[AwayTeam]], $A57, Table1[[HomeTeam]:[HomeTeam]],  AE$36, Table1[[ActualResult]:[ActualResult]], "OT") + SUMIFS(Table1[[AwayWon]:[AwayWon]], Table1[[GameIsOver]:[GameIsOver]], 1, Table1[[HomeTeam]:[HomeTeam]], $A57, Table1[[AwayTeam]:[AwayTeam]], AE$36, Table1[[ActualResult]:[ActualResult]], "OT") + SUMIFS(Table1[[HomeWon]:[HomeWon]], Table1[[GameIsOver]:[GameIsOver]], 1, Table1[[AwayTeam]:[AwayTeam]], $A57, Table1[[HomeTeam]:[HomeTeam]], AE$36, Table1[[ActualResult]:[ActualResult]], "SO") + SUMIFS(Table1[[AwayWon]:[AwayWon]], Table1[[GameIsOver]:[GameIsOver]], 1, Table1[[HomeTeam]:[HomeTeam]], $A57, Table1[[AwayTeam]:[AwayTeam]], AE$36, Table1[[ActualResult]:[ActualResult]], "SO")))/ (2*((COUNTIFS(Table1[[GameIsOver]:[GameIsOver]],1,Table1[[AwayTeam]:[AwayTeam]],$A57, Table1[[HomeTeam]:[HomeTeam]], AE$36)))+( COUNTIFS(Table1[[GameIsOver]:[GameIsOver]],1,Table1[[AwayTeam]:[AwayTeam]],AE$36, Table1[[HomeTeam]:[HomeTeam]],$A57))), "")</f>
        <v/>
      </c>
      <c r="AF57" s="50">
        <f>IFERROR(((2 * (SUMIFS(Table1[[AwayWon]:[AwayWon]], Table1[[GameIsOver]:[GameIsOver]], 1, Table1[[AwayTeam]:[AwayTeam]], $A57, Table1[[HomeTeam]:[HomeTeam]], AF$36) + SUMIFS(Table1[[HomeWon]:[HomeWon]], Table1[[GameIsOver]:[GameIsOver]], 1, Table1[[HomeTeam]:[HomeTeam]], $A57, Table1[[AwayTeam]:[AwayTeam]], AF$36))) + (SUMIFS(Table1[[HomeWon]:[HomeWon]], Table1[[GameIsOver]:[GameIsOver]], 1, Table1[[AwayTeam]:[AwayTeam]], $A57, Table1[[HomeTeam]:[HomeTeam]],  AF$36, Table1[[ActualResult]:[ActualResult]], "OT") + SUMIFS(Table1[[AwayWon]:[AwayWon]], Table1[[GameIsOver]:[GameIsOver]], 1, Table1[[HomeTeam]:[HomeTeam]], $A57, Table1[[AwayTeam]:[AwayTeam]], AF$36, Table1[[ActualResult]:[ActualResult]], "OT") + SUMIFS(Table1[[HomeWon]:[HomeWon]], Table1[[GameIsOver]:[GameIsOver]], 1, Table1[[AwayTeam]:[AwayTeam]], $A57, Table1[[HomeTeam]:[HomeTeam]], AF$36, Table1[[ActualResult]:[ActualResult]], "SO") + SUMIFS(Table1[[AwayWon]:[AwayWon]], Table1[[GameIsOver]:[GameIsOver]], 1, Table1[[HomeTeam]:[HomeTeam]], $A57, Table1[[AwayTeam]:[AwayTeam]], AF$36, Table1[[ActualResult]:[ActualResult]], "SO")))/ (2*((COUNTIFS(Table1[[GameIsOver]:[GameIsOver]],1,Table1[[AwayTeam]:[AwayTeam]],$A57, Table1[[HomeTeam]:[HomeTeam]], AF$36)))+( COUNTIFS(Table1[[GameIsOver]:[GameIsOver]],1,Table1[[AwayTeam]:[AwayTeam]],AF$36, Table1[[HomeTeam]:[HomeTeam]],$A57))), "")</f>
        <v>0</v>
      </c>
      <c r="AG57" s="50" t="str">
        <f>IFERROR(((2 * (SUMIFS(Table1[[AwayWon]:[AwayWon]], Table1[[GameIsOver]:[GameIsOver]], 1, Table1[[AwayTeam]:[AwayTeam]], $A57, Table1[[HomeTeam]:[HomeTeam]], AG$36) + SUMIFS(Table1[[HomeWon]:[HomeWon]], Table1[[GameIsOver]:[GameIsOver]], 1, Table1[[HomeTeam]:[HomeTeam]], $A57, Table1[[AwayTeam]:[AwayTeam]], AG$36))) + (SUMIFS(Table1[[HomeWon]:[HomeWon]], Table1[[GameIsOver]:[GameIsOver]], 1, Table1[[AwayTeam]:[AwayTeam]], $A57, Table1[[HomeTeam]:[HomeTeam]],  AG$36, Table1[[ActualResult]:[ActualResult]], "OT") + SUMIFS(Table1[[AwayWon]:[AwayWon]], Table1[[GameIsOver]:[GameIsOver]], 1, Table1[[HomeTeam]:[HomeTeam]], $A57, Table1[[AwayTeam]:[AwayTeam]], AG$36, Table1[[ActualResult]:[ActualResult]], "OT") + SUMIFS(Table1[[HomeWon]:[HomeWon]], Table1[[GameIsOver]:[GameIsOver]], 1, Table1[[AwayTeam]:[AwayTeam]], $A57, Table1[[HomeTeam]:[HomeTeam]], AG$36, Table1[[ActualResult]:[ActualResult]], "SO") + SUMIFS(Table1[[AwayWon]:[AwayWon]], Table1[[GameIsOver]:[GameIsOver]], 1, Table1[[HomeTeam]:[HomeTeam]], $A57, Table1[[AwayTeam]:[AwayTeam]], AG$36, Table1[[ActualResult]:[ActualResult]], "SO")))/ (2*((COUNTIFS(Table1[[GameIsOver]:[GameIsOver]],1,Table1[[AwayTeam]:[AwayTeam]],$A57, Table1[[HomeTeam]:[HomeTeam]], AG$36)))+( COUNTIFS(Table1[[GameIsOver]:[GameIsOver]],1,Table1[[AwayTeam]:[AwayTeam]],AG$36, Table1[[HomeTeam]:[HomeTeam]],$A57))), "")</f>
        <v/>
      </c>
      <c r="AH57" s="51">
        <f t="shared" si="0"/>
        <v>0</v>
      </c>
      <c r="AI57" s="51" t="e">
        <f t="shared" si="1"/>
        <v>#DIV/0!</v>
      </c>
      <c r="AJ57" s="52">
        <f t="shared" si="2"/>
        <v>0</v>
      </c>
      <c r="AK57" s="52" t="e">
        <f t="shared" si="3"/>
        <v>#DIV/0!</v>
      </c>
      <c r="AL57" s="52" t="e">
        <f t="shared" si="4"/>
        <v>#DIV/0!</v>
      </c>
      <c r="AM57" s="52" t="e">
        <f t="shared" si="5"/>
        <v>#DIV/0!</v>
      </c>
    </row>
    <row r="58" spans="1:39" x14ac:dyDescent="0.25">
      <c r="A58" s="28" t="s">
        <v>53</v>
      </c>
      <c r="B58" s="50" t="str">
        <f>IFERROR(((2 * (SUMIFS(Table1[[AwayWon]:[AwayWon]], Table1[[GameIsOver]:[GameIsOver]], 1, Table1[[AwayTeam]:[AwayTeam]], $A58, Table1[[HomeTeam]:[HomeTeam]], B$36) + SUMIFS(Table1[[HomeWon]:[HomeWon]], Table1[[GameIsOver]:[GameIsOver]], 1, Table1[[HomeTeam]:[HomeTeam]], $A58, Table1[[AwayTeam]:[AwayTeam]], B$36))) + (SUMIFS(Table1[[HomeWon]:[HomeWon]], Table1[[GameIsOver]:[GameIsOver]], 1, Table1[[AwayTeam]:[AwayTeam]], $A58, Table1[[HomeTeam]:[HomeTeam]],  B$36, Table1[[ActualResult]:[ActualResult]], "OT") + SUMIFS(Table1[[AwayWon]:[AwayWon]], Table1[[GameIsOver]:[GameIsOver]], 1, Table1[[HomeTeam]:[HomeTeam]], $A58, Table1[[AwayTeam]:[AwayTeam]], B$36, Table1[[ActualResult]:[ActualResult]], "OT") + SUMIFS(Table1[[HomeWon]:[HomeWon]], Table1[[GameIsOver]:[GameIsOver]], 1, Table1[[AwayTeam]:[AwayTeam]], $A58, Table1[[HomeTeam]:[HomeTeam]], B$36, Table1[[ActualResult]:[ActualResult]], "SO") + SUMIFS(Table1[[AwayWon]:[AwayWon]], Table1[[GameIsOver]:[GameIsOver]], 1, Table1[[HomeTeam]:[HomeTeam]], $A58, Table1[[AwayTeam]:[AwayTeam]], B$36, Table1[[ActualResult]:[ActualResult]], "SO")))/ (2*((COUNTIFS(Table1[[GameIsOver]:[GameIsOver]],1,Table1[[AwayTeam]:[AwayTeam]],$A58, Table1[[HomeTeam]:[HomeTeam]], B$36)))+( COUNTIFS(Table1[[GameIsOver]:[GameIsOver]],1,Table1[[AwayTeam]:[AwayTeam]],B$36, Table1[[HomeTeam]:[HomeTeam]],$A58))), "")</f>
        <v/>
      </c>
      <c r="C58" s="50" t="str">
        <f>IFERROR(((2 * (SUMIFS(Table1[[AwayWon]:[AwayWon]], Table1[[GameIsOver]:[GameIsOver]], 1, Table1[[AwayTeam]:[AwayTeam]], $A58, Table1[[HomeTeam]:[HomeTeam]], C$36) + SUMIFS(Table1[[HomeWon]:[HomeWon]], Table1[[GameIsOver]:[GameIsOver]], 1, Table1[[HomeTeam]:[HomeTeam]], $A58, Table1[[AwayTeam]:[AwayTeam]], C$36))) + (SUMIFS(Table1[[HomeWon]:[HomeWon]], Table1[[GameIsOver]:[GameIsOver]], 1, Table1[[AwayTeam]:[AwayTeam]], $A58, Table1[[HomeTeam]:[HomeTeam]],  C$36, Table1[[ActualResult]:[ActualResult]], "OT") + SUMIFS(Table1[[AwayWon]:[AwayWon]], Table1[[GameIsOver]:[GameIsOver]], 1, Table1[[HomeTeam]:[HomeTeam]], $A58, Table1[[AwayTeam]:[AwayTeam]], C$36, Table1[[ActualResult]:[ActualResult]], "OT") + SUMIFS(Table1[[HomeWon]:[HomeWon]], Table1[[GameIsOver]:[GameIsOver]], 1, Table1[[AwayTeam]:[AwayTeam]], $A58, Table1[[HomeTeam]:[HomeTeam]], C$36, Table1[[ActualResult]:[ActualResult]], "SO") + SUMIFS(Table1[[AwayWon]:[AwayWon]], Table1[[GameIsOver]:[GameIsOver]], 1, Table1[[HomeTeam]:[HomeTeam]], $A58, Table1[[AwayTeam]:[AwayTeam]], C$36, Table1[[ActualResult]:[ActualResult]], "SO")))/ (2*((COUNTIFS(Table1[[GameIsOver]:[GameIsOver]],1,Table1[[AwayTeam]:[AwayTeam]],$A58, Table1[[HomeTeam]:[HomeTeam]], C$36)))+( COUNTIFS(Table1[[GameIsOver]:[GameIsOver]],1,Table1[[AwayTeam]:[AwayTeam]],C$36, Table1[[HomeTeam]:[HomeTeam]],$A58))), "")</f>
        <v/>
      </c>
      <c r="D58" s="50" t="str">
        <f>IFERROR(((2 * (SUMIFS(Table1[[AwayWon]:[AwayWon]], Table1[[GameIsOver]:[GameIsOver]], 1, Table1[[AwayTeam]:[AwayTeam]], $A58, Table1[[HomeTeam]:[HomeTeam]], D$36) + SUMIFS(Table1[[HomeWon]:[HomeWon]], Table1[[GameIsOver]:[GameIsOver]], 1, Table1[[HomeTeam]:[HomeTeam]], $A58, Table1[[AwayTeam]:[AwayTeam]], D$36))) + (SUMIFS(Table1[[HomeWon]:[HomeWon]], Table1[[GameIsOver]:[GameIsOver]], 1, Table1[[AwayTeam]:[AwayTeam]], $A58, Table1[[HomeTeam]:[HomeTeam]],  D$36, Table1[[ActualResult]:[ActualResult]], "OT") + SUMIFS(Table1[[AwayWon]:[AwayWon]], Table1[[GameIsOver]:[GameIsOver]], 1, Table1[[HomeTeam]:[HomeTeam]], $A58, Table1[[AwayTeam]:[AwayTeam]], D$36, Table1[[ActualResult]:[ActualResult]], "OT") + SUMIFS(Table1[[HomeWon]:[HomeWon]], Table1[[GameIsOver]:[GameIsOver]], 1, Table1[[AwayTeam]:[AwayTeam]], $A58, Table1[[HomeTeam]:[HomeTeam]], D$36, Table1[[ActualResult]:[ActualResult]], "SO") + SUMIFS(Table1[[AwayWon]:[AwayWon]], Table1[[GameIsOver]:[GameIsOver]], 1, Table1[[HomeTeam]:[HomeTeam]], $A58, Table1[[AwayTeam]:[AwayTeam]], D$36, Table1[[ActualResult]:[ActualResult]], "SO")))/ (2*((COUNTIFS(Table1[[GameIsOver]:[GameIsOver]],1,Table1[[AwayTeam]:[AwayTeam]],$A58, Table1[[HomeTeam]:[HomeTeam]], D$36)))+( COUNTIFS(Table1[[GameIsOver]:[GameIsOver]],1,Table1[[AwayTeam]:[AwayTeam]],D$36, Table1[[HomeTeam]:[HomeTeam]],$A58))), "")</f>
        <v/>
      </c>
      <c r="E58" s="50" t="str">
        <f>IFERROR(((2 * (SUMIFS(Table1[[AwayWon]:[AwayWon]], Table1[[GameIsOver]:[GameIsOver]], 1, Table1[[AwayTeam]:[AwayTeam]], $A58, Table1[[HomeTeam]:[HomeTeam]], E$36) + SUMIFS(Table1[[HomeWon]:[HomeWon]], Table1[[GameIsOver]:[GameIsOver]], 1, Table1[[HomeTeam]:[HomeTeam]], $A58, Table1[[AwayTeam]:[AwayTeam]], E$36))) + (SUMIFS(Table1[[HomeWon]:[HomeWon]], Table1[[GameIsOver]:[GameIsOver]], 1, Table1[[AwayTeam]:[AwayTeam]], $A58, Table1[[HomeTeam]:[HomeTeam]],  E$36, Table1[[ActualResult]:[ActualResult]], "OT") + SUMIFS(Table1[[AwayWon]:[AwayWon]], Table1[[GameIsOver]:[GameIsOver]], 1, Table1[[HomeTeam]:[HomeTeam]], $A58, Table1[[AwayTeam]:[AwayTeam]], E$36, Table1[[ActualResult]:[ActualResult]], "OT") + SUMIFS(Table1[[HomeWon]:[HomeWon]], Table1[[GameIsOver]:[GameIsOver]], 1, Table1[[AwayTeam]:[AwayTeam]], $A58, Table1[[HomeTeam]:[HomeTeam]], E$36, Table1[[ActualResult]:[ActualResult]], "SO") + SUMIFS(Table1[[AwayWon]:[AwayWon]], Table1[[GameIsOver]:[GameIsOver]], 1, Table1[[HomeTeam]:[HomeTeam]], $A58, Table1[[AwayTeam]:[AwayTeam]], E$36, Table1[[ActualResult]:[ActualResult]], "SO")))/ (2*((COUNTIFS(Table1[[GameIsOver]:[GameIsOver]],1,Table1[[AwayTeam]:[AwayTeam]],$A58, Table1[[HomeTeam]:[HomeTeam]], E$36)))+( COUNTIFS(Table1[[GameIsOver]:[GameIsOver]],1,Table1[[AwayTeam]:[AwayTeam]],E$36, Table1[[HomeTeam]:[HomeTeam]],$A58))), "")</f>
        <v/>
      </c>
      <c r="F58" s="50" t="str">
        <f>IFERROR(((2 * (SUMIFS(Table1[[AwayWon]:[AwayWon]], Table1[[GameIsOver]:[GameIsOver]], 1, Table1[[AwayTeam]:[AwayTeam]], $A58, Table1[[HomeTeam]:[HomeTeam]], F$36) + SUMIFS(Table1[[HomeWon]:[HomeWon]], Table1[[GameIsOver]:[GameIsOver]], 1, Table1[[HomeTeam]:[HomeTeam]], $A58, Table1[[AwayTeam]:[AwayTeam]], F$36))) + (SUMIFS(Table1[[HomeWon]:[HomeWon]], Table1[[GameIsOver]:[GameIsOver]], 1, Table1[[AwayTeam]:[AwayTeam]], $A58, Table1[[HomeTeam]:[HomeTeam]],  F$36, Table1[[ActualResult]:[ActualResult]], "OT") + SUMIFS(Table1[[AwayWon]:[AwayWon]], Table1[[GameIsOver]:[GameIsOver]], 1, Table1[[HomeTeam]:[HomeTeam]], $A58, Table1[[AwayTeam]:[AwayTeam]], F$36, Table1[[ActualResult]:[ActualResult]], "OT") + SUMIFS(Table1[[HomeWon]:[HomeWon]], Table1[[GameIsOver]:[GameIsOver]], 1, Table1[[AwayTeam]:[AwayTeam]], $A58, Table1[[HomeTeam]:[HomeTeam]], F$36, Table1[[ActualResult]:[ActualResult]], "SO") + SUMIFS(Table1[[AwayWon]:[AwayWon]], Table1[[GameIsOver]:[GameIsOver]], 1, Table1[[HomeTeam]:[HomeTeam]], $A58, Table1[[AwayTeam]:[AwayTeam]], F$36, Table1[[ActualResult]:[ActualResult]], "SO")))/ (2*((COUNTIFS(Table1[[GameIsOver]:[GameIsOver]],1,Table1[[AwayTeam]:[AwayTeam]],$A58, Table1[[HomeTeam]:[HomeTeam]], F$36)))+( COUNTIFS(Table1[[GameIsOver]:[GameIsOver]],1,Table1[[AwayTeam]:[AwayTeam]],F$36, Table1[[HomeTeam]:[HomeTeam]],$A58))), "")</f>
        <v/>
      </c>
      <c r="G58" s="50" t="str">
        <f>IFERROR(((2 * (SUMIFS(Table1[[AwayWon]:[AwayWon]], Table1[[GameIsOver]:[GameIsOver]], 1, Table1[[AwayTeam]:[AwayTeam]], $A58, Table1[[HomeTeam]:[HomeTeam]], G$36) + SUMIFS(Table1[[HomeWon]:[HomeWon]], Table1[[GameIsOver]:[GameIsOver]], 1, Table1[[HomeTeam]:[HomeTeam]], $A58, Table1[[AwayTeam]:[AwayTeam]], G$36))) + (SUMIFS(Table1[[HomeWon]:[HomeWon]], Table1[[GameIsOver]:[GameIsOver]], 1, Table1[[AwayTeam]:[AwayTeam]], $A58, Table1[[HomeTeam]:[HomeTeam]],  G$36, Table1[[ActualResult]:[ActualResult]], "OT") + SUMIFS(Table1[[AwayWon]:[AwayWon]], Table1[[GameIsOver]:[GameIsOver]], 1, Table1[[HomeTeam]:[HomeTeam]], $A58, Table1[[AwayTeam]:[AwayTeam]], G$36, Table1[[ActualResult]:[ActualResult]], "OT") + SUMIFS(Table1[[HomeWon]:[HomeWon]], Table1[[GameIsOver]:[GameIsOver]], 1, Table1[[AwayTeam]:[AwayTeam]], $A58, Table1[[HomeTeam]:[HomeTeam]], G$36, Table1[[ActualResult]:[ActualResult]], "SO") + SUMIFS(Table1[[AwayWon]:[AwayWon]], Table1[[GameIsOver]:[GameIsOver]], 1, Table1[[HomeTeam]:[HomeTeam]], $A58, Table1[[AwayTeam]:[AwayTeam]], G$36, Table1[[ActualResult]:[ActualResult]], "SO")))/ (2*((COUNTIFS(Table1[[GameIsOver]:[GameIsOver]],1,Table1[[AwayTeam]:[AwayTeam]],$A58, Table1[[HomeTeam]:[HomeTeam]], G$36)))+( COUNTIFS(Table1[[GameIsOver]:[GameIsOver]],1,Table1[[AwayTeam]:[AwayTeam]],G$36, Table1[[HomeTeam]:[HomeTeam]],$A58))), "")</f>
        <v/>
      </c>
      <c r="H58" s="50" t="str">
        <f>IFERROR(((2 * (SUMIFS(Table1[[AwayWon]:[AwayWon]], Table1[[GameIsOver]:[GameIsOver]], 1, Table1[[AwayTeam]:[AwayTeam]], $A58, Table1[[HomeTeam]:[HomeTeam]], H$36) + SUMIFS(Table1[[HomeWon]:[HomeWon]], Table1[[GameIsOver]:[GameIsOver]], 1, Table1[[HomeTeam]:[HomeTeam]], $A58, Table1[[AwayTeam]:[AwayTeam]], H$36))) + (SUMIFS(Table1[[HomeWon]:[HomeWon]], Table1[[GameIsOver]:[GameIsOver]], 1, Table1[[AwayTeam]:[AwayTeam]], $A58, Table1[[HomeTeam]:[HomeTeam]],  H$36, Table1[[ActualResult]:[ActualResult]], "OT") + SUMIFS(Table1[[AwayWon]:[AwayWon]], Table1[[GameIsOver]:[GameIsOver]], 1, Table1[[HomeTeam]:[HomeTeam]], $A58, Table1[[AwayTeam]:[AwayTeam]], H$36, Table1[[ActualResult]:[ActualResult]], "OT") + SUMIFS(Table1[[HomeWon]:[HomeWon]], Table1[[GameIsOver]:[GameIsOver]], 1, Table1[[AwayTeam]:[AwayTeam]], $A58, Table1[[HomeTeam]:[HomeTeam]], H$36, Table1[[ActualResult]:[ActualResult]], "SO") + SUMIFS(Table1[[AwayWon]:[AwayWon]], Table1[[GameIsOver]:[GameIsOver]], 1, Table1[[HomeTeam]:[HomeTeam]], $A58, Table1[[AwayTeam]:[AwayTeam]], H$36, Table1[[ActualResult]:[ActualResult]], "SO")))/ (2*((COUNTIFS(Table1[[GameIsOver]:[GameIsOver]],1,Table1[[AwayTeam]:[AwayTeam]],$A58, Table1[[HomeTeam]:[HomeTeam]], H$36)))+( COUNTIFS(Table1[[GameIsOver]:[GameIsOver]],1,Table1[[AwayTeam]:[AwayTeam]],H$36, Table1[[HomeTeam]:[HomeTeam]],$A58))), "")</f>
        <v/>
      </c>
      <c r="I58" s="52" t="str">
        <f>IFERROR(((2 * (SUMIFS(Table1[[AwayWon]:[AwayWon]], Table1[[GameIsOver]:[GameIsOver]], 1, Table1[[AwayTeam]:[AwayTeam]], $A58, Table1[[HomeTeam]:[HomeTeam]], I$36) + SUMIFS(Table1[[HomeWon]:[HomeWon]], Table1[[GameIsOver]:[GameIsOver]], 1, Table1[[HomeTeam]:[HomeTeam]], $A58, Table1[[AwayTeam]:[AwayTeam]], I$36))) + (SUMIFS(Table1[[HomeWon]:[HomeWon]], Table1[[GameIsOver]:[GameIsOver]], 1, Table1[[AwayTeam]:[AwayTeam]], $A58, Table1[[HomeTeam]:[HomeTeam]],  I$36, Table1[[ActualResult]:[ActualResult]], "OT") + SUMIFS(Table1[[AwayWon]:[AwayWon]], Table1[[GameIsOver]:[GameIsOver]], 1, Table1[[HomeTeam]:[HomeTeam]], $A58, Table1[[AwayTeam]:[AwayTeam]], I$36, Table1[[ActualResult]:[ActualResult]], "OT") + SUMIFS(Table1[[HomeWon]:[HomeWon]], Table1[[GameIsOver]:[GameIsOver]], 1, Table1[[AwayTeam]:[AwayTeam]], $A58, Table1[[HomeTeam]:[HomeTeam]], I$36, Table1[[ActualResult]:[ActualResult]], "SO") + SUMIFS(Table1[[AwayWon]:[AwayWon]], Table1[[GameIsOver]:[GameIsOver]], 1, Table1[[HomeTeam]:[HomeTeam]], $A58, Table1[[AwayTeam]:[AwayTeam]], I$36, Table1[[ActualResult]:[ActualResult]], "SO")))/ (2*((COUNTIFS(Table1[[GameIsOver]:[GameIsOver]],1,Table1[[AwayTeam]:[AwayTeam]],$A58, Table1[[HomeTeam]:[HomeTeam]], I$36)))+( COUNTIFS(Table1[[GameIsOver]:[GameIsOver]],1,Table1[[AwayTeam]:[AwayTeam]],I$36, Table1[[HomeTeam]:[HomeTeam]],$A58))), "")</f>
        <v/>
      </c>
      <c r="J58" s="50" t="str">
        <f>IFERROR(((2 * (SUMIFS(Table1[[AwayWon]:[AwayWon]], Table1[[GameIsOver]:[GameIsOver]], 1, Table1[[AwayTeam]:[AwayTeam]], $A58, Table1[[HomeTeam]:[HomeTeam]], J$36) + SUMIFS(Table1[[HomeWon]:[HomeWon]], Table1[[GameIsOver]:[GameIsOver]], 1, Table1[[HomeTeam]:[HomeTeam]], $A58, Table1[[AwayTeam]:[AwayTeam]], J$36))) + (SUMIFS(Table1[[HomeWon]:[HomeWon]], Table1[[GameIsOver]:[GameIsOver]], 1, Table1[[AwayTeam]:[AwayTeam]], $A58, Table1[[HomeTeam]:[HomeTeam]],  J$36, Table1[[ActualResult]:[ActualResult]], "OT") + SUMIFS(Table1[[AwayWon]:[AwayWon]], Table1[[GameIsOver]:[GameIsOver]], 1, Table1[[HomeTeam]:[HomeTeam]], $A58, Table1[[AwayTeam]:[AwayTeam]], J$36, Table1[[ActualResult]:[ActualResult]], "OT") + SUMIFS(Table1[[HomeWon]:[HomeWon]], Table1[[GameIsOver]:[GameIsOver]], 1, Table1[[AwayTeam]:[AwayTeam]], $A58, Table1[[HomeTeam]:[HomeTeam]], J$36, Table1[[ActualResult]:[ActualResult]], "SO") + SUMIFS(Table1[[AwayWon]:[AwayWon]], Table1[[GameIsOver]:[GameIsOver]], 1, Table1[[HomeTeam]:[HomeTeam]], $A58, Table1[[AwayTeam]:[AwayTeam]], J$36, Table1[[ActualResult]:[ActualResult]], "SO")))/ (2*((COUNTIFS(Table1[[GameIsOver]:[GameIsOver]],1,Table1[[AwayTeam]:[AwayTeam]],$A58, Table1[[HomeTeam]:[HomeTeam]], J$36)))+( COUNTIFS(Table1[[GameIsOver]:[GameIsOver]],1,Table1[[AwayTeam]:[AwayTeam]],J$36, Table1[[HomeTeam]:[HomeTeam]],$A58))), "")</f>
        <v/>
      </c>
      <c r="K58" s="50" t="str">
        <f>IFERROR(((2 * (SUMIFS(Table1[[AwayWon]:[AwayWon]], Table1[[GameIsOver]:[GameIsOver]], 1, Table1[[AwayTeam]:[AwayTeam]], $A58, Table1[[HomeTeam]:[HomeTeam]], K$36) + SUMIFS(Table1[[HomeWon]:[HomeWon]], Table1[[GameIsOver]:[GameIsOver]], 1, Table1[[HomeTeam]:[HomeTeam]], $A58, Table1[[AwayTeam]:[AwayTeam]], K$36))) + (SUMIFS(Table1[[HomeWon]:[HomeWon]], Table1[[GameIsOver]:[GameIsOver]], 1, Table1[[AwayTeam]:[AwayTeam]], $A58, Table1[[HomeTeam]:[HomeTeam]],  K$36, Table1[[ActualResult]:[ActualResult]], "OT") + SUMIFS(Table1[[AwayWon]:[AwayWon]], Table1[[GameIsOver]:[GameIsOver]], 1, Table1[[HomeTeam]:[HomeTeam]], $A58, Table1[[AwayTeam]:[AwayTeam]], K$36, Table1[[ActualResult]:[ActualResult]], "OT") + SUMIFS(Table1[[HomeWon]:[HomeWon]], Table1[[GameIsOver]:[GameIsOver]], 1, Table1[[AwayTeam]:[AwayTeam]], $A58, Table1[[HomeTeam]:[HomeTeam]], K$36, Table1[[ActualResult]:[ActualResult]], "SO") + SUMIFS(Table1[[AwayWon]:[AwayWon]], Table1[[GameIsOver]:[GameIsOver]], 1, Table1[[HomeTeam]:[HomeTeam]], $A58, Table1[[AwayTeam]:[AwayTeam]], K$36, Table1[[ActualResult]:[ActualResult]], "SO")))/ (2*((COUNTIFS(Table1[[GameIsOver]:[GameIsOver]],1,Table1[[AwayTeam]:[AwayTeam]],$A58, Table1[[HomeTeam]:[HomeTeam]], K$36)))+( COUNTIFS(Table1[[GameIsOver]:[GameIsOver]],1,Table1[[AwayTeam]:[AwayTeam]],K$36, Table1[[HomeTeam]:[HomeTeam]],$A58))), "")</f>
        <v/>
      </c>
      <c r="L58" s="50" t="str">
        <f>IFERROR(((2 * (SUMIFS(Table1[[AwayWon]:[AwayWon]], Table1[[GameIsOver]:[GameIsOver]], 1, Table1[[AwayTeam]:[AwayTeam]], $A58, Table1[[HomeTeam]:[HomeTeam]], L$36) + SUMIFS(Table1[[HomeWon]:[HomeWon]], Table1[[GameIsOver]:[GameIsOver]], 1, Table1[[HomeTeam]:[HomeTeam]], $A58, Table1[[AwayTeam]:[AwayTeam]], L$36))) + (SUMIFS(Table1[[HomeWon]:[HomeWon]], Table1[[GameIsOver]:[GameIsOver]], 1, Table1[[AwayTeam]:[AwayTeam]], $A58, Table1[[HomeTeam]:[HomeTeam]],  L$36, Table1[[ActualResult]:[ActualResult]], "OT") + SUMIFS(Table1[[AwayWon]:[AwayWon]], Table1[[GameIsOver]:[GameIsOver]], 1, Table1[[HomeTeam]:[HomeTeam]], $A58, Table1[[AwayTeam]:[AwayTeam]], L$36, Table1[[ActualResult]:[ActualResult]], "OT") + SUMIFS(Table1[[HomeWon]:[HomeWon]], Table1[[GameIsOver]:[GameIsOver]], 1, Table1[[AwayTeam]:[AwayTeam]], $A58, Table1[[HomeTeam]:[HomeTeam]], L$36, Table1[[ActualResult]:[ActualResult]], "SO") + SUMIFS(Table1[[AwayWon]:[AwayWon]], Table1[[GameIsOver]:[GameIsOver]], 1, Table1[[HomeTeam]:[HomeTeam]], $A58, Table1[[AwayTeam]:[AwayTeam]], L$36, Table1[[ActualResult]:[ActualResult]], "SO")))/ (2*((COUNTIFS(Table1[[GameIsOver]:[GameIsOver]],1,Table1[[AwayTeam]:[AwayTeam]],$A58, Table1[[HomeTeam]:[HomeTeam]], L$36)))+( COUNTIFS(Table1[[GameIsOver]:[GameIsOver]],1,Table1[[AwayTeam]:[AwayTeam]],L$36, Table1[[HomeTeam]:[HomeTeam]],$A58))), "")</f>
        <v/>
      </c>
      <c r="M58" s="50" t="str">
        <f>IFERROR(((2 * (SUMIFS(Table1[[AwayWon]:[AwayWon]], Table1[[GameIsOver]:[GameIsOver]], 1, Table1[[AwayTeam]:[AwayTeam]], $A58, Table1[[HomeTeam]:[HomeTeam]], M$36) + SUMIFS(Table1[[HomeWon]:[HomeWon]], Table1[[GameIsOver]:[GameIsOver]], 1, Table1[[HomeTeam]:[HomeTeam]], $A58, Table1[[AwayTeam]:[AwayTeam]], M$36))) + (SUMIFS(Table1[[HomeWon]:[HomeWon]], Table1[[GameIsOver]:[GameIsOver]], 1, Table1[[AwayTeam]:[AwayTeam]], $A58, Table1[[HomeTeam]:[HomeTeam]],  M$36, Table1[[ActualResult]:[ActualResult]], "OT") + SUMIFS(Table1[[AwayWon]:[AwayWon]], Table1[[GameIsOver]:[GameIsOver]], 1, Table1[[HomeTeam]:[HomeTeam]], $A58, Table1[[AwayTeam]:[AwayTeam]], M$36, Table1[[ActualResult]:[ActualResult]], "OT") + SUMIFS(Table1[[HomeWon]:[HomeWon]], Table1[[GameIsOver]:[GameIsOver]], 1, Table1[[AwayTeam]:[AwayTeam]], $A58, Table1[[HomeTeam]:[HomeTeam]], M$36, Table1[[ActualResult]:[ActualResult]], "SO") + SUMIFS(Table1[[AwayWon]:[AwayWon]], Table1[[GameIsOver]:[GameIsOver]], 1, Table1[[HomeTeam]:[HomeTeam]], $A58, Table1[[AwayTeam]:[AwayTeam]], M$36, Table1[[ActualResult]:[ActualResult]], "SO")))/ (2*((COUNTIFS(Table1[[GameIsOver]:[GameIsOver]],1,Table1[[AwayTeam]:[AwayTeam]],$A58, Table1[[HomeTeam]:[HomeTeam]], M$36)))+( COUNTIFS(Table1[[GameIsOver]:[GameIsOver]],1,Table1[[AwayTeam]:[AwayTeam]],M$36, Table1[[HomeTeam]:[HomeTeam]],$A58))), "")</f>
        <v/>
      </c>
      <c r="N58" s="50" t="str">
        <f>IFERROR(((2 * (SUMIFS(Table1[[AwayWon]:[AwayWon]], Table1[[GameIsOver]:[GameIsOver]], 1, Table1[[AwayTeam]:[AwayTeam]], $A58, Table1[[HomeTeam]:[HomeTeam]], N$36) + SUMIFS(Table1[[HomeWon]:[HomeWon]], Table1[[GameIsOver]:[GameIsOver]], 1, Table1[[HomeTeam]:[HomeTeam]], $A58, Table1[[AwayTeam]:[AwayTeam]], N$36))) + (SUMIFS(Table1[[HomeWon]:[HomeWon]], Table1[[GameIsOver]:[GameIsOver]], 1, Table1[[AwayTeam]:[AwayTeam]], $A58, Table1[[HomeTeam]:[HomeTeam]],  N$36, Table1[[ActualResult]:[ActualResult]], "OT") + SUMIFS(Table1[[AwayWon]:[AwayWon]], Table1[[GameIsOver]:[GameIsOver]], 1, Table1[[HomeTeam]:[HomeTeam]], $A58, Table1[[AwayTeam]:[AwayTeam]], N$36, Table1[[ActualResult]:[ActualResult]], "OT") + SUMIFS(Table1[[HomeWon]:[HomeWon]], Table1[[GameIsOver]:[GameIsOver]], 1, Table1[[AwayTeam]:[AwayTeam]], $A58, Table1[[HomeTeam]:[HomeTeam]], N$36, Table1[[ActualResult]:[ActualResult]], "SO") + SUMIFS(Table1[[AwayWon]:[AwayWon]], Table1[[GameIsOver]:[GameIsOver]], 1, Table1[[HomeTeam]:[HomeTeam]], $A58, Table1[[AwayTeam]:[AwayTeam]], N$36, Table1[[ActualResult]:[ActualResult]], "SO")))/ (2*((COUNTIFS(Table1[[GameIsOver]:[GameIsOver]],1,Table1[[AwayTeam]:[AwayTeam]],$A58, Table1[[HomeTeam]:[HomeTeam]], N$36)))+( COUNTIFS(Table1[[GameIsOver]:[GameIsOver]],1,Table1[[AwayTeam]:[AwayTeam]],N$36, Table1[[HomeTeam]:[HomeTeam]],$A58))), "")</f>
        <v/>
      </c>
      <c r="O58" s="50" t="str">
        <f>IFERROR(((2 * (SUMIFS(Table1[[AwayWon]:[AwayWon]], Table1[[GameIsOver]:[GameIsOver]], 1, Table1[[AwayTeam]:[AwayTeam]], $A58, Table1[[HomeTeam]:[HomeTeam]], O$36) + SUMIFS(Table1[[HomeWon]:[HomeWon]], Table1[[GameIsOver]:[GameIsOver]], 1, Table1[[HomeTeam]:[HomeTeam]], $A58, Table1[[AwayTeam]:[AwayTeam]], O$36))) + (SUMIFS(Table1[[HomeWon]:[HomeWon]], Table1[[GameIsOver]:[GameIsOver]], 1, Table1[[AwayTeam]:[AwayTeam]], $A58, Table1[[HomeTeam]:[HomeTeam]],  O$36, Table1[[ActualResult]:[ActualResult]], "OT") + SUMIFS(Table1[[AwayWon]:[AwayWon]], Table1[[GameIsOver]:[GameIsOver]], 1, Table1[[HomeTeam]:[HomeTeam]], $A58, Table1[[AwayTeam]:[AwayTeam]], O$36, Table1[[ActualResult]:[ActualResult]], "OT") + SUMIFS(Table1[[HomeWon]:[HomeWon]], Table1[[GameIsOver]:[GameIsOver]], 1, Table1[[AwayTeam]:[AwayTeam]], $A58, Table1[[HomeTeam]:[HomeTeam]], O$36, Table1[[ActualResult]:[ActualResult]], "SO") + SUMIFS(Table1[[AwayWon]:[AwayWon]], Table1[[GameIsOver]:[GameIsOver]], 1, Table1[[HomeTeam]:[HomeTeam]], $A58, Table1[[AwayTeam]:[AwayTeam]], O$36, Table1[[ActualResult]:[ActualResult]], "SO")))/ (2*((COUNTIFS(Table1[[GameIsOver]:[GameIsOver]],1,Table1[[AwayTeam]:[AwayTeam]],$A58, Table1[[HomeTeam]:[HomeTeam]], O$36)))+( COUNTIFS(Table1[[GameIsOver]:[GameIsOver]],1,Table1[[AwayTeam]:[AwayTeam]],O$36, Table1[[HomeTeam]:[HomeTeam]],$A58))), "")</f>
        <v/>
      </c>
      <c r="P58" s="50" t="str">
        <f>IFERROR(((2 * (SUMIFS(Table1[[AwayWon]:[AwayWon]], Table1[[GameIsOver]:[GameIsOver]], 1, Table1[[AwayTeam]:[AwayTeam]], $A58, Table1[[HomeTeam]:[HomeTeam]], P$36) + SUMIFS(Table1[[HomeWon]:[HomeWon]], Table1[[GameIsOver]:[GameIsOver]], 1, Table1[[HomeTeam]:[HomeTeam]], $A58, Table1[[AwayTeam]:[AwayTeam]], P$36))) + (SUMIFS(Table1[[HomeWon]:[HomeWon]], Table1[[GameIsOver]:[GameIsOver]], 1, Table1[[AwayTeam]:[AwayTeam]], $A58, Table1[[HomeTeam]:[HomeTeam]],  P$36, Table1[[ActualResult]:[ActualResult]], "OT") + SUMIFS(Table1[[AwayWon]:[AwayWon]], Table1[[GameIsOver]:[GameIsOver]], 1, Table1[[HomeTeam]:[HomeTeam]], $A58, Table1[[AwayTeam]:[AwayTeam]], P$36, Table1[[ActualResult]:[ActualResult]], "OT") + SUMIFS(Table1[[HomeWon]:[HomeWon]], Table1[[GameIsOver]:[GameIsOver]], 1, Table1[[AwayTeam]:[AwayTeam]], $A58, Table1[[HomeTeam]:[HomeTeam]], P$36, Table1[[ActualResult]:[ActualResult]], "SO") + SUMIFS(Table1[[AwayWon]:[AwayWon]], Table1[[GameIsOver]:[GameIsOver]], 1, Table1[[HomeTeam]:[HomeTeam]], $A58, Table1[[AwayTeam]:[AwayTeam]], P$36, Table1[[ActualResult]:[ActualResult]], "SO")))/ (2*((COUNTIFS(Table1[[GameIsOver]:[GameIsOver]],1,Table1[[AwayTeam]:[AwayTeam]],$A58, Table1[[HomeTeam]:[HomeTeam]], P$36)))+( COUNTIFS(Table1[[GameIsOver]:[GameIsOver]],1,Table1[[AwayTeam]:[AwayTeam]],P$36, Table1[[HomeTeam]:[HomeTeam]],$A58))), "")</f>
        <v/>
      </c>
      <c r="Q58" s="52" t="str">
        <f>IFERROR(((2 * (SUMIFS(Table1[[AwayWon]:[AwayWon]], Table1[[GameIsOver]:[GameIsOver]], 1, Table1[[AwayTeam]:[AwayTeam]], $A58, Table1[[HomeTeam]:[HomeTeam]], Q$36) + SUMIFS(Table1[[HomeWon]:[HomeWon]], Table1[[GameIsOver]:[GameIsOver]], 1, Table1[[HomeTeam]:[HomeTeam]], $A58, Table1[[AwayTeam]:[AwayTeam]], Q$36))) + (SUMIFS(Table1[[HomeWon]:[HomeWon]], Table1[[GameIsOver]:[GameIsOver]], 1, Table1[[AwayTeam]:[AwayTeam]], $A58, Table1[[HomeTeam]:[HomeTeam]],  Q$36, Table1[[ActualResult]:[ActualResult]], "OT") + SUMIFS(Table1[[AwayWon]:[AwayWon]], Table1[[GameIsOver]:[GameIsOver]], 1, Table1[[HomeTeam]:[HomeTeam]], $A58, Table1[[AwayTeam]:[AwayTeam]], Q$36, Table1[[ActualResult]:[ActualResult]], "OT") + SUMIFS(Table1[[HomeWon]:[HomeWon]], Table1[[GameIsOver]:[GameIsOver]], 1, Table1[[AwayTeam]:[AwayTeam]], $A58, Table1[[HomeTeam]:[HomeTeam]], Q$36, Table1[[ActualResult]:[ActualResult]], "SO") + SUMIFS(Table1[[AwayWon]:[AwayWon]], Table1[[GameIsOver]:[GameIsOver]], 1, Table1[[HomeTeam]:[HomeTeam]], $A58, Table1[[AwayTeam]:[AwayTeam]], Q$36, Table1[[ActualResult]:[ActualResult]], "SO")))/ (2*((COUNTIFS(Table1[[GameIsOver]:[GameIsOver]],1,Table1[[AwayTeam]:[AwayTeam]],$A58, Table1[[HomeTeam]:[HomeTeam]], Q$36)))+( COUNTIFS(Table1[[GameIsOver]:[GameIsOver]],1,Table1[[AwayTeam]:[AwayTeam]],Q$36, Table1[[HomeTeam]:[HomeTeam]],$A58))), "")</f>
        <v/>
      </c>
      <c r="R58" s="50" t="str">
        <f>IFERROR(((2 * (SUMIFS(Table1[[AwayWon]:[AwayWon]], Table1[[GameIsOver]:[GameIsOver]], 1, Table1[[AwayTeam]:[AwayTeam]], $A58, Table1[[HomeTeam]:[HomeTeam]], R$36) + SUMIFS(Table1[[HomeWon]:[HomeWon]], Table1[[GameIsOver]:[GameIsOver]], 1, Table1[[HomeTeam]:[HomeTeam]], $A58, Table1[[AwayTeam]:[AwayTeam]], R$36))) + (SUMIFS(Table1[[HomeWon]:[HomeWon]], Table1[[GameIsOver]:[GameIsOver]], 1, Table1[[AwayTeam]:[AwayTeam]], $A58, Table1[[HomeTeam]:[HomeTeam]],  R$36, Table1[[ActualResult]:[ActualResult]], "OT") + SUMIFS(Table1[[AwayWon]:[AwayWon]], Table1[[GameIsOver]:[GameIsOver]], 1, Table1[[HomeTeam]:[HomeTeam]], $A58, Table1[[AwayTeam]:[AwayTeam]], R$36, Table1[[ActualResult]:[ActualResult]], "OT") + SUMIFS(Table1[[HomeWon]:[HomeWon]], Table1[[GameIsOver]:[GameIsOver]], 1, Table1[[AwayTeam]:[AwayTeam]], $A58, Table1[[HomeTeam]:[HomeTeam]], R$36, Table1[[ActualResult]:[ActualResult]], "SO") + SUMIFS(Table1[[AwayWon]:[AwayWon]], Table1[[GameIsOver]:[GameIsOver]], 1, Table1[[HomeTeam]:[HomeTeam]], $A58, Table1[[AwayTeam]:[AwayTeam]], R$36, Table1[[ActualResult]:[ActualResult]], "SO")))/ (2*((COUNTIFS(Table1[[GameIsOver]:[GameIsOver]],1,Table1[[AwayTeam]:[AwayTeam]],$A58, Table1[[HomeTeam]:[HomeTeam]], R$36)))+( COUNTIFS(Table1[[GameIsOver]:[GameIsOver]],1,Table1[[AwayTeam]:[AwayTeam]],R$36, Table1[[HomeTeam]:[HomeTeam]],$A58))), "")</f>
        <v/>
      </c>
      <c r="S58" s="50">
        <f>IFERROR(((2 * (SUMIFS(Table1[[AwayWon]:[AwayWon]], Table1[[GameIsOver]:[GameIsOver]], 1, Table1[[AwayTeam]:[AwayTeam]], $A58, Table1[[HomeTeam]:[HomeTeam]], S$36) + SUMIFS(Table1[[HomeWon]:[HomeWon]], Table1[[GameIsOver]:[GameIsOver]], 1, Table1[[HomeTeam]:[HomeTeam]], $A58, Table1[[AwayTeam]:[AwayTeam]], S$36))) + (SUMIFS(Table1[[HomeWon]:[HomeWon]], Table1[[GameIsOver]:[GameIsOver]], 1, Table1[[AwayTeam]:[AwayTeam]], $A58, Table1[[HomeTeam]:[HomeTeam]],  S$36, Table1[[ActualResult]:[ActualResult]], "OT") + SUMIFS(Table1[[AwayWon]:[AwayWon]], Table1[[GameIsOver]:[GameIsOver]], 1, Table1[[HomeTeam]:[HomeTeam]], $A58, Table1[[AwayTeam]:[AwayTeam]], S$36, Table1[[ActualResult]:[ActualResult]], "OT") + SUMIFS(Table1[[HomeWon]:[HomeWon]], Table1[[GameIsOver]:[GameIsOver]], 1, Table1[[AwayTeam]:[AwayTeam]], $A58, Table1[[HomeTeam]:[HomeTeam]], S$36, Table1[[ActualResult]:[ActualResult]], "SO") + SUMIFS(Table1[[AwayWon]:[AwayWon]], Table1[[GameIsOver]:[GameIsOver]], 1, Table1[[HomeTeam]:[HomeTeam]], $A58, Table1[[AwayTeam]:[AwayTeam]], S$36, Table1[[ActualResult]:[ActualResult]], "SO")))/ (2*((COUNTIFS(Table1[[GameIsOver]:[GameIsOver]],1,Table1[[AwayTeam]:[AwayTeam]],$A58, Table1[[HomeTeam]:[HomeTeam]], S$36)))+( COUNTIFS(Table1[[GameIsOver]:[GameIsOver]],1,Table1[[AwayTeam]:[AwayTeam]],S$36, Table1[[HomeTeam]:[HomeTeam]],$A58))), "")</f>
        <v>0</v>
      </c>
      <c r="T58" s="50" t="str">
        <f>IFERROR(((2 * (SUMIFS(Table1[[AwayWon]:[AwayWon]], Table1[[GameIsOver]:[GameIsOver]], 1, Table1[[AwayTeam]:[AwayTeam]], $A58, Table1[[HomeTeam]:[HomeTeam]], T$36) + SUMIFS(Table1[[HomeWon]:[HomeWon]], Table1[[GameIsOver]:[GameIsOver]], 1, Table1[[HomeTeam]:[HomeTeam]], $A58, Table1[[AwayTeam]:[AwayTeam]], T$36))) + (SUMIFS(Table1[[HomeWon]:[HomeWon]], Table1[[GameIsOver]:[GameIsOver]], 1, Table1[[AwayTeam]:[AwayTeam]], $A58, Table1[[HomeTeam]:[HomeTeam]],  T$36, Table1[[ActualResult]:[ActualResult]], "OT") + SUMIFS(Table1[[AwayWon]:[AwayWon]], Table1[[GameIsOver]:[GameIsOver]], 1, Table1[[HomeTeam]:[HomeTeam]], $A58, Table1[[AwayTeam]:[AwayTeam]], T$36, Table1[[ActualResult]:[ActualResult]], "OT") + SUMIFS(Table1[[HomeWon]:[HomeWon]], Table1[[GameIsOver]:[GameIsOver]], 1, Table1[[AwayTeam]:[AwayTeam]], $A58, Table1[[HomeTeam]:[HomeTeam]], T$36, Table1[[ActualResult]:[ActualResult]], "SO") + SUMIFS(Table1[[AwayWon]:[AwayWon]], Table1[[GameIsOver]:[GameIsOver]], 1, Table1[[HomeTeam]:[HomeTeam]], $A58, Table1[[AwayTeam]:[AwayTeam]], T$36, Table1[[ActualResult]:[ActualResult]], "SO")))/ (2*((COUNTIFS(Table1[[GameIsOver]:[GameIsOver]],1,Table1[[AwayTeam]:[AwayTeam]],$A58, Table1[[HomeTeam]:[HomeTeam]], T$36)))+( COUNTIFS(Table1[[GameIsOver]:[GameIsOver]],1,Table1[[AwayTeam]:[AwayTeam]],T$36, Table1[[HomeTeam]:[HomeTeam]],$A58))), "")</f>
        <v/>
      </c>
      <c r="U58" s="50" t="str">
        <f>IFERROR(((2 * (SUMIFS(Table1[[AwayWon]:[AwayWon]], Table1[[GameIsOver]:[GameIsOver]], 1, Table1[[AwayTeam]:[AwayTeam]], $A58, Table1[[HomeTeam]:[HomeTeam]], U$36) + SUMIFS(Table1[[HomeWon]:[HomeWon]], Table1[[GameIsOver]:[GameIsOver]], 1, Table1[[HomeTeam]:[HomeTeam]], $A58, Table1[[AwayTeam]:[AwayTeam]], U$36))) + (SUMIFS(Table1[[HomeWon]:[HomeWon]], Table1[[GameIsOver]:[GameIsOver]], 1, Table1[[AwayTeam]:[AwayTeam]], $A58, Table1[[HomeTeam]:[HomeTeam]],  U$36, Table1[[ActualResult]:[ActualResult]], "OT") + SUMIFS(Table1[[AwayWon]:[AwayWon]], Table1[[GameIsOver]:[GameIsOver]], 1, Table1[[HomeTeam]:[HomeTeam]], $A58, Table1[[AwayTeam]:[AwayTeam]], U$36, Table1[[ActualResult]:[ActualResult]], "OT") + SUMIFS(Table1[[HomeWon]:[HomeWon]], Table1[[GameIsOver]:[GameIsOver]], 1, Table1[[AwayTeam]:[AwayTeam]], $A58, Table1[[HomeTeam]:[HomeTeam]], U$36, Table1[[ActualResult]:[ActualResult]], "SO") + SUMIFS(Table1[[AwayWon]:[AwayWon]], Table1[[GameIsOver]:[GameIsOver]], 1, Table1[[HomeTeam]:[HomeTeam]], $A58, Table1[[AwayTeam]:[AwayTeam]], U$36, Table1[[ActualResult]:[ActualResult]], "SO")))/ (2*((COUNTIFS(Table1[[GameIsOver]:[GameIsOver]],1,Table1[[AwayTeam]:[AwayTeam]],$A58, Table1[[HomeTeam]:[HomeTeam]], U$36)))+( COUNTIFS(Table1[[GameIsOver]:[GameIsOver]],1,Table1[[AwayTeam]:[AwayTeam]],U$36, Table1[[HomeTeam]:[HomeTeam]],$A58))), "")</f>
        <v/>
      </c>
      <c r="V58" s="50" t="str">
        <f>IFERROR(((2 * (SUMIFS(Table1[[AwayWon]:[AwayWon]], Table1[[GameIsOver]:[GameIsOver]], 1, Table1[[AwayTeam]:[AwayTeam]], $A58, Table1[[HomeTeam]:[HomeTeam]], V$36) + SUMIFS(Table1[[HomeWon]:[HomeWon]], Table1[[GameIsOver]:[GameIsOver]], 1, Table1[[HomeTeam]:[HomeTeam]], $A58, Table1[[AwayTeam]:[AwayTeam]], V$36))) + (SUMIFS(Table1[[HomeWon]:[HomeWon]], Table1[[GameIsOver]:[GameIsOver]], 1, Table1[[AwayTeam]:[AwayTeam]], $A58, Table1[[HomeTeam]:[HomeTeam]],  V$36, Table1[[ActualResult]:[ActualResult]], "OT") + SUMIFS(Table1[[AwayWon]:[AwayWon]], Table1[[GameIsOver]:[GameIsOver]], 1, Table1[[HomeTeam]:[HomeTeam]], $A58, Table1[[AwayTeam]:[AwayTeam]], V$36, Table1[[ActualResult]:[ActualResult]], "OT") + SUMIFS(Table1[[HomeWon]:[HomeWon]], Table1[[GameIsOver]:[GameIsOver]], 1, Table1[[AwayTeam]:[AwayTeam]], $A58, Table1[[HomeTeam]:[HomeTeam]], V$36, Table1[[ActualResult]:[ActualResult]], "SO") + SUMIFS(Table1[[AwayWon]:[AwayWon]], Table1[[GameIsOver]:[GameIsOver]], 1, Table1[[HomeTeam]:[HomeTeam]], $A58, Table1[[AwayTeam]:[AwayTeam]], V$36, Table1[[ActualResult]:[ActualResult]], "SO")))/ (2*((COUNTIFS(Table1[[GameIsOver]:[GameIsOver]],1,Table1[[AwayTeam]:[AwayTeam]],$A58, Table1[[HomeTeam]:[HomeTeam]], V$36)))+( COUNTIFS(Table1[[GameIsOver]:[GameIsOver]],1,Table1[[AwayTeam]:[AwayTeam]],V$36, Table1[[HomeTeam]:[HomeTeam]],$A58))), "")</f>
        <v/>
      </c>
      <c r="W58" s="50" t="str">
        <f>IFERROR(((2 * (SUMIFS(Table1[[AwayWon]:[AwayWon]], Table1[[GameIsOver]:[GameIsOver]], 1, Table1[[AwayTeam]:[AwayTeam]], $A58, Table1[[HomeTeam]:[HomeTeam]], W$36) + SUMIFS(Table1[[HomeWon]:[HomeWon]], Table1[[GameIsOver]:[GameIsOver]], 1, Table1[[HomeTeam]:[HomeTeam]], $A58, Table1[[AwayTeam]:[AwayTeam]], W$36))) + (SUMIFS(Table1[[HomeWon]:[HomeWon]], Table1[[GameIsOver]:[GameIsOver]], 1, Table1[[AwayTeam]:[AwayTeam]], $A58, Table1[[HomeTeam]:[HomeTeam]],  W$36, Table1[[ActualResult]:[ActualResult]], "OT") + SUMIFS(Table1[[AwayWon]:[AwayWon]], Table1[[GameIsOver]:[GameIsOver]], 1, Table1[[HomeTeam]:[HomeTeam]], $A58, Table1[[AwayTeam]:[AwayTeam]], W$36, Table1[[ActualResult]:[ActualResult]], "OT") + SUMIFS(Table1[[HomeWon]:[HomeWon]], Table1[[GameIsOver]:[GameIsOver]], 1, Table1[[AwayTeam]:[AwayTeam]], $A58, Table1[[HomeTeam]:[HomeTeam]], W$36, Table1[[ActualResult]:[ActualResult]], "SO") + SUMIFS(Table1[[AwayWon]:[AwayWon]], Table1[[GameIsOver]:[GameIsOver]], 1, Table1[[HomeTeam]:[HomeTeam]], $A58, Table1[[AwayTeam]:[AwayTeam]], W$36, Table1[[ActualResult]:[ActualResult]], "SO")))/ (2*((COUNTIFS(Table1[[GameIsOver]:[GameIsOver]],1,Table1[[AwayTeam]:[AwayTeam]],$A58, Table1[[HomeTeam]:[HomeTeam]], W$36)))+( COUNTIFS(Table1[[GameIsOver]:[GameIsOver]],1,Table1[[AwayTeam]:[AwayTeam]],W$36, Table1[[HomeTeam]:[HomeTeam]],$A58))), "")</f>
        <v/>
      </c>
      <c r="X58" s="50" t="str">
        <f>IFERROR(((2 * (SUMIFS(Table1[[AwayWon]:[AwayWon]], Table1[[GameIsOver]:[GameIsOver]], 1, Table1[[AwayTeam]:[AwayTeam]], $A58, Table1[[HomeTeam]:[HomeTeam]], X$36) + SUMIFS(Table1[[HomeWon]:[HomeWon]], Table1[[GameIsOver]:[GameIsOver]], 1, Table1[[HomeTeam]:[HomeTeam]], $A58, Table1[[AwayTeam]:[AwayTeam]], X$36))) + (SUMIFS(Table1[[HomeWon]:[HomeWon]], Table1[[GameIsOver]:[GameIsOver]], 1, Table1[[AwayTeam]:[AwayTeam]], $A58, Table1[[HomeTeam]:[HomeTeam]],  X$36, Table1[[ActualResult]:[ActualResult]], "OT") + SUMIFS(Table1[[AwayWon]:[AwayWon]], Table1[[GameIsOver]:[GameIsOver]], 1, Table1[[HomeTeam]:[HomeTeam]], $A58, Table1[[AwayTeam]:[AwayTeam]], X$36, Table1[[ActualResult]:[ActualResult]], "OT") + SUMIFS(Table1[[HomeWon]:[HomeWon]], Table1[[GameIsOver]:[GameIsOver]], 1, Table1[[AwayTeam]:[AwayTeam]], $A58, Table1[[HomeTeam]:[HomeTeam]], X$36, Table1[[ActualResult]:[ActualResult]], "SO") + SUMIFS(Table1[[AwayWon]:[AwayWon]], Table1[[GameIsOver]:[GameIsOver]], 1, Table1[[HomeTeam]:[HomeTeam]], $A58, Table1[[AwayTeam]:[AwayTeam]], X$36, Table1[[ActualResult]:[ActualResult]], "SO")))/ (2*((COUNTIFS(Table1[[GameIsOver]:[GameIsOver]],1,Table1[[AwayTeam]:[AwayTeam]],$A58, Table1[[HomeTeam]:[HomeTeam]], X$36)))+( COUNTIFS(Table1[[GameIsOver]:[GameIsOver]],1,Table1[[AwayTeam]:[AwayTeam]],X$36, Table1[[HomeTeam]:[HomeTeam]],$A58))), "")</f>
        <v/>
      </c>
      <c r="Y58" s="52" t="str">
        <f>IFERROR(((2 * (SUMIFS(Table1[[AwayWon]:[AwayWon]], Table1[[GameIsOver]:[GameIsOver]], 1, Table1[[AwayTeam]:[AwayTeam]], $A58, Table1[[HomeTeam]:[HomeTeam]], Y$36) + SUMIFS(Table1[[HomeWon]:[HomeWon]], Table1[[GameIsOver]:[GameIsOver]], 1, Table1[[HomeTeam]:[HomeTeam]], $A58, Table1[[AwayTeam]:[AwayTeam]], Y$36))) + (SUMIFS(Table1[[HomeWon]:[HomeWon]], Table1[[GameIsOver]:[GameIsOver]], 1, Table1[[AwayTeam]:[AwayTeam]], $A58, Table1[[HomeTeam]:[HomeTeam]],  Y$36, Table1[[ActualResult]:[ActualResult]], "OT") + SUMIFS(Table1[[AwayWon]:[AwayWon]], Table1[[GameIsOver]:[GameIsOver]], 1, Table1[[HomeTeam]:[HomeTeam]], $A58, Table1[[AwayTeam]:[AwayTeam]], Y$36, Table1[[ActualResult]:[ActualResult]], "OT") + SUMIFS(Table1[[HomeWon]:[HomeWon]], Table1[[GameIsOver]:[GameIsOver]], 1, Table1[[AwayTeam]:[AwayTeam]], $A58, Table1[[HomeTeam]:[HomeTeam]], Y$36, Table1[[ActualResult]:[ActualResult]], "SO") + SUMIFS(Table1[[AwayWon]:[AwayWon]], Table1[[GameIsOver]:[GameIsOver]], 1, Table1[[HomeTeam]:[HomeTeam]], $A58, Table1[[AwayTeam]:[AwayTeam]], Y$36, Table1[[ActualResult]:[ActualResult]], "SO")))/ (2*((COUNTIFS(Table1[[GameIsOver]:[GameIsOver]],1,Table1[[AwayTeam]:[AwayTeam]],$A58, Table1[[HomeTeam]:[HomeTeam]], Y$36)))+( COUNTIFS(Table1[[GameIsOver]:[GameIsOver]],1,Table1[[AwayTeam]:[AwayTeam]],Y$36, Table1[[HomeTeam]:[HomeTeam]],$A58))), "")</f>
        <v/>
      </c>
      <c r="Z58" s="50" t="str">
        <f>IFERROR(((2 * (SUMIFS(Table1[[AwayWon]:[AwayWon]], Table1[[GameIsOver]:[GameIsOver]], 1, Table1[[AwayTeam]:[AwayTeam]], $A58, Table1[[HomeTeam]:[HomeTeam]], Z$36) + SUMIFS(Table1[[HomeWon]:[HomeWon]], Table1[[GameIsOver]:[GameIsOver]], 1, Table1[[HomeTeam]:[HomeTeam]], $A58, Table1[[AwayTeam]:[AwayTeam]], Z$36))) + (SUMIFS(Table1[[HomeWon]:[HomeWon]], Table1[[GameIsOver]:[GameIsOver]], 1, Table1[[AwayTeam]:[AwayTeam]], $A58, Table1[[HomeTeam]:[HomeTeam]],  Z$36, Table1[[ActualResult]:[ActualResult]], "OT") + SUMIFS(Table1[[AwayWon]:[AwayWon]], Table1[[GameIsOver]:[GameIsOver]], 1, Table1[[HomeTeam]:[HomeTeam]], $A58, Table1[[AwayTeam]:[AwayTeam]], Z$36, Table1[[ActualResult]:[ActualResult]], "OT") + SUMIFS(Table1[[HomeWon]:[HomeWon]], Table1[[GameIsOver]:[GameIsOver]], 1, Table1[[AwayTeam]:[AwayTeam]], $A58, Table1[[HomeTeam]:[HomeTeam]], Z$36, Table1[[ActualResult]:[ActualResult]], "SO") + SUMIFS(Table1[[AwayWon]:[AwayWon]], Table1[[GameIsOver]:[GameIsOver]], 1, Table1[[HomeTeam]:[HomeTeam]], $A58, Table1[[AwayTeam]:[AwayTeam]], Z$36, Table1[[ActualResult]:[ActualResult]], "SO")))/ (2*((COUNTIFS(Table1[[GameIsOver]:[GameIsOver]],1,Table1[[AwayTeam]:[AwayTeam]],$A58, Table1[[HomeTeam]:[HomeTeam]], Z$36)))+( COUNTIFS(Table1[[GameIsOver]:[GameIsOver]],1,Table1[[AwayTeam]:[AwayTeam]],Z$36, Table1[[HomeTeam]:[HomeTeam]],$A58))), "")</f>
        <v/>
      </c>
      <c r="AA58" s="50" t="str">
        <f>IFERROR(((2 * (SUMIFS(Table1[[AwayWon]:[AwayWon]], Table1[[GameIsOver]:[GameIsOver]], 1, Table1[[AwayTeam]:[AwayTeam]], $A58, Table1[[HomeTeam]:[HomeTeam]], AA$36) + SUMIFS(Table1[[HomeWon]:[HomeWon]], Table1[[GameIsOver]:[GameIsOver]], 1, Table1[[HomeTeam]:[HomeTeam]], $A58, Table1[[AwayTeam]:[AwayTeam]], AA$36))) + (SUMIFS(Table1[[HomeWon]:[HomeWon]], Table1[[GameIsOver]:[GameIsOver]], 1, Table1[[AwayTeam]:[AwayTeam]], $A58, Table1[[HomeTeam]:[HomeTeam]],  AA$36, Table1[[ActualResult]:[ActualResult]], "OT") + SUMIFS(Table1[[AwayWon]:[AwayWon]], Table1[[GameIsOver]:[GameIsOver]], 1, Table1[[HomeTeam]:[HomeTeam]], $A58, Table1[[AwayTeam]:[AwayTeam]], AA$36, Table1[[ActualResult]:[ActualResult]], "OT") + SUMIFS(Table1[[HomeWon]:[HomeWon]], Table1[[GameIsOver]:[GameIsOver]], 1, Table1[[AwayTeam]:[AwayTeam]], $A58, Table1[[HomeTeam]:[HomeTeam]], AA$36, Table1[[ActualResult]:[ActualResult]], "SO") + SUMIFS(Table1[[AwayWon]:[AwayWon]], Table1[[GameIsOver]:[GameIsOver]], 1, Table1[[HomeTeam]:[HomeTeam]], $A58, Table1[[AwayTeam]:[AwayTeam]], AA$36, Table1[[ActualResult]:[ActualResult]], "SO")))/ (2*((COUNTIFS(Table1[[GameIsOver]:[GameIsOver]],1,Table1[[AwayTeam]:[AwayTeam]],$A58, Table1[[HomeTeam]:[HomeTeam]], AA$36)))+( COUNTIFS(Table1[[GameIsOver]:[GameIsOver]],1,Table1[[AwayTeam]:[AwayTeam]],AA$36, Table1[[HomeTeam]:[HomeTeam]],$A58))), "")</f>
        <v/>
      </c>
      <c r="AB58" s="50" t="str">
        <f>IFERROR(((2 * (SUMIFS(Table1[[AwayWon]:[AwayWon]], Table1[[GameIsOver]:[GameIsOver]], 1, Table1[[AwayTeam]:[AwayTeam]], $A58, Table1[[HomeTeam]:[HomeTeam]], AB$36) + SUMIFS(Table1[[HomeWon]:[HomeWon]], Table1[[GameIsOver]:[GameIsOver]], 1, Table1[[HomeTeam]:[HomeTeam]], $A58, Table1[[AwayTeam]:[AwayTeam]], AB$36))) + (SUMIFS(Table1[[HomeWon]:[HomeWon]], Table1[[GameIsOver]:[GameIsOver]], 1, Table1[[AwayTeam]:[AwayTeam]], $A58, Table1[[HomeTeam]:[HomeTeam]],  AB$36, Table1[[ActualResult]:[ActualResult]], "OT") + SUMIFS(Table1[[AwayWon]:[AwayWon]], Table1[[GameIsOver]:[GameIsOver]], 1, Table1[[HomeTeam]:[HomeTeam]], $A58, Table1[[AwayTeam]:[AwayTeam]], AB$36, Table1[[ActualResult]:[ActualResult]], "OT") + SUMIFS(Table1[[HomeWon]:[HomeWon]], Table1[[GameIsOver]:[GameIsOver]], 1, Table1[[AwayTeam]:[AwayTeam]], $A58, Table1[[HomeTeam]:[HomeTeam]], AB$36, Table1[[ActualResult]:[ActualResult]], "SO") + SUMIFS(Table1[[AwayWon]:[AwayWon]], Table1[[GameIsOver]:[GameIsOver]], 1, Table1[[HomeTeam]:[HomeTeam]], $A58, Table1[[AwayTeam]:[AwayTeam]], AB$36, Table1[[ActualResult]:[ActualResult]], "SO")))/ (2*((COUNTIFS(Table1[[GameIsOver]:[GameIsOver]],1,Table1[[AwayTeam]:[AwayTeam]],$A58, Table1[[HomeTeam]:[HomeTeam]], AB$36)))+( COUNTIFS(Table1[[GameIsOver]:[GameIsOver]],1,Table1[[AwayTeam]:[AwayTeam]],AB$36, Table1[[HomeTeam]:[HomeTeam]],$A58))), "")</f>
        <v/>
      </c>
      <c r="AC58" s="50" t="str">
        <f>IFERROR(((2 * (SUMIFS(Table1[[AwayWon]:[AwayWon]], Table1[[GameIsOver]:[GameIsOver]], 1, Table1[[AwayTeam]:[AwayTeam]], $A58, Table1[[HomeTeam]:[HomeTeam]], AC$36) + SUMIFS(Table1[[HomeWon]:[HomeWon]], Table1[[GameIsOver]:[GameIsOver]], 1, Table1[[HomeTeam]:[HomeTeam]], $A58, Table1[[AwayTeam]:[AwayTeam]], AC$36))) + (SUMIFS(Table1[[HomeWon]:[HomeWon]], Table1[[GameIsOver]:[GameIsOver]], 1, Table1[[AwayTeam]:[AwayTeam]], $A58, Table1[[HomeTeam]:[HomeTeam]],  AC$36, Table1[[ActualResult]:[ActualResult]], "OT") + SUMIFS(Table1[[AwayWon]:[AwayWon]], Table1[[GameIsOver]:[GameIsOver]], 1, Table1[[HomeTeam]:[HomeTeam]], $A58, Table1[[AwayTeam]:[AwayTeam]], AC$36, Table1[[ActualResult]:[ActualResult]], "OT") + SUMIFS(Table1[[HomeWon]:[HomeWon]], Table1[[GameIsOver]:[GameIsOver]], 1, Table1[[AwayTeam]:[AwayTeam]], $A58, Table1[[HomeTeam]:[HomeTeam]], AC$36, Table1[[ActualResult]:[ActualResult]], "SO") + SUMIFS(Table1[[AwayWon]:[AwayWon]], Table1[[GameIsOver]:[GameIsOver]], 1, Table1[[HomeTeam]:[HomeTeam]], $A58, Table1[[AwayTeam]:[AwayTeam]], AC$36, Table1[[ActualResult]:[ActualResult]], "SO")))/ (2*((COUNTIFS(Table1[[GameIsOver]:[GameIsOver]],1,Table1[[AwayTeam]:[AwayTeam]],$A58, Table1[[HomeTeam]:[HomeTeam]], AC$36)))+( COUNTIFS(Table1[[GameIsOver]:[GameIsOver]],1,Table1[[AwayTeam]:[AwayTeam]],AC$36, Table1[[HomeTeam]:[HomeTeam]],$A58))), "")</f>
        <v/>
      </c>
      <c r="AD58" s="50" t="str">
        <f>IFERROR(((2 * (SUMIFS(Table1[[AwayWon]:[AwayWon]], Table1[[GameIsOver]:[GameIsOver]], 1, Table1[[AwayTeam]:[AwayTeam]], $A58, Table1[[HomeTeam]:[HomeTeam]], AD$36) + SUMIFS(Table1[[HomeWon]:[HomeWon]], Table1[[GameIsOver]:[GameIsOver]], 1, Table1[[HomeTeam]:[HomeTeam]], $A58, Table1[[AwayTeam]:[AwayTeam]], AD$36))) + (SUMIFS(Table1[[HomeWon]:[HomeWon]], Table1[[GameIsOver]:[GameIsOver]], 1, Table1[[AwayTeam]:[AwayTeam]], $A58, Table1[[HomeTeam]:[HomeTeam]],  AD$36, Table1[[ActualResult]:[ActualResult]], "OT") + SUMIFS(Table1[[AwayWon]:[AwayWon]], Table1[[GameIsOver]:[GameIsOver]], 1, Table1[[HomeTeam]:[HomeTeam]], $A58, Table1[[AwayTeam]:[AwayTeam]], AD$36, Table1[[ActualResult]:[ActualResult]], "OT") + SUMIFS(Table1[[HomeWon]:[HomeWon]], Table1[[GameIsOver]:[GameIsOver]], 1, Table1[[AwayTeam]:[AwayTeam]], $A58, Table1[[HomeTeam]:[HomeTeam]], AD$36, Table1[[ActualResult]:[ActualResult]], "SO") + SUMIFS(Table1[[AwayWon]:[AwayWon]], Table1[[GameIsOver]:[GameIsOver]], 1, Table1[[HomeTeam]:[HomeTeam]], $A58, Table1[[AwayTeam]:[AwayTeam]], AD$36, Table1[[ActualResult]:[ActualResult]], "SO")))/ (2*((COUNTIFS(Table1[[GameIsOver]:[GameIsOver]],1,Table1[[AwayTeam]:[AwayTeam]],$A58, Table1[[HomeTeam]:[HomeTeam]], AD$36)))+( COUNTIFS(Table1[[GameIsOver]:[GameIsOver]],1,Table1[[AwayTeam]:[AwayTeam]],AD$36, Table1[[HomeTeam]:[HomeTeam]],$A58))), "")</f>
        <v/>
      </c>
      <c r="AE58" s="50" t="str">
        <f>IFERROR(((2 * (SUMIFS(Table1[[AwayWon]:[AwayWon]], Table1[[GameIsOver]:[GameIsOver]], 1, Table1[[AwayTeam]:[AwayTeam]], $A58, Table1[[HomeTeam]:[HomeTeam]], AE$36) + SUMIFS(Table1[[HomeWon]:[HomeWon]], Table1[[GameIsOver]:[GameIsOver]], 1, Table1[[HomeTeam]:[HomeTeam]], $A58, Table1[[AwayTeam]:[AwayTeam]], AE$36))) + (SUMIFS(Table1[[HomeWon]:[HomeWon]], Table1[[GameIsOver]:[GameIsOver]], 1, Table1[[AwayTeam]:[AwayTeam]], $A58, Table1[[HomeTeam]:[HomeTeam]],  AE$36, Table1[[ActualResult]:[ActualResult]], "OT") + SUMIFS(Table1[[AwayWon]:[AwayWon]], Table1[[GameIsOver]:[GameIsOver]], 1, Table1[[HomeTeam]:[HomeTeam]], $A58, Table1[[AwayTeam]:[AwayTeam]], AE$36, Table1[[ActualResult]:[ActualResult]], "OT") + SUMIFS(Table1[[HomeWon]:[HomeWon]], Table1[[GameIsOver]:[GameIsOver]], 1, Table1[[AwayTeam]:[AwayTeam]], $A58, Table1[[HomeTeam]:[HomeTeam]], AE$36, Table1[[ActualResult]:[ActualResult]], "SO") + SUMIFS(Table1[[AwayWon]:[AwayWon]], Table1[[GameIsOver]:[GameIsOver]], 1, Table1[[HomeTeam]:[HomeTeam]], $A58, Table1[[AwayTeam]:[AwayTeam]], AE$36, Table1[[ActualResult]:[ActualResult]], "SO")))/ (2*((COUNTIFS(Table1[[GameIsOver]:[GameIsOver]],1,Table1[[AwayTeam]:[AwayTeam]],$A58, Table1[[HomeTeam]:[HomeTeam]], AE$36)))+( COUNTIFS(Table1[[GameIsOver]:[GameIsOver]],1,Table1[[AwayTeam]:[AwayTeam]],AE$36, Table1[[HomeTeam]:[HomeTeam]],$A58))), "")</f>
        <v/>
      </c>
      <c r="AF58" s="50" t="str">
        <f>IFERROR(((2 * (SUMIFS(Table1[[AwayWon]:[AwayWon]], Table1[[GameIsOver]:[GameIsOver]], 1, Table1[[AwayTeam]:[AwayTeam]], $A58, Table1[[HomeTeam]:[HomeTeam]], AF$36) + SUMIFS(Table1[[HomeWon]:[HomeWon]], Table1[[GameIsOver]:[GameIsOver]], 1, Table1[[HomeTeam]:[HomeTeam]], $A58, Table1[[AwayTeam]:[AwayTeam]], AF$36))) + (SUMIFS(Table1[[HomeWon]:[HomeWon]], Table1[[GameIsOver]:[GameIsOver]], 1, Table1[[AwayTeam]:[AwayTeam]], $A58, Table1[[HomeTeam]:[HomeTeam]],  AF$36, Table1[[ActualResult]:[ActualResult]], "OT") + SUMIFS(Table1[[AwayWon]:[AwayWon]], Table1[[GameIsOver]:[GameIsOver]], 1, Table1[[HomeTeam]:[HomeTeam]], $A58, Table1[[AwayTeam]:[AwayTeam]], AF$36, Table1[[ActualResult]:[ActualResult]], "OT") + SUMIFS(Table1[[HomeWon]:[HomeWon]], Table1[[GameIsOver]:[GameIsOver]], 1, Table1[[AwayTeam]:[AwayTeam]], $A58, Table1[[HomeTeam]:[HomeTeam]], AF$36, Table1[[ActualResult]:[ActualResult]], "SO") + SUMIFS(Table1[[AwayWon]:[AwayWon]], Table1[[GameIsOver]:[GameIsOver]], 1, Table1[[HomeTeam]:[HomeTeam]], $A58, Table1[[AwayTeam]:[AwayTeam]], AF$36, Table1[[ActualResult]:[ActualResult]], "SO")))/ (2*((COUNTIFS(Table1[[GameIsOver]:[GameIsOver]],1,Table1[[AwayTeam]:[AwayTeam]],$A58, Table1[[HomeTeam]:[HomeTeam]], AF$36)))+( COUNTIFS(Table1[[GameIsOver]:[GameIsOver]],1,Table1[[AwayTeam]:[AwayTeam]],AF$36, Table1[[HomeTeam]:[HomeTeam]],$A58))), "")</f>
        <v/>
      </c>
      <c r="AG58" s="50" t="str">
        <f>IFERROR(((2 * (SUMIFS(Table1[[AwayWon]:[AwayWon]], Table1[[GameIsOver]:[GameIsOver]], 1, Table1[[AwayTeam]:[AwayTeam]], $A58, Table1[[HomeTeam]:[HomeTeam]], AG$36) + SUMIFS(Table1[[HomeWon]:[HomeWon]], Table1[[GameIsOver]:[GameIsOver]], 1, Table1[[HomeTeam]:[HomeTeam]], $A58, Table1[[AwayTeam]:[AwayTeam]], AG$36))) + (SUMIFS(Table1[[HomeWon]:[HomeWon]], Table1[[GameIsOver]:[GameIsOver]], 1, Table1[[AwayTeam]:[AwayTeam]], $A58, Table1[[HomeTeam]:[HomeTeam]],  AG$36, Table1[[ActualResult]:[ActualResult]], "OT") + SUMIFS(Table1[[AwayWon]:[AwayWon]], Table1[[GameIsOver]:[GameIsOver]], 1, Table1[[HomeTeam]:[HomeTeam]], $A58, Table1[[AwayTeam]:[AwayTeam]], AG$36, Table1[[ActualResult]:[ActualResult]], "OT") + SUMIFS(Table1[[HomeWon]:[HomeWon]], Table1[[GameIsOver]:[GameIsOver]], 1, Table1[[AwayTeam]:[AwayTeam]], $A58, Table1[[HomeTeam]:[HomeTeam]], AG$36, Table1[[ActualResult]:[ActualResult]], "SO") + SUMIFS(Table1[[AwayWon]:[AwayWon]], Table1[[GameIsOver]:[GameIsOver]], 1, Table1[[HomeTeam]:[HomeTeam]], $A58, Table1[[AwayTeam]:[AwayTeam]], AG$36, Table1[[ActualResult]:[ActualResult]], "SO")))/ (2*((COUNTIFS(Table1[[GameIsOver]:[GameIsOver]],1,Table1[[AwayTeam]:[AwayTeam]],$A58, Table1[[HomeTeam]:[HomeTeam]], AG$36)))+( COUNTIFS(Table1[[GameIsOver]:[GameIsOver]],1,Table1[[AwayTeam]:[AwayTeam]],AG$36, Table1[[HomeTeam]:[HomeTeam]],$A58))), "")</f>
        <v/>
      </c>
      <c r="AH58" s="51">
        <f t="shared" si="0"/>
        <v>0</v>
      </c>
      <c r="AI58" s="51" t="e">
        <f t="shared" si="1"/>
        <v>#DIV/0!</v>
      </c>
      <c r="AJ58" s="52" t="e">
        <f t="shared" si="2"/>
        <v>#DIV/0!</v>
      </c>
      <c r="AK58" s="52">
        <f t="shared" si="3"/>
        <v>0</v>
      </c>
      <c r="AL58" s="52" t="e">
        <f t="shared" si="4"/>
        <v>#DIV/0!</v>
      </c>
      <c r="AM58" s="52" t="e">
        <f t="shared" si="5"/>
        <v>#DIV/0!</v>
      </c>
    </row>
    <row r="59" spans="1:39" x14ac:dyDescent="0.25">
      <c r="A59" s="28" t="s">
        <v>54</v>
      </c>
      <c r="B59" s="50" t="str">
        <f>IFERROR(((2 * (SUMIFS(Table1[[AwayWon]:[AwayWon]], Table1[[GameIsOver]:[GameIsOver]], 1, Table1[[AwayTeam]:[AwayTeam]], $A59, Table1[[HomeTeam]:[HomeTeam]], B$36) + SUMIFS(Table1[[HomeWon]:[HomeWon]], Table1[[GameIsOver]:[GameIsOver]], 1, Table1[[HomeTeam]:[HomeTeam]], $A59, Table1[[AwayTeam]:[AwayTeam]], B$36))) + (SUMIFS(Table1[[HomeWon]:[HomeWon]], Table1[[GameIsOver]:[GameIsOver]], 1, Table1[[AwayTeam]:[AwayTeam]], $A59, Table1[[HomeTeam]:[HomeTeam]],  B$36, Table1[[ActualResult]:[ActualResult]], "OT") + SUMIFS(Table1[[AwayWon]:[AwayWon]], Table1[[GameIsOver]:[GameIsOver]], 1, Table1[[HomeTeam]:[HomeTeam]], $A59, Table1[[AwayTeam]:[AwayTeam]], B$36, Table1[[ActualResult]:[ActualResult]], "OT") + SUMIFS(Table1[[HomeWon]:[HomeWon]], Table1[[GameIsOver]:[GameIsOver]], 1, Table1[[AwayTeam]:[AwayTeam]], $A59, Table1[[HomeTeam]:[HomeTeam]], B$36, Table1[[ActualResult]:[ActualResult]], "SO") + SUMIFS(Table1[[AwayWon]:[AwayWon]], Table1[[GameIsOver]:[GameIsOver]], 1, Table1[[HomeTeam]:[HomeTeam]], $A59, Table1[[AwayTeam]:[AwayTeam]], B$36, Table1[[ActualResult]:[ActualResult]], "SO")))/ (2*((COUNTIFS(Table1[[GameIsOver]:[GameIsOver]],1,Table1[[AwayTeam]:[AwayTeam]],$A59, Table1[[HomeTeam]:[HomeTeam]], B$36)))+( COUNTIFS(Table1[[GameIsOver]:[GameIsOver]],1,Table1[[AwayTeam]:[AwayTeam]],B$36, Table1[[HomeTeam]:[HomeTeam]],$A59))), "")</f>
        <v/>
      </c>
      <c r="C59" s="50" t="str">
        <f>IFERROR(((2 * (SUMIFS(Table1[[AwayWon]:[AwayWon]], Table1[[GameIsOver]:[GameIsOver]], 1, Table1[[AwayTeam]:[AwayTeam]], $A59, Table1[[HomeTeam]:[HomeTeam]], C$36) + SUMIFS(Table1[[HomeWon]:[HomeWon]], Table1[[GameIsOver]:[GameIsOver]], 1, Table1[[HomeTeam]:[HomeTeam]], $A59, Table1[[AwayTeam]:[AwayTeam]], C$36))) + (SUMIFS(Table1[[HomeWon]:[HomeWon]], Table1[[GameIsOver]:[GameIsOver]], 1, Table1[[AwayTeam]:[AwayTeam]], $A59, Table1[[HomeTeam]:[HomeTeam]],  C$36, Table1[[ActualResult]:[ActualResult]], "OT") + SUMIFS(Table1[[AwayWon]:[AwayWon]], Table1[[GameIsOver]:[GameIsOver]], 1, Table1[[HomeTeam]:[HomeTeam]], $A59, Table1[[AwayTeam]:[AwayTeam]], C$36, Table1[[ActualResult]:[ActualResult]], "OT") + SUMIFS(Table1[[HomeWon]:[HomeWon]], Table1[[GameIsOver]:[GameIsOver]], 1, Table1[[AwayTeam]:[AwayTeam]], $A59, Table1[[HomeTeam]:[HomeTeam]], C$36, Table1[[ActualResult]:[ActualResult]], "SO") + SUMIFS(Table1[[AwayWon]:[AwayWon]], Table1[[GameIsOver]:[GameIsOver]], 1, Table1[[HomeTeam]:[HomeTeam]], $A59, Table1[[AwayTeam]:[AwayTeam]], C$36, Table1[[ActualResult]:[ActualResult]], "SO")))/ (2*((COUNTIFS(Table1[[GameIsOver]:[GameIsOver]],1,Table1[[AwayTeam]:[AwayTeam]],$A59, Table1[[HomeTeam]:[HomeTeam]], C$36)))+( COUNTIFS(Table1[[GameIsOver]:[GameIsOver]],1,Table1[[AwayTeam]:[AwayTeam]],C$36, Table1[[HomeTeam]:[HomeTeam]],$A59))), "")</f>
        <v/>
      </c>
      <c r="D59" s="50" t="str">
        <f>IFERROR(((2 * (SUMIFS(Table1[[AwayWon]:[AwayWon]], Table1[[GameIsOver]:[GameIsOver]], 1, Table1[[AwayTeam]:[AwayTeam]], $A59, Table1[[HomeTeam]:[HomeTeam]], D$36) + SUMIFS(Table1[[HomeWon]:[HomeWon]], Table1[[GameIsOver]:[GameIsOver]], 1, Table1[[HomeTeam]:[HomeTeam]], $A59, Table1[[AwayTeam]:[AwayTeam]], D$36))) + (SUMIFS(Table1[[HomeWon]:[HomeWon]], Table1[[GameIsOver]:[GameIsOver]], 1, Table1[[AwayTeam]:[AwayTeam]], $A59, Table1[[HomeTeam]:[HomeTeam]],  D$36, Table1[[ActualResult]:[ActualResult]], "OT") + SUMIFS(Table1[[AwayWon]:[AwayWon]], Table1[[GameIsOver]:[GameIsOver]], 1, Table1[[HomeTeam]:[HomeTeam]], $A59, Table1[[AwayTeam]:[AwayTeam]], D$36, Table1[[ActualResult]:[ActualResult]], "OT") + SUMIFS(Table1[[HomeWon]:[HomeWon]], Table1[[GameIsOver]:[GameIsOver]], 1, Table1[[AwayTeam]:[AwayTeam]], $A59, Table1[[HomeTeam]:[HomeTeam]], D$36, Table1[[ActualResult]:[ActualResult]], "SO") + SUMIFS(Table1[[AwayWon]:[AwayWon]], Table1[[GameIsOver]:[GameIsOver]], 1, Table1[[HomeTeam]:[HomeTeam]], $A59, Table1[[AwayTeam]:[AwayTeam]], D$36, Table1[[ActualResult]:[ActualResult]], "SO")))/ (2*((COUNTIFS(Table1[[GameIsOver]:[GameIsOver]],1,Table1[[AwayTeam]:[AwayTeam]],$A59, Table1[[HomeTeam]:[HomeTeam]], D$36)))+( COUNTIFS(Table1[[GameIsOver]:[GameIsOver]],1,Table1[[AwayTeam]:[AwayTeam]],D$36, Table1[[HomeTeam]:[HomeTeam]],$A59))), "")</f>
        <v/>
      </c>
      <c r="E59" s="50" t="str">
        <f>IFERROR(((2 * (SUMIFS(Table1[[AwayWon]:[AwayWon]], Table1[[GameIsOver]:[GameIsOver]], 1, Table1[[AwayTeam]:[AwayTeam]], $A59, Table1[[HomeTeam]:[HomeTeam]], E$36) + SUMIFS(Table1[[HomeWon]:[HomeWon]], Table1[[GameIsOver]:[GameIsOver]], 1, Table1[[HomeTeam]:[HomeTeam]], $A59, Table1[[AwayTeam]:[AwayTeam]], E$36))) + (SUMIFS(Table1[[HomeWon]:[HomeWon]], Table1[[GameIsOver]:[GameIsOver]], 1, Table1[[AwayTeam]:[AwayTeam]], $A59, Table1[[HomeTeam]:[HomeTeam]],  E$36, Table1[[ActualResult]:[ActualResult]], "OT") + SUMIFS(Table1[[AwayWon]:[AwayWon]], Table1[[GameIsOver]:[GameIsOver]], 1, Table1[[HomeTeam]:[HomeTeam]], $A59, Table1[[AwayTeam]:[AwayTeam]], E$36, Table1[[ActualResult]:[ActualResult]], "OT") + SUMIFS(Table1[[HomeWon]:[HomeWon]], Table1[[GameIsOver]:[GameIsOver]], 1, Table1[[AwayTeam]:[AwayTeam]], $A59, Table1[[HomeTeam]:[HomeTeam]], E$36, Table1[[ActualResult]:[ActualResult]], "SO") + SUMIFS(Table1[[AwayWon]:[AwayWon]], Table1[[GameIsOver]:[GameIsOver]], 1, Table1[[HomeTeam]:[HomeTeam]], $A59, Table1[[AwayTeam]:[AwayTeam]], E$36, Table1[[ActualResult]:[ActualResult]], "SO")))/ (2*((COUNTIFS(Table1[[GameIsOver]:[GameIsOver]],1,Table1[[AwayTeam]:[AwayTeam]],$A59, Table1[[HomeTeam]:[HomeTeam]], E$36)))+( COUNTIFS(Table1[[GameIsOver]:[GameIsOver]],1,Table1[[AwayTeam]:[AwayTeam]],E$36, Table1[[HomeTeam]:[HomeTeam]],$A59))), "")</f>
        <v/>
      </c>
      <c r="F59" s="50" t="str">
        <f>IFERROR(((2 * (SUMIFS(Table1[[AwayWon]:[AwayWon]], Table1[[GameIsOver]:[GameIsOver]], 1, Table1[[AwayTeam]:[AwayTeam]], $A59, Table1[[HomeTeam]:[HomeTeam]], F$36) + SUMIFS(Table1[[HomeWon]:[HomeWon]], Table1[[GameIsOver]:[GameIsOver]], 1, Table1[[HomeTeam]:[HomeTeam]], $A59, Table1[[AwayTeam]:[AwayTeam]], F$36))) + (SUMIFS(Table1[[HomeWon]:[HomeWon]], Table1[[GameIsOver]:[GameIsOver]], 1, Table1[[AwayTeam]:[AwayTeam]], $A59, Table1[[HomeTeam]:[HomeTeam]],  F$36, Table1[[ActualResult]:[ActualResult]], "OT") + SUMIFS(Table1[[AwayWon]:[AwayWon]], Table1[[GameIsOver]:[GameIsOver]], 1, Table1[[HomeTeam]:[HomeTeam]], $A59, Table1[[AwayTeam]:[AwayTeam]], F$36, Table1[[ActualResult]:[ActualResult]], "OT") + SUMIFS(Table1[[HomeWon]:[HomeWon]], Table1[[GameIsOver]:[GameIsOver]], 1, Table1[[AwayTeam]:[AwayTeam]], $A59, Table1[[HomeTeam]:[HomeTeam]], F$36, Table1[[ActualResult]:[ActualResult]], "SO") + SUMIFS(Table1[[AwayWon]:[AwayWon]], Table1[[GameIsOver]:[GameIsOver]], 1, Table1[[HomeTeam]:[HomeTeam]], $A59, Table1[[AwayTeam]:[AwayTeam]], F$36, Table1[[ActualResult]:[ActualResult]], "SO")))/ (2*((COUNTIFS(Table1[[GameIsOver]:[GameIsOver]],1,Table1[[AwayTeam]:[AwayTeam]],$A59, Table1[[HomeTeam]:[HomeTeam]], F$36)))+( COUNTIFS(Table1[[GameIsOver]:[GameIsOver]],1,Table1[[AwayTeam]:[AwayTeam]],F$36, Table1[[HomeTeam]:[HomeTeam]],$A59))), "")</f>
        <v/>
      </c>
      <c r="G59" s="50" t="str">
        <f>IFERROR(((2 * (SUMIFS(Table1[[AwayWon]:[AwayWon]], Table1[[GameIsOver]:[GameIsOver]], 1, Table1[[AwayTeam]:[AwayTeam]], $A59, Table1[[HomeTeam]:[HomeTeam]], G$36) + SUMIFS(Table1[[HomeWon]:[HomeWon]], Table1[[GameIsOver]:[GameIsOver]], 1, Table1[[HomeTeam]:[HomeTeam]], $A59, Table1[[AwayTeam]:[AwayTeam]], G$36))) + (SUMIFS(Table1[[HomeWon]:[HomeWon]], Table1[[GameIsOver]:[GameIsOver]], 1, Table1[[AwayTeam]:[AwayTeam]], $A59, Table1[[HomeTeam]:[HomeTeam]],  G$36, Table1[[ActualResult]:[ActualResult]], "OT") + SUMIFS(Table1[[AwayWon]:[AwayWon]], Table1[[GameIsOver]:[GameIsOver]], 1, Table1[[HomeTeam]:[HomeTeam]], $A59, Table1[[AwayTeam]:[AwayTeam]], G$36, Table1[[ActualResult]:[ActualResult]], "OT") + SUMIFS(Table1[[HomeWon]:[HomeWon]], Table1[[GameIsOver]:[GameIsOver]], 1, Table1[[AwayTeam]:[AwayTeam]], $A59, Table1[[HomeTeam]:[HomeTeam]], G$36, Table1[[ActualResult]:[ActualResult]], "SO") + SUMIFS(Table1[[AwayWon]:[AwayWon]], Table1[[GameIsOver]:[GameIsOver]], 1, Table1[[HomeTeam]:[HomeTeam]], $A59, Table1[[AwayTeam]:[AwayTeam]], G$36, Table1[[ActualResult]:[ActualResult]], "SO")))/ (2*((COUNTIFS(Table1[[GameIsOver]:[GameIsOver]],1,Table1[[AwayTeam]:[AwayTeam]],$A59, Table1[[HomeTeam]:[HomeTeam]], G$36)))+( COUNTIFS(Table1[[GameIsOver]:[GameIsOver]],1,Table1[[AwayTeam]:[AwayTeam]],G$36, Table1[[HomeTeam]:[HomeTeam]],$A59))), "")</f>
        <v/>
      </c>
      <c r="H59" s="50" t="str">
        <f>IFERROR(((2 * (SUMIFS(Table1[[AwayWon]:[AwayWon]], Table1[[GameIsOver]:[GameIsOver]], 1, Table1[[AwayTeam]:[AwayTeam]], $A59, Table1[[HomeTeam]:[HomeTeam]], H$36) + SUMIFS(Table1[[HomeWon]:[HomeWon]], Table1[[GameIsOver]:[GameIsOver]], 1, Table1[[HomeTeam]:[HomeTeam]], $A59, Table1[[AwayTeam]:[AwayTeam]], H$36))) + (SUMIFS(Table1[[HomeWon]:[HomeWon]], Table1[[GameIsOver]:[GameIsOver]], 1, Table1[[AwayTeam]:[AwayTeam]], $A59, Table1[[HomeTeam]:[HomeTeam]],  H$36, Table1[[ActualResult]:[ActualResult]], "OT") + SUMIFS(Table1[[AwayWon]:[AwayWon]], Table1[[GameIsOver]:[GameIsOver]], 1, Table1[[HomeTeam]:[HomeTeam]], $A59, Table1[[AwayTeam]:[AwayTeam]], H$36, Table1[[ActualResult]:[ActualResult]], "OT") + SUMIFS(Table1[[HomeWon]:[HomeWon]], Table1[[GameIsOver]:[GameIsOver]], 1, Table1[[AwayTeam]:[AwayTeam]], $A59, Table1[[HomeTeam]:[HomeTeam]], H$36, Table1[[ActualResult]:[ActualResult]], "SO") + SUMIFS(Table1[[AwayWon]:[AwayWon]], Table1[[GameIsOver]:[GameIsOver]], 1, Table1[[HomeTeam]:[HomeTeam]], $A59, Table1[[AwayTeam]:[AwayTeam]], H$36, Table1[[ActualResult]:[ActualResult]], "SO")))/ (2*((COUNTIFS(Table1[[GameIsOver]:[GameIsOver]],1,Table1[[AwayTeam]:[AwayTeam]],$A59, Table1[[HomeTeam]:[HomeTeam]], H$36)))+( COUNTIFS(Table1[[GameIsOver]:[GameIsOver]],1,Table1[[AwayTeam]:[AwayTeam]],H$36, Table1[[HomeTeam]:[HomeTeam]],$A59))), "")</f>
        <v/>
      </c>
      <c r="I59" s="52" t="str">
        <f>IFERROR(((2 * (SUMIFS(Table1[[AwayWon]:[AwayWon]], Table1[[GameIsOver]:[GameIsOver]], 1, Table1[[AwayTeam]:[AwayTeam]], $A59, Table1[[HomeTeam]:[HomeTeam]], I$36) + SUMIFS(Table1[[HomeWon]:[HomeWon]], Table1[[GameIsOver]:[GameIsOver]], 1, Table1[[HomeTeam]:[HomeTeam]], $A59, Table1[[AwayTeam]:[AwayTeam]], I$36))) + (SUMIFS(Table1[[HomeWon]:[HomeWon]], Table1[[GameIsOver]:[GameIsOver]], 1, Table1[[AwayTeam]:[AwayTeam]], $A59, Table1[[HomeTeam]:[HomeTeam]],  I$36, Table1[[ActualResult]:[ActualResult]], "OT") + SUMIFS(Table1[[AwayWon]:[AwayWon]], Table1[[GameIsOver]:[GameIsOver]], 1, Table1[[HomeTeam]:[HomeTeam]], $A59, Table1[[AwayTeam]:[AwayTeam]], I$36, Table1[[ActualResult]:[ActualResult]], "OT") + SUMIFS(Table1[[HomeWon]:[HomeWon]], Table1[[GameIsOver]:[GameIsOver]], 1, Table1[[AwayTeam]:[AwayTeam]], $A59, Table1[[HomeTeam]:[HomeTeam]], I$36, Table1[[ActualResult]:[ActualResult]], "SO") + SUMIFS(Table1[[AwayWon]:[AwayWon]], Table1[[GameIsOver]:[GameIsOver]], 1, Table1[[HomeTeam]:[HomeTeam]], $A59, Table1[[AwayTeam]:[AwayTeam]], I$36, Table1[[ActualResult]:[ActualResult]], "SO")))/ (2*((COUNTIFS(Table1[[GameIsOver]:[GameIsOver]],1,Table1[[AwayTeam]:[AwayTeam]],$A59, Table1[[HomeTeam]:[HomeTeam]], I$36)))+( COUNTIFS(Table1[[GameIsOver]:[GameIsOver]],1,Table1[[AwayTeam]:[AwayTeam]],I$36, Table1[[HomeTeam]:[HomeTeam]],$A59))), "")</f>
        <v/>
      </c>
      <c r="J59" s="50" t="str">
        <f>IFERROR(((2 * (SUMIFS(Table1[[AwayWon]:[AwayWon]], Table1[[GameIsOver]:[GameIsOver]], 1, Table1[[AwayTeam]:[AwayTeam]], $A59, Table1[[HomeTeam]:[HomeTeam]], J$36) + SUMIFS(Table1[[HomeWon]:[HomeWon]], Table1[[GameIsOver]:[GameIsOver]], 1, Table1[[HomeTeam]:[HomeTeam]], $A59, Table1[[AwayTeam]:[AwayTeam]], J$36))) + (SUMIFS(Table1[[HomeWon]:[HomeWon]], Table1[[GameIsOver]:[GameIsOver]], 1, Table1[[AwayTeam]:[AwayTeam]], $A59, Table1[[HomeTeam]:[HomeTeam]],  J$36, Table1[[ActualResult]:[ActualResult]], "OT") + SUMIFS(Table1[[AwayWon]:[AwayWon]], Table1[[GameIsOver]:[GameIsOver]], 1, Table1[[HomeTeam]:[HomeTeam]], $A59, Table1[[AwayTeam]:[AwayTeam]], J$36, Table1[[ActualResult]:[ActualResult]], "OT") + SUMIFS(Table1[[HomeWon]:[HomeWon]], Table1[[GameIsOver]:[GameIsOver]], 1, Table1[[AwayTeam]:[AwayTeam]], $A59, Table1[[HomeTeam]:[HomeTeam]], J$36, Table1[[ActualResult]:[ActualResult]], "SO") + SUMIFS(Table1[[AwayWon]:[AwayWon]], Table1[[GameIsOver]:[GameIsOver]], 1, Table1[[HomeTeam]:[HomeTeam]], $A59, Table1[[AwayTeam]:[AwayTeam]], J$36, Table1[[ActualResult]:[ActualResult]], "SO")))/ (2*((COUNTIFS(Table1[[GameIsOver]:[GameIsOver]],1,Table1[[AwayTeam]:[AwayTeam]],$A59, Table1[[HomeTeam]:[HomeTeam]], J$36)))+( COUNTIFS(Table1[[GameIsOver]:[GameIsOver]],1,Table1[[AwayTeam]:[AwayTeam]],J$36, Table1[[HomeTeam]:[HomeTeam]],$A59))), "")</f>
        <v/>
      </c>
      <c r="K59" s="50" t="str">
        <f>IFERROR(((2 * (SUMIFS(Table1[[AwayWon]:[AwayWon]], Table1[[GameIsOver]:[GameIsOver]], 1, Table1[[AwayTeam]:[AwayTeam]], $A59, Table1[[HomeTeam]:[HomeTeam]], K$36) + SUMIFS(Table1[[HomeWon]:[HomeWon]], Table1[[GameIsOver]:[GameIsOver]], 1, Table1[[HomeTeam]:[HomeTeam]], $A59, Table1[[AwayTeam]:[AwayTeam]], K$36))) + (SUMIFS(Table1[[HomeWon]:[HomeWon]], Table1[[GameIsOver]:[GameIsOver]], 1, Table1[[AwayTeam]:[AwayTeam]], $A59, Table1[[HomeTeam]:[HomeTeam]],  K$36, Table1[[ActualResult]:[ActualResult]], "OT") + SUMIFS(Table1[[AwayWon]:[AwayWon]], Table1[[GameIsOver]:[GameIsOver]], 1, Table1[[HomeTeam]:[HomeTeam]], $A59, Table1[[AwayTeam]:[AwayTeam]], K$36, Table1[[ActualResult]:[ActualResult]], "OT") + SUMIFS(Table1[[HomeWon]:[HomeWon]], Table1[[GameIsOver]:[GameIsOver]], 1, Table1[[AwayTeam]:[AwayTeam]], $A59, Table1[[HomeTeam]:[HomeTeam]], K$36, Table1[[ActualResult]:[ActualResult]], "SO") + SUMIFS(Table1[[AwayWon]:[AwayWon]], Table1[[GameIsOver]:[GameIsOver]], 1, Table1[[HomeTeam]:[HomeTeam]], $A59, Table1[[AwayTeam]:[AwayTeam]], K$36, Table1[[ActualResult]:[ActualResult]], "SO")))/ (2*((COUNTIFS(Table1[[GameIsOver]:[GameIsOver]],1,Table1[[AwayTeam]:[AwayTeam]],$A59, Table1[[HomeTeam]:[HomeTeam]], K$36)))+( COUNTIFS(Table1[[GameIsOver]:[GameIsOver]],1,Table1[[AwayTeam]:[AwayTeam]],K$36, Table1[[HomeTeam]:[HomeTeam]],$A59))), "")</f>
        <v/>
      </c>
      <c r="L59" s="50" t="str">
        <f>IFERROR(((2 * (SUMIFS(Table1[[AwayWon]:[AwayWon]], Table1[[GameIsOver]:[GameIsOver]], 1, Table1[[AwayTeam]:[AwayTeam]], $A59, Table1[[HomeTeam]:[HomeTeam]], L$36) + SUMIFS(Table1[[HomeWon]:[HomeWon]], Table1[[GameIsOver]:[GameIsOver]], 1, Table1[[HomeTeam]:[HomeTeam]], $A59, Table1[[AwayTeam]:[AwayTeam]], L$36))) + (SUMIFS(Table1[[HomeWon]:[HomeWon]], Table1[[GameIsOver]:[GameIsOver]], 1, Table1[[AwayTeam]:[AwayTeam]], $A59, Table1[[HomeTeam]:[HomeTeam]],  L$36, Table1[[ActualResult]:[ActualResult]], "OT") + SUMIFS(Table1[[AwayWon]:[AwayWon]], Table1[[GameIsOver]:[GameIsOver]], 1, Table1[[HomeTeam]:[HomeTeam]], $A59, Table1[[AwayTeam]:[AwayTeam]], L$36, Table1[[ActualResult]:[ActualResult]], "OT") + SUMIFS(Table1[[HomeWon]:[HomeWon]], Table1[[GameIsOver]:[GameIsOver]], 1, Table1[[AwayTeam]:[AwayTeam]], $A59, Table1[[HomeTeam]:[HomeTeam]], L$36, Table1[[ActualResult]:[ActualResult]], "SO") + SUMIFS(Table1[[AwayWon]:[AwayWon]], Table1[[GameIsOver]:[GameIsOver]], 1, Table1[[HomeTeam]:[HomeTeam]], $A59, Table1[[AwayTeam]:[AwayTeam]], L$36, Table1[[ActualResult]:[ActualResult]], "SO")))/ (2*((COUNTIFS(Table1[[GameIsOver]:[GameIsOver]],1,Table1[[AwayTeam]:[AwayTeam]],$A59, Table1[[HomeTeam]:[HomeTeam]], L$36)))+( COUNTIFS(Table1[[GameIsOver]:[GameIsOver]],1,Table1[[AwayTeam]:[AwayTeam]],L$36, Table1[[HomeTeam]:[HomeTeam]],$A59))), "")</f>
        <v/>
      </c>
      <c r="M59" s="50" t="str">
        <f>IFERROR(((2 * (SUMIFS(Table1[[AwayWon]:[AwayWon]], Table1[[GameIsOver]:[GameIsOver]], 1, Table1[[AwayTeam]:[AwayTeam]], $A59, Table1[[HomeTeam]:[HomeTeam]], M$36) + SUMIFS(Table1[[HomeWon]:[HomeWon]], Table1[[GameIsOver]:[GameIsOver]], 1, Table1[[HomeTeam]:[HomeTeam]], $A59, Table1[[AwayTeam]:[AwayTeam]], M$36))) + (SUMIFS(Table1[[HomeWon]:[HomeWon]], Table1[[GameIsOver]:[GameIsOver]], 1, Table1[[AwayTeam]:[AwayTeam]], $A59, Table1[[HomeTeam]:[HomeTeam]],  M$36, Table1[[ActualResult]:[ActualResult]], "OT") + SUMIFS(Table1[[AwayWon]:[AwayWon]], Table1[[GameIsOver]:[GameIsOver]], 1, Table1[[HomeTeam]:[HomeTeam]], $A59, Table1[[AwayTeam]:[AwayTeam]], M$36, Table1[[ActualResult]:[ActualResult]], "OT") + SUMIFS(Table1[[HomeWon]:[HomeWon]], Table1[[GameIsOver]:[GameIsOver]], 1, Table1[[AwayTeam]:[AwayTeam]], $A59, Table1[[HomeTeam]:[HomeTeam]], M$36, Table1[[ActualResult]:[ActualResult]], "SO") + SUMIFS(Table1[[AwayWon]:[AwayWon]], Table1[[GameIsOver]:[GameIsOver]], 1, Table1[[HomeTeam]:[HomeTeam]], $A59, Table1[[AwayTeam]:[AwayTeam]], M$36, Table1[[ActualResult]:[ActualResult]], "SO")))/ (2*((COUNTIFS(Table1[[GameIsOver]:[GameIsOver]],1,Table1[[AwayTeam]:[AwayTeam]],$A59, Table1[[HomeTeam]:[HomeTeam]], M$36)))+( COUNTIFS(Table1[[GameIsOver]:[GameIsOver]],1,Table1[[AwayTeam]:[AwayTeam]],M$36, Table1[[HomeTeam]:[HomeTeam]],$A59))), "")</f>
        <v/>
      </c>
      <c r="N59" s="50" t="str">
        <f>IFERROR(((2 * (SUMIFS(Table1[[AwayWon]:[AwayWon]], Table1[[GameIsOver]:[GameIsOver]], 1, Table1[[AwayTeam]:[AwayTeam]], $A59, Table1[[HomeTeam]:[HomeTeam]], N$36) + SUMIFS(Table1[[HomeWon]:[HomeWon]], Table1[[GameIsOver]:[GameIsOver]], 1, Table1[[HomeTeam]:[HomeTeam]], $A59, Table1[[AwayTeam]:[AwayTeam]], N$36))) + (SUMIFS(Table1[[HomeWon]:[HomeWon]], Table1[[GameIsOver]:[GameIsOver]], 1, Table1[[AwayTeam]:[AwayTeam]], $A59, Table1[[HomeTeam]:[HomeTeam]],  N$36, Table1[[ActualResult]:[ActualResult]], "OT") + SUMIFS(Table1[[AwayWon]:[AwayWon]], Table1[[GameIsOver]:[GameIsOver]], 1, Table1[[HomeTeam]:[HomeTeam]], $A59, Table1[[AwayTeam]:[AwayTeam]], N$36, Table1[[ActualResult]:[ActualResult]], "OT") + SUMIFS(Table1[[HomeWon]:[HomeWon]], Table1[[GameIsOver]:[GameIsOver]], 1, Table1[[AwayTeam]:[AwayTeam]], $A59, Table1[[HomeTeam]:[HomeTeam]], N$36, Table1[[ActualResult]:[ActualResult]], "SO") + SUMIFS(Table1[[AwayWon]:[AwayWon]], Table1[[GameIsOver]:[GameIsOver]], 1, Table1[[HomeTeam]:[HomeTeam]], $A59, Table1[[AwayTeam]:[AwayTeam]], N$36, Table1[[ActualResult]:[ActualResult]], "SO")))/ (2*((COUNTIFS(Table1[[GameIsOver]:[GameIsOver]],1,Table1[[AwayTeam]:[AwayTeam]],$A59, Table1[[HomeTeam]:[HomeTeam]], N$36)))+( COUNTIFS(Table1[[GameIsOver]:[GameIsOver]],1,Table1[[AwayTeam]:[AwayTeam]],N$36, Table1[[HomeTeam]:[HomeTeam]],$A59))), "")</f>
        <v/>
      </c>
      <c r="O59" s="50" t="str">
        <f>IFERROR(((2 * (SUMIFS(Table1[[AwayWon]:[AwayWon]], Table1[[GameIsOver]:[GameIsOver]], 1, Table1[[AwayTeam]:[AwayTeam]], $A59, Table1[[HomeTeam]:[HomeTeam]], O$36) + SUMIFS(Table1[[HomeWon]:[HomeWon]], Table1[[GameIsOver]:[GameIsOver]], 1, Table1[[HomeTeam]:[HomeTeam]], $A59, Table1[[AwayTeam]:[AwayTeam]], O$36))) + (SUMIFS(Table1[[HomeWon]:[HomeWon]], Table1[[GameIsOver]:[GameIsOver]], 1, Table1[[AwayTeam]:[AwayTeam]], $A59, Table1[[HomeTeam]:[HomeTeam]],  O$36, Table1[[ActualResult]:[ActualResult]], "OT") + SUMIFS(Table1[[AwayWon]:[AwayWon]], Table1[[GameIsOver]:[GameIsOver]], 1, Table1[[HomeTeam]:[HomeTeam]], $A59, Table1[[AwayTeam]:[AwayTeam]], O$36, Table1[[ActualResult]:[ActualResult]], "OT") + SUMIFS(Table1[[HomeWon]:[HomeWon]], Table1[[GameIsOver]:[GameIsOver]], 1, Table1[[AwayTeam]:[AwayTeam]], $A59, Table1[[HomeTeam]:[HomeTeam]], O$36, Table1[[ActualResult]:[ActualResult]], "SO") + SUMIFS(Table1[[AwayWon]:[AwayWon]], Table1[[GameIsOver]:[GameIsOver]], 1, Table1[[HomeTeam]:[HomeTeam]], $A59, Table1[[AwayTeam]:[AwayTeam]], O$36, Table1[[ActualResult]:[ActualResult]], "SO")))/ (2*((COUNTIFS(Table1[[GameIsOver]:[GameIsOver]],1,Table1[[AwayTeam]:[AwayTeam]],$A59, Table1[[HomeTeam]:[HomeTeam]], O$36)))+( COUNTIFS(Table1[[GameIsOver]:[GameIsOver]],1,Table1[[AwayTeam]:[AwayTeam]],O$36, Table1[[HomeTeam]:[HomeTeam]],$A59))), "")</f>
        <v/>
      </c>
      <c r="P59" s="50" t="str">
        <f>IFERROR(((2 * (SUMIFS(Table1[[AwayWon]:[AwayWon]], Table1[[GameIsOver]:[GameIsOver]], 1, Table1[[AwayTeam]:[AwayTeam]], $A59, Table1[[HomeTeam]:[HomeTeam]], P$36) + SUMIFS(Table1[[HomeWon]:[HomeWon]], Table1[[GameIsOver]:[GameIsOver]], 1, Table1[[HomeTeam]:[HomeTeam]], $A59, Table1[[AwayTeam]:[AwayTeam]], P$36))) + (SUMIFS(Table1[[HomeWon]:[HomeWon]], Table1[[GameIsOver]:[GameIsOver]], 1, Table1[[AwayTeam]:[AwayTeam]], $A59, Table1[[HomeTeam]:[HomeTeam]],  P$36, Table1[[ActualResult]:[ActualResult]], "OT") + SUMIFS(Table1[[AwayWon]:[AwayWon]], Table1[[GameIsOver]:[GameIsOver]], 1, Table1[[HomeTeam]:[HomeTeam]], $A59, Table1[[AwayTeam]:[AwayTeam]], P$36, Table1[[ActualResult]:[ActualResult]], "OT") + SUMIFS(Table1[[HomeWon]:[HomeWon]], Table1[[GameIsOver]:[GameIsOver]], 1, Table1[[AwayTeam]:[AwayTeam]], $A59, Table1[[HomeTeam]:[HomeTeam]], P$36, Table1[[ActualResult]:[ActualResult]], "SO") + SUMIFS(Table1[[AwayWon]:[AwayWon]], Table1[[GameIsOver]:[GameIsOver]], 1, Table1[[HomeTeam]:[HomeTeam]], $A59, Table1[[AwayTeam]:[AwayTeam]], P$36, Table1[[ActualResult]:[ActualResult]], "SO")))/ (2*((COUNTIFS(Table1[[GameIsOver]:[GameIsOver]],1,Table1[[AwayTeam]:[AwayTeam]],$A59, Table1[[HomeTeam]:[HomeTeam]], P$36)))+( COUNTIFS(Table1[[GameIsOver]:[GameIsOver]],1,Table1[[AwayTeam]:[AwayTeam]],P$36, Table1[[HomeTeam]:[HomeTeam]],$A59))), "")</f>
        <v/>
      </c>
      <c r="Q59" s="52" t="str">
        <f>IFERROR(((2 * (SUMIFS(Table1[[AwayWon]:[AwayWon]], Table1[[GameIsOver]:[GameIsOver]], 1, Table1[[AwayTeam]:[AwayTeam]], $A59, Table1[[HomeTeam]:[HomeTeam]], Q$36) + SUMIFS(Table1[[HomeWon]:[HomeWon]], Table1[[GameIsOver]:[GameIsOver]], 1, Table1[[HomeTeam]:[HomeTeam]], $A59, Table1[[AwayTeam]:[AwayTeam]], Q$36))) + (SUMIFS(Table1[[HomeWon]:[HomeWon]], Table1[[GameIsOver]:[GameIsOver]], 1, Table1[[AwayTeam]:[AwayTeam]], $A59, Table1[[HomeTeam]:[HomeTeam]],  Q$36, Table1[[ActualResult]:[ActualResult]], "OT") + SUMIFS(Table1[[AwayWon]:[AwayWon]], Table1[[GameIsOver]:[GameIsOver]], 1, Table1[[HomeTeam]:[HomeTeam]], $A59, Table1[[AwayTeam]:[AwayTeam]], Q$36, Table1[[ActualResult]:[ActualResult]], "OT") + SUMIFS(Table1[[HomeWon]:[HomeWon]], Table1[[GameIsOver]:[GameIsOver]], 1, Table1[[AwayTeam]:[AwayTeam]], $A59, Table1[[HomeTeam]:[HomeTeam]], Q$36, Table1[[ActualResult]:[ActualResult]], "SO") + SUMIFS(Table1[[AwayWon]:[AwayWon]], Table1[[GameIsOver]:[GameIsOver]], 1, Table1[[HomeTeam]:[HomeTeam]], $A59, Table1[[AwayTeam]:[AwayTeam]], Q$36, Table1[[ActualResult]:[ActualResult]], "SO")))/ (2*((COUNTIFS(Table1[[GameIsOver]:[GameIsOver]],1,Table1[[AwayTeam]:[AwayTeam]],$A59, Table1[[HomeTeam]:[HomeTeam]], Q$36)))+( COUNTIFS(Table1[[GameIsOver]:[GameIsOver]],1,Table1[[AwayTeam]:[AwayTeam]],Q$36, Table1[[HomeTeam]:[HomeTeam]],$A59))), "")</f>
        <v/>
      </c>
      <c r="R59" s="50" t="str">
        <f>IFERROR(((2 * (SUMIFS(Table1[[AwayWon]:[AwayWon]], Table1[[GameIsOver]:[GameIsOver]], 1, Table1[[AwayTeam]:[AwayTeam]], $A59, Table1[[HomeTeam]:[HomeTeam]], R$36) + SUMIFS(Table1[[HomeWon]:[HomeWon]], Table1[[GameIsOver]:[GameIsOver]], 1, Table1[[HomeTeam]:[HomeTeam]], $A59, Table1[[AwayTeam]:[AwayTeam]], R$36))) + (SUMIFS(Table1[[HomeWon]:[HomeWon]], Table1[[GameIsOver]:[GameIsOver]], 1, Table1[[AwayTeam]:[AwayTeam]], $A59, Table1[[HomeTeam]:[HomeTeam]],  R$36, Table1[[ActualResult]:[ActualResult]], "OT") + SUMIFS(Table1[[AwayWon]:[AwayWon]], Table1[[GameIsOver]:[GameIsOver]], 1, Table1[[HomeTeam]:[HomeTeam]], $A59, Table1[[AwayTeam]:[AwayTeam]], R$36, Table1[[ActualResult]:[ActualResult]], "OT") + SUMIFS(Table1[[HomeWon]:[HomeWon]], Table1[[GameIsOver]:[GameIsOver]], 1, Table1[[AwayTeam]:[AwayTeam]], $A59, Table1[[HomeTeam]:[HomeTeam]], R$36, Table1[[ActualResult]:[ActualResult]], "SO") + SUMIFS(Table1[[AwayWon]:[AwayWon]], Table1[[GameIsOver]:[GameIsOver]], 1, Table1[[HomeTeam]:[HomeTeam]], $A59, Table1[[AwayTeam]:[AwayTeam]], R$36, Table1[[ActualResult]:[ActualResult]], "SO")))/ (2*((COUNTIFS(Table1[[GameIsOver]:[GameIsOver]],1,Table1[[AwayTeam]:[AwayTeam]],$A59, Table1[[HomeTeam]:[HomeTeam]], R$36)))+( COUNTIFS(Table1[[GameIsOver]:[GameIsOver]],1,Table1[[AwayTeam]:[AwayTeam]],R$36, Table1[[HomeTeam]:[HomeTeam]],$A59))), "")</f>
        <v/>
      </c>
      <c r="S59" s="50" t="str">
        <f>IFERROR(((2 * (SUMIFS(Table1[[AwayWon]:[AwayWon]], Table1[[GameIsOver]:[GameIsOver]], 1, Table1[[AwayTeam]:[AwayTeam]], $A59, Table1[[HomeTeam]:[HomeTeam]], S$36) + SUMIFS(Table1[[HomeWon]:[HomeWon]], Table1[[GameIsOver]:[GameIsOver]], 1, Table1[[HomeTeam]:[HomeTeam]], $A59, Table1[[AwayTeam]:[AwayTeam]], S$36))) + (SUMIFS(Table1[[HomeWon]:[HomeWon]], Table1[[GameIsOver]:[GameIsOver]], 1, Table1[[AwayTeam]:[AwayTeam]], $A59, Table1[[HomeTeam]:[HomeTeam]],  S$36, Table1[[ActualResult]:[ActualResult]], "OT") + SUMIFS(Table1[[AwayWon]:[AwayWon]], Table1[[GameIsOver]:[GameIsOver]], 1, Table1[[HomeTeam]:[HomeTeam]], $A59, Table1[[AwayTeam]:[AwayTeam]], S$36, Table1[[ActualResult]:[ActualResult]], "OT") + SUMIFS(Table1[[HomeWon]:[HomeWon]], Table1[[GameIsOver]:[GameIsOver]], 1, Table1[[AwayTeam]:[AwayTeam]], $A59, Table1[[HomeTeam]:[HomeTeam]], S$36, Table1[[ActualResult]:[ActualResult]], "SO") + SUMIFS(Table1[[AwayWon]:[AwayWon]], Table1[[GameIsOver]:[GameIsOver]], 1, Table1[[HomeTeam]:[HomeTeam]], $A59, Table1[[AwayTeam]:[AwayTeam]], S$36, Table1[[ActualResult]:[ActualResult]], "SO")))/ (2*((COUNTIFS(Table1[[GameIsOver]:[GameIsOver]],1,Table1[[AwayTeam]:[AwayTeam]],$A59, Table1[[HomeTeam]:[HomeTeam]], S$36)))+( COUNTIFS(Table1[[GameIsOver]:[GameIsOver]],1,Table1[[AwayTeam]:[AwayTeam]],S$36, Table1[[HomeTeam]:[HomeTeam]],$A59))), "")</f>
        <v/>
      </c>
      <c r="T59" s="50" t="str">
        <f>IFERROR(((2 * (SUMIFS(Table1[[AwayWon]:[AwayWon]], Table1[[GameIsOver]:[GameIsOver]], 1, Table1[[AwayTeam]:[AwayTeam]], $A59, Table1[[HomeTeam]:[HomeTeam]], T$36) + SUMIFS(Table1[[HomeWon]:[HomeWon]], Table1[[GameIsOver]:[GameIsOver]], 1, Table1[[HomeTeam]:[HomeTeam]], $A59, Table1[[AwayTeam]:[AwayTeam]], T$36))) + (SUMIFS(Table1[[HomeWon]:[HomeWon]], Table1[[GameIsOver]:[GameIsOver]], 1, Table1[[AwayTeam]:[AwayTeam]], $A59, Table1[[HomeTeam]:[HomeTeam]],  T$36, Table1[[ActualResult]:[ActualResult]], "OT") + SUMIFS(Table1[[AwayWon]:[AwayWon]], Table1[[GameIsOver]:[GameIsOver]], 1, Table1[[HomeTeam]:[HomeTeam]], $A59, Table1[[AwayTeam]:[AwayTeam]], T$36, Table1[[ActualResult]:[ActualResult]], "OT") + SUMIFS(Table1[[HomeWon]:[HomeWon]], Table1[[GameIsOver]:[GameIsOver]], 1, Table1[[AwayTeam]:[AwayTeam]], $A59, Table1[[HomeTeam]:[HomeTeam]], T$36, Table1[[ActualResult]:[ActualResult]], "SO") + SUMIFS(Table1[[AwayWon]:[AwayWon]], Table1[[GameIsOver]:[GameIsOver]], 1, Table1[[HomeTeam]:[HomeTeam]], $A59, Table1[[AwayTeam]:[AwayTeam]], T$36, Table1[[ActualResult]:[ActualResult]], "SO")))/ (2*((COUNTIFS(Table1[[GameIsOver]:[GameIsOver]],1,Table1[[AwayTeam]:[AwayTeam]],$A59, Table1[[HomeTeam]:[HomeTeam]], T$36)))+( COUNTIFS(Table1[[GameIsOver]:[GameIsOver]],1,Table1[[AwayTeam]:[AwayTeam]],T$36, Table1[[HomeTeam]:[HomeTeam]],$A59))), "")</f>
        <v/>
      </c>
      <c r="U59" s="50" t="str">
        <f>IFERROR(((2 * (SUMIFS(Table1[[AwayWon]:[AwayWon]], Table1[[GameIsOver]:[GameIsOver]], 1, Table1[[AwayTeam]:[AwayTeam]], $A59, Table1[[HomeTeam]:[HomeTeam]], U$36) + SUMIFS(Table1[[HomeWon]:[HomeWon]], Table1[[GameIsOver]:[GameIsOver]], 1, Table1[[HomeTeam]:[HomeTeam]], $A59, Table1[[AwayTeam]:[AwayTeam]], U$36))) + (SUMIFS(Table1[[HomeWon]:[HomeWon]], Table1[[GameIsOver]:[GameIsOver]], 1, Table1[[AwayTeam]:[AwayTeam]], $A59, Table1[[HomeTeam]:[HomeTeam]],  U$36, Table1[[ActualResult]:[ActualResult]], "OT") + SUMIFS(Table1[[AwayWon]:[AwayWon]], Table1[[GameIsOver]:[GameIsOver]], 1, Table1[[HomeTeam]:[HomeTeam]], $A59, Table1[[AwayTeam]:[AwayTeam]], U$36, Table1[[ActualResult]:[ActualResult]], "OT") + SUMIFS(Table1[[HomeWon]:[HomeWon]], Table1[[GameIsOver]:[GameIsOver]], 1, Table1[[AwayTeam]:[AwayTeam]], $A59, Table1[[HomeTeam]:[HomeTeam]], U$36, Table1[[ActualResult]:[ActualResult]], "SO") + SUMIFS(Table1[[AwayWon]:[AwayWon]], Table1[[GameIsOver]:[GameIsOver]], 1, Table1[[HomeTeam]:[HomeTeam]], $A59, Table1[[AwayTeam]:[AwayTeam]], U$36, Table1[[ActualResult]:[ActualResult]], "SO")))/ (2*((COUNTIFS(Table1[[GameIsOver]:[GameIsOver]],1,Table1[[AwayTeam]:[AwayTeam]],$A59, Table1[[HomeTeam]:[HomeTeam]], U$36)))+( COUNTIFS(Table1[[GameIsOver]:[GameIsOver]],1,Table1[[AwayTeam]:[AwayTeam]],U$36, Table1[[HomeTeam]:[HomeTeam]],$A59))), "")</f>
        <v/>
      </c>
      <c r="V59" s="50" t="str">
        <f>IFERROR(((2 * (SUMIFS(Table1[[AwayWon]:[AwayWon]], Table1[[GameIsOver]:[GameIsOver]], 1, Table1[[AwayTeam]:[AwayTeam]], $A59, Table1[[HomeTeam]:[HomeTeam]], V$36) + SUMIFS(Table1[[HomeWon]:[HomeWon]], Table1[[GameIsOver]:[GameIsOver]], 1, Table1[[HomeTeam]:[HomeTeam]], $A59, Table1[[AwayTeam]:[AwayTeam]], V$36))) + (SUMIFS(Table1[[HomeWon]:[HomeWon]], Table1[[GameIsOver]:[GameIsOver]], 1, Table1[[AwayTeam]:[AwayTeam]], $A59, Table1[[HomeTeam]:[HomeTeam]],  V$36, Table1[[ActualResult]:[ActualResult]], "OT") + SUMIFS(Table1[[AwayWon]:[AwayWon]], Table1[[GameIsOver]:[GameIsOver]], 1, Table1[[HomeTeam]:[HomeTeam]], $A59, Table1[[AwayTeam]:[AwayTeam]], V$36, Table1[[ActualResult]:[ActualResult]], "OT") + SUMIFS(Table1[[HomeWon]:[HomeWon]], Table1[[GameIsOver]:[GameIsOver]], 1, Table1[[AwayTeam]:[AwayTeam]], $A59, Table1[[HomeTeam]:[HomeTeam]], V$36, Table1[[ActualResult]:[ActualResult]], "SO") + SUMIFS(Table1[[AwayWon]:[AwayWon]], Table1[[GameIsOver]:[GameIsOver]], 1, Table1[[HomeTeam]:[HomeTeam]], $A59, Table1[[AwayTeam]:[AwayTeam]], V$36, Table1[[ActualResult]:[ActualResult]], "SO")))/ (2*((COUNTIFS(Table1[[GameIsOver]:[GameIsOver]],1,Table1[[AwayTeam]:[AwayTeam]],$A59, Table1[[HomeTeam]:[HomeTeam]], V$36)))+( COUNTIFS(Table1[[GameIsOver]:[GameIsOver]],1,Table1[[AwayTeam]:[AwayTeam]],V$36, Table1[[HomeTeam]:[HomeTeam]],$A59))), "")</f>
        <v/>
      </c>
      <c r="W59" s="50" t="str">
        <f>IFERROR(((2 * (SUMIFS(Table1[[AwayWon]:[AwayWon]], Table1[[GameIsOver]:[GameIsOver]], 1, Table1[[AwayTeam]:[AwayTeam]], $A59, Table1[[HomeTeam]:[HomeTeam]], W$36) + SUMIFS(Table1[[HomeWon]:[HomeWon]], Table1[[GameIsOver]:[GameIsOver]], 1, Table1[[HomeTeam]:[HomeTeam]], $A59, Table1[[AwayTeam]:[AwayTeam]], W$36))) + (SUMIFS(Table1[[HomeWon]:[HomeWon]], Table1[[GameIsOver]:[GameIsOver]], 1, Table1[[AwayTeam]:[AwayTeam]], $A59, Table1[[HomeTeam]:[HomeTeam]],  W$36, Table1[[ActualResult]:[ActualResult]], "OT") + SUMIFS(Table1[[AwayWon]:[AwayWon]], Table1[[GameIsOver]:[GameIsOver]], 1, Table1[[HomeTeam]:[HomeTeam]], $A59, Table1[[AwayTeam]:[AwayTeam]], W$36, Table1[[ActualResult]:[ActualResult]], "OT") + SUMIFS(Table1[[HomeWon]:[HomeWon]], Table1[[GameIsOver]:[GameIsOver]], 1, Table1[[AwayTeam]:[AwayTeam]], $A59, Table1[[HomeTeam]:[HomeTeam]], W$36, Table1[[ActualResult]:[ActualResult]], "SO") + SUMIFS(Table1[[AwayWon]:[AwayWon]], Table1[[GameIsOver]:[GameIsOver]], 1, Table1[[HomeTeam]:[HomeTeam]], $A59, Table1[[AwayTeam]:[AwayTeam]], W$36, Table1[[ActualResult]:[ActualResult]], "SO")))/ (2*((COUNTIFS(Table1[[GameIsOver]:[GameIsOver]],1,Table1[[AwayTeam]:[AwayTeam]],$A59, Table1[[HomeTeam]:[HomeTeam]], W$36)))+( COUNTIFS(Table1[[GameIsOver]:[GameIsOver]],1,Table1[[AwayTeam]:[AwayTeam]],W$36, Table1[[HomeTeam]:[HomeTeam]],$A59))), "")</f>
        <v/>
      </c>
      <c r="X59" s="50" t="str">
        <f>IFERROR(((2 * (SUMIFS(Table1[[AwayWon]:[AwayWon]], Table1[[GameIsOver]:[GameIsOver]], 1, Table1[[AwayTeam]:[AwayTeam]], $A59, Table1[[HomeTeam]:[HomeTeam]], X$36) + SUMIFS(Table1[[HomeWon]:[HomeWon]], Table1[[GameIsOver]:[GameIsOver]], 1, Table1[[HomeTeam]:[HomeTeam]], $A59, Table1[[AwayTeam]:[AwayTeam]], X$36))) + (SUMIFS(Table1[[HomeWon]:[HomeWon]], Table1[[GameIsOver]:[GameIsOver]], 1, Table1[[AwayTeam]:[AwayTeam]], $A59, Table1[[HomeTeam]:[HomeTeam]],  X$36, Table1[[ActualResult]:[ActualResult]], "OT") + SUMIFS(Table1[[AwayWon]:[AwayWon]], Table1[[GameIsOver]:[GameIsOver]], 1, Table1[[HomeTeam]:[HomeTeam]], $A59, Table1[[AwayTeam]:[AwayTeam]], X$36, Table1[[ActualResult]:[ActualResult]], "OT") + SUMIFS(Table1[[HomeWon]:[HomeWon]], Table1[[GameIsOver]:[GameIsOver]], 1, Table1[[AwayTeam]:[AwayTeam]], $A59, Table1[[HomeTeam]:[HomeTeam]], X$36, Table1[[ActualResult]:[ActualResult]], "SO") + SUMIFS(Table1[[AwayWon]:[AwayWon]], Table1[[GameIsOver]:[GameIsOver]], 1, Table1[[HomeTeam]:[HomeTeam]], $A59, Table1[[AwayTeam]:[AwayTeam]], X$36, Table1[[ActualResult]:[ActualResult]], "SO")))/ (2*((COUNTIFS(Table1[[GameIsOver]:[GameIsOver]],1,Table1[[AwayTeam]:[AwayTeam]],$A59, Table1[[HomeTeam]:[HomeTeam]], X$36)))+( COUNTIFS(Table1[[GameIsOver]:[GameIsOver]],1,Table1[[AwayTeam]:[AwayTeam]],X$36, Table1[[HomeTeam]:[HomeTeam]],$A59))), "")</f>
        <v/>
      </c>
      <c r="Y59" s="52" t="str">
        <f>IFERROR(((2 * (SUMIFS(Table1[[AwayWon]:[AwayWon]], Table1[[GameIsOver]:[GameIsOver]], 1, Table1[[AwayTeam]:[AwayTeam]], $A59, Table1[[HomeTeam]:[HomeTeam]], Y$36) + SUMIFS(Table1[[HomeWon]:[HomeWon]], Table1[[GameIsOver]:[GameIsOver]], 1, Table1[[HomeTeam]:[HomeTeam]], $A59, Table1[[AwayTeam]:[AwayTeam]], Y$36))) + (SUMIFS(Table1[[HomeWon]:[HomeWon]], Table1[[GameIsOver]:[GameIsOver]], 1, Table1[[AwayTeam]:[AwayTeam]], $A59, Table1[[HomeTeam]:[HomeTeam]],  Y$36, Table1[[ActualResult]:[ActualResult]], "OT") + SUMIFS(Table1[[AwayWon]:[AwayWon]], Table1[[GameIsOver]:[GameIsOver]], 1, Table1[[HomeTeam]:[HomeTeam]], $A59, Table1[[AwayTeam]:[AwayTeam]], Y$36, Table1[[ActualResult]:[ActualResult]], "OT") + SUMIFS(Table1[[HomeWon]:[HomeWon]], Table1[[GameIsOver]:[GameIsOver]], 1, Table1[[AwayTeam]:[AwayTeam]], $A59, Table1[[HomeTeam]:[HomeTeam]], Y$36, Table1[[ActualResult]:[ActualResult]], "SO") + SUMIFS(Table1[[AwayWon]:[AwayWon]], Table1[[GameIsOver]:[GameIsOver]], 1, Table1[[HomeTeam]:[HomeTeam]], $A59, Table1[[AwayTeam]:[AwayTeam]], Y$36, Table1[[ActualResult]:[ActualResult]], "SO")))/ (2*((COUNTIFS(Table1[[GameIsOver]:[GameIsOver]],1,Table1[[AwayTeam]:[AwayTeam]],$A59, Table1[[HomeTeam]:[HomeTeam]], Y$36)))+( COUNTIFS(Table1[[GameIsOver]:[GameIsOver]],1,Table1[[AwayTeam]:[AwayTeam]],Y$36, Table1[[HomeTeam]:[HomeTeam]],$A59))), "")</f>
        <v/>
      </c>
      <c r="Z59" s="50" t="str">
        <f>IFERROR(((2 * (SUMIFS(Table1[[AwayWon]:[AwayWon]], Table1[[GameIsOver]:[GameIsOver]], 1, Table1[[AwayTeam]:[AwayTeam]], $A59, Table1[[HomeTeam]:[HomeTeam]], Z$36) + SUMIFS(Table1[[HomeWon]:[HomeWon]], Table1[[GameIsOver]:[GameIsOver]], 1, Table1[[HomeTeam]:[HomeTeam]], $A59, Table1[[AwayTeam]:[AwayTeam]], Z$36))) + (SUMIFS(Table1[[HomeWon]:[HomeWon]], Table1[[GameIsOver]:[GameIsOver]], 1, Table1[[AwayTeam]:[AwayTeam]], $A59, Table1[[HomeTeam]:[HomeTeam]],  Z$36, Table1[[ActualResult]:[ActualResult]], "OT") + SUMIFS(Table1[[AwayWon]:[AwayWon]], Table1[[GameIsOver]:[GameIsOver]], 1, Table1[[HomeTeam]:[HomeTeam]], $A59, Table1[[AwayTeam]:[AwayTeam]], Z$36, Table1[[ActualResult]:[ActualResult]], "OT") + SUMIFS(Table1[[HomeWon]:[HomeWon]], Table1[[GameIsOver]:[GameIsOver]], 1, Table1[[AwayTeam]:[AwayTeam]], $A59, Table1[[HomeTeam]:[HomeTeam]], Z$36, Table1[[ActualResult]:[ActualResult]], "SO") + SUMIFS(Table1[[AwayWon]:[AwayWon]], Table1[[GameIsOver]:[GameIsOver]], 1, Table1[[HomeTeam]:[HomeTeam]], $A59, Table1[[AwayTeam]:[AwayTeam]], Z$36, Table1[[ActualResult]:[ActualResult]], "SO")))/ (2*((COUNTIFS(Table1[[GameIsOver]:[GameIsOver]],1,Table1[[AwayTeam]:[AwayTeam]],$A59, Table1[[HomeTeam]:[HomeTeam]], Z$36)))+( COUNTIFS(Table1[[GameIsOver]:[GameIsOver]],1,Table1[[AwayTeam]:[AwayTeam]],Z$36, Table1[[HomeTeam]:[HomeTeam]],$A59))), "")</f>
        <v/>
      </c>
      <c r="AA59" s="50">
        <f>IFERROR(((2 * (SUMIFS(Table1[[AwayWon]:[AwayWon]], Table1[[GameIsOver]:[GameIsOver]], 1, Table1[[AwayTeam]:[AwayTeam]], $A59, Table1[[HomeTeam]:[HomeTeam]], AA$36) + SUMIFS(Table1[[HomeWon]:[HomeWon]], Table1[[GameIsOver]:[GameIsOver]], 1, Table1[[HomeTeam]:[HomeTeam]], $A59, Table1[[AwayTeam]:[AwayTeam]], AA$36))) + (SUMIFS(Table1[[HomeWon]:[HomeWon]], Table1[[GameIsOver]:[GameIsOver]], 1, Table1[[AwayTeam]:[AwayTeam]], $A59, Table1[[HomeTeam]:[HomeTeam]],  AA$36, Table1[[ActualResult]:[ActualResult]], "OT") + SUMIFS(Table1[[AwayWon]:[AwayWon]], Table1[[GameIsOver]:[GameIsOver]], 1, Table1[[HomeTeam]:[HomeTeam]], $A59, Table1[[AwayTeam]:[AwayTeam]], AA$36, Table1[[ActualResult]:[ActualResult]], "OT") + SUMIFS(Table1[[HomeWon]:[HomeWon]], Table1[[GameIsOver]:[GameIsOver]], 1, Table1[[AwayTeam]:[AwayTeam]], $A59, Table1[[HomeTeam]:[HomeTeam]], AA$36, Table1[[ActualResult]:[ActualResult]], "SO") + SUMIFS(Table1[[AwayWon]:[AwayWon]], Table1[[GameIsOver]:[GameIsOver]], 1, Table1[[HomeTeam]:[HomeTeam]], $A59, Table1[[AwayTeam]:[AwayTeam]], AA$36, Table1[[ActualResult]:[ActualResult]], "SO")))/ (2*((COUNTIFS(Table1[[GameIsOver]:[GameIsOver]],1,Table1[[AwayTeam]:[AwayTeam]],$A59, Table1[[HomeTeam]:[HomeTeam]], AA$36)))+( COUNTIFS(Table1[[GameIsOver]:[GameIsOver]],1,Table1[[AwayTeam]:[AwayTeam]],AA$36, Table1[[HomeTeam]:[HomeTeam]],$A59))), "")</f>
        <v>0.5</v>
      </c>
      <c r="AB59" s="50" t="str">
        <f>IFERROR(((2 * (SUMIFS(Table1[[AwayWon]:[AwayWon]], Table1[[GameIsOver]:[GameIsOver]], 1, Table1[[AwayTeam]:[AwayTeam]], $A59, Table1[[HomeTeam]:[HomeTeam]], AB$36) + SUMIFS(Table1[[HomeWon]:[HomeWon]], Table1[[GameIsOver]:[GameIsOver]], 1, Table1[[HomeTeam]:[HomeTeam]], $A59, Table1[[AwayTeam]:[AwayTeam]], AB$36))) + (SUMIFS(Table1[[HomeWon]:[HomeWon]], Table1[[GameIsOver]:[GameIsOver]], 1, Table1[[AwayTeam]:[AwayTeam]], $A59, Table1[[HomeTeam]:[HomeTeam]],  AB$36, Table1[[ActualResult]:[ActualResult]], "OT") + SUMIFS(Table1[[AwayWon]:[AwayWon]], Table1[[GameIsOver]:[GameIsOver]], 1, Table1[[HomeTeam]:[HomeTeam]], $A59, Table1[[AwayTeam]:[AwayTeam]], AB$36, Table1[[ActualResult]:[ActualResult]], "OT") + SUMIFS(Table1[[HomeWon]:[HomeWon]], Table1[[GameIsOver]:[GameIsOver]], 1, Table1[[AwayTeam]:[AwayTeam]], $A59, Table1[[HomeTeam]:[HomeTeam]], AB$36, Table1[[ActualResult]:[ActualResult]], "SO") + SUMIFS(Table1[[AwayWon]:[AwayWon]], Table1[[GameIsOver]:[GameIsOver]], 1, Table1[[HomeTeam]:[HomeTeam]], $A59, Table1[[AwayTeam]:[AwayTeam]], AB$36, Table1[[ActualResult]:[ActualResult]], "SO")))/ (2*((COUNTIFS(Table1[[GameIsOver]:[GameIsOver]],1,Table1[[AwayTeam]:[AwayTeam]],$A59, Table1[[HomeTeam]:[HomeTeam]], AB$36)))+( COUNTIFS(Table1[[GameIsOver]:[GameIsOver]],1,Table1[[AwayTeam]:[AwayTeam]],AB$36, Table1[[HomeTeam]:[HomeTeam]],$A59))), "")</f>
        <v/>
      </c>
      <c r="AC59" s="50" t="str">
        <f>IFERROR(((2 * (SUMIFS(Table1[[AwayWon]:[AwayWon]], Table1[[GameIsOver]:[GameIsOver]], 1, Table1[[AwayTeam]:[AwayTeam]], $A59, Table1[[HomeTeam]:[HomeTeam]], AC$36) + SUMIFS(Table1[[HomeWon]:[HomeWon]], Table1[[GameIsOver]:[GameIsOver]], 1, Table1[[HomeTeam]:[HomeTeam]], $A59, Table1[[AwayTeam]:[AwayTeam]], AC$36))) + (SUMIFS(Table1[[HomeWon]:[HomeWon]], Table1[[GameIsOver]:[GameIsOver]], 1, Table1[[AwayTeam]:[AwayTeam]], $A59, Table1[[HomeTeam]:[HomeTeam]],  AC$36, Table1[[ActualResult]:[ActualResult]], "OT") + SUMIFS(Table1[[AwayWon]:[AwayWon]], Table1[[GameIsOver]:[GameIsOver]], 1, Table1[[HomeTeam]:[HomeTeam]], $A59, Table1[[AwayTeam]:[AwayTeam]], AC$36, Table1[[ActualResult]:[ActualResult]], "OT") + SUMIFS(Table1[[HomeWon]:[HomeWon]], Table1[[GameIsOver]:[GameIsOver]], 1, Table1[[AwayTeam]:[AwayTeam]], $A59, Table1[[HomeTeam]:[HomeTeam]], AC$36, Table1[[ActualResult]:[ActualResult]], "SO") + SUMIFS(Table1[[AwayWon]:[AwayWon]], Table1[[GameIsOver]:[GameIsOver]], 1, Table1[[HomeTeam]:[HomeTeam]], $A59, Table1[[AwayTeam]:[AwayTeam]], AC$36, Table1[[ActualResult]:[ActualResult]], "SO")))/ (2*((COUNTIFS(Table1[[GameIsOver]:[GameIsOver]],1,Table1[[AwayTeam]:[AwayTeam]],$A59, Table1[[HomeTeam]:[HomeTeam]], AC$36)))+( COUNTIFS(Table1[[GameIsOver]:[GameIsOver]],1,Table1[[AwayTeam]:[AwayTeam]],AC$36, Table1[[HomeTeam]:[HomeTeam]],$A59))), "")</f>
        <v/>
      </c>
      <c r="AD59" s="50" t="str">
        <f>IFERROR(((2 * (SUMIFS(Table1[[AwayWon]:[AwayWon]], Table1[[GameIsOver]:[GameIsOver]], 1, Table1[[AwayTeam]:[AwayTeam]], $A59, Table1[[HomeTeam]:[HomeTeam]], AD$36) + SUMIFS(Table1[[HomeWon]:[HomeWon]], Table1[[GameIsOver]:[GameIsOver]], 1, Table1[[HomeTeam]:[HomeTeam]], $A59, Table1[[AwayTeam]:[AwayTeam]], AD$36))) + (SUMIFS(Table1[[HomeWon]:[HomeWon]], Table1[[GameIsOver]:[GameIsOver]], 1, Table1[[AwayTeam]:[AwayTeam]], $A59, Table1[[HomeTeam]:[HomeTeam]],  AD$36, Table1[[ActualResult]:[ActualResult]], "OT") + SUMIFS(Table1[[AwayWon]:[AwayWon]], Table1[[GameIsOver]:[GameIsOver]], 1, Table1[[HomeTeam]:[HomeTeam]], $A59, Table1[[AwayTeam]:[AwayTeam]], AD$36, Table1[[ActualResult]:[ActualResult]], "OT") + SUMIFS(Table1[[HomeWon]:[HomeWon]], Table1[[GameIsOver]:[GameIsOver]], 1, Table1[[AwayTeam]:[AwayTeam]], $A59, Table1[[HomeTeam]:[HomeTeam]], AD$36, Table1[[ActualResult]:[ActualResult]], "SO") + SUMIFS(Table1[[AwayWon]:[AwayWon]], Table1[[GameIsOver]:[GameIsOver]], 1, Table1[[HomeTeam]:[HomeTeam]], $A59, Table1[[AwayTeam]:[AwayTeam]], AD$36, Table1[[ActualResult]:[ActualResult]], "SO")))/ (2*((COUNTIFS(Table1[[GameIsOver]:[GameIsOver]],1,Table1[[AwayTeam]:[AwayTeam]],$A59, Table1[[HomeTeam]:[HomeTeam]], AD$36)))+( COUNTIFS(Table1[[GameIsOver]:[GameIsOver]],1,Table1[[AwayTeam]:[AwayTeam]],AD$36, Table1[[HomeTeam]:[HomeTeam]],$A59))), "")</f>
        <v/>
      </c>
      <c r="AE59" s="50" t="str">
        <f>IFERROR(((2 * (SUMIFS(Table1[[AwayWon]:[AwayWon]], Table1[[GameIsOver]:[GameIsOver]], 1, Table1[[AwayTeam]:[AwayTeam]], $A59, Table1[[HomeTeam]:[HomeTeam]], AE$36) + SUMIFS(Table1[[HomeWon]:[HomeWon]], Table1[[GameIsOver]:[GameIsOver]], 1, Table1[[HomeTeam]:[HomeTeam]], $A59, Table1[[AwayTeam]:[AwayTeam]], AE$36))) + (SUMIFS(Table1[[HomeWon]:[HomeWon]], Table1[[GameIsOver]:[GameIsOver]], 1, Table1[[AwayTeam]:[AwayTeam]], $A59, Table1[[HomeTeam]:[HomeTeam]],  AE$36, Table1[[ActualResult]:[ActualResult]], "OT") + SUMIFS(Table1[[AwayWon]:[AwayWon]], Table1[[GameIsOver]:[GameIsOver]], 1, Table1[[HomeTeam]:[HomeTeam]], $A59, Table1[[AwayTeam]:[AwayTeam]], AE$36, Table1[[ActualResult]:[ActualResult]], "OT") + SUMIFS(Table1[[HomeWon]:[HomeWon]], Table1[[GameIsOver]:[GameIsOver]], 1, Table1[[AwayTeam]:[AwayTeam]], $A59, Table1[[HomeTeam]:[HomeTeam]], AE$36, Table1[[ActualResult]:[ActualResult]], "SO") + SUMIFS(Table1[[AwayWon]:[AwayWon]], Table1[[GameIsOver]:[GameIsOver]], 1, Table1[[HomeTeam]:[HomeTeam]], $A59, Table1[[AwayTeam]:[AwayTeam]], AE$36, Table1[[ActualResult]:[ActualResult]], "SO")))/ (2*((COUNTIFS(Table1[[GameIsOver]:[GameIsOver]],1,Table1[[AwayTeam]:[AwayTeam]],$A59, Table1[[HomeTeam]:[HomeTeam]], AE$36)))+( COUNTIFS(Table1[[GameIsOver]:[GameIsOver]],1,Table1[[AwayTeam]:[AwayTeam]],AE$36, Table1[[HomeTeam]:[HomeTeam]],$A59))), "")</f>
        <v/>
      </c>
      <c r="AF59" s="50" t="str">
        <f>IFERROR(((2 * (SUMIFS(Table1[[AwayWon]:[AwayWon]], Table1[[GameIsOver]:[GameIsOver]], 1, Table1[[AwayTeam]:[AwayTeam]], $A59, Table1[[HomeTeam]:[HomeTeam]], AF$36) + SUMIFS(Table1[[HomeWon]:[HomeWon]], Table1[[GameIsOver]:[GameIsOver]], 1, Table1[[HomeTeam]:[HomeTeam]], $A59, Table1[[AwayTeam]:[AwayTeam]], AF$36))) + (SUMIFS(Table1[[HomeWon]:[HomeWon]], Table1[[GameIsOver]:[GameIsOver]], 1, Table1[[AwayTeam]:[AwayTeam]], $A59, Table1[[HomeTeam]:[HomeTeam]],  AF$36, Table1[[ActualResult]:[ActualResult]], "OT") + SUMIFS(Table1[[AwayWon]:[AwayWon]], Table1[[GameIsOver]:[GameIsOver]], 1, Table1[[HomeTeam]:[HomeTeam]], $A59, Table1[[AwayTeam]:[AwayTeam]], AF$36, Table1[[ActualResult]:[ActualResult]], "OT") + SUMIFS(Table1[[HomeWon]:[HomeWon]], Table1[[GameIsOver]:[GameIsOver]], 1, Table1[[AwayTeam]:[AwayTeam]], $A59, Table1[[HomeTeam]:[HomeTeam]], AF$36, Table1[[ActualResult]:[ActualResult]], "SO") + SUMIFS(Table1[[AwayWon]:[AwayWon]], Table1[[GameIsOver]:[GameIsOver]], 1, Table1[[HomeTeam]:[HomeTeam]], $A59, Table1[[AwayTeam]:[AwayTeam]], AF$36, Table1[[ActualResult]:[ActualResult]], "SO")))/ (2*((COUNTIFS(Table1[[GameIsOver]:[GameIsOver]],1,Table1[[AwayTeam]:[AwayTeam]],$A59, Table1[[HomeTeam]:[HomeTeam]], AF$36)))+( COUNTIFS(Table1[[GameIsOver]:[GameIsOver]],1,Table1[[AwayTeam]:[AwayTeam]],AF$36, Table1[[HomeTeam]:[HomeTeam]],$A59))), "")</f>
        <v/>
      </c>
      <c r="AG59" s="50" t="str">
        <f>IFERROR(((2 * (SUMIFS(Table1[[AwayWon]:[AwayWon]], Table1[[GameIsOver]:[GameIsOver]], 1, Table1[[AwayTeam]:[AwayTeam]], $A59, Table1[[HomeTeam]:[HomeTeam]], AG$36) + SUMIFS(Table1[[HomeWon]:[HomeWon]], Table1[[GameIsOver]:[GameIsOver]], 1, Table1[[HomeTeam]:[HomeTeam]], $A59, Table1[[AwayTeam]:[AwayTeam]], AG$36))) + (SUMIFS(Table1[[HomeWon]:[HomeWon]], Table1[[GameIsOver]:[GameIsOver]], 1, Table1[[AwayTeam]:[AwayTeam]], $A59, Table1[[HomeTeam]:[HomeTeam]],  AG$36, Table1[[ActualResult]:[ActualResult]], "OT") + SUMIFS(Table1[[AwayWon]:[AwayWon]], Table1[[GameIsOver]:[GameIsOver]], 1, Table1[[HomeTeam]:[HomeTeam]], $A59, Table1[[AwayTeam]:[AwayTeam]], AG$36, Table1[[ActualResult]:[ActualResult]], "OT") + SUMIFS(Table1[[HomeWon]:[HomeWon]], Table1[[GameIsOver]:[GameIsOver]], 1, Table1[[AwayTeam]:[AwayTeam]], $A59, Table1[[HomeTeam]:[HomeTeam]], AG$36, Table1[[ActualResult]:[ActualResult]], "SO") + SUMIFS(Table1[[AwayWon]:[AwayWon]], Table1[[GameIsOver]:[GameIsOver]], 1, Table1[[HomeTeam]:[HomeTeam]], $A59, Table1[[AwayTeam]:[AwayTeam]], AG$36, Table1[[ActualResult]:[ActualResult]], "SO")))/ (2*((COUNTIFS(Table1[[GameIsOver]:[GameIsOver]],1,Table1[[AwayTeam]:[AwayTeam]],$A59, Table1[[HomeTeam]:[HomeTeam]], AG$36)))+( COUNTIFS(Table1[[GameIsOver]:[GameIsOver]],1,Table1[[AwayTeam]:[AwayTeam]],AG$36, Table1[[HomeTeam]:[HomeTeam]],$A59))), "")</f>
        <v/>
      </c>
      <c r="AH59" s="51">
        <f t="shared" si="0"/>
        <v>0.5</v>
      </c>
      <c r="AI59" s="51" t="e">
        <f t="shared" si="1"/>
        <v>#DIV/0!</v>
      </c>
      <c r="AJ59" s="52">
        <f t="shared" si="2"/>
        <v>0.5</v>
      </c>
      <c r="AK59" s="52" t="e">
        <f t="shared" si="3"/>
        <v>#DIV/0!</v>
      </c>
      <c r="AL59" s="52" t="e">
        <f t="shared" si="4"/>
        <v>#DIV/0!</v>
      </c>
      <c r="AM59" s="52" t="e">
        <f t="shared" si="5"/>
        <v>#DIV/0!</v>
      </c>
    </row>
    <row r="60" spans="1:39" ht="15.75" thickBot="1" x14ac:dyDescent="0.3">
      <c r="A60" s="29" t="s">
        <v>59</v>
      </c>
      <c r="B60" s="53" t="str">
        <f>IFERROR(((2 * (SUMIFS(Table1[[AwayWon]:[AwayWon]], Table1[[GameIsOver]:[GameIsOver]], 1, Table1[[AwayTeam]:[AwayTeam]], $A60, Table1[[HomeTeam]:[HomeTeam]], B$36) + SUMIFS(Table1[[HomeWon]:[HomeWon]], Table1[[GameIsOver]:[GameIsOver]], 1, Table1[[HomeTeam]:[HomeTeam]], $A60, Table1[[AwayTeam]:[AwayTeam]], B$36))) + (SUMIFS(Table1[[HomeWon]:[HomeWon]], Table1[[GameIsOver]:[GameIsOver]], 1, Table1[[AwayTeam]:[AwayTeam]], $A60, Table1[[HomeTeam]:[HomeTeam]],  B$36, Table1[[ActualResult]:[ActualResult]], "OT") + SUMIFS(Table1[[AwayWon]:[AwayWon]], Table1[[GameIsOver]:[GameIsOver]], 1, Table1[[HomeTeam]:[HomeTeam]], $A60, Table1[[AwayTeam]:[AwayTeam]], B$36, Table1[[ActualResult]:[ActualResult]], "OT") + SUMIFS(Table1[[HomeWon]:[HomeWon]], Table1[[GameIsOver]:[GameIsOver]], 1, Table1[[AwayTeam]:[AwayTeam]], $A60, Table1[[HomeTeam]:[HomeTeam]], B$36, Table1[[ActualResult]:[ActualResult]], "SO") + SUMIFS(Table1[[AwayWon]:[AwayWon]], Table1[[GameIsOver]:[GameIsOver]], 1, Table1[[HomeTeam]:[HomeTeam]], $A60, Table1[[AwayTeam]:[AwayTeam]], B$36, Table1[[ActualResult]:[ActualResult]], "SO")))/ (2*((COUNTIFS(Table1[[GameIsOver]:[GameIsOver]],1,Table1[[AwayTeam]:[AwayTeam]],$A60, Table1[[HomeTeam]:[HomeTeam]], B$36)))+( COUNTIFS(Table1[[GameIsOver]:[GameIsOver]],1,Table1[[AwayTeam]:[AwayTeam]],B$36, Table1[[HomeTeam]:[HomeTeam]],$A60))), "")</f>
        <v/>
      </c>
      <c r="C60" s="54" t="str">
        <f>IFERROR(((2 * (SUMIFS(Table1[[AwayWon]:[AwayWon]], Table1[[GameIsOver]:[GameIsOver]], 1, Table1[[AwayTeam]:[AwayTeam]], $A60, Table1[[HomeTeam]:[HomeTeam]], C$36) + SUMIFS(Table1[[HomeWon]:[HomeWon]], Table1[[GameIsOver]:[GameIsOver]], 1, Table1[[HomeTeam]:[HomeTeam]], $A60, Table1[[AwayTeam]:[AwayTeam]], C$36))) + (SUMIFS(Table1[[HomeWon]:[HomeWon]], Table1[[GameIsOver]:[GameIsOver]], 1, Table1[[AwayTeam]:[AwayTeam]], $A60, Table1[[HomeTeam]:[HomeTeam]],  C$36, Table1[[ActualResult]:[ActualResult]], "OT") + SUMIFS(Table1[[AwayWon]:[AwayWon]], Table1[[GameIsOver]:[GameIsOver]], 1, Table1[[HomeTeam]:[HomeTeam]], $A60, Table1[[AwayTeam]:[AwayTeam]], C$36, Table1[[ActualResult]:[ActualResult]], "OT") + SUMIFS(Table1[[HomeWon]:[HomeWon]], Table1[[GameIsOver]:[GameIsOver]], 1, Table1[[AwayTeam]:[AwayTeam]], $A60, Table1[[HomeTeam]:[HomeTeam]], C$36, Table1[[ActualResult]:[ActualResult]], "SO") + SUMIFS(Table1[[AwayWon]:[AwayWon]], Table1[[GameIsOver]:[GameIsOver]], 1, Table1[[HomeTeam]:[HomeTeam]], $A60, Table1[[AwayTeam]:[AwayTeam]], C$36, Table1[[ActualResult]:[ActualResult]], "SO")))/ (2*((COUNTIFS(Table1[[GameIsOver]:[GameIsOver]],1,Table1[[AwayTeam]:[AwayTeam]],$A60, Table1[[HomeTeam]:[HomeTeam]], C$36)))+( COUNTIFS(Table1[[GameIsOver]:[GameIsOver]],1,Table1[[AwayTeam]:[AwayTeam]],C$36, Table1[[HomeTeam]:[HomeTeam]],$A60))), "")</f>
        <v/>
      </c>
      <c r="D60" s="54" t="str">
        <f>IFERROR(((2 * (SUMIFS(Table1[[AwayWon]:[AwayWon]], Table1[[GameIsOver]:[GameIsOver]], 1, Table1[[AwayTeam]:[AwayTeam]], $A60, Table1[[HomeTeam]:[HomeTeam]], D$36) + SUMIFS(Table1[[HomeWon]:[HomeWon]], Table1[[GameIsOver]:[GameIsOver]], 1, Table1[[HomeTeam]:[HomeTeam]], $A60, Table1[[AwayTeam]:[AwayTeam]], D$36))) + (SUMIFS(Table1[[HomeWon]:[HomeWon]], Table1[[GameIsOver]:[GameIsOver]], 1, Table1[[AwayTeam]:[AwayTeam]], $A60, Table1[[HomeTeam]:[HomeTeam]],  D$36, Table1[[ActualResult]:[ActualResult]], "OT") + SUMIFS(Table1[[AwayWon]:[AwayWon]], Table1[[GameIsOver]:[GameIsOver]], 1, Table1[[HomeTeam]:[HomeTeam]], $A60, Table1[[AwayTeam]:[AwayTeam]], D$36, Table1[[ActualResult]:[ActualResult]], "OT") + SUMIFS(Table1[[HomeWon]:[HomeWon]], Table1[[GameIsOver]:[GameIsOver]], 1, Table1[[AwayTeam]:[AwayTeam]], $A60, Table1[[HomeTeam]:[HomeTeam]], D$36, Table1[[ActualResult]:[ActualResult]], "SO") + SUMIFS(Table1[[AwayWon]:[AwayWon]], Table1[[GameIsOver]:[GameIsOver]], 1, Table1[[HomeTeam]:[HomeTeam]], $A60, Table1[[AwayTeam]:[AwayTeam]], D$36, Table1[[ActualResult]:[ActualResult]], "SO")))/ (2*((COUNTIFS(Table1[[GameIsOver]:[GameIsOver]],1,Table1[[AwayTeam]:[AwayTeam]],$A60, Table1[[HomeTeam]:[HomeTeam]], D$36)))+( COUNTIFS(Table1[[GameIsOver]:[GameIsOver]],1,Table1[[AwayTeam]:[AwayTeam]],D$36, Table1[[HomeTeam]:[HomeTeam]],$A60))), "")</f>
        <v/>
      </c>
      <c r="E60" s="54" t="str">
        <f>IFERROR(((2 * (SUMIFS(Table1[[AwayWon]:[AwayWon]], Table1[[GameIsOver]:[GameIsOver]], 1, Table1[[AwayTeam]:[AwayTeam]], $A60, Table1[[HomeTeam]:[HomeTeam]], E$36) + SUMIFS(Table1[[HomeWon]:[HomeWon]], Table1[[GameIsOver]:[GameIsOver]], 1, Table1[[HomeTeam]:[HomeTeam]], $A60, Table1[[AwayTeam]:[AwayTeam]], E$36))) + (SUMIFS(Table1[[HomeWon]:[HomeWon]], Table1[[GameIsOver]:[GameIsOver]], 1, Table1[[AwayTeam]:[AwayTeam]], $A60, Table1[[HomeTeam]:[HomeTeam]],  E$36, Table1[[ActualResult]:[ActualResult]], "OT") + SUMIFS(Table1[[AwayWon]:[AwayWon]], Table1[[GameIsOver]:[GameIsOver]], 1, Table1[[HomeTeam]:[HomeTeam]], $A60, Table1[[AwayTeam]:[AwayTeam]], E$36, Table1[[ActualResult]:[ActualResult]], "OT") + SUMIFS(Table1[[HomeWon]:[HomeWon]], Table1[[GameIsOver]:[GameIsOver]], 1, Table1[[AwayTeam]:[AwayTeam]], $A60, Table1[[HomeTeam]:[HomeTeam]], E$36, Table1[[ActualResult]:[ActualResult]], "SO") + SUMIFS(Table1[[AwayWon]:[AwayWon]], Table1[[GameIsOver]:[GameIsOver]], 1, Table1[[HomeTeam]:[HomeTeam]], $A60, Table1[[AwayTeam]:[AwayTeam]], E$36, Table1[[ActualResult]:[ActualResult]], "SO")))/ (2*((COUNTIFS(Table1[[GameIsOver]:[GameIsOver]],1,Table1[[AwayTeam]:[AwayTeam]],$A60, Table1[[HomeTeam]:[HomeTeam]], E$36)))+( COUNTIFS(Table1[[GameIsOver]:[GameIsOver]],1,Table1[[AwayTeam]:[AwayTeam]],E$36, Table1[[HomeTeam]:[HomeTeam]],$A60))), "")</f>
        <v/>
      </c>
      <c r="F60" s="54" t="str">
        <f>IFERROR(((2 * (SUMIFS(Table1[[AwayWon]:[AwayWon]], Table1[[GameIsOver]:[GameIsOver]], 1, Table1[[AwayTeam]:[AwayTeam]], $A60, Table1[[HomeTeam]:[HomeTeam]], F$36) + SUMIFS(Table1[[HomeWon]:[HomeWon]], Table1[[GameIsOver]:[GameIsOver]], 1, Table1[[HomeTeam]:[HomeTeam]], $A60, Table1[[AwayTeam]:[AwayTeam]], F$36))) + (SUMIFS(Table1[[HomeWon]:[HomeWon]], Table1[[GameIsOver]:[GameIsOver]], 1, Table1[[AwayTeam]:[AwayTeam]], $A60, Table1[[HomeTeam]:[HomeTeam]],  F$36, Table1[[ActualResult]:[ActualResult]], "OT") + SUMIFS(Table1[[AwayWon]:[AwayWon]], Table1[[GameIsOver]:[GameIsOver]], 1, Table1[[HomeTeam]:[HomeTeam]], $A60, Table1[[AwayTeam]:[AwayTeam]], F$36, Table1[[ActualResult]:[ActualResult]], "OT") + SUMIFS(Table1[[HomeWon]:[HomeWon]], Table1[[GameIsOver]:[GameIsOver]], 1, Table1[[AwayTeam]:[AwayTeam]], $A60, Table1[[HomeTeam]:[HomeTeam]], F$36, Table1[[ActualResult]:[ActualResult]], "SO") + SUMIFS(Table1[[AwayWon]:[AwayWon]], Table1[[GameIsOver]:[GameIsOver]], 1, Table1[[HomeTeam]:[HomeTeam]], $A60, Table1[[AwayTeam]:[AwayTeam]], F$36, Table1[[ActualResult]:[ActualResult]], "SO")))/ (2*((COUNTIFS(Table1[[GameIsOver]:[GameIsOver]],1,Table1[[AwayTeam]:[AwayTeam]],$A60, Table1[[HomeTeam]:[HomeTeam]], F$36)))+( COUNTIFS(Table1[[GameIsOver]:[GameIsOver]],1,Table1[[AwayTeam]:[AwayTeam]],F$36, Table1[[HomeTeam]:[HomeTeam]],$A60))), "")</f>
        <v/>
      </c>
      <c r="G60" s="54" t="str">
        <f>IFERROR(((2 * (SUMIFS(Table1[[AwayWon]:[AwayWon]], Table1[[GameIsOver]:[GameIsOver]], 1, Table1[[AwayTeam]:[AwayTeam]], $A60, Table1[[HomeTeam]:[HomeTeam]], G$36) + SUMIFS(Table1[[HomeWon]:[HomeWon]], Table1[[GameIsOver]:[GameIsOver]], 1, Table1[[HomeTeam]:[HomeTeam]], $A60, Table1[[AwayTeam]:[AwayTeam]], G$36))) + (SUMIFS(Table1[[HomeWon]:[HomeWon]], Table1[[GameIsOver]:[GameIsOver]], 1, Table1[[AwayTeam]:[AwayTeam]], $A60, Table1[[HomeTeam]:[HomeTeam]],  G$36, Table1[[ActualResult]:[ActualResult]], "OT") + SUMIFS(Table1[[AwayWon]:[AwayWon]], Table1[[GameIsOver]:[GameIsOver]], 1, Table1[[HomeTeam]:[HomeTeam]], $A60, Table1[[AwayTeam]:[AwayTeam]], G$36, Table1[[ActualResult]:[ActualResult]], "OT") + SUMIFS(Table1[[HomeWon]:[HomeWon]], Table1[[GameIsOver]:[GameIsOver]], 1, Table1[[AwayTeam]:[AwayTeam]], $A60, Table1[[HomeTeam]:[HomeTeam]], G$36, Table1[[ActualResult]:[ActualResult]], "SO") + SUMIFS(Table1[[AwayWon]:[AwayWon]], Table1[[GameIsOver]:[GameIsOver]], 1, Table1[[HomeTeam]:[HomeTeam]], $A60, Table1[[AwayTeam]:[AwayTeam]], G$36, Table1[[ActualResult]:[ActualResult]], "SO")))/ (2*((COUNTIFS(Table1[[GameIsOver]:[GameIsOver]],1,Table1[[AwayTeam]:[AwayTeam]],$A60, Table1[[HomeTeam]:[HomeTeam]], G$36)))+( COUNTIFS(Table1[[GameIsOver]:[GameIsOver]],1,Table1[[AwayTeam]:[AwayTeam]],G$36, Table1[[HomeTeam]:[HomeTeam]],$A60))), "")</f>
        <v/>
      </c>
      <c r="H60" s="54" t="str">
        <f>IFERROR(((2 * (SUMIFS(Table1[[AwayWon]:[AwayWon]], Table1[[GameIsOver]:[GameIsOver]], 1, Table1[[AwayTeam]:[AwayTeam]], $A60, Table1[[HomeTeam]:[HomeTeam]], H$36) + SUMIFS(Table1[[HomeWon]:[HomeWon]], Table1[[GameIsOver]:[GameIsOver]], 1, Table1[[HomeTeam]:[HomeTeam]], $A60, Table1[[AwayTeam]:[AwayTeam]], H$36))) + (SUMIFS(Table1[[HomeWon]:[HomeWon]], Table1[[GameIsOver]:[GameIsOver]], 1, Table1[[AwayTeam]:[AwayTeam]], $A60, Table1[[HomeTeam]:[HomeTeam]],  H$36, Table1[[ActualResult]:[ActualResult]], "OT") + SUMIFS(Table1[[AwayWon]:[AwayWon]], Table1[[GameIsOver]:[GameIsOver]], 1, Table1[[HomeTeam]:[HomeTeam]], $A60, Table1[[AwayTeam]:[AwayTeam]], H$36, Table1[[ActualResult]:[ActualResult]], "OT") + SUMIFS(Table1[[HomeWon]:[HomeWon]], Table1[[GameIsOver]:[GameIsOver]], 1, Table1[[AwayTeam]:[AwayTeam]], $A60, Table1[[HomeTeam]:[HomeTeam]], H$36, Table1[[ActualResult]:[ActualResult]], "SO") + SUMIFS(Table1[[AwayWon]:[AwayWon]], Table1[[GameIsOver]:[GameIsOver]], 1, Table1[[HomeTeam]:[HomeTeam]], $A60, Table1[[AwayTeam]:[AwayTeam]], H$36, Table1[[ActualResult]:[ActualResult]], "SO")))/ (2*((COUNTIFS(Table1[[GameIsOver]:[GameIsOver]],1,Table1[[AwayTeam]:[AwayTeam]],$A60, Table1[[HomeTeam]:[HomeTeam]], H$36)))+( COUNTIFS(Table1[[GameIsOver]:[GameIsOver]],1,Table1[[AwayTeam]:[AwayTeam]],H$36, Table1[[HomeTeam]:[HomeTeam]],$A60))), "")</f>
        <v/>
      </c>
      <c r="I60" s="56" t="str">
        <f>IFERROR(((2 * (SUMIFS(Table1[[AwayWon]:[AwayWon]], Table1[[GameIsOver]:[GameIsOver]], 1, Table1[[AwayTeam]:[AwayTeam]], $A60, Table1[[HomeTeam]:[HomeTeam]], I$36) + SUMIFS(Table1[[HomeWon]:[HomeWon]], Table1[[GameIsOver]:[GameIsOver]], 1, Table1[[HomeTeam]:[HomeTeam]], $A60, Table1[[AwayTeam]:[AwayTeam]], I$36))) + (SUMIFS(Table1[[HomeWon]:[HomeWon]], Table1[[GameIsOver]:[GameIsOver]], 1, Table1[[AwayTeam]:[AwayTeam]], $A60, Table1[[HomeTeam]:[HomeTeam]],  I$36, Table1[[ActualResult]:[ActualResult]], "OT") + SUMIFS(Table1[[AwayWon]:[AwayWon]], Table1[[GameIsOver]:[GameIsOver]], 1, Table1[[HomeTeam]:[HomeTeam]], $A60, Table1[[AwayTeam]:[AwayTeam]], I$36, Table1[[ActualResult]:[ActualResult]], "OT") + SUMIFS(Table1[[HomeWon]:[HomeWon]], Table1[[GameIsOver]:[GameIsOver]], 1, Table1[[AwayTeam]:[AwayTeam]], $A60, Table1[[HomeTeam]:[HomeTeam]], I$36, Table1[[ActualResult]:[ActualResult]], "SO") + SUMIFS(Table1[[AwayWon]:[AwayWon]], Table1[[GameIsOver]:[GameIsOver]], 1, Table1[[HomeTeam]:[HomeTeam]], $A60, Table1[[AwayTeam]:[AwayTeam]], I$36, Table1[[ActualResult]:[ActualResult]], "SO")))/ (2*((COUNTIFS(Table1[[GameIsOver]:[GameIsOver]],1,Table1[[AwayTeam]:[AwayTeam]],$A60, Table1[[HomeTeam]:[HomeTeam]], I$36)))+( COUNTIFS(Table1[[GameIsOver]:[GameIsOver]],1,Table1[[AwayTeam]:[AwayTeam]],I$36, Table1[[HomeTeam]:[HomeTeam]],$A60))), "")</f>
        <v/>
      </c>
      <c r="J60" s="54" t="str">
        <f>IFERROR(((2 * (SUMIFS(Table1[[AwayWon]:[AwayWon]], Table1[[GameIsOver]:[GameIsOver]], 1, Table1[[AwayTeam]:[AwayTeam]], $A60, Table1[[HomeTeam]:[HomeTeam]], J$36) + SUMIFS(Table1[[HomeWon]:[HomeWon]], Table1[[GameIsOver]:[GameIsOver]], 1, Table1[[HomeTeam]:[HomeTeam]], $A60, Table1[[AwayTeam]:[AwayTeam]], J$36))) + (SUMIFS(Table1[[HomeWon]:[HomeWon]], Table1[[GameIsOver]:[GameIsOver]], 1, Table1[[AwayTeam]:[AwayTeam]], $A60, Table1[[HomeTeam]:[HomeTeam]],  J$36, Table1[[ActualResult]:[ActualResult]], "OT") + SUMIFS(Table1[[AwayWon]:[AwayWon]], Table1[[GameIsOver]:[GameIsOver]], 1, Table1[[HomeTeam]:[HomeTeam]], $A60, Table1[[AwayTeam]:[AwayTeam]], J$36, Table1[[ActualResult]:[ActualResult]], "OT") + SUMIFS(Table1[[HomeWon]:[HomeWon]], Table1[[GameIsOver]:[GameIsOver]], 1, Table1[[AwayTeam]:[AwayTeam]], $A60, Table1[[HomeTeam]:[HomeTeam]], J$36, Table1[[ActualResult]:[ActualResult]], "SO") + SUMIFS(Table1[[AwayWon]:[AwayWon]], Table1[[GameIsOver]:[GameIsOver]], 1, Table1[[HomeTeam]:[HomeTeam]], $A60, Table1[[AwayTeam]:[AwayTeam]], J$36, Table1[[ActualResult]:[ActualResult]], "SO")))/ (2*((COUNTIFS(Table1[[GameIsOver]:[GameIsOver]],1,Table1[[AwayTeam]:[AwayTeam]],$A60, Table1[[HomeTeam]:[HomeTeam]], J$36)))+( COUNTIFS(Table1[[GameIsOver]:[GameIsOver]],1,Table1[[AwayTeam]:[AwayTeam]],J$36, Table1[[HomeTeam]:[HomeTeam]],$A60))), "")</f>
        <v/>
      </c>
      <c r="K60" s="54">
        <f>IFERROR(((2 * (SUMIFS(Table1[[AwayWon]:[AwayWon]], Table1[[GameIsOver]:[GameIsOver]], 1, Table1[[AwayTeam]:[AwayTeam]], $A60, Table1[[HomeTeam]:[HomeTeam]], K$36) + SUMIFS(Table1[[HomeWon]:[HomeWon]], Table1[[GameIsOver]:[GameIsOver]], 1, Table1[[HomeTeam]:[HomeTeam]], $A60, Table1[[AwayTeam]:[AwayTeam]], K$36))) + (SUMIFS(Table1[[HomeWon]:[HomeWon]], Table1[[GameIsOver]:[GameIsOver]], 1, Table1[[AwayTeam]:[AwayTeam]], $A60, Table1[[HomeTeam]:[HomeTeam]],  K$36, Table1[[ActualResult]:[ActualResult]], "OT") + SUMIFS(Table1[[AwayWon]:[AwayWon]], Table1[[GameIsOver]:[GameIsOver]], 1, Table1[[HomeTeam]:[HomeTeam]], $A60, Table1[[AwayTeam]:[AwayTeam]], K$36, Table1[[ActualResult]:[ActualResult]], "OT") + SUMIFS(Table1[[HomeWon]:[HomeWon]], Table1[[GameIsOver]:[GameIsOver]], 1, Table1[[AwayTeam]:[AwayTeam]], $A60, Table1[[HomeTeam]:[HomeTeam]], K$36, Table1[[ActualResult]:[ActualResult]], "SO") + SUMIFS(Table1[[AwayWon]:[AwayWon]], Table1[[GameIsOver]:[GameIsOver]], 1, Table1[[HomeTeam]:[HomeTeam]], $A60, Table1[[AwayTeam]:[AwayTeam]], K$36, Table1[[ActualResult]:[ActualResult]], "SO")))/ (2*((COUNTIFS(Table1[[GameIsOver]:[GameIsOver]],1,Table1[[AwayTeam]:[AwayTeam]],$A60, Table1[[HomeTeam]:[HomeTeam]], K$36)))+( COUNTIFS(Table1[[GameIsOver]:[GameIsOver]],1,Table1[[AwayTeam]:[AwayTeam]],K$36, Table1[[HomeTeam]:[HomeTeam]],$A60))), "")</f>
        <v>1</v>
      </c>
      <c r="L60" s="54" t="str">
        <f>IFERROR(((2 * (SUMIFS(Table1[[AwayWon]:[AwayWon]], Table1[[GameIsOver]:[GameIsOver]], 1, Table1[[AwayTeam]:[AwayTeam]], $A60, Table1[[HomeTeam]:[HomeTeam]], L$36) + SUMIFS(Table1[[HomeWon]:[HomeWon]], Table1[[GameIsOver]:[GameIsOver]], 1, Table1[[HomeTeam]:[HomeTeam]], $A60, Table1[[AwayTeam]:[AwayTeam]], L$36))) + (SUMIFS(Table1[[HomeWon]:[HomeWon]], Table1[[GameIsOver]:[GameIsOver]], 1, Table1[[AwayTeam]:[AwayTeam]], $A60, Table1[[HomeTeam]:[HomeTeam]],  L$36, Table1[[ActualResult]:[ActualResult]], "OT") + SUMIFS(Table1[[AwayWon]:[AwayWon]], Table1[[GameIsOver]:[GameIsOver]], 1, Table1[[HomeTeam]:[HomeTeam]], $A60, Table1[[AwayTeam]:[AwayTeam]], L$36, Table1[[ActualResult]:[ActualResult]], "OT") + SUMIFS(Table1[[HomeWon]:[HomeWon]], Table1[[GameIsOver]:[GameIsOver]], 1, Table1[[AwayTeam]:[AwayTeam]], $A60, Table1[[HomeTeam]:[HomeTeam]], L$36, Table1[[ActualResult]:[ActualResult]], "SO") + SUMIFS(Table1[[AwayWon]:[AwayWon]], Table1[[GameIsOver]:[GameIsOver]], 1, Table1[[HomeTeam]:[HomeTeam]], $A60, Table1[[AwayTeam]:[AwayTeam]], L$36, Table1[[ActualResult]:[ActualResult]], "SO")))/ (2*((COUNTIFS(Table1[[GameIsOver]:[GameIsOver]],1,Table1[[AwayTeam]:[AwayTeam]],$A60, Table1[[HomeTeam]:[HomeTeam]], L$36)))+( COUNTIFS(Table1[[GameIsOver]:[GameIsOver]],1,Table1[[AwayTeam]:[AwayTeam]],L$36, Table1[[HomeTeam]:[HomeTeam]],$A60))), "")</f>
        <v/>
      </c>
      <c r="M60" s="54" t="str">
        <f>IFERROR(((2 * (SUMIFS(Table1[[AwayWon]:[AwayWon]], Table1[[GameIsOver]:[GameIsOver]], 1, Table1[[AwayTeam]:[AwayTeam]], $A60, Table1[[HomeTeam]:[HomeTeam]], M$36) + SUMIFS(Table1[[HomeWon]:[HomeWon]], Table1[[GameIsOver]:[GameIsOver]], 1, Table1[[HomeTeam]:[HomeTeam]], $A60, Table1[[AwayTeam]:[AwayTeam]], M$36))) + (SUMIFS(Table1[[HomeWon]:[HomeWon]], Table1[[GameIsOver]:[GameIsOver]], 1, Table1[[AwayTeam]:[AwayTeam]], $A60, Table1[[HomeTeam]:[HomeTeam]],  M$36, Table1[[ActualResult]:[ActualResult]], "OT") + SUMIFS(Table1[[AwayWon]:[AwayWon]], Table1[[GameIsOver]:[GameIsOver]], 1, Table1[[HomeTeam]:[HomeTeam]], $A60, Table1[[AwayTeam]:[AwayTeam]], M$36, Table1[[ActualResult]:[ActualResult]], "OT") + SUMIFS(Table1[[HomeWon]:[HomeWon]], Table1[[GameIsOver]:[GameIsOver]], 1, Table1[[AwayTeam]:[AwayTeam]], $A60, Table1[[HomeTeam]:[HomeTeam]], M$36, Table1[[ActualResult]:[ActualResult]], "SO") + SUMIFS(Table1[[AwayWon]:[AwayWon]], Table1[[GameIsOver]:[GameIsOver]], 1, Table1[[HomeTeam]:[HomeTeam]], $A60, Table1[[AwayTeam]:[AwayTeam]], M$36, Table1[[ActualResult]:[ActualResult]], "SO")))/ (2*((COUNTIFS(Table1[[GameIsOver]:[GameIsOver]],1,Table1[[AwayTeam]:[AwayTeam]],$A60, Table1[[HomeTeam]:[HomeTeam]], M$36)))+( COUNTIFS(Table1[[GameIsOver]:[GameIsOver]],1,Table1[[AwayTeam]:[AwayTeam]],M$36, Table1[[HomeTeam]:[HomeTeam]],$A60))), "")</f>
        <v/>
      </c>
      <c r="N60" s="54" t="str">
        <f>IFERROR(((2 * (SUMIFS(Table1[[AwayWon]:[AwayWon]], Table1[[GameIsOver]:[GameIsOver]], 1, Table1[[AwayTeam]:[AwayTeam]], $A60, Table1[[HomeTeam]:[HomeTeam]], N$36) + SUMIFS(Table1[[HomeWon]:[HomeWon]], Table1[[GameIsOver]:[GameIsOver]], 1, Table1[[HomeTeam]:[HomeTeam]], $A60, Table1[[AwayTeam]:[AwayTeam]], N$36))) + (SUMIFS(Table1[[HomeWon]:[HomeWon]], Table1[[GameIsOver]:[GameIsOver]], 1, Table1[[AwayTeam]:[AwayTeam]], $A60, Table1[[HomeTeam]:[HomeTeam]],  N$36, Table1[[ActualResult]:[ActualResult]], "OT") + SUMIFS(Table1[[AwayWon]:[AwayWon]], Table1[[GameIsOver]:[GameIsOver]], 1, Table1[[HomeTeam]:[HomeTeam]], $A60, Table1[[AwayTeam]:[AwayTeam]], N$36, Table1[[ActualResult]:[ActualResult]], "OT") + SUMIFS(Table1[[HomeWon]:[HomeWon]], Table1[[GameIsOver]:[GameIsOver]], 1, Table1[[AwayTeam]:[AwayTeam]], $A60, Table1[[HomeTeam]:[HomeTeam]], N$36, Table1[[ActualResult]:[ActualResult]], "SO") + SUMIFS(Table1[[AwayWon]:[AwayWon]], Table1[[GameIsOver]:[GameIsOver]], 1, Table1[[HomeTeam]:[HomeTeam]], $A60, Table1[[AwayTeam]:[AwayTeam]], N$36, Table1[[ActualResult]:[ActualResult]], "SO")))/ (2*((COUNTIFS(Table1[[GameIsOver]:[GameIsOver]],1,Table1[[AwayTeam]:[AwayTeam]],$A60, Table1[[HomeTeam]:[HomeTeam]], N$36)))+( COUNTIFS(Table1[[GameIsOver]:[GameIsOver]],1,Table1[[AwayTeam]:[AwayTeam]],N$36, Table1[[HomeTeam]:[HomeTeam]],$A60))), "")</f>
        <v/>
      </c>
      <c r="O60" s="54" t="str">
        <f>IFERROR(((2 * (SUMIFS(Table1[[AwayWon]:[AwayWon]], Table1[[GameIsOver]:[GameIsOver]], 1, Table1[[AwayTeam]:[AwayTeam]], $A60, Table1[[HomeTeam]:[HomeTeam]], O$36) + SUMIFS(Table1[[HomeWon]:[HomeWon]], Table1[[GameIsOver]:[GameIsOver]], 1, Table1[[HomeTeam]:[HomeTeam]], $A60, Table1[[AwayTeam]:[AwayTeam]], O$36))) + (SUMIFS(Table1[[HomeWon]:[HomeWon]], Table1[[GameIsOver]:[GameIsOver]], 1, Table1[[AwayTeam]:[AwayTeam]], $A60, Table1[[HomeTeam]:[HomeTeam]],  O$36, Table1[[ActualResult]:[ActualResult]], "OT") + SUMIFS(Table1[[AwayWon]:[AwayWon]], Table1[[GameIsOver]:[GameIsOver]], 1, Table1[[HomeTeam]:[HomeTeam]], $A60, Table1[[AwayTeam]:[AwayTeam]], O$36, Table1[[ActualResult]:[ActualResult]], "OT") + SUMIFS(Table1[[HomeWon]:[HomeWon]], Table1[[GameIsOver]:[GameIsOver]], 1, Table1[[AwayTeam]:[AwayTeam]], $A60, Table1[[HomeTeam]:[HomeTeam]], O$36, Table1[[ActualResult]:[ActualResult]], "SO") + SUMIFS(Table1[[AwayWon]:[AwayWon]], Table1[[GameIsOver]:[GameIsOver]], 1, Table1[[HomeTeam]:[HomeTeam]], $A60, Table1[[AwayTeam]:[AwayTeam]], O$36, Table1[[ActualResult]:[ActualResult]], "SO")))/ (2*((COUNTIFS(Table1[[GameIsOver]:[GameIsOver]],1,Table1[[AwayTeam]:[AwayTeam]],$A60, Table1[[HomeTeam]:[HomeTeam]], O$36)))+( COUNTIFS(Table1[[GameIsOver]:[GameIsOver]],1,Table1[[AwayTeam]:[AwayTeam]],O$36, Table1[[HomeTeam]:[HomeTeam]],$A60))), "")</f>
        <v/>
      </c>
      <c r="P60" s="54" t="str">
        <f>IFERROR(((2 * (SUMIFS(Table1[[AwayWon]:[AwayWon]], Table1[[GameIsOver]:[GameIsOver]], 1, Table1[[AwayTeam]:[AwayTeam]], $A60, Table1[[HomeTeam]:[HomeTeam]], P$36) + SUMIFS(Table1[[HomeWon]:[HomeWon]], Table1[[GameIsOver]:[GameIsOver]], 1, Table1[[HomeTeam]:[HomeTeam]], $A60, Table1[[AwayTeam]:[AwayTeam]], P$36))) + (SUMIFS(Table1[[HomeWon]:[HomeWon]], Table1[[GameIsOver]:[GameIsOver]], 1, Table1[[AwayTeam]:[AwayTeam]], $A60, Table1[[HomeTeam]:[HomeTeam]],  P$36, Table1[[ActualResult]:[ActualResult]], "OT") + SUMIFS(Table1[[AwayWon]:[AwayWon]], Table1[[GameIsOver]:[GameIsOver]], 1, Table1[[HomeTeam]:[HomeTeam]], $A60, Table1[[AwayTeam]:[AwayTeam]], P$36, Table1[[ActualResult]:[ActualResult]], "OT") + SUMIFS(Table1[[HomeWon]:[HomeWon]], Table1[[GameIsOver]:[GameIsOver]], 1, Table1[[AwayTeam]:[AwayTeam]], $A60, Table1[[HomeTeam]:[HomeTeam]], P$36, Table1[[ActualResult]:[ActualResult]], "SO") + SUMIFS(Table1[[AwayWon]:[AwayWon]], Table1[[GameIsOver]:[GameIsOver]], 1, Table1[[HomeTeam]:[HomeTeam]], $A60, Table1[[AwayTeam]:[AwayTeam]], P$36, Table1[[ActualResult]:[ActualResult]], "SO")))/ (2*((COUNTIFS(Table1[[GameIsOver]:[GameIsOver]],1,Table1[[AwayTeam]:[AwayTeam]],$A60, Table1[[HomeTeam]:[HomeTeam]], P$36)))+( COUNTIFS(Table1[[GameIsOver]:[GameIsOver]],1,Table1[[AwayTeam]:[AwayTeam]],P$36, Table1[[HomeTeam]:[HomeTeam]],$A60))), "")</f>
        <v/>
      </c>
      <c r="Q60" s="56" t="str">
        <f>IFERROR(((2 * (SUMIFS(Table1[[AwayWon]:[AwayWon]], Table1[[GameIsOver]:[GameIsOver]], 1, Table1[[AwayTeam]:[AwayTeam]], $A60, Table1[[HomeTeam]:[HomeTeam]], Q$36) + SUMIFS(Table1[[HomeWon]:[HomeWon]], Table1[[GameIsOver]:[GameIsOver]], 1, Table1[[HomeTeam]:[HomeTeam]], $A60, Table1[[AwayTeam]:[AwayTeam]], Q$36))) + (SUMIFS(Table1[[HomeWon]:[HomeWon]], Table1[[GameIsOver]:[GameIsOver]], 1, Table1[[AwayTeam]:[AwayTeam]], $A60, Table1[[HomeTeam]:[HomeTeam]],  Q$36, Table1[[ActualResult]:[ActualResult]], "OT") + SUMIFS(Table1[[AwayWon]:[AwayWon]], Table1[[GameIsOver]:[GameIsOver]], 1, Table1[[HomeTeam]:[HomeTeam]], $A60, Table1[[AwayTeam]:[AwayTeam]], Q$36, Table1[[ActualResult]:[ActualResult]], "OT") + SUMIFS(Table1[[HomeWon]:[HomeWon]], Table1[[GameIsOver]:[GameIsOver]], 1, Table1[[AwayTeam]:[AwayTeam]], $A60, Table1[[HomeTeam]:[HomeTeam]], Q$36, Table1[[ActualResult]:[ActualResult]], "SO") + SUMIFS(Table1[[AwayWon]:[AwayWon]], Table1[[GameIsOver]:[GameIsOver]], 1, Table1[[HomeTeam]:[HomeTeam]], $A60, Table1[[AwayTeam]:[AwayTeam]], Q$36, Table1[[ActualResult]:[ActualResult]], "SO")))/ (2*((COUNTIFS(Table1[[GameIsOver]:[GameIsOver]],1,Table1[[AwayTeam]:[AwayTeam]],$A60, Table1[[HomeTeam]:[HomeTeam]], Q$36)))+( COUNTIFS(Table1[[GameIsOver]:[GameIsOver]],1,Table1[[AwayTeam]:[AwayTeam]],Q$36, Table1[[HomeTeam]:[HomeTeam]],$A60))), "")</f>
        <v/>
      </c>
      <c r="R60" s="54" t="str">
        <f>IFERROR(((2 * (SUMIFS(Table1[[AwayWon]:[AwayWon]], Table1[[GameIsOver]:[GameIsOver]], 1, Table1[[AwayTeam]:[AwayTeam]], $A60, Table1[[HomeTeam]:[HomeTeam]], R$36) + SUMIFS(Table1[[HomeWon]:[HomeWon]], Table1[[GameIsOver]:[GameIsOver]], 1, Table1[[HomeTeam]:[HomeTeam]], $A60, Table1[[AwayTeam]:[AwayTeam]], R$36))) + (SUMIFS(Table1[[HomeWon]:[HomeWon]], Table1[[GameIsOver]:[GameIsOver]], 1, Table1[[AwayTeam]:[AwayTeam]], $A60, Table1[[HomeTeam]:[HomeTeam]],  R$36, Table1[[ActualResult]:[ActualResult]], "OT") + SUMIFS(Table1[[AwayWon]:[AwayWon]], Table1[[GameIsOver]:[GameIsOver]], 1, Table1[[HomeTeam]:[HomeTeam]], $A60, Table1[[AwayTeam]:[AwayTeam]], R$36, Table1[[ActualResult]:[ActualResult]], "OT") + SUMIFS(Table1[[HomeWon]:[HomeWon]], Table1[[GameIsOver]:[GameIsOver]], 1, Table1[[AwayTeam]:[AwayTeam]], $A60, Table1[[HomeTeam]:[HomeTeam]], R$36, Table1[[ActualResult]:[ActualResult]], "SO") + SUMIFS(Table1[[AwayWon]:[AwayWon]], Table1[[GameIsOver]:[GameIsOver]], 1, Table1[[HomeTeam]:[HomeTeam]], $A60, Table1[[AwayTeam]:[AwayTeam]], R$36, Table1[[ActualResult]:[ActualResult]], "SO")))/ (2*((COUNTIFS(Table1[[GameIsOver]:[GameIsOver]],1,Table1[[AwayTeam]:[AwayTeam]],$A60, Table1[[HomeTeam]:[HomeTeam]], R$36)))+( COUNTIFS(Table1[[GameIsOver]:[GameIsOver]],1,Table1[[AwayTeam]:[AwayTeam]],R$36, Table1[[HomeTeam]:[HomeTeam]],$A60))), "")</f>
        <v/>
      </c>
      <c r="S60" s="54" t="str">
        <f>IFERROR(((2 * (SUMIFS(Table1[[AwayWon]:[AwayWon]], Table1[[GameIsOver]:[GameIsOver]], 1, Table1[[AwayTeam]:[AwayTeam]], $A60, Table1[[HomeTeam]:[HomeTeam]], S$36) + SUMIFS(Table1[[HomeWon]:[HomeWon]], Table1[[GameIsOver]:[GameIsOver]], 1, Table1[[HomeTeam]:[HomeTeam]], $A60, Table1[[AwayTeam]:[AwayTeam]], S$36))) + (SUMIFS(Table1[[HomeWon]:[HomeWon]], Table1[[GameIsOver]:[GameIsOver]], 1, Table1[[AwayTeam]:[AwayTeam]], $A60, Table1[[HomeTeam]:[HomeTeam]],  S$36, Table1[[ActualResult]:[ActualResult]], "OT") + SUMIFS(Table1[[AwayWon]:[AwayWon]], Table1[[GameIsOver]:[GameIsOver]], 1, Table1[[HomeTeam]:[HomeTeam]], $A60, Table1[[AwayTeam]:[AwayTeam]], S$36, Table1[[ActualResult]:[ActualResult]], "OT") + SUMIFS(Table1[[HomeWon]:[HomeWon]], Table1[[GameIsOver]:[GameIsOver]], 1, Table1[[AwayTeam]:[AwayTeam]], $A60, Table1[[HomeTeam]:[HomeTeam]], S$36, Table1[[ActualResult]:[ActualResult]], "SO") + SUMIFS(Table1[[AwayWon]:[AwayWon]], Table1[[GameIsOver]:[GameIsOver]], 1, Table1[[HomeTeam]:[HomeTeam]], $A60, Table1[[AwayTeam]:[AwayTeam]], S$36, Table1[[ActualResult]:[ActualResult]], "SO")))/ (2*((COUNTIFS(Table1[[GameIsOver]:[GameIsOver]],1,Table1[[AwayTeam]:[AwayTeam]],$A60, Table1[[HomeTeam]:[HomeTeam]], S$36)))+( COUNTIFS(Table1[[GameIsOver]:[GameIsOver]],1,Table1[[AwayTeam]:[AwayTeam]],S$36, Table1[[HomeTeam]:[HomeTeam]],$A60))), "")</f>
        <v/>
      </c>
      <c r="T60" s="54" t="str">
        <f>IFERROR(((2 * (SUMIFS(Table1[[AwayWon]:[AwayWon]], Table1[[GameIsOver]:[GameIsOver]], 1, Table1[[AwayTeam]:[AwayTeam]], $A60, Table1[[HomeTeam]:[HomeTeam]], T$36) + SUMIFS(Table1[[HomeWon]:[HomeWon]], Table1[[GameIsOver]:[GameIsOver]], 1, Table1[[HomeTeam]:[HomeTeam]], $A60, Table1[[AwayTeam]:[AwayTeam]], T$36))) + (SUMIFS(Table1[[HomeWon]:[HomeWon]], Table1[[GameIsOver]:[GameIsOver]], 1, Table1[[AwayTeam]:[AwayTeam]], $A60, Table1[[HomeTeam]:[HomeTeam]],  T$36, Table1[[ActualResult]:[ActualResult]], "OT") + SUMIFS(Table1[[AwayWon]:[AwayWon]], Table1[[GameIsOver]:[GameIsOver]], 1, Table1[[HomeTeam]:[HomeTeam]], $A60, Table1[[AwayTeam]:[AwayTeam]], T$36, Table1[[ActualResult]:[ActualResult]], "OT") + SUMIFS(Table1[[HomeWon]:[HomeWon]], Table1[[GameIsOver]:[GameIsOver]], 1, Table1[[AwayTeam]:[AwayTeam]], $A60, Table1[[HomeTeam]:[HomeTeam]], T$36, Table1[[ActualResult]:[ActualResult]], "SO") + SUMIFS(Table1[[AwayWon]:[AwayWon]], Table1[[GameIsOver]:[GameIsOver]], 1, Table1[[HomeTeam]:[HomeTeam]], $A60, Table1[[AwayTeam]:[AwayTeam]], T$36, Table1[[ActualResult]:[ActualResult]], "SO")))/ (2*((COUNTIFS(Table1[[GameIsOver]:[GameIsOver]],1,Table1[[AwayTeam]:[AwayTeam]],$A60, Table1[[HomeTeam]:[HomeTeam]], T$36)))+( COUNTIFS(Table1[[GameIsOver]:[GameIsOver]],1,Table1[[AwayTeam]:[AwayTeam]],T$36, Table1[[HomeTeam]:[HomeTeam]],$A60))), "")</f>
        <v/>
      </c>
      <c r="U60" s="54" t="str">
        <f>IFERROR(((2 * (SUMIFS(Table1[[AwayWon]:[AwayWon]], Table1[[GameIsOver]:[GameIsOver]], 1, Table1[[AwayTeam]:[AwayTeam]], $A60, Table1[[HomeTeam]:[HomeTeam]], U$36) + SUMIFS(Table1[[HomeWon]:[HomeWon]], Table1[[GameIsOver]:[GameIsOver]], 1, Table1[[HomeTeam]:[HomeTeam]], $A60, Table1[[AwayTeam]:[AwayTeam]], U$36))) + (SUMIFS(Table1[[HomeWon]:[HomeWon]], Table1[[GameIsOver]:[GameIsOver]], 1, Table1[[AwayTeam]:[AwayTeam]], $A60, Table1[[HomeTeam]:[HomeTeam]],  U$36, Table1[[ActualResult]:[ActualResult]], "OT") + SUMIFS(Table1[[AwayWon]:[AwayWon]], Table1[[GameIsOver]:[GameIsOver]], 1, Table1[[HomeTeam]:[HomeTeam]], $A60, Table1[[AwayTeam]:[AwayTeam]], U$36, Table1[[ActualResult]:[ActualResult]], "OT") + SUMIFS(Table1[[HomeWon]:[HomeWon]], Table1[[GameIsOver]:[GameIsOver]], 1, Table1[[AwayTeam]:[AwayTeam]], $A60, Table1[[HomeTeam]:[HomeTeam]], U$36, Table1[[ActualResult]:[ActualResult]], "SO") + SUMIFS(Table1[[AwayWon]:[AwayWon]], Table1[[GameIsOver]:[GameIsOver]], 1, Table1[[HomeTeam]:[HomeTeam]], $A60, Table1[[AwayTeam]:[AwayTeam]], U$36, Table1[[ActualResult]:[ActualResult]], "SO")))/ (2*((COUNTIFS(Table1[[GameIsOver]:[GameIsOver]],1,Table1[[AwayTeam]:[AwayTeam]],$A60, Table1[[HomeTeam]:[HomeTeam]], U$36)))+( COUNTIFS(Table1[[GameIsOver]:[GameIsOver]],1,Table1[[AwayTeam]:[AwayTeam]],U$36, Table1[[HomeTeam]:[HomeTeam]],$A60))), "")</f>
        <v/>
      </c>
      <c r="V60" s="54" t="str">
        <f>IFERROR(((2 * (SUMIFS(Table1[[AwayWon]:[AwayWon]], Table1[[GameIsOver]:[GameIsOver]], 1, Table1[[AwayTeam]:[AwayTeam]], $A60, Table1[[HomeTeam]:[HomeTeam]], V$36) + SUMIFS(Table1[[HomeWon]:[HomeWon]], Table1[[GameIsOver]:[GameIsOver]], 1, Table1[[HomeTeam]:[HomeTeam]], $A60, Table1[[AwayTeam]:[AwayTeam]], V$36))) + (SUMIFS(Table1[[HomeWon]:[HomeWon]], Table1[[GameIsOver]:[GameIsOver]], 1, Table1[[AwayTeam]:[AwayTeam]], $A60, Table1[[HomeTeam]:[HomeTeam]],  V$36, Table1[[ActualResult]:[ActualResult]], "OT") + SUMIFS(Table1[[AwayWon]:[AwayWon]], Table1[[GameIsOver]:[GameIsOver]], 1, Table1[[HomeTeam]:[HomeTeam]], $A60, Table1[[AwayTeam]:[AwayTeam]], V$36, Table1[[ActualResult]:[ActualResult]], "OT") + SUMIFS(Table1[[HomeWon]:[HomeWon]], Table1[[GameIsOver]:[GameIsOver]], 1, Table1[[AwayTeam]:[AwayTeam]], $A60, Table1[[HomeTeam]:[HomeTeam]], V$36, Table1[[ActualResult]:[ActualResult]], "SO") + SUMIFS(Table1[[AwayWon]:[AwayWon]], Table1[[GameIsOver]:[GameIsOver]], 1, Table1[[HomeTeam]:[HomeTeam]], $A60, Table1[[AwayTeam]:[AwayTeam]], V$36, Table1[[ActualResult]:[ActualResult]], "SO")))/ (2*((COUNTIFS(Table1[[GameIsOver]:[GameIsOver]],1,Table1[[AwayTeam]:[AwayTeam]],$A60, Table1[[HomeTeam]:[HomeTeam]], V$36)))+( COUNTIFS(Table1[[GameIsOver]:[GameIsOver]],1,Table1[[AwayTeam]:[AwayTeam]],V$36, Table1[[HomeTeam]:[HomeTeam]],$A60))), "")</f>
        <v/>
      </c>
      <c r="W60" s="54" t="str">
        <f>IFERROR(((2 * (SUMIFS(Table1[[AwayWon]:[AwayWon]], Table1[[GameIsOver]:[GameIsOver]], 1, Table1[[AwayTeam]:[AwayTeam]], $A60, Table1[[HomeTeam]:[HomeTeam]], W$36) + SUMIFS(Table1[[HomeWon]:[HomeWon]], Table1[[GameIsOver]:[GameIsOver]], 1, Table1[[HomeTeam]:[HomeTeam]], $A60, Table1[[AwayTeam]:[AwayTeam]], W$36))) + (SUMIFS(Table1[[HomeWon]:[HomeWon]], Table1[[GameIsOver]:[GameIsOver]], 1, Table1[[AwayTeam]:[AwayTeam]], $A60, Table1[[HomeTeam]:[HomeTeam]],  W$36, Table1[[ActualResult]:[ActualResult]], "OT") + SUMIFS(Table1[[AwayWon]:[AwayWon]], Table1[[GameIsOver]:[GameIsOver]], 1, Table1[[HomeTeam]:[HomeTeam]], $A60, Table1[[AwayTeam]:[AwayTeam]], W$36, Table1[[ActualResult]:[ActualResult]], "OT") + SUMIFS(Table1[[HomeWon]:[HomeWon]], Table1[[GameIsOver]:[GameIsOver]], 1, Table1[[AwayTeam]:[AwayTeam]], $A60, Table1[[HomeTeam]:[HomeTeam]], W$36, Table1[[ActualResult]:[ActualResult]], "SO") + SUMIFS(Table1[[AwayWon]:[AwayWon]], Table1[[GameIsOver]:[GameIsOver]], 1, Table1[[HomeTeam]:[HomeTeam]], $A60, Table1[[AwayTeam]:[AwayTeam]], W$36, Table1[[ActualResult]:[ActualResult]], "SO")))/ (2*((COUNTIFS(Table1[[GameIsOver]:[GameIsOver]],1,Table1[[AwayTeam]:[AwayTeam]],$A60, Table1[[HomeTeam]:[HomeTeam]], W$36)))+( COUNTIFS(Table1[[GameIsOver]:[GameIsOver]],1,Table1[[AwayTeam]:[AwayTeam]],W$36, Table1[[HomeTeam]:[HomeTeam]],$A60))), "")</f>
        <v/>
      </c>
      <c r="X60" s="54" t="str">
        <f>IFERROR(((2 * (SUMIFS(Table1[[AwayWon]:[AwayWon]], Table1[[GameIsOver]:[GameIsOver]], 1, Table1[[AwayTeam]:[AwayTeam]], $A60, Table1[[HomeTeam]:[HomeTeam]], X$36) + SUMIFS(Table1[[HomeWon]:[HomeWon]], Table1[[GameIsOver]:[GameIsOver]], 1, Table1[[HomeTeam]:[HomeTeam]], $A60, Table1[[AwayTeam]:[AwayTeam]], X$36))) + (SUMIFS(Table1[[HomeWon]:[HomeWon]], Table1[[GameIsOver]:[GameIsOver]], 1, Table1[[AwayTeam]:[AwayTeam]], $A60, Table1[[HomeTeam]:[HomeTeam]],  X$36, Table1[[ActualResult]:[ActualResult]], "OT") + SUMIFS(Table1[[AwayWon]:[AwayWon]], Table1[[GameIsOver]:[GameIsOver]], 1, Table1[[HomeTeam]:[HomeTeam]], $A60, Table1[[AwayTeam]:[AwayTeam]], X$36, Table1[[ActualResult]:[ActualResult]], "OT") + SUMIFS(Table1[[HomeWon]:[HomeWon]], Table1[[GameIsOver]:[GameIsOver]], 1, Table1[[AwayTeam]:[AwayTeam]], $A60, Table1[[HomeTeam]:[HomeTeam]], X$36, Table1[[ActualResult]:[ActualResult]], "SO") + SUMIFS(Table1[[AwayWon]:[AwayWon]], Table1[[GameIsOver]:[GameIsOver]], 1, Table1[[HomeTeam]:[HomeTeam]], $A60, Table1[[AwayTeam]:[AwayTeam]], X$36, Table1[[ActualResult]:[ActualResult]], "SO")))/ (2*((COUNTIFS(Table1[[GameIsOver]:[GameIsOver]],1,Table1[[AwayTeam]:[AwayTeam]],$A60, Table1[[HomeTeam]:[HomeTeam]], X$36)))+( COUNTIFS(Table1[[GameIsOver]:[GameIsOver]],1,Table1[[AwayTeam]:[AwayTeam]],X$36, Table1[[HomeTeam]:[HomeTeam]],$A60))), "")</f>
        <v/>
      </c>
      <c r="Y60" s="56" t="str">
        <f>IFERROR(((2 * (SUMIFS(Table1[[AwayWon]:[AwayWon]], Table1[[GameIsOver]:[GameIsOver]], 1, Table1[[AwayTeam]:[AwayTeam]], $A60, Table1[[HomeTeam]:[HomeTeam]], Y$36) + SUMIFS(Table1[[HomeWon]:[HomeWon]], Table1[[GameIsOver]:[GameIsOver]], 1, Table1[[HomeTeam]:[HomeTeam]], $A60, Table1[[AwayTeam]:[AwayTeam]], Y$36))) + (SUMIFS(Table1[[HomeWon]:[HomeWon]], Table1[[GameIsOver]:[GameIsOver]], 1, Table1[[AwayTeam]:[AwayTeam]], $A60, Table1[[HomeTeam]:[HomeTeam]],  Y$36, Table1[[ActualResult]:[ActualResult]], "OT") + SUMIFS(Table1[[AwayWon]:[AwayWon]], Table1[[GameIsOver]:[GameIsOver]], 1, Table1[[HomeTeam]:[HomeTeam]], $A60, Table1[[AwayTeam]:[AwayTeam]], Y$36, Table1[[ActualResult]:[ActualResult]], "OT") + SUMIFS(Table1[[HomeWon]:[HomeWon]], Table1[[GameIsOver]:[GameIsOver]], 1, Table1[[AwayTeam]:[AwayTeam]], $A60, Table1[[HomeTeam]:[HomeTeam]], Y$36, Table1[[ActualResult]:[ActualResult]], "SO") + SUMIFS(Table1[[AwayWon]:[AwayWon]], Table1[[GameIsOver]:[GameIsOver]], 1, Table1[[HomeTeam]:[HomeTeam]], $A60, Table1[[AwayTeam]:[AwayTeam]], Y$36, Table1[[ActualResult]:[ActualResult]], "SO")))/ (2*((COUNTIFS(Table1[[GameIsOver]:[GameIsOver]],1,Table1[[AwayTeam]:[AwayTeam]],$A60, Table1[[HomeTeam]:[HomeTeam]], Y$36)))+( COUNTIFS(Table1[[GameIsOver]:[GameIsOver]],1,Table1[[AwayTeam]:[AwayTeam]],Y$36, Table1[[HomeTeam]:[HomeTeam]],$A60))), "")</f>
        <v/>
      </c>
      <c r="Z60" s="54" t="str">
        <f>IFERROR(((2 * (SUMIFS(Table1[[AwayWon]:[AwayWon]], Table1[[GameIsOver]:[GameIsOver]], 1, Table1[[AwayTeam]:[AwayTeam]], $A60, Table1[[HomeTeam]:[HomeTeam]], Z$36) + SUMIFS(Table1[[HomeWon]:[HomeWon]], Table1[[GameIsOver]:[GameIsOver]], 1, Table1[[HomeTeam]:[HomeTeam]], $A60, Table1[[AwayTeam]:[AwayTeam]], Z$36))) + (SUMIFS(Table1[[HomeWon]:[HomeWon]], Table1[[GameIsOver]:[GameIsOver]], 1, Table1[[AwayTeam]:[AwayTeam]], $A60, Table1[[HomeTeam]:[HomeTeam]],  Z$36, Table1[[ActualResult]:[ActualResult]], "OT") + SUMIFS(Table1[[AwayWon]:[AwayWon]], Table1[[GameIsOver]:[GameIsOver]], 1, Table1[[HomeTeam]:[HomeTeam]], $A60, Table1[[AwayTeam]:[AwayTeam]], Z$36, Table1[[ActualResult]:[ActualResult]], "OT") + SUMIFS(Table1[[HomeWon]:[HomeWon]], Table1[[GameIsOver]:[GameIsOver]], 1, Table1[[AwayTeam]:[AwayTeam]], $A60, Table1[[HomeTeam]:[HomeTeam]], Z$36, Table1[[ActualResult]:[ActualResult]], "SO") + SUMIFS(Table1[[AwayWon]:[AwayWon]], Table1[[GameIsOver]:[GameIsOver]], 1, Table1[[HomeTeam]:[HomeTeam]], $A60, Table1[[AwayTeam]:[AwayTeam]], Z$36, Table1[[ActualResult]:[ActualResult]], "SO")))/ (2*((COUNTIFS(Table1[[GameIsOver]:[GameIsOver]],1,Table1[[AwayTeam]:[AwayTeam]],$A60, Table1[[HomeTeam]:[HomeTeam]], Z$36)))+( COUNTIFS(Table1[[GameIsOver]:[GameIsOver]],1,Table1[[AwayTeam]:[AwayTeam]],Z$36, Table1[[HomeTeam]:[HomeTeam]],$A60))), "")</f>
        <v/>
      </c>
      <c r="AA60" s="54" t="str">
        <f>IFERROR(((2 * (SUMIFS(Table1[[AwayWon]:[AwayWon]], Table1[[GameIsOver]:[GameIsOver]], 1, Table1[[AwayTeam]:[AwayTeam]], $A60, Table1[[HomeTeam]:[HomeTeam]], AA$36) + SUMIFS(Table1[[HomeWon]:[HomeWon]], Table1[[GameIsOver]:[GameIsOver]], 1, Table1[[HomeTeam]:[HomeTeam]], $A60, Table1[[AwayTeam]:[AwayTeam]], AA$36))) + (SUMIFS(Table1[[HomeWon]:[HomeWon]], Table1[[GameIsOver]:[GameIsOver]], 1, Table1[[AwayTeam]:[AwayTeam]], $A60, Table1[[HomeTeam]:[HomeTeam]],  AA$36, Table1[[ActualResult]:[ActualResult]], "OT") + SUMIFS(Table1[[AwayWon]:[AwayWon]], Table1[[GameIsOver]:[GameIsOver]], 1, Table1[[HomeTeam]:[HomeTeam]], $A60, Table1[[AwayTeam]:[AwayTeam]], AA$36, Table1[[ActualResult]:[ActualResult]], "OT") + SUMIFS(Table1[[HomeWon]:[HomeWon]], Table1[[GameIsOver]:[GameIsOver]], 1, Table1[[AwayTeam]:[AwayTeam]], $A60, Table1[[HomeTeam]:[HomeTeam]], AA$36, Table1[[ActualResult]:[ActualResult]], "SO") + SUMIFS(Table1[[AwayWon]:[AwayWon]], Table1[[GameIsOver]:[GameIsOver]], 1, Table1[[HomeTeam]:[HomeTeam]], $A60, Table1[[AwayTeam]:[AwayTeam]], AA$36, Table1[[ActualResult]:[ActualResult]], "SO")))/ (2*((COUNTIFS(Table1[[GameIsOver]:[GameIsOver]],1,Table1[[AwayTeam]:[AwayTeam]],$A60, Table1[[HomeTeam]:[HomeTeam]], AA$36)))+( COUNTIFS(Table1[[GameIsOver]:[GameIsOver]],1,Table1[[AwayTeam]:[AwayTeam]],AA$36, Table1[[HomeTeam]:[HomeTeam]],$A60))), "")</f>
        <v/>
      </c>
      <c r="AB60" s="54" t="str">
        <f>IFERROR(((2 * (SUMIFS(Table1[[AwayWon]:[AwayWon]], Table1[[GameIsOver]:[GameIsOver]], 1, Table1[[AwayTeam]:[AwayTeam]], $A60, Table1[[HomeTeam]:[HomeTeam]], AB$36) + SUMIFS(Table1[[HomeWon]:[HomeWon]], Table1[[GameIsOver]:[GameIsOver]], 1, Table1[[HomeTeam]:[HomeTeam]], $A60, Table1[[AwayTeam]:[AwayTeam]], AB$36))) + (SUMIFS(Table1[[HomeWon]:[HomeWon]], Table1[[GameIsOver]:[GameIsOver]], 1, Table1[[AwayTeam]:[AwayTeam]], $A60, Table1[[HomeTeam]:[HomeTeam]],  AB$36, Table1[[ActualResult]:[ActualResult]], "OT") + SUMIFS(Table1[[AwayWon]:[AwayWon]], Table1[[GameIsOver]:[GameIsOver]], 1, Table1[[HomeTeam]:[HomeTeam]], $A60, Table1[[AwayTeam]:[AwayTeam]], AB$36, Table1[[ActualResult]:[ActualResult]], "OT") + SUMIFS(Table1[[HomeWon]:[HomeWon]], Table1[[GameIsOver]:[GameIsOver]], 1, Table1[[AwayTeam]:[AwayTeam]], $A60, Table1[[HomeTeam]:[HomeTeam]], AB$36, Table1[[ActualResult]:[ActualResult]], "SO") + SUMIFS(Table1[[AwayWon]:[AwayWon]], Table1[[GameIsOver]:[GameIsOver]], 1, Table1[[HomeTeam]:[HomeTeam]], $A60, Table1[[AwayTeam]:[AwayTeam]], AB$36, Table1[[ActualResult]:[ActualResult]], "SO")))/ (2*((COUNTIFS(Table1[[GameIsOver]:[GameIsOver]],1,Table1[[AwayTeam]:[AwayTeam]],$A60, Table1[[HomeTeam]:[HomeTeam]], AB$36)))+( COUNTIFS(Table1[[GameIsOver]:[GameIsOver]],1,Table1[[AwayTeam]:[AwayTeam]],AB$36, Table1[[HomeTeam]:[HomeTeam]],$A60))), "")</f>
        <v/>
      </c>
      <c r="AC60" s="54" t="str">
        <f>IFERROR(((2 * (SUMIFS(Table1[[AwayWon]:[AwayWon]], Table1[[GameIsOver]:[GameIsOver]], 1, Table1[[AwayTeam]:[AwayTeam]], $A60, Table1[[HomeTeam]:[HomeTeam]], AC$36) + SUMIFS(Table1[[HomeWon]:[HomeWon]], Table1[[GameIsOver]:[GameIsOver]], 1, Table1[[HomeTeam]:[HomeTeam]], $A60, Table1[[AwayTeam]:[AwayTeam]], AC$36))) + (SUMIFS(Table1[[HomeWon]:[HomeWon]], Table1[[GameIsOver]:[GameIsOver]], 1, Table1[[AwayTeam]:[AwayTeam]], $A60, Table1[[HomeTeam]:[HomeTeam]],  AC$36, Table1[[ActualResult]:[ActualResult]], "OT") + SUMIFS(Table1[[AwayWon]:[AwayWon]], Table1[[GameIsOver]:[GameIsOver]], 1, Table1[[HomeTeam]:[HomeTeam]], $A60, Table1[[AwayTeam]:[AwayTeam]], AC$36, Table1[[ActualResult]:[ActualResult]], "OT") + SUMIFS(Table1[[HomeWon]:[HomeWon]], Table1[[GameIsOver]:[GameIsOver]], 1, Table1[[AwayTeam]:[AwayTeam]], $A60, Table1[[HomeTeam]:[HomeTeam]], AC$36, Table1[[ActualResult]:[ActualResult]], "SO") + SUMIFS(Table1[[AwayWon]:[AwayWon]], Table1[[GameIsOver]:[GameIsOver]], 1, Table1[[HomeTeam]:[HomeTeam]], $A60, Table1[[AwayTeam]:[AwayTeam]], AC$36, Table1[[ActualResult]:[ActualResult]], "SO")))/ (2*((COUNTIFS(Table1[[GameIsOver]:[GameIsOver]],1,Table1[[AwayTeam]:[AwayTeam]],$A60, Table1[[HomeTeam]:[HomeTeam]], AC$36)))+( COUNTIFS(Table1[[GameIsOver]:[GameIsOver]],1,Table1[[AwayTeam]:[AwayTeam]],AC$36, Table1[[HomeTeam]:[HomeTeam]],$A60))), "")</f>
        <v/>
      </c>
      <c r="AD60" s="54" t="str">
        <f>IFERROR(((2 * (SUMIFS(Table1[[AwayWon]:[AwayWon]], Table1[[GameIsOver]:[GameIsOver]], 1, Table1[[AwayTeam]:[AwayTeam]], $A60, Table1[[HomeTeam]:[HomeTeam]], AD$36) + SUMIFS(Table1[[HomeWon]:[HomeWon]], Table1[[GameIsOver]:[GameIsOver]], 1, Table1[[HomeTeam]:[HomeTeam]], $A60, Table1[[AwayTeam]:[AwayTeam]], AD$36))) + (SUMIFS(Table1[[HomeWon]:[HomeWon]], Table1[[GameIsOver]:[GameIsOver]], 1, Table1[[AwayTeam]:[AwayTeam]], $A60, Table1[[HomeTeam]:[HomeTeam]],  AD$36, Table1[[ActualResult]:[ActualResult]], "OT") + SUMIFS(Table1[[AwayWon]:[AwayWon]], Table1[[GameIsOver]:[GameIsOver]], 1, Table1[[HomeTeam]:[HomeTeam]], $A60, Table1[[AwayTeam]:[AwayTeam]], AD$36, Table1[[ActualResult]:[ActualResult]], "OT") + SUMIFS(Table1[[HomeWon]:[HomeWon]], Table1[[GameIsOver]:[GameIsOver]], 1, Table1[[AwayTeam]:[AwayTeam]], $A60, Table1[[HomeTeam]:[HomeTeam]], AD$36, Table1[[ActualResult]:[ActualResult]], "SO") + SUMIFS(Table1[[AwayWon]:[AwayWon]], Table1[[GameIsOver]:[GameIsOver]], 1, Table1[[HomeTeam]:[HomeTeam]], $A60, Table1[[AwayTeam]:[AwayTeam]], AD$36, Table1[[ActualResult]:[ActualResult]], "SO")))/ (2*((COUNTIFS(Table1[[GameIsOver]:[GameIsOver]],1,Table1[[AwayTeam]:[AwayTeam]],$A60, Table1[[HomeTeam]:[HomeTeam]], AD$36)))+( COUNTIFS(Table1[[GameIsOver]:[GameIsOver]],1,Table1[[AwayTeam]:[AwayTeam]],AD$36, Table1[[HomeTeam]:[HomeTeam]],$A60))), "")</f>
        <v/>
      </c>
      <c r="AE60" s="54" t="str">
        <f>IFERROR(((2 * (SUMIFS(Table1[[AwayWon]:[AwayWon]], Table1[[GameIsOver]:[GameIsOver]], 1, Table1[[AwayTeam]:[AwayTeam]], $A60, Table1[[HomeTeam]:[HomeTeam]], AE$36) + SUMIFS(Table1[[HomeWon]:[HomeWon]], Table1[[GameIsOver]:[GameIsOver]], 1, Table1[[HomeTeam]:[HomeTeam]], $A60, Table1[[AwayTeam]:[AwayTeam]], AE$36))) + (SUMIFS(Table1[[HomeWon]:[HomeWon]], Table1[[GameIsOver]:[GameIsOver]], 1, Table1[[AwayTeam]:[AwayTeam]], $A60, Table1[[HomeTeam]:[HomeTeam]],  AE$36, Table1[[ActualResult]:[ActualResult]], "OT") + SUMIFS(Table1[[AwayWon]:[AwayWon]], Table1[[GameIsOver]:[GameIsOver]], 1, Table1[[HomeTeam]:[HomeTeam]], $A60, Table1[[AwayTeam]:[AwayTeam]], AE$36, Table1[[ActualResult]:[ActualResult]], "OT") + SUMIFS(Table1[[HomeWon]:[HomeWon]], Table1[[GameIsOver]:[GameIsOver]], 1, Table1[[AwayTeam]:[AwayTeam]], $A60, Table1[[HomeTeam]:[HomeTeam]], AE$36, Table1[[ActualResult]:[ActualResult]], "SO") + SUMIFS(Table1[[AwayWon]:[AwayWon]], Table1[[GameIsOver]:[GameIsOver]], 1, Table1[[HomeTeam]:[HomeTeam]], $A60, Table1[[AwayTeam]:[AwayTeam]], AE$36, Table1[[ActualResult]:[ActualResult]], "SO")))/ (2*((COUNTIFS(Table1[[GameIsOver]:[GameIsOver]],1,Table1[[AwayTeam]:[AwayTeam]],$A60, Table1[[HomeTeam]:[HomeTeam]], AE$36)))+( COUNTIFS(Table1[[GameIsOver]:[GameIsOver]],1,Table1[[AwayTeam]:[AwayTeam]],AE$36, Table1[[HomeTeam]:[HomeTeam]],$A60))), "")</f>
        <v/>
      </c>
      <c r="AF60" s="54" t="str">
        <f>IFERROR(((2 * (SUMIFS(Table1[[AwayWon]:[AwayWon]], Table1[[GameIsOver]:[GameIsOver]], 1, Table1[[AwayTeam]:[AwayTeam]], $A60, Table1[[HomeTeam]:[HomeTeam]], AF$36) + SUMIFS(Table1[[HomeWon]:[HomeWon]], Table1[[GameIsOver]:[GameIsOver]], 1, Table1[[HomeTeam]:[HomeTeam]], $A60, Table1[[AwayTeam]:[AwayTeam]], AF$36))) + (SUMIFS(Table1[[HomeWon]:[HomeWon]], Table1[[GameIsOver]:[GameIsOver]], 1, Table1[[AwayTeam]:[AwayTeam]], $A60, Table1[[HomeTeam]:[HomeTeam]],  AF$36, Table1[[ActualResult]:[ActualResult]], "OT") + SUMIFS(Table1[[AwayWon]:[AwayWon]], Table1[[GameIsOver]:[GameIsOver]], 1, Table1[[HomeTeam]:[HomeTeam]], $A60, Table1[[AwayTeam]:[AwayTeam]], AF$36, Table1[[ActualResult]:[ActualResult]], "OT") + SUMIFS(Table1[[HomeWon]:[HomeWon]], Table1[[GameIsOver]:[GameIsOver]], 1, Table1[[AwayTeam]:[AwayTeam]], $A60, Table1[[HomeTeam]:[HomeTeam]], AF$36, Table1[[ActualResult]:[ActualResult]], "SO") + SUMIFS(Table1[[AwayWon]:[AwayWon]], Table1[[GameIsOver]:[GameIsOver]], 1, Table1[[HomeTeam]:[HomeTeam]], $A60, Table1[[AwayTeam]:[AwayTeam]], AF$36, Table1[[ActualResult]:[ActualResult]], "SO")))/ (2*((COUNTIFS(Table1[[GameIsOver]:[GameIsOver]],1,Table1[[AwayTeam]:[AwayTeam]],$A60, Table1[[HomeTeam]:[HomeTeam]], AF$36)))+( COUNTIFS(Table1[[GameIsOver]:[GameIsOver]],1,Table1[[AwayTeam]:[AwayTeam]],AF$36, Table1[[HomeTeam]:[HomeTeam]],$A60))), "")</f>
        <v/>
      </c>
      <c r="AG60" s="56" t="str">
        <f>IFERROR(((2 * (SUMIFS(Table1[[AwayWon]:[AwayWon]], Table1[[GameIsOver]:[GameIsOver]], 1, Table1[[AwayTeam]:[AwayTeam]], $A60, Table1[[HomeTeam]:[HomeTeam]], AG$36) + SUMIFS(Table1[[HomeWon]:[HomeWon]], Table1[[GameIsOver]:[GameIsOver]], 1, Table1[[HomeTeam]:[HomeTeam]], $A60, Table1[[AwayTeam]:[AwayTeam]], AG$36))) + (SUMIFS(Table1[[HomeWon]:[HomeWon]], Table1[[GameIsOver]:[GameIsOver]], 1, Table1[[AwayTeam]:[AwayTeam]], $A60, Table1[[HomeTeam]:[HomeTeam]],  AG$36, Table1[[ActualResult]:[ActualResult]], "OT") + SUMIFS(Table1[[AwayWon]:[AwayWon]], Table1[[GameIsOver]:[GameIsOver]], 1, Table1[[HomeTeam]:[HomeTeam]], $A60, Table1[[AwayTeam]:[AwayTeam]], AG$36, Table1[[ActualResult]:[ActualResult]], "OT") + SUMIFS(Table1[[HomeWon]:[HomeWon]], Table1[[GameIsOver]:[GameIsOver]], 1, Table1[[AwayTeam]:[AwayTeam]], $A60, Table1[[HomeTeam]:[HomeTeam]], AG$36, Table1[[ActualResult]:[ActualResult]], "SO") + SUMIFS(Table1[[AwayWon]:[AwayWon]], Table1[[GameIsOver]:[GameIsOver]], 1, Table1[[HomeTeam]:[HomeTeam]], $A60, Table1[[AwayTeam]:[AwayTeam]], AG$36, Table1[[ActualResult]:[ActualResult]], "SO")))/ (2*((COUNTIFS(Table1[[GameIsOver]:[GameIsOver]],1,Table1[[AwayTeam]:[AwayTeam]],$A60, Table1[[HomeTeam]:[HomeTeam]], AG$36)))+( COUNTIFS(Table1[[GameIsOver]:[GameIsOver]],1,Table1[[AwayTeam]:[AwayTeam]],AG$36, Table1[[HomeTeam]:[HomeTeam]],$A60))), "")</f>
        <v/>
      </c>
      <c r="AH60" s="55" t="e">
        <f t="shared" si="0"/>
        <v>#DIV/0!</v>
      </c>
      <c r="AI60" s="55">
        <f t="shared" si="1"/>
        <v>1</v>
      </c>
      <c r="AJ60" s="56" t="e">
        <f t="shared" si="2"/>
        <v>#DIV/0!</v>
      </c>
      <c r="AK60" s="56" t="e">
        <f t="shared" si="3"/>
        <v>#DIV/0!</v>
      </c>
      <c r="AL60" s="56">
        <f t="shared" si="4"/>
        <v>1</v>
      </c>
      <c r="AM60" s="56" t="e">
        <f t="shared" si="5"/>
        <v>#DIV/0!</v>
      </c>
    </row>
    <row r="61" spans="1:39" ht="15.75" thickTop="1" x14ac:dyDescent="0.25">
      <c r="A61" s="28" t="s">
        <v>37</v>
      </c>
      <c r="B61" s="50" t="str">
        <f>IFERROR(((2 * (SUMIFS(Table1[[AwayWon]:[AwayWon]], Table1[[GameIsOver]:[GameIsOver]], 1, Table1[[AwayTeam]:[AwayTeam]], $A61, Table1[[HomeTeam]:[HomeTeam]], B$36) + SUMIFS(Table1[[HomeWon]:[HomeWon]], Table1[[GameIsOver]:[GameIsOver]], 1, Table1[[HomeTeam]:[HomeTeam]], $A61, Table1[[AwayTeam]:[AwayTeam]], B$36))) + (SUMIFS(Table1[[HomeWon]:[HomeWon]], Table1[[GameIsOver]:[GameIsOver]], 1, Table1[[AwayTeam]:[AwayTeam]], $A61, Table1[[HomeTeam]:[HomeTeam]],  B$36, Table1[[ActualResult]:[ActualResult]], "OT") + SUMIFS(Table1[[AwayWon]:[AwayWon]], Table1[[GameIsOver]:[GameIsOver]], 1, Table1[[HomeTeam]:[HomeTeam]], $A61, Table1[[AwayTeam]:[AwayTeam]], B$36, Table1[[ActualResult]:[ActualResult]], "OT") + SUMIFS(Table1[[HomeWon]:[HomeWon]], Table1[[GameIsOver]:[GameIsOver]], 1, Table1[[AwayTeam]:[AwayTeam]], $A61, Table1[[HomeTeam]:[HomeTeam]], B$36, Table1[[ActualResult]:[ActualResult]], "SO") + SUMIFS(Table1[[AwayWon]:[AwayWon]], Table1[[GameIsOver]:[GameIsOver]], 1, Table1[[HomeTeam]:[HomeTeam]], $A61, Table1[[AwayTeam]:[AwayTeam]], B$36, Table1[[ActualResult]:[ActualResult]], "SO")))/ (2*((COUNTIFS(Table1[[GameIsOver]:[GameIsOver]],1,Table1[[AwayTeam]:[AwayTeam]],$A61, Table1[[HomeTeam]:[HomeTeam]], B$36)))+( COUNTIFS(Table1[[GameIsOver]:[GameIsOver]],1,Table1[[AwayTeam]:[AwayTeam]],B$36, Table1[[HomeTeam]:[HomeTeam]],$A61))), "")</f>
        <v/>
      </c>
      <c r="C61" s="50" t="str">
        <f>IFERROR(((2 * (SUMIFS(Table1[[AwayWon]:[AwayWon]], Table1[[GameIsOver]:[GameIsOver]], 1, Table1[[AwayTeam]:[AwayTeam]], $A61, Table1[[HomeTeam]:[HomeTeam]], C$36) + SUMIFS(Table1[[HomeWon]:[HomeWon]], Table1[[GameIsOver]:[GameIsOver]], 1, Table1[[HomeTeam]:[HomeTeam]], $A61, Table1[[AwayTeam]:[AwayTeam]], C$36))) + (SUMIFS(Table1[[HomeWon]:[HomeWon]], Table1[[GameIsOver]:[GameIsOver]], 1, Table1[[AwayTeam]:[AwayTeam]], $A61, Table1[[HomeTeam]:[HomeTeam]],  C$36, Table1[[ActualResult]:[ActualResult]], "OT") + SUMIFS(Table1[[AwayWon]:[AwayWon]], Table1[[GameIsOver]:[GameIsOver]], 1, Table1[[HomeTeam]:[HomeTeam]], $A61, Table1[[AwayTeam]:[AwayTeam]], C$36, Table1[[ActualResult]:[ActualResult]], "OT") + SUMIFS(Table1[[HomeWon]:[HomeWon]], Table1[[GameIsOver]:[GameIsOver]], 1, Table1[[AwayTeam]:[AwayTeam]], $A61, Table1[[HomeTeam]:[HomeTeam]], C$36, Table1[[ActualResult]:[ActualResult]], "SO") + SUMIFS(Table1[[AwayWon]:[AwayWon]], Table1[[GameIsOver]:[GameIsOver]], 1, Table1[[HomeTeam]:[HomeTeam]], $A61, Table1[[AwayTeam]:[AwayTeam]], C$36, Table1[[ActualResult]:[ActualResult]], "SO")))/ (2*((COUNTIFS(Table1[[GameIsOver]:[GameIsOver]],1,Table1[[AwayTeam]:[AwayTeam]],$A61, Table1[[HomeTeam]:[HomeTeam]], C$36)))+( COUNTIFS(Table1[[GameIsOver]:[GameIsOver]],1,Table1[[AwayTeam]:[AwayTeam]],C$36, Table1[[HomeTeam]:[HomeTeam]],$A61))), "")</f>
        <v/>
      </c>
      <c r="D61" s="50" t="str">
        <f>IFERROR(((2 * (SUMIFS(Table1[[AwayWon]:[AwayWon]], Table1[[GameIsOver]:[GameIsOver]], 1, Table1[[AwayTeam]:[AwayTeam]], $A61, Table1[[HomeTeam]:[HomeTeam]], D$36) + SUMIFS(Table1[[HomeWon]:[HomeWon]], Table1[[GameIsOver]:[GameIsOver]], 1, Table1[[HomeTeam]:[HomeTeam]], $A61, Table1[[AwayTeam]:[AwayTeam]], D$36))) + (SUMIFS(Table1[[HomeWon]:[HomeWon]], Table1[[GameIsOver]:[GameIsOver]], 1, Table1[[AwayTeam]:[AwayTeam]], $A61, Table1[[HomeTeam]:[HomeTeam]],  D$36, Table1[[ActualResult]:[ActualResult]], "OT") + SUMIFS(Table1[[AwayWon]:[AwayWon]], Table1[[GameIsOver]:[GameIsOver]], 1, Table1[[HomeTeam]:[HomeTeam]], $A61, Table1[[AwayTeam]:[AwayTeam]], D$36, Table1[[ActualResult]:[ActualResult]], "OT") + SUMIFS(Table1[[HomeWon]:[HomeWon]], Table1[[GameIsOver]:[GameIsOver]], 1, Table1[[AwayTeam]:[AwayTeam]], $A61, Table1[[HomeTeam]:[HomeTeam]], D$36, Table1[[ActualResult]:[ActualResult]], "SO") + SUMIFS(Table1[[AwayWon]:[AwayWon]], Table1[[GameIsOver]:[GameIsOver]], 1, Table1[[HomeTeam]:[HomeTeam]], $A61, Table1[[AwayTeam]:[AwayTeam]], D$36, Table1[[ActualResult]:[ActualResult]], "SO")))/ (2*((COUNTIFS(Table1[[GameIsOver]:[GameIsOver]],1,Table1[[AwayTeam]:[AwayTeam]],$A61, Table1[[HomeTeam]:[HomeTeam]], D$36)))+( COUNTIFS(Table1[[GameIsOver]:[GameIsOver]],1,Table1[[AwayTeam]:[AwayTeam]],D$36, Table1[[HomeTeam]:[HomeTeam]],$A61))), "")</f>
        <v/>
      </c>
      <c r="E61" s="50" t="str">
        <f>IFERROR(((2 * (SUMIFS(Table1[[AwayWon]:[AwayWon]], Table1[[GameIsOver]:[GameIsOver]], 1, Table1[[AwayTeam]:[AwayTeam]], $A61, Table1[[HomeTeam]:[HomeTeam]], E$36) + SUMIFS(Table1[[HomeWon]:[HomeWon]], Table1[[GameIsOver]:[GameIsOver]], 1, Table1[[HomeTeam]:[HomeTeam]], $A61, Table1[[AwayTeam]:[AwayTeam]], E$36))) + (SUMIFS(Table1[[HomeWon]:[HomeWon]], Table1[[GameIsOver]:[GameIsOver]], 1, Table1[[AwayTeam]:[AwayTeam]], $A61, Table1[[HomeTeam]:[HomeTeam]],  E$36, Table1[[ActualResult]:[ActualResult]], "OT") + SUMIFS(Table1[[AwayWon]:[AwayWon]], Table1[[GameIsOver]:[GameIsOver]], 1, Table1[[HomeTeam]:[HomeTeam]], $A61, Table1[[AwayTeam]:[AwayTeam]], E$36, Table1[[ActualResult]:[ActualResult]], "OT") + SUMIFS(Table1[[HomeWon]:[HomeWon]], Table1[[GameIsOver]:[GameIsOver]], 1, Table1[[AwayTeam]:[AwayTeam]], $A61, Table1[[HomeTeam]:[HomeTeam]], E$36, Table1[[ActualResult]:[ActualResult]], "SO") + SUMIFS(Table1[[AwayWon]:[AwayWon]], Table1[[GameIsOver]:[GameIsOver]], 1, Table1[[HomeTeam]:[HomeTeam]], $A61, Table1[[AwayTeam]:[AwayTeam]], E$36, Table1[[ActualResult]:[ActualResult]], "SO")))/ (2*((COUNTIFS(Table1[[GameIsOver]:[GameIsOver]],1,Table1[[AwayTeam]:[AwayTeam]],$A61, Table1[[HomeTeam]:[HomeTeam]], E$36)))+( COUNTIFS(Table1[[GameIsOver]:[GameIsOver]],1,Table1[[AwayTeam]:[AwayTeam]],E$36, Table1[[HomeTeam]:[HomeTeam]],$A61))), "")</f>
        <v/>
      </c>
      <c r="F61" s="50" t="str">
        <f>IFERROR(((2 * (SUMIFS(Table1[[AwayWon]:[AwayWon]], Table1[[GameIsOver]:[GameIsOver]], 1, Table1[[AwayTeam]:[AwayTeam]], $A61, Table1[[HomeTeam]:[HomeTeam]], F$36) + SUMIFS(Table1[[HomeWon]:[HomeWon]], Table1[[GameIsOver]:[GameIsOver]], 1, Table1[[HomeTeam]:[HomeTeam]], $A61, Table1[[AwayTeam]:[AwayTeam]], F$36))) + (SUMIFS(Table1[[HomeWon]:[HomeWon]], Table1[[GameIsOver]:[GameIsOver]], 1, Table1[[AwayTeam]:[AwayTeam]], $A61, Table1[[HomeTeam]:[HomeTeam]],  F$36, Table1[[ActualResult]:[ActualResult]], "OT") + SUMIFS(Table1[[AwayWon]:[AwayWon]], Table1[[GameIsOver]:[GameIsOver]], 1, Table1[[HomeTeam]:[HomeTeam]], $A61, Table1[[AwayTeam]:[AwayTeam]], F$36, Table1[[ActualResult]:[ActualResult]], "OT") + SUMIFS(Table1[[HomeWon]:[HomeWon]], Table1[[GameIsOver]:[GameIsOver]], 1, Table1[[AwayTeam]:[AwayTeam]], $A61, Table1[[HomeTeam]:[HomeTeam]], F$36, Table1[[ActualResult]:[ActualResult]], "SO") + SUMIFS(Table1[[AwayWon]:[AwayWon]], Table1[[GameIsOver]:[GameIsOver]], 1, Table1[[HomeTeam]:[HomeTeam]], $A61, Table1[[AwayTeam]:[AwayTeam]], F$36, Table1[[ActualResult]:[ActualResult]], "SO")))/ (2*((COUNTIFS(Table1[[GameIsOver]:[GameIsOver]],1,Table1[[AwayTeam]:[AwayTeam]],$A61, Table1[[HomeTeam]:[HomeTeam]], F$36)))+( COUNTIFS(Table1[[GameIsOver]:[GameIsOver]],1,Table1[[AwayTeam]:[AwayTeam]],F$36, Table1[[HomeTeam]:[HomeTeam]],$A61))), "")</f>
        <v/>
      </c>
      <c r="G61" s="50" t="str">
        <f>IFERROR(((2 * (SUMIFS(Table1[[AwayWon]:[AwayWon]], Table1[[GameIsOver]:[GameIsOver]], 1, Table1[[AwayTeam]:[AwayTeam]], $A61, Table1[[HomeTeam]:[HomeTeam]], G$36) + SUMIFS(Table1[[HomeWon]:[HomeWon]], Table1[[GameIsOver]:[GameIsOver]], 1, Table1[[HomeTeam]:[HomeTeam]], $A61, Table1[[AwayTeam]:[AwayTeam]], G$36))) + (SUMIFS(Table1[[HomeWon]:[HomeWon]], Table1[[GameIsOver]:[GameIsOver]], 1, Table1[[AwayTeam]:[AwayTeam]], $A61, Table1[[HomeTeam]:[HomeTeam]],  G$36, Table1[[ActualResult]:[ActualResult]], "OT") + SUMIFS(Table1[[AwayWon]:[AwayWon]], Table1[[GameIsOver]:[GameIsOver]], 1, Table1[[HomeTeam]:[HomeTeam]], $A61, Table1[[AwayTeam]:[AwayTeam]], G$36, Table1[[ActualResult]:[ActualResult]], "OT") + SUMIFS(Table1[[HomeWon]:[HomeWon]], Table1[[GameIsOver]:[GameIsOver]], 1, Table1[[AwayTeam]:[AwayTeam]], $A61, Table1[[HomeTeam]:[HomeTeam]], G$36, Table1[[ActualResult]:[ActualResult]], "SO") + SUMIFS(Table1[[AwayWon]:[AwayWon]], Table1[[GameIsOver]:[GameIsOver]], 1, Table1[[HomeTeam]:[HomeTeam]], $A61, Table1[[AwayTeam]:[AwayTeam]], G$36, Table1[[ActualResult]:[ActualResult]], "SO")))/ (2*((COUNTIFS(Table1[[GameIsOver]:[GameIsOver]],1,Table1[[AwayTeam]:[AwayTeam]],$A61, Table1[[HomeTeam]:[HomeTeam]], G$36)))+( COUNTIFS(Table1[[GameIsOver]:[GameIsOver]],1,Table1[[AwayTeam]:[AwayTeam]],G$36, Table1[[HomeTeam]:[HomeTeam]],$A61))), "")</f>
        <v/>
      </c>
      <c r="H61" s="50" t="str">
        <f>IFERROR(((2 * (SUMIFS(Table1[[AwayWon]:[AwayWon]], Table1[[GameIsOver]:[GameIsOver]], 1, Table1[[AwayTeam]:[AwayTeam]], $A61, Table1[[HomeTeam]:[HomeTeam]], H$36) + SUMIFS(Table1[[HomeWon]:[HomeWon]], Table1[[GameIsOver]:[GameIsOver]], 1, Table1[[HomeTeam]:[HomeTeam]], $A61, Table1[[AwayTeam]:[AwayTeam]], H$36))) + (SUMIFS(Table1[[HomeWon]:[HomeWon]], Table1[[GameIsOver]:[GameIsOver]], 1, Table1[[AwayTeam]:[AwayTeam]], $A61, Table1[[HomeTeam]:[HomeTeam]],  H$36, Table1[[ActualResult]:[ActualResult]], "OT") + SUMIFS(Table1[[AwayWon]:[AwayWon]], Table1[[GameIsOver]:[GameIsOver]], 1, Table1[[HomeTeam]:[HomeTeam]], $A61, Table1[[AwayTeam]:[AwayTeam]], H$36, Table1[[ActualResult]:[ActualResult]], "OT") + SUMIFS(Table1[[HomeWon]:[HomeWon]], Table1[[GameIsOver]:[GameIsOver]], 1, Table1[[AwayTeam]:[AwayTeam]], $A61, Table1[[HomeTeam]:[HomeTeam]], H$36, Table1[[ActualResult]:[ActualResult]], "SO") + SUMIFS(Table1[[AwayWon]:[AwayWon]], Table1[[GameIsOver]:[GameIsOver]], 1, Table1[[HomeTeam]:[HomeTeam]], $A61, Table1[[AwayTeam]:[AwayTeam]], H$36, Table1[[ActualResult]:[ActualResult]], "SO")))/ (2*((COUNTIFS(Table1[[GameIsOver]:[GameIsOver]],1,Table1[[AwayTeam]:[AwayTeam]],$A61, Table1[[HomeTeam]:[HomeTeam]], H$36)))+( COUNTIFS(Table1[[GameIsOver]:[GameIsOver]],1,Table1[[AwayTeam]:[AwayTeam]],H$36, Table1[[HomeTeam]:[HomeTeam]],$A61))), "")</f>
        <v/>
      </c>
      <c r="I61" s="52" t="str">
        <f>IFERROR(((2 * (SUMIFS(Table1[[AwayWon]:[AwayWon]], Table1[[GameIsOver]:[GameIsOver]], 1, Table1[[AwayTeam]:[AwayTeam]], $A61, Table1[[HomeTeam]:[HomeTeam]], I$36) + SUMIFS(Table1[[HomeWon]:[HomeWon]], Table1[[GameIsOver]:[GameIsOver]], 1, Table1[[HomeTeam]:[HomeTeam]], $A61, Table1[[AwayTeam]:[AwayTeam]], I$36))) + (SUMIFS(Table1[[HomeWon]:[HomeWon]], Table1[[GameIsOver]:[GameIsOver]], 1, Table1[[AwayTeam]:[AwayTeam]], $A61, Table1[[HomeTeam]:[HomeTeam]],  I$36, Table1[[ActualResult]:[ActualResult]], "OT") + SUMIFS(Table1[[AwayWon]:[AwayWon]], Table1[[GameIsOver]:[GameIsOver]], 1, Table1[[HomeTeam]:[HomeTeam]], $A61, Table1[[AwayTeam]:[AwayTeam]], I$36, Table1[[ActualResult]:[ActualResult]], "OT") + SUMIFS(Table1[[HomeWon]:[HomeWon]], Table1[[GameIsOver]:[GameIsOver]], 1, Table1[[AwayTeam]:[AwayTeam]], $A61, Table1[[HomeTeam]:[HomeTeam]], I$36, Table1[[ActualResult]:[ActualResult]], "SO") + SUMIFS(Table1[[AwayWon]:[AwayWon]], Table1[[GameIsOver]:[GameIsOver]], 1, Table1[[HomeTeam]:[HomeTeam]], $A61, Table1[[AwayTeam]:[AwayTeam]], I$36, Table1[[ActualResult]:[ActualResult]], "SO")))/ (2*((COUNTIFS(Table1[[GameIsOver]:[GameIsOver]],1,Table1[[AwayTeam]:[AwayTeam]],$A61, Table1[[HomeTeam]:[HomeTeam]], I$36)))+( COUNTIFS(Table1[[GameIsOver]:[GameIsOver]],1,Table1[[AwayTeam]:[AwayTeam]],I$36, Table1[[HomeTeam]:[HomeTeam]],$A61))), "")</f>
        <v/>
      </c>
      <c r="J61" s="50" t="str">
        <f>IFERROR(((2 * (SUMIFS(Table1[[AwayWon]:[AwayWon]], Table1[[GameIsOver]:[GameIsOver]], 1, Table1[[AwayTeam]:[AwayTeam]], $A61, Table1[[HomeTeam]:[HomeTeam]], J$36) + SUMIFS(Table1[[HomeWon]:[HomeWon]], Table1[[GameIsOver]:[GameIsOver]], 1, Table1[[HomeTeam]:[HomeTeam]], $A61, Table1[[AwayTeam]:[AwayTeam]], J$36))) + (SUMIFS(Table1[[HomeWon]:[HomeWon]], Table1[[GameIsOver]:[GameIsOver]], 1, Table1[[AwayTeam]:[AwayTeam]], $A61, Table1[[HomeTeam]:[HomeTeam]],  J$36, Table1[[ActualResult]:[ActualResult]], "OT") + SUMIFS(Table1[[AwayWon]:[AwayWon]], Table1[[GameIsOver]:[GameIsOver]], 1, Table1[[HomeTeam]:[HomeTeam]], $A61, Table1[[AwayTeam]:[AwayTeam]], J$36, Table1[[ActualResult]:[ActualResult]], "OT") + SUMIFS(Table1[[HomeWon]:[HomeWon]], Table1[[GameIsOver]:[GameIsOver]], 1, Table1[[AwayTeam]:[AwayTeam]], $A61, Table1[[HomeTeam]:[HomeTeam]], J$36, Table1[[ActualResult]:[ActualResult]], "SO") + SUMIFS(Table1[[AwayWon]:[AwayWon]], Table1[[GameIsOver]:[GameIsOver]], 1, Table1[[HomeTeam]:[HomeTeam]], $A61, Table1[[AwayTeam]:[AwayTeam]], J$36, Table1[[ActualResult]:[ActualResult]], "SO")))/ (2*((COUNTIFS(Table1[[GameIsOver]:[GameIsOver]],1,Table1[[AwayTeam]:[AwayTeam]],$A61, Table1[[HomeTeam]:[HomeTeam]], J$36)))+( COUNTIFS(Table1[[GameIsOver]:[GameIsOver]],1,Table1[[AwayTeam]:[AwayTeam]],J$36, Table1[[HomeTeam]:[HomeTeam]],$A61))), "")</f>
        <v/>
      </c>
      <c r="K61" s="50" t="str">
        <f>IFERROR(((2 * (SUMIFS(Table1[[AwayWon]:[AwayWon]], Table1[[GameIsOver]:[GameIsOver]], 1, Table1[[AwayTeam]:[AwayTeam]], $A61, Table1[[HomeTeam]:[HomeTeam]], K$36) + SUMIFS(Table1[[HomeWon]:[HomeWon]], Table1[[GameIsOver]:[GameIsOver]], 1, Table1[[HomeTeam]:[HomeTeam]], $A61, Table1[[AwayTeam]:[AwayTeam]], K$36))) + (SUMIFS(Table1[[HomeWon]:[HomeWon]], Table1[[GameIsOver]:[GameIsOver]], 1, Table1[[AwayTeam]:[AwayTeam]], $A61, Table1[[HomeTeam]:[HomeTeam]],  K$36, Table1[[ActualResult]:[ActualResult]], "OT") + SUMIFS(Table1[[AwayWon]:[AwayWon]], Table1[[GameIsOver]:[GameIsOver]], 1, Table1[[HomeTeam]:[HomeTeam]], $A61, Table1[[AwayTeam]:[AwayTeam]], K$36, Table1[[ActualResult]:[ActualResult]], "OT") + SUMIFS(Table1[[HomeWon]:[HomeWon]], Table1[[GameIsOver]:[GameIsOver]], 1, Table1[[AwayTeam]:[AwayTeam]], $A61, Table1[[HomeTeam]:[HomeTeam]], K$36, Table1[[ActualResult]:[ActualResult]], "SO") + SUMIFS(Table1[[AwayWon]:[AwayWon]], Table1[[GameIsOver]:[GameIsOver]], 1, Table1[[HomeTeam]:[HomeTeam]], $A61, Table1[[AwayTeam]:[AwayTeam]], K$36, Table1[[ActualResult]:[ActualResult]], "SO")))/ (2*((COUNTIFS(Table1[[GameIsOver]:[GameIsOver]],1,Table1[[AwayTeam]:[AwayTeam]],$A61, Table1[[HomeTeam]:[HomeTeam]], K$36)))+( COUNTIFS(Table1[[GameIsOver]:[GameIsOver]],1,Table1[[AwayTeam]:[AwayTeam]],K$36, Table1[[HomeTeam]:[HomeTeam]],$A61))), "")</f>
        <v/>
      </c>
      <c r="L61" s="50" t="str">
        <f>IFERROR(((2 * (SUMIFS(Table1[[AwayWon]:[AwayWon]], Table1[[GameIsOver]:[GameIsOver]], 1, Table1[[AwayTeam]:[AwayTeam]], $A61, Table1[[HomeTeam]:[HomeTeam]], L$36) + SUMIFS(Table1[[HomeWon]:[HomeWon]], Table1[[GameIsOver]:[GameIsOver]], 1, Table1[[HomeTeam]:[HomeTeam]], $A61, Table1[[AwayTeam]:[AwayTeam]], L$36))) + (SUMIFS(Table1[[HomeWon]:[HomeWon]], Table1[[GameIsOver]:[GameIsOver]], 1, Table1[[AwayTeam]:[AwayTeam]], $A61, Table1[[HomeTeam]:[HomeTeam]],  L$36, Table1[[ActualResult]:[ActualResult]], "OT") + SUMIFS(Table1[[AwayWon]:[AwayWon]], Table1[[GameIsOver]:[GameIsOver]], 1, Table1[[HomeTeam]:[HomeTeam]], $A61, Table1[[AwayTeam]:[AwayTeam]], L$36, Table1[[ActualResult]:[ActualResult]], "OT") + SUMIFS(Table1[[HomeWon]:[HomeWon]], Table1[[GameIsOver]:[GameIsOver]], 1, Table1[[AwayTeam]:[AwayTeam]], $A61, Table1[[HomeTeam]:[HomeTeam]], L$36, Table1[[ActualResult]:[ActualResult]], "SO") + SUMIFS(Table1[[AwayWon]:[AwayWon]], Table1[[GameIsOver]:[GameIsOver]], 1, Table1[[HomeTeam]:[HomeTeam]], $A61, Table1[[AwayTeam]:[AwayTeam]], L$36, Table1[[ActualResult]:[ActualResult]], "SO")))/ (2*((COUNTIFS(Table1[[GameIsOver]:[GameIsOver]],1,Table1[[AwayTeam]:[AwayTeam]],$A61, Table1[[HomeTeam]:[HomeTeam]], L$36)))+( COUNTIFS(Table1[[GameIsOver]:[GameIsOver]],1,Table1[[AwayTeam]:[AwayTeam]],L$36, Table1[[HomeTeam]:[HomeTeam]],$A61))), "")</f>
        <v/>
      </c>
      <c r="M61" s="50" t="str">
        <f>IFERROR(((2 * (SUMIFS(Table1[[AwayWon]:[AwayWon]], Table1[[GameIsOver]:[GameIsOver]], 1, Table1[[AwayTeam]:[AwayTeam]], $A61, Table1[[HomeTeam]:[HomeTeam]], M$36) + SUMIFS(Table1[[HomeWon]:[HomeWon]], Table1[[GameIsOver]:[GameIsOver]], 1, Table1[[HomeTeam]:[HomeTeam]], $A61, Table1[[AwayTeam]:[AwayTeam]], M$36))) + (SUMIFS(Table1[[HomeWon]:[HomeWon]], Table1[[GameIsOver]:[GameIsOver]], 1, Table1[[AwayTeam]:[AwayTeam]], $A61, Table1[[HomeTeam]:[HomeTeam]],  M$36, Table1[[ActualResult]:[ActualResult]], "OT") + SUMIFS(Table1[[AwayWon]:[AwayWon]], Table1[[GameIsOver]:[GameIsOver]], 1, Table1[[HomeTeam]:[HomeTeam]], $A61, Table1[[AwayTeam]:[AwayTeam]], M$36, Table1[[ActualResult]:[ActualResult]], "OT") + SUMIFS(Table1[[HomeWon]:[HomeWon]], Table1[[GameIsOver]:[GameIsOver]], 1, Table1[[AwayTeam]:[AwayTeam]], $A61, Table1[[HomeTeam]:[HomeTeam]], M$36, Table1[[ActualResult]:[ActualResult]], "SO") + SUMIFS(Table1[[AwayWon]:[AwayWon]], Table1[[GameIsOver]:[GameIsOver]], 1, Table1[[HomeTeam]:[HomeTeam]], $A61, Table1[[AwayTeam]:[AwayTeam]], M$36, Table1[[ActualResult]:[ActualResult]], "SO")))/ (2*((COUNTIFS(Table1[[GameIsOver]:[GameIsOver]],1,Table1[[AwayTeam]:[AwayTeam]],$A61, Table1[[HomeTeam]:[HomeTeam]], M$36)))+( COUNTIFS(Table1[[GameIsOver]:[GameIsOver]],1,Table1[[AwayTeam]:[AwayTeam]],M$36, Table1[[HomeTeam]:[HomeTeam]],$A61))), "")</f>
        <v/>
      </c>
      <c r="N61" s="50" t="str">
        <f>IFERROR(((2 * (SUMIFS(Table1[[AwayWon]:[AwayWon]], Table1[[GameIsOver]:[GameIsOver]], 1, Table1[[AwayTeam]:[AwayTeam]], $A61, Table1[[HomeTeam]:[HomeTeam]], N$36) + SUMIFS(Table1[[HomeWon]:[HomeWon]], Table1[[GameIsOver]:[GameIsOver]], 1, Table1[[HomeTeam]:[HomeTeam]], $A61, Table1[[AwayTeam]:[AwayTeam]], N$36))) + (SUMIFS(Table1[[HomeWon]:[HomeWon]], Table1[[GameIsOver]:[GameIsOver]], 1, Table1[[AwayTeam]:[AwayTeam]], $A61, Table1[[HomeTeam]:[HomeTeam]],  N$36, Table1[[ActualResult]:[ActualResult]], "OT") + SUMIFS(Table1[[AwayWon]:[AwayWon]], Table1[[GameIsOver]:[GameIsOver]], 1, Table1[[HomeTeam]:[HomeTeam]], $A61, Table1[[AwayTeam]:[AwayTeam]], N$36, Table1[[ActualResult]:[ActualResult]], "OT") + SUMIFS(Table1[[HomeWon]:[HomeWon]], Table1[[GameIsOver]:[GameIsOver]], 1, Table1[[AwayTeam]:[AwayTeam]], $A61, Table1[[HomeTeam]:[HomeTeam]], N$36, Table1[[ActualResult]:[ActualResult]], "SO") + SUMIFS(Table1[[AwayWon]:[AwayWon]], Table1[[GameIsOver]:[GameIsOver]], 1, Table1[[HomeTeam]:[HomeTeam]], $A61, Table1[[AwayTeam]:[AwayTeam]], N$36, Table1[[ActualResult]:[ActualResult]], "SO")))/ (2*((COUNTIFS(Table1[[GameIsOver]:[GameIsOver]],1,Table1[[AwayTeam]:[AwayTeam]],$A61, Table1[[HomeTeam]:[HomeTeam]], N$36)))+( COUNTIFS(Table1[[GameIsOver]:[GameIsOver]],1,Table1[[AwayTeam]:[AwayTeam]],N$36, Table1[[HomeTeam]:[HomeTeam]],$A61))), "")</f>
        <v/>
      </c>
      <c r="O61" s="50" t="str">
        <f>IFERROR(((2 * (SUMIFS(Table1[[AwayWon]:[AwayWon]], Table1[[GameIsOver]:[GameIsOver]], 1, Table1[[AwayTeam]:[AwayTeam]], $A61, Table1[[HomeTeam]:[HomeTeam]], O$36) + SUMIFS(Table1[[HomeWon]:[HomeWon]], Table1[[GameIsOver]:[GameIsOver]], 1, Table1[[HomeTeam]:[HomeTeam]], $A61, Table1[[AwayTeam]:[AwayTeam]], O$36))) + (SUMIFS(Table1[[HomeWon]:[HomeWon]], Table1[[GameIsOver]:[GameIsOver]], 1, Table1[[AwayTeam]:[AwayTeam]], $A61, Table1[[HomeTeam]:[HomeTeam]],  O$36, Table1[[ActualResult]:[ActualResult]], "OT") + SUMIFS(Table1[[AwayWon]:[AwayWon]], Table1[[GameIsOver]:[GameIsOver]], 1, Table1[[HomeTeam]:[HomeTeam]], $A61, Table1[[AwayTeam]:[AwayTeam]], O$36, Table1[[ActualResult]:[ActualResult]], "OT") + SUMIFS(Table1[[HomeWon]:[HomeWon]], Table1[[GameIsOver]:[GameIsOver]], 1, Table1[[AwayTeam]:[AwayTeam]], $A61, Table1[[HomeTeam]:[HomeTeam]], O$36, Table1[[ActualResult]:[ActualResult]], "SO") + SUMIFS(Table1[[AwayWon]:[AwayWon]], Table1[[GameIsOver]:[GameIsOver]], 1, Table1[[HomeTeam]:[HomeTeam]], $A61, Table1[[AwayTeam]:[AwayTeam]], O$36, Table1[[ActualResult]:[ActualResult]], "SO")))/ (2*((COUNTIFS(Table1[[GameIsOver]:[GameIsOver]],1,Table1[[AwayTeam]:[AwayTeam]],$A61, Table1[[HomeTeam]:[HomeTeam]], O$36)))+( COUNTIFS(Table1[[GameIsOver]:[GameIsOver]],1,Table1[[AwayTeam]:[AwayTeam]],O$36, Table1[[HomeTeam]:[HomeTeam]],$A61))), "")</f>
        <v/>
      </c>
      <c r="P61" s="50" t="str">
        <f>IFERROR(((2 * (SUMIFS(Table1[[AwayWon]:[AwayWon]], Table1[[GameIsOver]:[GameIsOver]], 1, Table1[[AwayTeam]:[AwayTeam]], $A61, Table1[[HomeTeam]:[HomeTeam]], P$36) + SUMIFS(Table1[[HomeWon]:[HomeWon]], Table1[[GameIsOver]:[GameIsOver]], 1, Table1[[HomeTeam]:[HomeTeam]], $A61, Table1[[AwayTeam]:[AwayTeam]], P$36))) + (SUMIFS(Table1[[HomeWon]:[HomeWon]], Table1[[GameIsOver]:[GameIsOver]], 1, Table1[[AwayTeam]:[AwayTeam]], $A61, Table1[[HomeTeam]:[HomeTeam]],  P$36, Table1[[ActualResult]:[ActualResult]], "OT") + SUMIFS(Table1[[AwayWon]:[AwayWon]], Table1[[GameIsOver]:[GameIsOver]], 1, Table1[[HomeTeam]:[HomeTeam]], $A61, Table1[[AwayTeam]:[AwayTeam]], P$36, Table1[[ActualResult]:[ActualResult]], "OT") + SUMIFS(Table1[[HomeWon]:[HomeWon]], Table1[[GameIsOver]:[GameIsOver]], 1, Table1[[AwayTeam]:[AwayTeam]], $A61, Table1[[HomeTeam]:[HomeTeam]], P$36, Table1[[ActualResult]:[ActualResult]], "SO") + SUMIFS(Table1[[AwayWon]:[AwayWon]], Table1[[GameIsOver]:[GameIsOver]], 1, Table1[[HomeTeam]:[HomeTeam]], $A61, Table1[[AwayTeam]:[AwayTeam]], P$36, Table1[[ActualResult]:[ActualResult]], "SO")))/ (2*((COUNTIFS(Table1[[GameIsOver]:[GameIsOver]],1,Table1[[AwayTeam]:[AwayTeam]],$A61, Table1[[HomeTeam]:[HomeTeam]], P$36)))+( COUNTIFS(Table1[[GameIsOver]:[GameIsOver]],1,Table1[[AwayTeam]:[AwayTeam]],P$36, Table1[[HomeTeam]:[HomeTeam]],$A61))), "")</f>
        <v/>
      </c>
      <c r="Q61" s="52">
        <f>IFERROR(((2 * (SUMIFS(Table1[[AwayWon]:[AwayWon]], Table1[[GameIsOver]:[GameIsOver]], 1, Table1[[AwayTeam]:[AwayTeam]], $A61, Table1[[HomeTeam]:[HomeTeam]], Q$36) + SUMIFS(Table1[[HomeWon]:[HomeWon]], Table1[[GameIsOver]:[GameIsOver]], 1, Table1[[HomeTeam]:[HomeTeam]], $A61, Table1[[AwayTeam]:[AwayTeam]], Q$36))) + (SUMIFS(Table1[[HomeWon]:[HomeWon]], Table1[[GameIsOver]:[GameIsOver]], 1, Table1[[AwayTeam]:[AwayTeam]], $A61, Table1[[HomeTeam]:[HomeTeam]],  Q$36, Table1[[ActualResult]:[ActualResult]], "OT") + SUMIFS(Table1[[AwayWon]:[AwayWon]], Table1[[GameIsOver]:[GameIsOver]], 1, Table1[[HomeTeam]:[HomeTeam]], $A61, Table1[[AwayTeam]:[AwayTeam]], Q$36, Table1[[ActualResult]:[ActualResult]], "OT") + SUMIFS(Table1[[HomeWon]:[HomeWon]], Table1[[GameIsOver]:[GameIsOver]], 1, Table1[[AwayTeam]:[AwayTeam]], $A61, Table1[[HomeTeam]:[HomeTeam]], Q$36, Table1[[ActualResult]:[ActualResult]], "SO") + SUMIFS(Table1[[AwayWon]:[AwayWon]], Table1[[GameIsOver]:[GameIsOver]], 1, Table1[[HomeTeam]:[HomeTeam]], $A61, Table1[[AwayTeam]:[AwayTeam]], Q$36, Table1[[ActualResult]:[ActualResult]], "SO")))/ (2*((COUNTIFS(Table1[[GameIsOver]:[GameIsOver]],1,Table1[[AwayTeam]:[AwayTeam]],$A61, Table1[[HomeTeam]:[HomeTeam]], Q$36)))+( COUNTIFS(Table1[[GameIsOver]:[GameIsOver]],1,Table1[[AwayTeam]:[AwayTeam]],Q$36, Table1[[HomeTeam]:[HomeTeam]],$A61))), "")</f>
        <v>1</v>
      </c>
      <c r="R61" s="50" t="str">
        <f>IFERROR(((2 * (SUMIFS(Table1[[AwayWon]:[AwayWon]], Table1[[GameIsOver]:[GameIsOver]], 1, Table1[[AwayTeam]:[AwayTeam]], $A61, Table1[[HomeTeam]:[HomeTeam]], R$36) + SUMIFS(Table1[[HomeWon]:[HomeWon]], Table1[[GameIsOver]:[GameIsOver]], 1, Table1[[HomeTeam]:[HomeTeam]], $A61, Table1[[AwayTeam]:[AwayTeam]], R$36))) + (SUMIFS(Table1[[HomeWon]:[HomeWon]], Table1[[GameIsOver]:[GameIsOver]], 1, Table1[[AwayTeam]:[AwayTeam]], $A61, Table1[[HomeTeam]:[HomeTeam]],  R$36, Table1[[ActualResult]:[ActualResult]], "OT") + SUMIFS(Table1[[AwayWon]:[AwayWon]], Table1[[GameIsOver]:[GameIsOver]], 1, Table1[[HomeTeam]:[HomeTeam]], $A61, Table1[[AwayTeam]:[AwayTeam]], R$36, Table1[[ActualResult]:[ActualResult]], "OT") + SUMIFS(Table1[[HomeWon]:[HomeWon]], Table1[[GameIsOver]:[GameIsOver]], 1, Table1[[AwayTeam]:[AwayTeam]], $A61, Table1[[HomeTeam]:[HomeTeam]], R$36, Table1[[ActualResult]:[ActualResult]], "SO") + SUMIFS(Table1[[AwayWon]:[AwayWon]], Table1[[GameIsOver]:[GameIsOver]], 1, Table1[[HomeTeam]:[HomeTeam]], $A61, Table1[[AwayTeam]:[AwayTeam]], R$36, Table1[[ActualResult]:[ActualResult]], "SO")))/ (2*((COUNTIFS(Table1[[GameIsOver]:[GameIsOver]],1,Table1[[AwayTeam]:[AwayTeam]],$A61, Table1[[HomeTeam]:[HomeTeam]], R$36)))+( COUNTIFS(Table1[[GameIsOver]:[GameIsOver]],1,Table1[[AwayTeam]:[AwayTeam]],R$36, Table1[[HomeTeam]:[HomeTeam]],$A61))), "")</f>
        <v/>
      </c>
      <c r="S61" s="50" t="str">
        <f>IFERROR(((2 * (SUMIFS(Table1[[AwayWon]:[AwayWon]], Table1[[GameIsOver]:[GameIsOver]], 1, Table1[[AwayTeam]:[AwayTeam]], $A61, Table1[[HomeTeam]:[HomeTeam]], S$36) + SUMIFS(Table1[[HomeWon]:[HomeWon]], Table1[[GameIsOver]:[GameIsOver]], 1, Table1[[HomeTeam]:[HomeTeam]], $A61, Table1[[AwayTeam]:[AwayTeam]], S$36))) + (SUMIFS(Table1[[HomeWon]:[HomeWon]], Table1[[GameIsOver]:[GameIsOver]], 1, Table1[[AwayTeam]:[AwayTeam]], $A61, Table1[[HomeTeam]:[HomeTeam]],  S$36, Table1[[ActualResult]:[ActualResult]], "OT") + SUMIFS(Table1[[AwayWon]:[AwayWon]], Table1[[GameIsOver]:[GameIsOver]], 1, Table1[[HomeTeam]:[HomeTeam]], $A61, Table1[[AwayTeam]:[AwayTeam]], S$36, Table1[[ActualResult]:[ActualResult]], "OT") + SUMIFS(Table1[[HomeWon]:[HomeWon]], Table1[[GameIsOver]:[GameIsOver]], 1, Table1[[AwayTeam]:[AwayTeam]], $A61, Table1[[HomeTeam]:[HomeTeam]], S$36, Table1[[ActualResult]:[ActualResult]], "SO") + SUMIFS(Table1[[AwayWon]:[AwayWon]], Table1[[GameIsOver]:[GameIsOver]], 1, Table1[[HomeTeam]:[HomeTeam]], $A61, Table1[[AwayTeam]:[AwayTeam]], S$36, Table1[[ActualResult]:[ActualResult]], "SO")))/ (2*((COUNTIFS(Table1[[GameIsOver]:[GameIsOver]],1,Table1[[AwayTeam]:[AwayTeam]],$A61, Table1[[HomeTeam]:[HomeTeam]], S$36)))+( COUNTIFS(Table1[[GameIsOver]:[GameIsOver]],1,Table1[[AwayTeam]:[AwayTeam]],S$36, Table1[[HomeTeam]:[HomeTeam]],$A61))), "")</f>
        <v/>
      </c>
      <c r="T61" s="50" t="str">
        <f>IFERROR(((2 * (SUMIFS(Table1[[AwayWon]:[AwayWon]], Table1[[GameIsOver]:[GameIsOver]], 1, Table1[[AwayTeam]:[AwayTeam]], $A61, Table1[[HomeTeam]:[HomeTeam]], T$36) + SUMIFS(Table1[[HomeWon]:[HomeWon]], Table1[[GameIsOver]:[GameIsOver]], 1, Table1[[HomeTeam]:[HomeTeam]], $A61, Table1[[AwayTeam]:[AwayTeam]], T$36))) + (SUMIFS(Table1[[HomeWon]:[HomeWon]], Table1[[GameIsOver]:[GameIsOver]], 1, Table1[[AwayTeam]:[AwayTeam]], $A61, Table1[[HomeTeam]:[HomeTeam]],  T$36, Table1[[ActualResult]:[ActualResult]], "OT") + SUMIFS(Table1[[AwayWon]:[AwayWon]], Table1[[GameIsOver]:[GameIsOver]], 1, Table1[[HomeTeam]:[HomeTeam]], $A61, Table1[[AwayTeam]:[AwayTeam]], T$36, Table1[[ActualResult]:[ActualResult]], "OT") + SUMIFS(Table1[[HomeWon]:[HomeWon]], Table1[[GameIsOver]:[GameIsOver]], 1, Table1[[AwayTeam]:[AwayTeam]], $A61, Table1[[HomeTeam]:[HomeTeam]], T$36, Table1[[ActualResult]:[ActualResult]], "SO") + SUMIFS(Table1[[AwayWon]:[AwayWon]], Table1[[GameIsOver]:[GameIsOver]], 1, Table1[[HomeTeam]:[HomeTeam]], $A61, Table1[[AwayTeam]:[AwayTeam]], T$36, Table1[[ActualResult]:[ActualResult]], "SO")))/ (2*((COUNTIFS(Table1[[GameIsOver]:[GameIsOver]],1,Table1[[AwayTeam]:[AwayTeam]],$A61, Table1[[HomeTeam]:[HomeTeam]], T$36)))+( COUNTIFS(Table1[[GameIsOver]:[GameIsOver]],1,Table1[[AwayTeam]:[AwayTeam]],T$36, Table1[[HomeTeam]:[HomeTeam]],$A61))), "")</f>
        <v/>
      </c>
      <c r="U61" s="50" t="str">
        <f>IFERROR(((2 * (SUMIFS(Table1[[AwayWon]:[AwayWon]], Table1[[GameIsOver]:[GameIsOver]], 1, Table1[[AwayTeam]:[AwayTeam]], $A61, Table1[[HomeTeam]:[HomeTeam]], U$36) + SUMIFS(Table1[[HomeWon]:[HomeWon]], Table1[[GameIsOver]:[GameIsOver]], 1, Table1[[HomeTeam]:[HomeTeam]], $A61, Table1[[AwayTeam]:[AwayTeam]], U$36))) + (SUMIFS(Table1[[HomeWon]:[HomeWon]], Table1[[GameIsOver]:[GameIsOver]], 1, Table1[[AwayTeam]:[AwayTeam]], $A61, Table1[[HomeTeam]:[HomeTeam]],  U$36, Table1[[ActualResult]:[ActualResult]], "OT") + SUMIFS(Table1[[AwayWon]:[AwayWon]], Table1[[GameIsOver]:[GameIsOver]], 1, Table1[[HomeTeam]:[HomeTeam]], $A61, Table1[[AwayTeam]:[AwayTeam]], U$36, Table1[[ActualResult]:[ActualResult]], "OT") + SUMIFS(Table1[[HomeWon]:[HomeWon]], Table1[[GameIsOver]:[GameIsOver]], 1, Table1[[AwayTeam]:[AwayTeam]], $A61, Table1[[HomeTeam]:[HomeTeam]], U$36, Table1[[ActualResult]:[ActualResult]], "SO") + SUMIFS(Table1[[AwayWon]:[AwayWon]], Table1[[GameIsOver]:[GameIsOver]], 1, Table1[[HomeTeam]:[HomeTeam]], $A61, Table1[[AwayTeam]:[AwayTeam]], U$36, Table1[[ActualResult]:[ActualResult]], "SO")))/ (2*((COUNTIFS(Table1[[GameIsOver]:[GameIsOver]],1,Table1[[AwayTeam]:[AwayTeam]],$A61, Table1[[HomeTeam]:[HomeTeam]], U$36)))+( COUNTIFS(Table1[[GameIsOver]:[GameIsOver]],1,Table1[[AwayTeam]:[AwayTeam]],U$36, Table1[[HomeTeam]:[HomeTeam]],$A61))), "")</f>
        <v/>
      </c>
      <c r="V61" s="50" t="str">
        <f>IFERROR(((2 * (SUMIFS(Table1[[AwayWon]:[AwayWon]], Table1[[GameIsOver]:[GameIsOver]], 1, Table1[[AwayTeam]:[AwayTeam]], $A61, Table1[[HomeTeam]:[HomeTeam]], V$36) + SUMIFS(Table1[[HomeWon]:[HomeWon]], Table1[[GameIsOver]:[GameIsOver]], 1, Table1[[HomeTeam]:[HomeTeam]], $A61, Table1[[AwayTeam]:[AwayTeam]], V$36))) + (SUMIFS(Table1[[HomeWon]:[HomeWon]], Table1[[GameIsOver]:[GameIsOver]], 1, Table1[[AwayTeam]:[AwayTeam]], $A61, Table1[[HomeTeam]:[HomeTeam]],  V$36, Table1[[ActualResult]:[ActualResult]], "OT") + SUMIFS(Table1[[AwayWon]:[AwayWon]], Table1[[GameIsOver]:[GameIsOver]], 1, Table1[[HomeTeam]:[HomeTeam]], $A61, Table1[[AwayTeam]:[AwayTeam]], V$36, Table1[[ActualResult]:[ActualResult]], "OT") + SUMIFS(Table1[[HomeWon]:[HomeWon]], Table1[[GameIsOver]:[GameIsOver]], 1, Table1[[AwayTeam]:[AwayTeam]], $A61, Table1[[HomeTeam]:[HomeTeam]], V$36, Table1[[ActualResult]:[ActualResult]], "SO") + SUMIFS(Table1[[AwayWon]:[AwayWon]], Table1[[GameIsOver]:[GameIsOver]], 1, Table1[[HomeTeam]:[HomeTeam]], $A61, Table1[[AwayTeam]:[AwayTeam]], V$36, Table1[[ActualResult]:[ActualResult]], "SO")))/ (2*((COUNTIFS(Table1[[GameIsOver]:[GameIsOver]],1,Table1[[AwayTeam]:[AwayTeam]],$A61, Table1[[HomeTeam]:[HomeTeam]], V$36)))+( COUNTIFS(Table1[[GameIsOver]:[GameIsOver]],1,Table1[[AwayTeam]:[AwayTeam]],V$36, Table1[[HomeTeam]:[HomeTeam]],$A61))), "")</f>
        <v/>
      </c>
      <c r="W61" s="50" t="str">
        <f>IFERROR(((2 * (SUMIFS(Table1[[AwayWon]:[AwayWon]], Table1[[GameIsOver]:[GameIsOver]], 1, Table1[[AwayTeam]:[AwayTeam]], $A61, Table1[[HomeTeam]:[HomeTeam]], W$36) + SUMIFS(Table1[[HomeWon]:[HomeWon]], Table1[[GameIsOver]:[GameIsOver]], 1, Table1[[HomeTeam]:[HomeTeam]], $A61, Table1[[AwayTeam]:[AwayTeam]], W$36))) + (SUMIFS(Table1[[HomeWon]:[HomeWon]], Table1[[GameIsOver]:[GameIsOver]], 1, Table1[[AwayTeam]:[AwayTeam]], $A61, Table1[[HomeTeam]:[HomeTeam]],  W$36, Table1[[ActualResult]:[ActualResult]], "OT") + SUMIFS(Table1[[AwayWon]:[AwayWon]], Table1[[GameIsOver]:[GameIsOver]], 1, Table1[[HomeTeam]:[HomeTeam]], $A61, Table1[[AwayTeam]:[AwayTeam]], W$36, Table1[[ActualResult]:[ActualResult]], "OT") + SUMIFS(Table1[[HomeWon]:[HomeWon]], Table1[[GameIsOver]:[GameIsOver]], 1, Table1[[AwayTeam]:[AwayTeam]], $A61, Table1[[HomeTeam]:[HomeTeam]], W$36, Table1[[ActualResult]:[ActualResult]], "SO") + SUMIFS(Table1[[AwayWon]:[AwayWon]], Table1[[GameIsOver]:[GameIsOver]], 1, Table1[[HomeTeam]:[HomeTeam]], $A61, Table1[[AwayTeam]:[AwayTeam]], W$36, Table1[[ActualResult]:[ActualResult]], "SO")))/ (2*((COUNTIFS(Table1[[GameIsOver]:[GameIsOver]],1,Table1[[AwayTeam]:[AwayTeam]],$A61, Table1[[HomeTeam]:[HomeTeam]], W$36)))+( COUNTIFS(Table1[[GameIsOver]:[GameIsOver]],1,Table1[[AwayTeam]:[AwayTeam]],W$36, Table1[[HomeTeam]:[HomeTeam]],$A61))), "")</f>
        <v/>
      </c>
      <c r="X61" s="50" t="str">
        <f>IFERROR(((2 * (SUMIFS(Table1[[AwayWon]:[AwayWon]], Table1[[GameIsOver]:[GameIsOver]], 1, Table1[[AwayTeam]:[AwayTeam]], $A61, Table1[[HomeTeam]:[HomeTeam]], X$36) + SUMIFS(Table1[[HomeWon]:[HomeWon]], Table1[[GameIsOver]:[GameIsOver]], 1, Table1[[HomeTeam]:[HomeTeam]], $A61, Table1[[AwayTeam]:[AwayTeam]], X$36))) + (SUMIFS(Table1[[HomeWon]:[HomeWon]], Table1[[GameIsOver]:[GameIsOver]], 1, Table1[[AwayTeam]:[AwayTeam]], $A61, Table1[[HomeTeam]:[HomeTeam]],  X$36, Table1[[ActualResult]:[ActualResult]], "OT") + SUMIFS(Table1[[AwayWon]:[AwayWon]], Table1[[GameIsOver]:[GameIsOver]], 1, Table1[[HomeTeam]:[HomeTeam]], $A61, Table1[[AwayTeam]:[AwayTeam]], X$36, Table1[[ActualResult]:[ActualResult]], "OT") + SUMIFS(Table1[[HomeWon]:[HomeWon]], Table1[[GameIsOver]:[GameIsOver]], 1, Table1[[AwayTeam]:[AwayTeam]], $A61, Table1[[HomeTeam]:[HomeTeam]], X$36, Table1[[ActualResult]:[ActualResult]], "SO") + SUMIFS(Table1[[AwayWon]:[AwayWon]], Table1[[GameIsOver]:[GameIsOver]], 1, Table1[[HomeTeam]:[HomeTeam]], $A61, Table1[[AwayTeam]:[AwayTeam]], X$36, Table1[[ActualResult]:[ActualResult]], "SO")))/ (2*((COUNTIFS(Table1[[GameIsOver]:[GameIsOver]],1,Table1[[AwayTeam]:[AwayTeam]],$A61, Table1[[HomeTeam]:[HomeTeam]], X$36)))+( COUNTIFS(Table1[[GameIsOver]:[GameIsOver]],1,Table1[[AwayTeam]:[AwayTeam]],X$36, Table1[[HomeTeam]:[HomeTeam]],$A61))), "")</f>
        <v/>
      </c>
      <c r="Y61" s="52" t="str">
        <f>IFERROR(((2 * (SUMIFS(Table1[[AwayWon]:[AwayWon]], Table1[[GameIsOver]:[GameIsOver]], 1, Table1[[AwayTeam]:[AwayTeam]], $A61, Table1[[HomeTeam]:[HomeTeam]], Y$36) + SUMIFS(Table1[[HomeWon]:[HomeWon]], Table1[[GameIsOver]:[GameIsOver]], 1, Table1[[HomeTeam]:[HomeTeam]], $A61, Table1[[AwayTeam]:[AwayTeam]], Y$36))) + (SUMIFS(Table1[[HomeWon]:[HomeWon]], Table1[[GameIsOver]:[GameIsOver]], 1, Table1[[AwayTeam]:[AwayTeam]], $A61, Table1[[HomeTeam]:[HomeTeam]],  Y$36, Table1[[ActualResult]:[ActualResult]], "OT") + SUMIFS(Table1[[AwayWon]:[AwayWon]], Table1[[GameIsOver]:[GameIsOver]], 1, Table1[[HomeTeam]:[HomeTeam]], $A61, Table1[[AwayTeam]:[AwayTeam]], Y$36, Table1[[ActualResult]:[ActualResult]], "OT") + SUMIFS(Table1[[HomeWon]:[HomeWon]], Table1[[GameIsOver]:[GameIsOver]], 1, Table1[[AwayTeam]:[AwayTeam]], $A61, Table1[[HomeTeam]:[HomeTeam]], Y$36, Table1[[ActualResult]:[ActualResult]], "SO") + SUMIFS(Table1[[AwayWon]:[AwayWon]], Table1[[GameIsOver]:[GameIsOver]], 1, Table1[[HomeTeam]:[HomeTeam]], $A61, Table1[[AwayTeam]:[AwayTeam]], Y$36, Table1[[ActualResult]:[ActualResult]], "SO")))/ (2*((COUNTIFS(Table1[[GameIsOver]:[GameIsOver]],1,Table1[[AwayTeam]:[AwayTeam]],$A61, Table1[[HomeTeam]:[HomeTeam]], Y$36)))+( COUNTIFS(Table1[[GameIsOver]:[GameIsOver]],1,Table1[[AwayTeam]:[AwayTeam]],Y$36, Table1[[HomeTeam]:[HomeTeam]],$A61))), "")</f>
        <v/>
      </c>
      <c r="Z61" s="50" t="str">
        <f>IFERROR(((2 * (SUMIFS(Table1[[AwayWon]:[AwayWon]], Table1[[GameIsOver]:[GameIsOver]], 1, Table1[[AwayTeam]:[AwayTeam]], $A61, Table1[[HomeTeam]:[HomeTeam]], Z$36) + SUMIFS(Table1[[HomeWon]:[HomeWon]], Table1[[GameIsOver]:[GameIsOver]], 1, Table1[[HomeTeam]:[HomeTeam]], $A61, Table1[[AwayTeam]:[AwayTeam]], Z$36))) + (SUMIFS(Table1[[HomeWon]:[HomeWon]], Table1[[GameIsOver]:[GameIsOver]], 1, Table1[[AwayTeam]:[AwayTeam]], $A61, Table1[[HomeTeam]:[HomeTeam]],  Z$36, Table1[[ActualResult]:[ActualResult]], "OT") + SUMIFS(Table1[[AwayWon]:[AwayWon]], Table1[[GameIsOver]:[GameIsOver]], 1, Table1[[HomeTeam]:[HomeTeam]], $A61, Table1[[AwayTeam]:[AwayTeam]], Z$36, Table1[[ActualResult]:[ActualResult]], "OT") + SUMIFS(Table1[[HomeWon]:[HomeWon]], Table1[[GameIsOver]:[GameIsOver]], 1, Table1[[AwayTeam]:[AwayTeam]], $A61, Table1[[HomeTeam]:[HomeTeam]], Z$36, Table1[[ActualResult]:[ActualResult]], "SO") + SUMIFS(Table1[[AwayWon]:[AwayWon]], Table1[[GameIsOver]:[GameIsOver]], 1, Table1[[HomeTeam]:[HomeTeam]], $A61, Table1[[AwayTeam]:[AwayTeam]], Z$36, Table1[[ActualResult]:[ActualResult]], "SO")))/ (2*((COUNTIFS(Table1[[GameIsOver]:[GameIsOver]],1,Table1[[AwayTeam]:[AwayTeam]],$A61, Table1[[HomeTeam]:[HomeTeam]], Z$36)))+( COUNTIFS(Table1[[GameIsOver]:[GameIsOver]],1,Table1[[AwayTeam]:[AwayTeam]],Z$36, Table1[[HomeTeam]:[HomeTeam]],$A61))), "")</f>
        <v/>
      </c>
      <c r="AA61" s="50" t="str">
        <f>IFERROR(((2 * (SUMIFS(Table1[[AwayWon]:[AwayWon]], Table1[[GameIsOver]:[GameIsOver]], 1, Table1[[AwayTeam]:[AwayTeam]], $A61, Table1[[HomeTeam]:[HomeTeam]], AA$36) + SUMIFS(Table1[[HomeWon]:[HomeWon]], Table1[[GameIsOver]:[GameIsOver]], 1, Table1[[HomeTeam]:[HomeTeam]], $A61, Table1[[AwayTeam]:[AwayTeam]], AA$36))) + (SUMIFS(Table1[[HomeWon]:[HomeWon]], Table1[[GameIsOver]:[GameIsOver]], 1, Table1[[AwayTeam]:[AwayTeam]], $A61, Table1[[HomeTeam]:[HomeTeam]],  AA$36, Table1[[ActualResult]:[ActualResult]], "OT") + SUMIFS(Table1[[AwayWon]:[AwayWon]], Table1[[GameIsOver]:[GameIsOver]], 1, Table1[[HomeTeam]:[HomeTeam]], $A61, Table1[[AwayTeam]:[AwayTeam]], AA$36, Table1[[ActualResult]:[ActualResult]], "OT") + SUMIFS(Table1[[HomeWon]:[HomeWon]], Table1[[GameIsOver]:[GameIsOver]], 1, Table1[[AwayTeam]:[AwayTeam]], $A61, Table1[[HomeTeam]:[HomeTeam]], AA$36, Table1[[ActualResult]:[ActualResult]], "SO") + SUMIFS(Table1[[AwayWon]:[AwayWon]], Table1[[GameIsOver]:[GameIsOver]], 1, Table1[[HomeTeam]:[HomeTeam]], $A61, Table1[[AwayTeam]:[AwayTeam]], AA$36, Table1[[ActualResult]:[ActualResult]], "SO")))/ (2*((COUNTIFS(Table1[[GameIsOver]:[GameIsOver]],1,Table1[[AwayTeam]:[AwayTeam]],$A61, Table1[[HomeTeam]:[HomeTeam]], AA$36)))+( COUNTIFS(Table1[[GameIsOver]:[GameIsOver]],1,Table1[[AwayTeam]:[AwayTeam]],AA$36, Table1[[HomeTeam]:[HomeTeam]],$A61))), "")</f>
        <v/>
      </c>
      <c r="AB61" s="50" t="str">
        <f>IFERROR(((2 * (SUMIFS(Table1[[AwayWon]:[AwayWon]], Table1[[GameIsOver]:[GameIsOver]], 1, Table1[[AwayTeam]:[AwayTeam]], $A61, Table1[[HomeTeam]:[HomeTeam]], AB$36) + SUMIFS(Table1[[HomeWon]:[HomeWon]], Table1[[GameIsOver]:[GameIsOver]], 1, Table1[[HomeTeam]:[HomeTeam]], $A61, Table1[[AwayTeam]:[AwayTeam]], AB$36))) + (SUMIFS(Table1[[HomeWon]:[HomeWon]], Table1[[GameIsOver]:[GameIsOver]], 1, Table1[[AwayTeam]:[AwayTeam]], $A61, Table1[[HomeTeam]:[HomeTeam]],  AB$36, Table1[[ActualResult]:[ActualResult]], "OT") + SUMIFS(Table1[[AwayWon]:[AwayWon]], Table1[[GameIsOver]:[GameIsOver]], 1, Table1[[HomeTeam]:[HomeTeam]], $A61, Table1[[AwayTeam]:[AwayTeam]], AB$36, Table1[[ActualResult]:[ActualResult]], "OT") + SUMIFS(Table1[[HomeWon]:[HomeWon]], Table1[[GameIsOver]:[GameIsOver]], 1, Table1[[AwayTeam]:[AwayTeam]], $A61, Table1[[HomeTeam]:[HomeTeam]], AB$36, Table1[[ActualResult]:[ActualResult]], "SO") + SUMIFS(Table1[[AwayWon]:[AwayWon]], Table1[[GameIsOver]:[GameIsOver]], 1, Table1[[HomeTeam]:[HomeTeam]], $A61, Table1[[AwayTeam]:[AwayTeam]], AB$36, Table1[[ActualResult]:[ActualResult]], "SO")))/ (2*((COUNTIFS(Table1[[GameIsOver]:[GameIsOver]],1,Table1[[AwayTeam]:[AwayTeam]],$A61, Table1[[HomeTeam]:[HomeTeam]], AB$36)))+( COUNTIFS(Table1[[GameIsOver]:[GameIsOver]],1,Table1[[AwayTeam]:[AwayTeam]],AB$36, Table1[[HomeTeam]:[HomeTeam]],$A61))), "")</f>
        <v/>
      </c>
      <c r="AC61" s="50" t="str">
        <f>IFERROR(((2 * (SUMIFS(Table1[[AwayWon]:[AwayWon]], Table1[[GameIsOver]:[GameIsOver]], 1, Table1[[AwayTeam]:[AwayTeam]], $A61, Table1[[HomeTeam]:[HomeTeam]], AC$36) + SUMIFS(Table1[[HomeWon]:[HomeWon]], Table1[[GameIsOver]:[GameIsOver]], 1, Table1[[HomeTeam]:[HomeTeam]], $A61, Table1[[AwayTeam]:[AwayTeam]], AC$36))) + (SUMIFS(Table1[[HomeWon]:[HomeWon]], Table1[[GameIsOver]:[GameIsOver]], 1, Table1[[AwayTeam]:[AwayTeam]], $A61, Table1[[HomeTeam]:[HomeTeam]],  AC$36, Table1[[ActualResult]:[ActualResult]], "OT") + SUMIFS(Table1[[AwayWon]:[AwayWon]], Table1[[GameIsOver]:[GameIsOver]], 1, Table1[[HomeTeam]:[HomeTeam]], $A61, Table1[[AwayTeam]:[AwayTeam]], AC$36, Table1[[ActualResult]:[ActualResult]], "OT") + SUMIFS(Table1[[HomeWon]:[HomeWon]], Table1[[GameIsOver]:[GameIsOver]], 1, Table1[[AwayTeam]:[AwayTeam]], $A61, Table1[[HomeTeam]:[HomeTeam]], AC$36, Table1[[ActualResult]:[ActualResult]], "SO") + SUMIFS(Table1[[AwayWon]:[AwayWon]], Table1[[GameIsOver]:[GameIsOver]], 1, Table1[[HomeTeam]:[HomeTeam]], $A61, Table1[[AwayTeam]:[AwayTeam]], AC$36, Table1[[ActualResult]:[ActualResult]], "SO")))/ (2*((COUNTIFS(Table1[[GameIsOver]:[GameIsOver]],1,Table1[[AwayTeam]:[AwayTeam]],$A61, Table1[[HomeTeam]:[HomeTeam]], AC$36)))+( COUNTIFS(Table1[[GameIsOver]:[GameIsOver]],1,Table1[[AwayTeam]:[AwayTeam]],AC$36, Table1[[HomeTeam]:[HomeTeam]],$A61))), "")</f>
        <v/>
      </c>
      <c r="AD61" s="50" t="str">
        <f>IFERROR(((2 * (SUMIFS(Table1[[AwayWon]:[AwayWon]], Table1[[GameIsOver]:[GameIsOver]], 1, Table1[[AwayTeam]:[AwayTeam]], $A61, Table1[[HomeTeam]:[HomeTeam]], AD$36) + SUMIFS(Table1[[HomeWon]:[HomeWon]], Table1[[GameIsOver]:[GameIsOver]], 1, Table1[[HomeTeam]:[HomeTeam]], $A61, Table1[[AwayTeam]:[AwayTeam]], AD$36))) + (SUMIFS(Table1[[HomeWon]:[HomeWon]], Table1[[GameIsOver]:[GameIsOver]], 1, Table1[[AwayTeam]:[AwayTeam]], $A61, Table1[[HomeTeam]:[HomeTeam]],  AD$36, Table1[[ActualResult]:[ActualResult]], "OT") + SUMIFS(Table1[[AwayWon]:[AwayWon]], Table1[[GameIsOver]:[GameIsOver]], 1, Table1[[HomeTeam]:[HomeTeam]], $A61, Table1[[AwayTeam]:[AwayTeam]], AD$36, Table1[[ActualResult]:[ActualResult]], "OT") + SUMIFS(Table1[[HomeWon]:[HomeWon]], Table1[[GameIsOver]:[GameIsOver]], 1, Table1[[AwayTeam]:[AwayTeam]], $A61, Table1[[HomeTeam]:[HomeTeam]], AD$36, Table1[[ActualResult]:[ActualResult]], "SO") + SUMIFS(Table1[[AwayWon]:[AwayWon]], Table1[[GameIsOver]:[GameIsOver]], 1, Table1[[HomeTeam]:[HomeTeam]], $A61, Table1[[AwayTeam]:[AwayTeam]], AD$36, Table1[[ActualResult]:[ActualResult]], "SO")))/ (2*((COUNTIFS(Table1[[GameIsOver]:[GameIsOver]],1,Table1[[AwayTeam]:[AwayTeam]],$A61, Table1[[HomeTeam]:[HomeTeam]], AD$36)))+( COUNTIFS(Table1[[GameIsOver]:[GameIsOver]],1,Table1[[AwayTeam]:[AwayTeam]],AD$36, Table1[[HomeTeam]:[HomeTeam]],$A61))), "")</f>
        <v/>
      </c>
      <c r="AE61" s="50" t="str">
        <f>IFERROR(((2 * (SUMIFS(Table1[[AwayWon]:[AwayWon]], Table1[[GameIsOver]:[GameIsOver]], 1, Table1[[AwayTeam]:[AwayTeam]], $A61, Table1[[HomeTeam]:[HomeTeam]], AE$36) + SUMIFS(Table1[[HomeWon]:[HomeWon]], Table1[[GameIsOver]:[GameIsOver]], 1, Table1[[HomeTeam]:[HomeTeam]], $A61, Table1[[AwayTeam]:[AwayTeam]], AE$36))) + (SUMIFS(Table1[[HomeWon]:[HomeWon]], Table1[[GameIsOver]:[GameIsOver]], 1, Table1[[AwayTeam]:[AwayTeam]], $A61, Table1[[HomeTeam]:[HomeTeam]],  AE$36, Table1[[ActualResult]:[ActualResult]], "OT") + SUMIFS(Table1[[AwayWon]:[AwayWon]], Table1[[GameIsOver]:[GameIsOver]], 1, Table1[[HomeTeam]:[HomeTeam]], $A61, Table1[[AwayTeam]:[AwayTeam]], AE$36, Table1[[ActualResult]:[ActualResult]], "OT") + SUMIFS(Table1[[HomeWon]:[HomeWon]], Table1[[GameIsOver]:[GameIsOver]], 1, Table1[[AwayTeam]:[AwayTeam]], $A61, Table1[[HomeTeam]:[HomeTeam]], AE$36, Table1[[ActualResult]:[ActualResult]], "SO") + SUMIFS(Table1[[AwayWon]:[AwayWon]], Table1[[GameIsOver]:[GameIsOver]], 1, Table1[[HomeTeam]:[HomeTeam]], $A61, Table1[[AwayTeam]:[AwayTeam]], AE$36, Table1[[ActualResult]:[ActualResult]], "SO")))/ (2*((COUNTIFS(Table1[[GameIsOver]:[GameIsOver]],1,Table1[[AwayTeam]:[AwayTeam]],$A61, Table1[[HomeTeam]:[HomeTeam]], AE$36)))+( COUNTIFS(Table1[[GameIsOver]:[GameIsOver]],1,Table1[[AwayTeam]:[AwayTeam]],AE$36, Table1[[HomeTeam]:[HomeTeam]],$A61))), "")</f>
        <v/>
      </c>
      <c r="AF61" s="50" t="str">
        <f>IFERROR(((2 * (SUMIFS(Table1[[AwayWon]:[AwayWon]], Table1[[GameIsOver]:[GameIsOver]], 1, Table1[[AwayTeam]:[AwayTeam]], $A61, Table1[[HomeTeam]:[HomeTeam]], AF$36) + SUMIFS(Table1[[HomeWon]:[HomeWon]], Table1[[GameIsOver]:[GameIsOver]], 1, Table1[[HomeTeam]:[HomeTeam]], $A61, Table1[[AwayTeam]:[AwayTeam]], AF$36))) + (SUMIFS(Table1[[HomeWon]:[HomeWon]], Table1[[GameIsOver]:[GameIsOver]], 1, Table1[[AwayTeam]:[AwayTeam]], $A61, Table1[[HomeTeam]:[HomeTeam]],  AF$36, Table1[[ActualResult]:[ActualResult]], "OT") + SUMIFS(Table1[[AwayWon]:[AwayWon]], Table1[[GameIsOver]:[GameIsOver]], 1, Table1[[HomeTeam]:[HomeTeam]], $A61, Table1[[AwayTeam]:[AwayTeam]], AF$36, Table1[[ActualResult]:[ActualResult]], "OT") + SUMIFS(Table1[[HomeWon]:[HomeWon]], Table1[[GameIsOver]:[GameIsOver]], 1, Table1[[AwayTeam]:[AwayTeam]], $A61, Table1[[HomeTeam]:[HomeTeam]], AF$36, Table1[[ActualResult]:[ActualResult]], "SO") + SUMIFS(Table1[[AwayWon]:[AwayWon]], Table1[[GameIsOver]:[GameIsOver]], 1, Table1[[HomeTeam]:[HomeTeam]], $A61, Table1[[AwayTeam]:[AwayTeam]], AF$36, Table1[[ActualResult]:[ActualResult]], "SO")))/ (2*((COUNTIFS(Table1[[GameIsOver]:[GameIsOver]],1,Table1[[AwayTeam]:[AwayTeam]],$A61, Table1[[HomeTeam]:[HomeTeam]], AF$36)))+( COUNTIFS(Table1[[GameIsOver]:[GameIsOver]],1,Table1[[AwayTeam]:[AwayTeam]],AF$36, Table1[[HomeTeam]:[HomeTeam]],$A61))), "")</f>
        <v/>
      </c>
      <c r="AG61" s="50" t="str">
        <f>IFERROR(((2 * (SUMIFS(Table1[[AwayWon]:[AwayWon]], Table1[[GameIsOver]:[GameIsOver]], 1, Table1[[AwayTeam]:[AwayTeam]], $A61, Table1[[HomeTeam]:[HomeTeam]], AG$36) + SUMIFS(Table1[[HomeWon]:[HomeWon]], Table1[[GameIsOver]:[GameIsOver]], 1, Table1[[HomeTeam]:[HomeTeam]], $A61, Table1[[AwayTeam]:[AwayTeam]], AG$36))) + (SUMIFS(Table1[[HomeWon]:[HomeWon]], Table1[[GameIsOver]:[GameIsOver]], 1, Table1[[AwayTeam]:[AwayTeam]], $A61, Table1[[HomeTeam]:[HomeTeam]],  AG$36, Table1[[ActualResult]:[ActualResult]], "OT") + SUMIFS(Table1[[AwayWon]:[AwayWon]], Table1[[GameIsOver]:[GameIsOver]], 1, Table1[[HomeTeam]:[HomeTeam]], $A61, Table1[[AwayTeam]:[AwayTeam]], AG$36, Table1[[ActualResult]:[ActualResult]], "OT") + SUMIFS(Table1[[HomeWon]:[HomeWon]], Table1[[GameIsOver]:[GameIsOver]], 1, Table1[[AwayTeam]:[AwayTeam]], $A61, Table1[[HomeTeam]:[HomeTeam]], AG$36, Table1[[ActualResult]:[ActualResult]], "SO") + SUMIFS(Table1[[AwayWon]:[AwayWon]], Table1[[GameIsOver]:[GameIsOver]], 1, Table1[[HomeTeam]:[HomeTeam]], $A61, Table1[[AwayTeam]:[AwayTeam]], AG$36, Table1[[ActualResult]:[ActualResult]], "SO")))/ (2*((COUNTIFS(Table1[[GameIsOver]:[GameIsOver]],1,Table1[[AwayTeam]:[AwayTeam]],$A61, Table1[[HomeTeam]:[HomeTeam]], AG$36)))+( COUNTIFS(Table1[[GameIsOver]:[GameIsOver]],1,Table1[[AwayTeam]:[AwayTeam]],AG$36, Table1[[HomeTeam]:[HomeTeam]],$A61))), "")</f>
        <v/>
      </c>
      <c r="AH61" s="51" t="e">
        <f t="shared" si="0"/>
        <v>#DIV/0!</v>
      </c>
      <c r="AI61" s="51">
        <f t="shared" si="1"/>
        <v>1</v>
      </c>
      <c r="AJ61" s="52" t="e">
        <f t="shared" si="2"/>
        <v>#DIV/0!</v>
      </c>
      <c r="AK61" s="52" t="e">
        <f t="shared" si="3"/>
        <v>#DIV/0!</v>
      </c>
      <c r="AL61" s="52">
        <f t="shared" si="4"/>
        <v>1</v>
      </c>
      <c r="AM61" s="52" t="e">
        <f t="shared" si="5"/>
        <v>#DIV/0!</v>
      </c>
    </row>
    <row r="62" spans="1:39" x14ac:dyDescent="0.25">
      <c r="A62" s="28" t="s">
        <v>38</v>
      </c>
      <c r="B62" s="50" t="str">
        <f>IFERROR(((2 * (SUMIFS(Table1[[AwayWon]:[AwayWon]], Table1[[GameIsOver]:[GameIsOver]], 1, Table1[[AwayTeam]:[AwayTeam]], $A62, Table1[[HomeTeam]:[HomeTeam]], B$36) + SUMIFS(Table1[[HomeWon]:[HomeWon]], Table1[[GameIsOver]:[GameIsOver]], 1, Table1[[HomeTeam]:[HomeTeam]], $A62, Table1[[AwayTeam]:[AwayTeam]], B$36))) + (SUMIFS(Table1[[HomeWon]:[HomeWon]], Table1[[GameIsOver]:[GameIsOver]], 1, Table1[[AwayTeam]:[AwayTeam]], $A62, Table1[[HomeTeam]:[HomeTeam]],  B$36, Table1[[ActualResult]:[ActualResult]], "OT") + SUMIFS(Table1[[AwayWon]:[AwayWon]], Table1[[GameIsOver]:[GameIsOver]], 1, Table1[[HomeTeam]:[HomeTeam]], $A62, Table1[[AwayTeam]:[AwayTeam]], B$36, Table1[[ActualResult]:[ActualResult]], "OT") + SUMIFS(Table1[[HomeWon]:[HomeWon]], Table1[[GameIsOver]:[GameIsOver]], 1, Table1[[AwayTeam]:[AwayTeam]], $A62, Table1[[HomeTeam]:[HomeTeam]], B$36, Table1[[ActualResult]:[ActualResult]], "SO") + SUMIFS(Table1[[AwayWon]:[AwayWon]], Table1[[GameIsOver]:[GameIsOver]], 1, Table1[[HomeTeam]:[HomeTeam]], $A62, Table1[[AwayTeam]:[AwayTeam]], B$36, Table1[[ActualResult]:[ActualResult]], "SO")))/ (2*((COUNTIFS(Table1[[GameIsOver]:[GameIsOver]],1,Table1[[AwayTeam]:[AwayTeam]],$A62, Table1[[HomeTeam]:[HomeTeam]], B$36)))+( COUNTIFS(Table1[[GameIsOver]:[GameIsOver]],1,Table1[[AwayTeam]:[AwayTeam]],B$36, Table1[[HomeTeam]:[HomeTeam]],$A62))), "")</f>
        <v/>
      </c>
      <c r="C62" s="50">
        <f>IFERROR(((2 * (SUMIFS(Table1[[AwayWon]:[AwayWon]], Table1[[GameIsOver]:[GameIsOver]], 1, Table1[[AwayTeam]:[AwayTeam]], $A62, Table1[[HomeTeam]:[HomeTeam]], C$36) + SUMIFS(Table1[[HomeWon]:[HomeWon]], Table1[[GameIsOver]:[GameIsOver]], 1, Table1[[HomeTeam]:[HomeTeam]], $A62, Table1[[AwayTeam]:[AwayTeam]], C$36))) + (SUMIFS(Table1[[HomeWon]:[HomeWon]], Table1[[GameIsOver]:[GameIsOver]], 1, Table1[[AwayTeam]:[AwayTeam]], $A62, Table1[[HomeTeam]:[HomeTeam]],  C$36, Table1[[ActualResult]:[ActualResult]], "OT") + SUMIFS(Table1[[AwayWon]:[AwayWon]], Table1[[GameIsOver]:[GameIsOver]], 1, Table1[[HomeTeam]:[HomeTeam]], $A62, Table1[[AwayTeam]:[AwayTeam]], C$36, Table1[[ActualResult]:[ActualResult]], "OT") + SUMIFS(Table1[[HomeWon]:[HomeWon]], Table1[[GameIsOver]:[GameIsOver]], 1, Table1[[AwayTeam]:[AwayTeam]], $A62, Table1[[HomeTeam]:[HomeTeam]], C$36, Table1[[ActualResult]:[ActualResult]], "SO") + SUMIFS(Table1[[AwayWon]:[AwayWon]], Table1[[GameIsOver]:[GameIsOver]], 1, Table1[[HomeTeam]:[HomeTeam]], $A62, Table1[[AwayTeam]:[AwayTeam]], C$36, Table1[[ActualResult]:[ActualResult]], "SO")))/ (2*((COUNTIFS(Table1[[GameIsOver]:[GameIsOver]],1,Table1[[AwayTeam]:[AwayTeam]],$A62, Table1[[HomeTeam]:[HomeTeam]], C$36)))+( COUNTIFS(Table1[[GameIsOver]:[GameIsOver]],1,Table1[[AwayTeam]:[AwayTeam]],C$36, Table1[[HomeTeam]:[HomeTeam]],$A62))), "")</f>
        <v>2</v>
      </c>
      <c r="D62" s="50" t="str">
        <f>IFERROR(((2 * (SUMIFS(Table1[[AwayWon]:[AwayWon]], Table1[[GameIsOver]:[GameIsOver]], 1, Table1[[AwayTeam]:[AwayTeam]], $A62, Table1[[HomeTeam]:[HomeTeam]], D$36) + SUMIFS(Table1[[HomeWon]:[HomeWon]], Table1[[GameIsOver]:[GameIsOver]], 1, Table1[[HomeTeam]:[HomeTeam]], $A62, Table1[[AwayTeam]:[AwayTeam]], D$36))) + (SUMIFS(Table1[[HomeWon]:[HomeWon]], Table1[[GameIsOver]:[GameIsOver]], 1, Table1[[AwayTeam]:[AwayTeam]], $A62, Table1[[HomeTeam]:[HomeTeam]],  D$36, Table1[[ActualResult]:[ActualResult]], "OT") + SUMIFS(Table1[[AwayWon]:[AwayWon]], Table1[[GameIsOver]:[GameIsOver]], 1, Table1[[HomeTeam]:[HomeTeam]], $A62, Table1[[AwayTeam]:[AwayTeam]], D$36, Table1[[ActualResult]:[ActualResult]], "OT") + SUMIFS(Table1[[HomeWon]:[HomeWon]], Table1[[GameIsOver]:[GameIsOver]], 1, Table1[[AwayTeam]:[AwayTeam]], $A62, Table1[[HomeTeam]:[HomeTeam]], D$36, Table1[[ActualResult]:[ActualResult]], "SO") + SUMIFS(Table1[[AwayWon]:[AwayWon]], Table1[[GameIsOver]:[GameIsOver]], 1, Table1[[HomeTeam]:[HomeTeam]], $A62, Table1[[AwayTeam]:[AwayTeam]], D$36, Table1[[ActualResult]:[ActualResult]], "SO")))/ (2*((COUNTIFS(Table1[[GameIsOver]:[GameIsOver]],1,Table1[[AwayTeam]:[AwayTeam]],$A62, Table1[[HomeTeam]:[HomeTeam]], D$36)))+( COUNTIFS(Table1[[GameIsOver]:[GameIsOver]],1,Table1[[AwayTeam]:[AwayTeam]],D$36, Table1[[HomeTeam]:[HomeTeam]],$A62))), "")</f>
        <v/>
      </c>
      <c r="E62" s="50" t="str">
        <f>IFERROR(((2 * (SUMIFS(Table1[[AwayWon]:[AwayWon]], Table1[[GameIsOver]:[GameIsOver]], 1, Table1[[AwayTeam]:[AwayTeam]], $A62, Table1[[HomeTeam]:[HomeTeam]], E$36) + SUMIFS(Table1[[HomeWon]:[HomeWon]], Table1[[GameIsOver]:[GameIsOver]], 1, Table1[[HomeTeam]:[HomeTeam]], $A62, Table1[[AwayTeam]:[AwayTeam]], E$36))) + (SUMIFS(Table1[[HomeWon]:[HomeWon]], Table1[[GameIsOver]:[GameIsOver]], 1, Table1[[AwayTeam]:[AwayTeam]], $A62, Table1[[HomeTeam]:[HomeTeam]],  E$36, Table1[[ActualResult]:[ActualResult]], "OT") + SUMIFS(Table1[[AwayWon]:[AwayWon]], Table1[[GameIsOver]:[GameIsOver]], 1, Table1[[HomeTeam]:[HomeTeam]], $A62, Table1[[AwayTeam]:[AwayTeam]], E$36, Table1[[ActualResult]:[ActualResult]], "OT") + SUMIFS(Table1[[HomeWon]:[HomeWon]], Table1[[GameIsOver]:[GameIsOver]], 1, Table1[[AwayTeam]:[AwayTeam]], $A62, Table1[[HomeTeam]:[HomeTeam]], E$36, Table1[[ActualResult]:[ActualResult]], "SO") + SUMIFS(Table1[[AwayWon]:[AwayWon]], Table1[[GameIsOver]:[GameIsOver]], 1, Table1[[HomeTeam]:[HomeTeam]], $A62, Table1[[AwayTeam]:[AwayTeam]], E$36, Table1[[ActualResult]:[ActualResult]], "SO")))/ (2*((COUNTIFS(Table1[[GameIsOver]:[GameIsOver]],1,Table1[[AwayTeam]:[AwayTeam]],$A62, Table1[[HomeTeam]:[HomeTeam]], E$36)))+( COUNTIFS(Table1[[GameIsOver]:[GameIsOver]],1,Table1[[AwayTeam]:[AwayTeam]],E$36, Table1[[HomeTeam]:[HomeTeam]],$A62))), "")</f>
        <v/>
      </c>
      <c r="F62" s="50" t="str">
        <f>IFERROR(((2 * (SUMIFS(Table1[[AwayWon]:[AwayWon]], Table1[[GameIsOver]:[GameIsOver]], 1, Table1[[AwayTeam]:[AwayTeam]], $A62, Table1[[HomeTeam]:[HomeTeam]], F$36) + SUMIFS(Table1[[HomeWon]:[HomeWon]], Table1[[GameIsOver]:[GameIsOver]], 1, Table1[[HomeTeam]:[HomeTeam]], $A62, Table1[[AwayTeam]:[AwayTeam]], F$36))) + (SUMIFS(Table1[[HomeWon]:[HomeWon]], Table1[[GameIsOver]:[GameIsOver]], 1, Table1[[AwayTeam]:[AwayTeam]], $A62, Table1[[HomeTeam]:[HomeTeam]],  F$36, Table1[[ActualResult]:[ActualResult]], "OT") + SUMIFS(Table1[[AwayWon]:[AwayWon]], Table1[[GameIsOver]:[GameIsOver]], 1, Table1[[HomeTeam]:[HomeTeam]], $A62, Table1[[AwayTeam]:[AwayTeam]], F$36, Table1[[ActualResult]:[ActualResult]], "OT") + SUMIFS(Table1[[HomeWon]:[HomeWon]], Table1[[GameIsOver]:[GameIsOver]], 1, Table1[[AwayTeam]:[AwayTeam]], $A62, Table1[[HomeTeam]:[HomeTeam]], F$36, Table1[[ActualResult]:[ActualResult]], "SO") + SUMIFS(Table1[[AwayWon]:[AwayWon]], Table1[[GameIsOver]:[GameIsOver]], 1, Table1[[HomeTeam]:[HomeTeam]], $A62, Table1[[AwayTeam]:[AwayTeam]], F$36, Table1[[ActualResult]:[ActualResult]], "SO")))/ (2*((COUNTIFS(Table1[[GameIsOver]:[GameIsOver]],1,Table1[[AwayTeam]:[AwayTeam]],$A62, Table1[[HomeTeam]:[HomeTeam]], F$36)))+( COUNTIFS(Table1[[GameIsOver]:[GameIsOver]],1,Table1[[AwayTeam]:[AwayTeam]],F$36, Table1[[HomeTeam]:[HomeTeam]],$A62))), "")</f>
        <v/>
      </c>
      <c r="G62" s="50" t="str">
        <f>IFERROR(((2 * (SUMIFS(Table1[[AwayWon]:[AwayWon]], Table1[[GameIsOver]:[GameIsOver]], 1, Table1[[AwayTeam]:[AwayTeam]], $A62, Table1[[HomeTeam]:[HomeTeam]], G$36) + SUMIFS(Table1[[HomeWon]:[HomeWon]], Table1[[GameIsOver]:[GameIsOver]], 1, Table1[[HomeTeam]:[HomeTeam]], $A62, Table1[[AwayTeam]:[AwayTeam]], G$36))) + (SUMIFS(Table1[[HomeWon]:[HomeWon]], Table1[[GameIsOver]:[GameIsOver]], 1, Table1[[AwayTeam]:[AwayTeam]], $A62, Table1[[HomeTeam]:[HomeTeam]],  G$36, Table1[[ActualResult]:[ActualResult]], "OT") + SUMIFS(Table1[[AwayWon]:[AwayWon]], Table1[[GameIsOver]:[GameIsOver]], 1, Table1[[HomeTeam]:[HomeTeam]], $A62, Table1[[AwayTeam]:[AwayTeam]], G$36, Table1[[ActualResult]:[ActualResult]], "OT") + SUMIFS(Table1[[HomeWon]:[HomeWon]], Table1[[GameIsOver]:[GameIsOver]], 1, Table1[[AwayTeam]:[AwayTeam]], $A62, Table1[[HomeTeam]:[HomeTeam]], G$36, Table1[[ActualResult]:[ActualResult]], "SO") + SUMIFS(Table1[[AwayWon]:[AwayWon]], Table1[[GameIsOver]:[GameIsOver]], 1, Table1[[HomeTeam]:[HomeTeam]], $A62, Table1[[AwayTeam]:[AwayTeam]], G$36, Table1[[ActualResult]:[ActualResult]], "SO")))/ (2*((COUNTIFS(Table1[[GameIsOver]:[GameIsOver]],1,Table1[[AwayTeam]:[AwayTeam]],$A62, Table1[[HomeTeam]:[HomeTeam]], G$36)))+( COUNTIFS(Table1[[GameIsOver]:[GameIsOver]],1,Table1[[AwayTeam]:[AwayTeam]],G$36, Table1[[HomeTeam]:[HomeTeam]],$A62))), "")</f>
        <v/>
      </c>
      <c r="H62" s="50" t="str">
        <f>IFERROR(((2 * (SUMIFS(Table1[[AwayWon]:[AwayWon]], Table1[[GameIsOver]:[GameIsOver]], 1, Table1[[AwayTeam]:[AwayTeam]], $A62, Table1[[HomeTeam]:[HomeTeam]], H$36) + SUMIFS(Table1[[HomeWon]:[HomeWon]], Table1[[GameIsOver]:[GameIsOver]], 1, Table1[[HomeTeam]:[HomeTeam]], $A62, Table1[[AwayTeam]:[AwayTeam]], H$36))) + (SUMIFS(Table1[[HomeWon]:[HomeWon]], Table1[[GameIsOver]:[GameIsOver]], 1, Table1[[AwayTeam]:[AwayTeam]], $A62, Table1[[HomeTeam]:[HomeTeam]],  H$36, Table1[[ActualResult]:[ActualResult]], "OT") + SUMIFS(Table1[[AwayWon]:[AwayWon]], Table1[[GameIsOver]:[GameIsOver]], 1, Table1[[HomeTeam]:[HomeTeam]], $A62, Table1[[AwayTeam]:[AwayTeam]], H$36, Table1[[ActualResult]:[ActualResult]], "OT") + SUMIFS(Table1[[HomeWon]:[HomeWon]], Table1[[GameIsOver]:[GameIsOver]], 1, Table1[[AwayTeam]:[AwayTeam]], $A62, Table1[[HomeTeam]:[HomeTeam]], H$36, Table1[[ActualResult]:[ActualResult]], "SO") + SUMIFS(Table1[[AwayWon]:[AwayWon]], Table1[[GameIsOver]:[GameIsOver]], 1, Table1[[HomeTeam]:[HomeTeam]], $A62, Table1[[AwayTeam]:[AwayTeam]], H$36, Table1[[ActualResult]:[ActualResult]], "SO")))/ (2*((COUNTIFS(Table1[[GameIsOver]:[GameIsOver]],1,Table1[[AwayTeam]:[AwayTeam]],$A62, Table1[[HomeTeam]:[HomeTeam]], H$36)))+( COUNTIFS(Table1[[GameIsOver]:[GameIsOver]],1,Table1[[AwayTeam]:[AwayTeam]],H$36, Table1[[HomeTeam]:[HomeTeam]],$A62))), "")</f>
        <v/>
      </c>
      <c r="I62" s="52" t="str">
        <f>IFERROR(((2 * (SUMIFS(Table1[[AwayWon]:[AwayWon]], Table1[[GameIsOver]:[GameIsOver]], 1, Table1[[AwayTeam]:[AwayTeam]], $A62, Table1[[HomeTeam]:[HomeTeam]], I$36) + SUMIFS(Table1[[HomeWon]:[HomeWon]], Table1[[GameIsOver]:[GameIsOver]], 1, Table1[[HomeTeam]:[HomeTeam]], $A62, Table1[[AwayTeam]:[AwayTeam]], I$36))) + (SUMIFS(Table1[[HomeWon]:[HomeWon]], Table1[[GameIsOver]:[GameIsOver]], 1, Table1[[AwayTeam]:[AwayTeam]], $A62, Table1[[HomeTeam]:[HomeTeam]],  I$36, Table1[[ActualResult]:[ActualResult]], "OT") + SUMIFS(Table1[[AwayWon]:[AwayWon]], Table1[[GameIsOver]:[GameIsOver]], 1, Table1[[HomeTeam]:[HomeTeam]], $A62, Table1[[AwayTeam]:[AwayTeam]], I$36, Table1[[ActualResult]:[ActualResult]], "OT") + SUMIFS(Table1[[HomeWon]:[HomeWon]], Table1[[GameIsOver]:[GameIsOver]], 1, Table1[[AwayTeam]:[AwayTeam]], $A62, Table1[[HomeTeam]:[HomeTeam]], I$36, Table1[[ActualResult]:[ActualResult]], "SO") + SUMIFS(Table1[[AwayWon]:[AwayWon]], Table1[[GameIsOver]:[GameIsOver]], 1, Table1[[HomeTeam]:[HomeTeam]], $A62, Table1[[AwayTeam]:[AwayTeam]], I$36, Table1[[ActualResult]:[ActualResult]], "SO")))/ (2*((COUNTIFS(Table1[[GameIsOver]:[GameIsOver]],1,Table1[[AwayTeam]:[AwayTeam]],$A62, Table1[[HomeTeam]:[HomeTeam]], I$36)))+( COUNTIFS(Table1[[GameIsOver]:[GameIsOver]],1,Table1[[AwayTeam]:[AwayTeam]],I$36, Table1[[HomeTeam]:[HomeTeam]],$A62))), "")</f>
        <v/>
      </c>
      <c r="J62" s="50" t="str">
        <f>IFERROR(((2 * (SUMIFS(Table1[[AwayWon]:[AwayWon]], Table1[[GameIsOver]:[GameIsOver]], 1, Table1[[AwayTeam]:[AwayTeam]], $A62, Table1[[HomeTeam]:[HomeTeam]], J$36) + SUMIFS(Table1[[HomeWon]:[HomeWon]], Table1[[GameIsOver]:[GameIsOver]], 1, Table1[[HomeTeam]:[HomeTeam]], $A62, Table1[[AwayTeam]:[AwayTeam]], J$36))) + (SUMIFS(Table1[[HomeWon]:[HomeWon]], Table1[[GameIsOver]:[GameIsOver]], 1, Table1[[AwayTeam]:[AwayTeam]], $A62, Table1[[HomeTeam]:[HomeTeam]],  J$36, Table1[[ActualResult]:[ActualResult]], "OT") + SUMIFS(Table1[[AwayWon]:[AwayWon]], Table1[[GameIsOver]:[GameIsOver]], 1, Table1[[HomeTeam]:[HomeTeam]], $A62, Table1[[AwayTeam]:[AwayTeam]], J$36, Table1[[ActualResult]:[ActualResult]], "OT") + SUMIFS(Table1[[HomeWon]:[HomeWon]], Table1[[GameIsOver]:[GameIsOver]], 1, Table1[[AwayTeam]:[AwayTeam]], $A62, Table1[[HomeTeam]:[HomeTeam]], J$36, Table1[[ActualResult]:[ActualResult]], "SO") + SUMIFS(Table1[[AwayWon]:[AwayWon]], Table1[[GameIsOver]:[GameIsOver]], 1, Table1[[HomeTeam]:[HomeTeam]], $A62, Table1[[AwayTeam]:[AwayTeam]], J$36, Table1[[ActualResult]:[ActualResult]], "SO")))/ (2*((COUNTIFS(Table1[[GameIsOver]:[GameIsOver]],1,Table1[[AwayTeam]:[AwayTeam]],$A62, Table1[[HomeTeam]:[HomeTeam]], J$36)))+( COUNTIFS(Table1[[GameIsOver]:[GameIsOver]],1,Table1[[AwayTeam]:[AwayTeam]],J$36, Table1[[HomeTeam]:[HomeTeam]],$A62))), "")</f>
        <v/>
      </c>
      <c r="K62" s="50" t="str">
        <f>IFERROR(((2 * (SUMIFS(Table1[[AwayWon]:[AwayWon]], Table1[[GameIsOver]:[GameIsOver]], 1, Table1[[AwayTeam]:[AwayTeam]], $A62, Table1[[HomeTeam]:[HomeTeam]], K$36) + SUMIFS(Table1[[HomeWon]:[HomeWon]], Table1[[GameIsOver]:[GameIsOver]], 1, Table1[[HomeTeam]:[HomeTeam]], $A62, Table1[[AwayTeam]:[AwayTeam]], K$36))) + (SUMIFS(Table1[[HomeWon]:[HomeWon]], Table1[[GameIsOver]:[GameIsOver]], 1, Table1[[AwayTeam]:[AwayTeam]], $A62, Table1[[HomeTeam]:[HomeTeam]],  K$36, Table1[[ActualResult]:[ActualResult]], "OT") + SUMIFS(Table1[[AwayWon]:[AwayWon]], Table1[[GameIsOver]:[GameIsOver]], 1, Table1[[HomeTeam]:[HomeTeam]], $A62, Table1[[AwayTeam]:[AwayTeam]], K$36, Table1[[ActualResult]:[ActualResult]], "OT") + SUMIFS(Table1[[HomeWon]:[HomeWon]], Table1[[GameIsOver]:[GameIsOver]], 1, Table1[[AwayTeam]:[AwayTeam]], $A62, Table1[[HomeTeam]:[HomeTeam]], K$36, Table1[[ActualResult]:[ActualResult]], "SO") + SUMIFS(Table1[[AwayWon]:[AwayWon]], Table1[[GameIsOver]:[GameIsOver]], 1, Table1[[HomeTeam]:[HomeTeam]], $A62, Table1[[AwayTeam]:[AwayTeam]], K$36, Table1[[ActualResult]:[ActualResult]], "SO")))/ (2*((COUNTIFS(Table1[[GameIsOver]:[GameIsOver]],1,Table1[[AwayTeam]:[AwayTeam]],$A62, Table1[[HomeTeam]:[HomeTeam]], K$36)))+( COUNTIFS(Table1[[GameIsOver]:[GameIsOver]],1,Table1[[AwayTeam]:[AwayTeam]],K$36, Table1[[HomeTeam]:[HomeTeam]],$A62))), "")</f>
        <v/>
      </c>
      <c r="L62" s="50" t="str">
        <f>IFERROR(((2 * (SUMIFS(Table1[[AwayWon]:[AwayWon]], Table1[[GameIsOver]:[GameIsOver]], 1, Table1[[AwayTeam]:[AwayTeam]], $A62, Table1[[HomeTeam]:[HomeTeam]], L$36) + SUMIFS(Table1[[HomeWon]:[HomeWon]], Table1[[GameIsOver]:[GameIsOver]], 1, Table1[[HomeTeam]:[HomeTeam]], $A62, Table1[[AwayTeam]:[AwayTeam]], L$36))) + (SUMIFS(Table1[[HomeWon]:[HomeWon]], Table1[[GameIsOver]:[GameIsOver]], 1, Table1[[AwayTeam]:[AwayTeam]], $A62, Table1[[HomeTeam]:[HomeTeam]],  L$36, Table1[[ActualResult]:[ActualResult]], "OT") + SUMIFS(Table1[[AwayWon]:[AwayWon]], Table1[[GameIsOver]:[GameIsOver]], 1, Table1[[HomeTeam]:[HomeTeam]], $A62, Table1[[AwayTeam]:[AwayTeam]], L$36, Table1[[ActualResult]:[ActualResult]], "OT") + SUMIFS(Table1[[HomeWon]:[HomeWon]], Table1[[GameIsOver]:[GameIsOver]], 1, Table1[[AwayTeam]:[AwayTeam]], $A62, Table1[[HomeTeam]:[HomeTeam]], L$36, Table1[[ActualResult]:[ActualResult]], "SO") + SUMIFS(Table1[[AwayWon]:[AwayWon]], Table1[[GameIsOver]:[GameIsOver]], 1, Table1[[HomeTeam]:[HomeTeam]], $A62, Table1[[AwayTeam]:[AwayTeam]], L$36, Table1[[ActualResult]:[ActualResult]], "SO")))/ (2*((COUNTIFS(Table1[[GameIsOver]:[GameIsOver]],1,Table1[[AwayTeam]:[AwayTeam]],$A62, Table1[[HomeTeam]:[HomeTeam]], L$36)))+( COUNTIFS(Table1[[GameIsOver]:[GameIsOver]],1,Table1[[AwayTeam]:[AwayTeam]],L$36, Table1[[HomeTeam]:[HomeTeam]],$A62))), "")</f>
        <v/>
      </c>
      <c r="M62" s="50" t="str">
        <f>IFERROR(((2 * (SUMIFS(Table1[[AwayWon]:[AwayWon]], Table1[[GameIsOver]:[GameIsOver]], 1, Table1[[AwayTeam]:[AwayTeam]], $A62, Table1[[HomeTeam]:[HomeTeam]], M$36) + SUMIFS(Table1[[HomeWon]:[HomeWon]], Table1[[GameIsOver]:[GameIsOver]], 1, Table1[[HomeTeam]:[HomeTeam]], $A62, Table1[[AwayTeam]:[AwayTeam]], M$36))) + (SUMIFS(Table1[[HomeWon]:[HomeWon]], Table1[[GameIsOver]:[GameIsOver]], 1, Table1[[AwayTeam]:[AwayTeam]], $A62, Table1[[HomeTeam]:[HomeTeam]],  M$36, Table1[[ActualResult]:[ActualResult]], "OT") + SUMIFS(Table1[[AwayWon]:[AwayWon]], Table1[[GameIsOver]:[GameIsOver]], 1, Table1[[HomeTeam]:[HomeTeam]], $A62, Table1[[AwayTeam]:[AwayTeam]], M$36, Table1[[ActualResult]:[ActualResult]], "OT") + SUMIFS(Table1[[HomeWon]:[HomeWon]], Table1[[GameIsOver]:[GameIsOver]], 1, Table1[[AwayTeam]:[AwayTeam]], $A62, Table1[[HomeTeam]:[HomeTeam]], M$36, Table1[[ActualResult]:[ActualResult]], "SO") + SUMIFS(Table1[[AwayWon]:[AwayWon]], Table1[[GameIsOver]:[GameIsOver]], 1, Table1[[HomeTeam]:[HomeTeam]], $A62, Table1[[AwayTeam]:[AwayTeam]], M$36, Table1[[ActualResult]:[ActualResult]], "SO")))/ (2*((COUNTIFS(Table1[[GameIsOver]:[GameIsOver]],1,Table1[[AwayTeam]:[AwayTeam]],$A62, Table1[[HomeTeam]:[HomeTeam]], M$36)))+( COUNTIFS(Table1[[GameIsOver]:[GameIsOver]],1,Table1[[AwayTeam]:[AwayTeam]],M$36, Table1[[HomeTeam]:[HomeTeam]],$A62))), "")</f>
        <v/>
      </c>
      <c r="N62" s="50" t="str">
        <f>IFERROR(((2 * (SUMIFS(Table1[[AwayWon]:[AwayWon]], Table1[[GameIsOver]:[GameIsOver]], 1, Table1[[AwayTeam]:[AwayTeam]], $A62, Table1[[HomeTeam]:[HomeTeam]], N$36) + SUMIFS(Table1[[HomeWon]:[HomeWon]], Table1[[GameIsOver]:[GameIsOver]], 1, Table1[[HomeTeam]:[HomeTeam]], $A62, Table1[[AwayTeam]:[AwayTeam]], N$36))) + (SUMIFS(Table1[[HomeWon]:[HomeWon]], Table1[[GameIsOver]:[GameIsOver]], 1, Table1[[AwayTeam]:[AwayTeam]], $A62, Table1[[HomeTeam]:[HomeTeam]],  N$36, Table1[[ActualResult]:[ActualResult]], "OT") + SUMIFS(Table1[[AwayWon]:[AwayWon]], Table1[[GameIsOver]:[GameIsOver]], 1, Table1[[HomeTeam]:[HomeTeam]], $A62, Table1[[AwayTeam]:[AwayTeam]], N$36, Table1[[ActualResult]:[ActualResult]], "OT") + SUMIFS(Table1[[HomeWon]:[HomeWon]], Table1[[GameIsOver]:[GameIsOver]], 1, Table1[[AwayTeam]:[AwayTeam]], $A62, Table1[[HomeTeam]:[HomeTeam]], N$36, Table1[[ActualResult]:[ActualResult]], "SO") + SUMIFS(Table1[[AwayWon]:[AwayWon]], Table1[[GameIsOver]:[GameIsOver]], 1, Table1[[HomeTeam]:[HomeTeam]], $A62, Table1[[AwayTeam]:[AwayTeam]], N$36, Table1[[ActualResult]:[ActualResult]], "SO")))/ (2*((COUNTIFS(Table1[[GameIsOver]:[GameIsOver]],1,Table1[[AwayTeam]:[AwayTeam]],$A62, Table1[[HomeTeam]:[HomeTeam]], N$36)))+( COUNTIFS(Table1[[GameIsOver]:[GameIsOver]],1,Table1[[AwayTeam]:[AwayTeam]],N$36, Table1[[HomeTeam]:[HomeTeam]],$A62))), "")</f>
        <v/>
      </c>
      <c r="O62" s="50" t="str">
        <f>IFERROR(((2 * (SUMIFS(Table1[[AwayWon]:[AwayWon]], Table1[[GameIsOver]:[GameIsOver]], 1, Table1[[AwayTeam]:[AwayTeam]], $A62, Table1[[HomeTeam]:[HomeTeam]], O$36) + SUMIFS(Table1[[HomeWon]:[HomeWon]], Table1[[GameIsOver]:[GameIsOver]], 1, Table1[[HomeTeam]:[HomeTeam]], $A62, Table1[[AwayTeam]:[AwayTeam]], O$36))) + (SUMIFS(Table1[[HomeWon]:[HomeWon]], Table1[[GameIsOver]:[GameIsOver]], 1, Table1[[AwayTeam]:[AwayTeam]], $A62, Table1[[HomeTeam]:[HomeTeam]],  O$36, Table1[[ActualResult]:[ActualResult]], "OT") + SUMIFS(Table1[[AwayWon]:[AwayWon]], Table1[[GameIsOver]:[GameIsOver]], 1, Table1[[HomeTeam]:[HomeTeam]], $A62, Table1[[AwayTeam]:[AwayTeam]], O$36, Table1[[ActualResult]:[ActualResult]], "OT") + SUMIFS(Table1[[HomeWon]:[HomeWon]], Table1[[GameIsOver]:[GameIsOver]], 1, Table1[[AwayTeam]:[AwayTeam]], $A62, Table1[[HomeTeam]:[HomeTeam]], O$36, Table1[[ActualResult]:[ActualResult]], "SO") + SUMIFS(Table1[[AwayWon]:[AwayWon]], Table1[[GameIsOver]:[GameIsOver]], 1, Table1[[HomeTeam]:[HomeTeam]], $A62, Table1[[AwayTeam]:[AwayTeam]], O$36, Table1[[ActualResult]:[ActualResult]], "SO")))/ (2*((COUNTIFS(Table1[[GameIsOver]:[GameIsOver]],1,Table1[[AwayTeam]:[AwayTeam]],$A62, Table1[[HomeTeam]:[HomeTeam]], O$36)))+( COUNTIFS(Table1[[GameIsOver]:[GameIsOver]],1,Table1[[AwayTeam]:[AwayTeam]],O$36, Table1[[HomeTeam]:[HomeTeam]],$A62))), "")</f>
        <v/>
      </c>
      <c r="P62" s="50" t="str">
        <f>IFERROR(((2 * (SUMIFS(Table1[[AwayWon]:[AwayWon]], Table1[[GameIsOver]:[GameIsOver]], 1, Table1[[AwayTeam]:[AwayTeam]], $A62, Table1[[HomeTeam]:[HomeTeam]], P$36) + SUMIFS(Table1[[HomeWon]:[HomeWon]], Table1[[GameIsOver]:[GameIsOver]], 1, Table1[[HomeTeam]:[HomeTeam]], $A62, Table1[[AwayTeam]:[AwayTeam]], P$36))) + (SUMIFS(Table1[[HomeWon]:[HomeWon]], Table1[[GameIsOver]:[GameIsOver]], 1, Table1[[AwayTeam]:[AwayTeam]], $A62, Table1[[HomeTeam]:[HomeTeam]],  P$36, Table1[[ActualResult]:[ActualResult]], "OT") + SUMIFS(Table1[[AwayWon]:[AwayWon]], Table1[[GameIsOver]:[GameIsOver]], 1, Table1[[HomeTeam]:[HomeTeam]], $A62, Table1[[AwayTeam]:[AwayTeam]], P$36, Table1[[ActualResult]:[ActualResult]], "OT") + SUMIFS(Table1[[HomeWon]:[HomeWon]], Table1[[GameIsOver]:[GameIsOver]], 1, Table1[[AwayTeam]:[AwayTeam]], $A62, Table1[[HomeTeam]:[HomeTeam]], P$36, Table1[[ActualResult]:[ActualResult]], "SO") + SUMIFS(Table1[[AwayWon]:[AwayWon]], Table1[[GameIsOver]:[GameIsOver]], 1, Table1[[HomeTeam]:[HomeTeam]], $A62, Table1[[AwayTeam]:[AwayTeam]], P$36, Table1[[ActualResult]:[ActualResult]], "SO")))/ (2*((COUNTIFS(Table1[[GameIsOver]:[GameIsOver]],1,Table1[[AwayTeam]:[AwayTeam]],$A62, Table1[[HomeTeam]:[HomeTeam]], P$36)))+( COUNTIFS(Table1[[GameIsOver]:[GameIsOver]],1,Table1[[AwayTeam]:[AwayTeam]],P$36, Table1[[HomeTeam]:[HomeTeam]],$A62))), "")</f>
        <v/>
      </c>
      <c r="Q62" s="52" t="str">
        <f>IFERROR(((2 * (SUMIFS(Table1[[AwayWon]:[AwayWon]], Table1[[GameIsOver]:[GameIsOver]], 1, Table1[[AwayTeam]:[AwayTeam]], $A62, Table1[[HomeTeam]:[HomeTeam]], Q$36) + SUMIFS(Table1[[HomeWon]:[HomeWon]], Table1[[GameIsOver]:[GameIsOver]], 1, Table1[[HomeTeam]:[HomeTeam]], $A62, Table1[[AwayTeam]:[AwayTeam]], Q$36))) + (SUMIFS(Table1[[HomeWon]:[HomeWon]], Table1[[GameIsOver]:[GameIsOver]], 1, Table1[[AwayTeam]:[AwayTeam]], $A62, Table1[[HomeTeam]:[HomeTeam]],  Q$36, Table1[[ActualResult]:[ActualResult]], "OT") + SUMIFS(Table1[[AwayWon]:[AwayWon]], Table1[[GameIsOver]:[GameIsOver]], 1, Table1[[HomeTeam]:[HomeTeam]], $A62, Table1[[AwayTeam]:[AwayTeam]], Q$36, Table1[[ActualResult]:[ActualResult]], "OT") + SUMIFS(Table1[[HomeWon]:[HomeWon]], Table1[[GameIsOver]:[GameIsOver]], 1, Table1[[AwayTeam]:[AwayTeam]], $A62, Table1[[HomeTeam]:[HomeTeam]], Q$36, Table1[[ActualResult]:[ActualResult]], "SO") + SUMIFS(Table1[[AwayWon]:[AwayWon]], Table1[[GameIsOver]:[GameIsOver]], 1, Table1[[HomeTeam]:[HomeTeam]], $A62, Table1[[AwayTeam]:[AwayTeam]], Q$36, Table1[[ActualResult]:[ActualResult]], "SO")))/ (2*((COUNTIFS(Table1[[GameIsOver]:[GameIsOver]],1,Table1[[AwayTeam]:[AwayTeam]],$A62, Table1[[HomeTeam]:[HomeTeam]], Q$36)))+( COUNTIFS(Table1[[GameIsOver]:[GameIsOver]],1,Table1[[AwayTeam]:[AwayTeam]],Q$36, Table1[[HomeTeam]:[HomeTeam]],$A62))), "")</f>
        <v/>
      </c>
      <c r="R62" s="50" t="str">
        <f>IFERROR(((2 * (SUMIFS(Table1[[AwayWon]:[AwayWon]], Table1[[GameIsOver]:[GameIsOver]], 1, Table1[[AwayTeam]:[AwayTeam]], $A62, Table1[[HomeTeam]:[HomeTeam]], R$36) + SUMIFS(Table1[[HomeWon]:[HomeWon]], Table1[[GameIsOver]:[GameIsOver]], 1, Table1[[HomeTeam]:[HomeTeam]], $A62, Table1[[AwayTeam]:[AwayTeam]], R$36))) + (SUMIFS(Table1[[HomeWon]:[HomeWon]], Table1[[GameIsOver]:[GameIsOver]], 1, Table1[[AwayTeam]:[AwayTeam]], $A62, Table1[[HomeTeam]:[HomeTeam]],  R$36, Table1[[ActualResult]:[ActualResult]], "OT") + SUMIFS(Table1[[AwayWon]:[AwayWon]], Table1[[GameIsOver]:[GameIsOver]], 1, Table1[[HomeTeam]:[HomeTeam]], $A62, Table1[[AwayTeam]:[AwayTeam]], R$36, Table1[[ActualResult]:[ActualResult]], "OT") + SUMIFS(Table1[[HomeWon]:[HomeWon]], Table1[[GameIsOver]:[GameIsOver]], 1, Table1[[AwayTeam]:[AwayTeam]], $A62, Table1[[HomeTeam]:[HomeTeam]], R$36, Table1[[ActualResult]:[ActualResult]], "SO") + SUMIFS(Table1[[AwayWon]:[AwayWon]], Table1[[GameIsOver]:[GameIsOver]], 1, Table1[[HomeTeam]:[HomeTeam]], $A62, Table1[[AwayTeam]:[AwayTeam]], R$36, Table1[[ActualResult]:[ActualResult]], "SO")))/ (2*((COUNTIFS(Table1[[GameIsOver]:[GameIsOver]],1,Table1[[AwayTeam]:[AwayTeam]],$A62, Table1[[HomeTeam]:[HomeTeam]], R$36)))+( COUNTIFS(Table1[[GameIsOver]:[GameIsOver]],1,Table1[[AwayTeam]:[AwayTeam]],R$36, Table1[[HomeTeam]:[HomeTeam]],$A62))), "")</f>
        <v/>
      </c>
      <c r="S62" s="50" t="str">
        <f>IFERROR(((2 * (SUMIFS(Table1[[AwayWon]:[AwayWon]], Table1[[GameIsOver]:[GameIsOver]], 1, Table1[[AwayTeam]:[AwayTeam]], $A62, Table1[[HomeTeam]:[HomeTeam]], S$36) + SUMIFS(Table1[[HomeWon]:[HomeWon]], Table1[[GameIsOver]:[GameIsOver]], 1, Table1[[HomeTeam]:[HomeTeam]], $A62, Table1[[AwayTeam]:[AwayTeam]], S$36))) + (SUMIFS(Table1[[HomeWon]:[HomeWon]], Table1[[GameIsOver]:[GameIsOver]], 1, Table1[[AwayTeam]:[AwayTeam]], $A62, Table1[[HomeTeam]:[HomeTeam]],  S$36, Table1[[ActualResult]:[ActualResult]], "OT") + SUMIFS(Table1[[AwayWon]:[AwayWon]], Table1[[GameIsOver]:[GameIsOver]], 1, Table1[[HomeTeam]:[HomeTeam]], $A62, Table1[[AwayTeam]:[AwayTeam]], S$36, Table1[[ActualResult]:[ActualResult]], "OT") + SUMIFS(Table1[[HomeWon]:[HomeWon]], Table1[[GameIsOver]:[GameIsOver]], 1, Table1[[AwayTeam]:[AwayTeam]], $A62, Table1[[HomeTeam]:[HomeTeam]], S$36, Table1[[ActualResult]:[ActualResult]], "SO") + SUMIFS(Table1[[AwayWon]:[AwayWon]], Table1[[GameIsOver]:[GameIsOver]], 1, Table1[[HomeTeam]:[HomeTeam]], $A62, Table1[[AwayTeam]:[AwayTeam]], S$36, Table1[[ActualResult]:[ActualResult]], "SO")))/ (2*((COUNTIFS(Table1[[GameIsOver]:[GameIsOver]],1,Table1[[AwayTeam]:[AwayTeam]],$A62, Table1[[HomeTeam]:[HomeTeam]], S$36)))+( COUNTIFS(Table1[[GameIsOver]:[GameIsOver]],1,Table1[[AwayTeam]:[AwayTeam]],S$36, Table1[[HomeTeam]:[HomeTeam]],$A62))), "")</f>
        <v/>
      </c>
      <c r="T62" s="50" t="str">
        <f>IFERROR(((2 * (SUMIFS(Table1[[AwayWon]:[AwayWon]], Table1[[GameIsOver]:[GameIsOver]], 1, Table1[[AwayTeam]:[AwayTeam]], $A62, Table1[[HomeTeam]:[HomeTeam]], T$36) + SUMIFS(Table1[[HomeWon]:[HomeWon]], Table1[[GameIsOver]:[GameIsOver]], 1, Table1[[HomeTeam]:[HomeTeam]], $A62, Table1[[AwayTeam]:[AwayTeam]], T$36))) + (SUMIFS(Table1[[HomeWon]:[HomeWon]], Table1[[GameIsOver]:[GameIsOver]], 1, Table1[[AwayTeam]:[AwayTeam]], $A62, Table1[[HomeTeam]:[HomeTeam]],  T$36, Table1[[ActualResult]:[ActualResult]], "OT") + SUMIFS(Table1[[AwayWon]:[AwayWon]], Table1[[GameIsOver]:[GameIsOver]], 1, Table1[[HomeTeam]:[HomeTeam]], $A62, Table1[[AwayTeam]:[AwayTeam]], T$36, Table1[[ActualResult]:[ActualResult]], "OT") + SUMIFS(Table1[[HomeWon]:[HomeWon]], Table1[[GameIsOver]:[GameIsOver]], 1, Table1[[AwayTeam]:[AwayTeam]], $A62, Table1[[HomeTeam]:[HomeTeam]], T$36, Table1[[ActualResult]:[ActualResult]], "SO") + SUMIFS(Table1[[AwayWon]:[AwayWon]], Table1[[GameIsOver]:[GameIsOver]], 1, Table1[[HomeTeam]:[HomeTeam]], $A62, Table1[[AwayTeam]:[AwayTeam]], T$36, Table1[[ActualResult]:[ActualResult]], "SO")))/ (2*((COUNTIFS(Table1[[GameIsOver]:[GameIsOver]],1,Table1[[AwayTeam]:[AwayTeam]],$A62, Table1[[HomeTeam]:[HomeTeam]], T$36)))+( COUNTIFS(Table1[[GameIsOver]:[GameIsOver]],1,Table1[[AwayTeam]:[AwayTeam]],T$36, Table1[[HomeTeam]:[HomeTeam]],$A62))), "")</f>
        <v/>
      </c>
      <c r="U62" s="50" t="str">
        <f>IFERROR(((2 * (SUMIFS(Table1[[AwayWon]:[AwayWon]], Table1[[GameIsOver]:[GameIsOver]], 1, Table1[[AwayTeam]:[AwayTeam]], $A62, Table1[[HomeTeam]:[HomeTeam]], U$36) + SUMIFS(Table1[[HomeWon]:[HomeWon]], Table1[[GameIsOver]:[GameIsOver]], 1, Table1[[HomeTeam]:[HomeTeam]], $A62, Table1[[AwayTeam]:[AwayTeam]], U$36))) + (SUMIFS(Table1[[HomeWon]:[HomeWon]], Table1[[GameIsOver]:[GameIsOver]], 1, Table1[[AwayTeam]:[AwayTeam]], $A62, Table1[[HomeTeam]:[HomeTeam]],  U$36, Table1[[ActualResult]:[ActualResult]], "OT") + SUMIFS(Table1[[AwayWon]:[AwayWon]], Table1[[GameIsOver]:[GameIsOver]], 1, Table1[[HomeTeam]:[HomeTeam]], $A62, Table1[[AwayTeam]:[AwayTeam]], U$36, Table1[[ActualResult]:[ActualResult]], "OT") + SUMIFS(Table1[[HomeWon]:[HomeWon]], Table1[[GameIsOver]:[GameIsOver]], 1, Table1[[AwayTeam]:[AwayTeam]], $A62, Table1[[HomeTeam]:[HomeTeam]], U$36, Table1[[ActualResult]:[ActualResult]], "SO") + SUMIFS(Table1[[AwayWon]:[AwayWon]], Table1[[GameIsOver]:[GameIsOver]], 1, Table1[[HomeTeam]:[HomeTeam]], $A62, Table1[[AwayTeam]:[AwayTeam]], U$36, Table1[[ActualResult]:[ActualResult]], "SO")))/ (2*((COUNTIFS(Table1[[GameIsOver]:[GameIsOver]],1,Table1[[AwayTeam]:[AwayTeam]],$A62, Table1[[HomeTeam]:[HomeTeam]], U$36)))+( COUNTIFS(Table1[[GameIsOver]:[GameIsOver]],1,Table1[[AwayTeam]:[AwayTeam]],U$36, Table1[[HomeTeam]:[HomeTeam]],$A62))), "")</f>
        <v/>
      </c>
      <c r="V62" s="50" t="str">
        <f>IFERROR(((2 * (SUMIFS(Table1[[AwayWon]:[AwayWon]], Table1[[GameIsOver]:[GameIsOver]], 1, Table1[[AwayTeam]:[AwayTeam]], $A62, Table1[[HomeTeam]:[HomeTeam]], V$36) + SUMIFS(Table1[[HomeWon]:[HomeWon]], Table1[[GameIsOver]:[GameIsOver]], 1, Table1[[HomeTeam]:[HomeTeam]], $A62, Table1[[AwayTeam]:[AwayTeam]], V$36))) + (SUMIFS(Table1[[HomeWon]:[HomeWon]], Table1[[GameIsOver]:[GameIsOver]], 1, Table1[[AwayTeam]:[AwayTeam]], $A62, Table1[[HomeTeam]:[HomeTeam]],  V$36, Table1[[ActualResult]:[ActualResult]], "OT") + SUMIFS(Table1[[AwayWon]:[AwayWon]], Table1[[GameIsOver]:[GameIsOver]], 1, Table1[[HomeTeam]:[HomeTeam]], $A62, Table1[[AwayTeam]:[AwayTeam]], V$36, Table1[[ActualResult]:[ActualResult]], "OT") + SUMIFS(Table1[[HomeWon]:[HomeWon]], Table1[[GameIsOver]:[GameIsOver]], 1, Table1[[AwayTeam]:[AwayTeam]], $A62, Table1[[HomeTeam]:[HomeTeam]], V$36, Table1[[ActualResult]:[ActualResult]], "SO") + SUMIFS(Table1[[AwayWon]:[AwayWon]], Table1[[GameIsOver]:[GameIsOver]], 1, Table1[[HomeTeam]:[HomeTeam]], $A62, Table1[[AwayTeam]:[AwayTeam]], V$36, Table1[[ActualResult]:[ActualResult]], "SO")))/ (2*((COUNTIFS(Table1[[GameIsOver]:[GameIsOver]],1,Table1[[AwayTeam]:[AwayTeam]],$A62, Table1[[HomeTeam]:[HomeTeam]], V$36)))+( COUNTIFS(Table1[[GameIsOver]:[GameIsOver]],1,Table1[[AwayTeam]:[AwayTeam]],V$36, Table1[[HomeTeam]:[HomeTeam]],$A62))), "")</f>
        <v/>
      </c>
      <c r="W62" s="50" t="str">
        <f>IFERROR(((2 * (SUMIFS(Table1[[AwayWon]:[AwayWon]], Table1[[GameIsOver]:[GameIsOver]], 1, Table1[[AwayTeam]:[AwayTeam]], $A62, Table1[[HomeTeam]:[HomeTeam]], W$36) + SUMIFS(Table1[[HomeWon]:[HomeWon]], Table1[[GameIsOver]:[GameIsOver]], 1, Table1[[HomeTeam]:[HomeTeam]], $A62, Table1[[AwayTeam]:[AwayTeam]], W$36))) + (SUMIFS(Table1[[HomeWon]:[HomeWon]], Table1[[GameIsOver]:[GameIsOver]], 1, Table1[[AwayTeam]:[AwayTeam]], $A62, Table1[[HomeTeam]:[HomeTeam]],  W$36, Table1[[ActualResult]:[ActualResult]], "OT") + SUMIFS(Table1[[AwayWon]:[AwayWon]], Table1[[GameIsOver]:[GameIsOver]], 1, Table1[[HomeTeam]:[HomeTeam]], $A62, Table1[[AwayTeam]:[AwayTeam]], W$36, Table1[[ActualResult]:[ActualResult]], "OT") + SUMIFS(Table1[[HomeWon]:[HomeWon]], Table1[[GameIsOver]:[GameIsOver]], 1, Table1[[AwayTeam]:[AwayTeam]], $A62, Table1[[HomeTeam]:[HomeTeam]], W$36, Table1[[ActualResult]:[ActualResult]], "SO") + SUMIFS(Table1[[AwayWon]:[AwayWon]], Table1[[GameIsOver]:[GameIsOver]], 1, Table1[[HomeTeam]:[HomeTeam]], $A62, Table1[[AwayTeam]:[AwayTeam]], W$36, Table1[[ActualResult]:[ActualResult]], "SO")))/ (2*((COUNTIFS(Table1[[GameIsOver]:[GameIsOver]],1,Table1[[AwayTeam]:[AwayTeam]],$A62, Table1[[HomeTeam]:[HomeTeam]], W$36)))+( COUNTIFS(Table1[[GameIsOver]:[GameIsOver]],1,Table1[[AwayTeam]:[AwayTeam]],W$36, Table1[[HomeTeam]:[HomeTeam]],$A62))), "")</f>
        <v/>
      </c>
      <c r="X62" s="50">
        <f>IFERROR(((2 * (SUMIFS(Table1[[AwayWon]:[AwayWon]], Table1[[GameIsOver]:[GameIsOver]], 1, Table1[[AwayTeam]:[AwayTeam]], $A62, Table1[[HomeTeam]:[HomeTeam]], X$36) + SUMIFS(Table1[[HomeWon]:[HomeWon]], Table1[[GameIsOver]:[GameIsOver]], 1, Table1[[HomeTeam]:[HomeTeam]], $A62, Table1[[AwayTeam]:[AwayTeam]], X$36))) + (SUMIFS(Table1[[HomeWon]:[HomeWon]], Table1[[GameIsOver]:[GameIsOver]], 1, Table1[[AwayTeam]:[AwayTeam]], $A62, Table1[[HomeTeam]:[HomeTeam]],  X$36, Table1[[ActualResult]:[ActualResult]], "OT") + SUMIFS(Table1[[AwayWon]:[AwayWon]], Table1[[GameIsOver]:[GameIsOver]], 1, Table1[[HomeTeam]:[HomeTeam]], $A62, Table1[[AwayTeam]:[AwayTeam]], X$36, Table1[[ActualResult]:[ActualResult]], "OT") + SUMIFS(Table1[[HomeWon]:[HomeWon]], Table1[[GameIsOver]:[GameIsOver]], 1, Table1[[AwayTeam]:[AwayTeam]], $A62, Table1[[HomeTeam]:[HomeTeam]], X$36, Table1[[ActualResult]:[ActualResult]], "SO") + SUMIFS(Table1[[AwayWon]:[AwayWon]], Table1[[GameIsOver]:[GameIsOver]], 1, Table1[[HomeTeam]:[HomeTeam]], $A62, Table1[[AwayTeam]:[AwayTeam]], X$36, Table1[[ActualResult]:[ActualResult]], "SO")))/ (2*((COUNTIFS(Table1[[GameIsOver]:[GameIsOver]],1,Table1[[AwayTeam]:[AwayTeam]],$A62, Table1[[HomeTeam]:[HomeTeam]], X$36)))+( COUNTIFS(Table1[[GameIsOver]:[GameIsOver]],1,Table1[[AwayTeam]:[AwayTeam]],X$36, Table1[[HomeTeam]:[HomeTeam]],$A62))), "")</f>
        <v>2</v>
      </c>
      <c r="Y62" s="52" t="str">
        <f>IFERROR(((2 * (SUMIFS(Table1[[AwayWon]:[AwayWon]], Table1[[GameIsOver]:[GameIsOver]], 1, Table1[[AwayTeam]:[AwayTeam]], $A62, Table1[[HomeTeam]:[HomeTeam]], Y$36) + SUMIFS(Table1[[HomeWon]:[HomeWon]], Table1[[GameIsOver]:[GameIsOver]], 1, Table1[[HomeTeam]:[HomeTeam]], $A62, Table1[[AwayTeam]:[AwayTeam]], Y$36))) + (SUMIFS(Table1[[HomeWon]:[HomeWon]], Table1[[GameIsOver]:[GameIsOver]], 1, Table1[[AwayTeam]:[AwayTeam]], $A62, Table1[[HomeTeam]:[HomeTeam]],  Y$36, Table1[[ActualResult]:[ActualResult]], "OT") + SUMIFS(Table1[[AwayWon]:[AwayWon]], Table1[[GameIsOver]:[GameIsOver]], 1, Table1[[HomeTeam]:[HomeTeam]], $A62, Table1[[AwayTeam]:[AwayTeam]], Y$36, Table1[[ActualResult]:[ActualResult]], "OT") + SUMIFS(Table1[[HomeWon]:[HomeWon]], Table1[[GameIsOver]:[GameIsOver]], 1, Table1[[AwayTeam]:[AwayTeam]], $A62, Table1[[HomeTeam]:[HomeTeam]], Y$36, Table1[[ActualResult]:[ActualResult]], "SO") + SUMIFS(Table1[[AwayWon]:[AwayWon]], Table1[[GameIsOver]:[GameIsOver]], 1, Table1[[HomeTeam]:[HomeTeam]], $A62, Table1[[AwayTeam]:[AwayTeam]], Y$36, Table1[[ActualResult]:[ActualResult]], "SO")))/ (2*((COUNTIFS(Table1[[GameIsOver]:[GameIsOver]],1,Table1[[AwayTeam]:[AwayTeam]],$A62, Table1[[HomeTeam]:[HomeTeam]], Y$36)))+( COUNTIFS(Table1[[GameIsOver]:[GameIsOver]],1,Table1[[AwayTeam]:[AwayTeam]],Y$36, Table1[[HomeTeam]:[HomeTeam]],$A62))), "")</f>
        <v/>
      </c>
      <c r="Z62" s="50" t="str">
        <f>IFERROR(((2 * (SUMIFS(Table1[[AwayWon]:[AwayWon]], Table1[[GameIsOver]:[GameIsOver]], 1, Table1[[AwayTeam]:[AwayTeam]], $A62, Table1[[HomeTeam]:[HomeTeam]], Z$36) + SUMIFS(Table1[[HomeWon]:[HomeWon]], Table1[[GameIsOver]:[GameIsOver]], 1, Table1[[HomeTeam]:[HomeTeam]], $A62, Table1[[AwayTeam]:[AwayTeam]], Z$36))) + (SUMIFS(Table1[[HomeWon]:[HomeWon]], Table1[[GameIsOver]:[GameIsOver]], 1, Table1[[AwayTeam]:[AwayTeam]], $A62, Table1[[HomeTeam]:[HomeTeam]],  Z$36, Table1[[ActualResult]:[ActualResult]], "OT") + SUMIFS(Table1[[AwayWon]:[AwayWon]], Table1[[GameIsOver]:[GameIsOver]], 1, Table1[[HomeTeam]:[HomeTeam]], $A62, Table1[[AwayTeam]:[AwayTeam]], Z$36, Table1[[ActualResult]:[ActualResult]], "OT") + SUMIFS(Table1[[HomeWon]:[HomeWon]], Table1[[GameIsOver]:[GameIsOver]], 1, Table1[[AwayTeam]:[AwayTeam]], $A62, Table1[[HomeTeam]:[HomeTeam]], Z$36, Table1[[ActualResult]:[ActualResult]], "SO") + SUMIFS(Table1[[AwayWon]:[AwayWon]], Table1[[GameIsOver]:[GameIsOver]], 1, Table1[[HomeTeam]:[HomeTeam]], $A62, Table1[[AwayTeam]:[AwayTeam]], Z$36, Table1[[ActualResult]:[ActualResult]], "SO")))/ (2*((COUNTIFS(Table1[[GameIsOver]:[GameIsOver]],1,Table1[[AwayTeam]:[AwayTeam]],$A62, Table1[[HomeTeam]:[HomeTeam]], Z$36)))+( COUNTIFS(Table1[[GameIsOver]:[GameIsOver]],1,Table1[[AwayTeam]:[AwayTeam]],Z$36, Table1[[HomeTeam]:[HomeTeam]],$A62))), "")</f>
        <v/>
      </c>
      <c r="AA62" s="50" t="str">
        <f>IFERROR(((2 * (SUMIFS(Table1[[AwayWon]:[AwayWon]], Table1[[GameIsOver]:[GameIsOver]], 1, Table1[[AwayTeam]:[AwayTeam]], $A62, Table1[[HomeTeam]:[HomeTeam]], AA$36) + SUMIFS(Table1[[HomeWon]:[HomeWon]], Table1[[GameIsOver]:[GameIsOver]], 1, Table1[[HomeTeam]:[HomeTeam]], $A62, Table1[[AwayTeam]:[AwayTeam]], AA$36))) + (SUMIFS(Table1[[HomeWon]:[HomeWon]], Table1[[GameIsOver]:[GameIsOver]], 1, Table1[[AwayTeam]:[AwayTeam]], $A62, Table1[[HomeTeam]:[HomeTeam]],  AA$36, Table1[[ActualResult]:[ActualResult]], "OT") + SUMIFS(Table1[[AwayWon]:[AwayWon]], Table1[[GameIsOver]:[GameIsOver]], 1, Table1[[HomeTeam]:[HomeTeam]], $A62, Table1[[AwayTeam]:[AwayTeam]], AA$36, Table1[[ActualResult]:[ActualResult]], "OT") + SUMIFS(Table1[[HomeWon]:[HomeWon]], Table1[[GameIsOver]:[GameIsOver]], 1, Table1[[AwayTeam]:[AwayTeam]], $A62, Table1[[HomeTeam]:[HomeTeam]], AA$36, Table1[[ActualResult]:[ActualResult]], "SO") + SUMIFS(Table1[[AwayWon]:[AwayWon]], Table1[[GameIsOver]:[GameIsOver]], 1, Table1[[HomeTeam]:[HomeTeam]], $A62, Table1[[AwayTeam]:[AwayTeam]], AA$36, Table1[[ActualResult]:[ActualResult]], "SO")))/ (2*((COUNTIFS(Table1[[GameIsOver]:[GameIsOver]],1,Table1[[AwayTeam]:[AwayTeam]],$A62, Table1[[HomeTeam]:[HomeTeam]], AA$36)))+( COUNTIFS(Table1[[GameIsOver]:[GameIsOver]],1,Table1[[AwayTeam]:[AwayTeam]],AA$36, Table1[[HomeTeam]:[HomeTeam]],$A62))), "")</f>
        <v/>
      </c>
      <c r="AB62" s="50" t="str">
        <f>IFERROR(((2 * (SUMIFS(Table1[[AwayWon]:[AwayWon]], Table1[[GameIsOver]:[GameIsOver]], 1, Table1[[AwayTeam]:[AwayTeam]], $A62, Table1[[HomeTeam]:[HomeTeam]], AB$36) + SUMIFS(Table1[[HomeWon]:[HomeWon]], Table1[[GameIsOver]:[GameIsOver]], 1, Table1[[HomeTeam]:[HomeTeam]], $A62, Table1[[AwayTeam]:[AwayTeam]], AB$36))) + (SUMIFS(Table1[[HomeWon]:[HomeWon]], Table1[[GameIsOver]:[GameIsOver]], 1, Table1[[AwayTeam]:[AwayTeam]], $A62, Table1[[HomeTeam]:[HomeTeam]],  AB$36, Table1[[ActualResult]:[ActualResult]], "OT") + SUMIFS(Table1[[AwayWon]:[AwayWon]], Table1[[GameIsOver]:[GameIsOver]], 1, Table1[[HomeTeam]:[HomeTeam]], $A62, Table1[[AwayTeam]:[AwayTeam]], AB$36, Table1[[ActualResult]:[ActualResult]], "OT") + SUMIFS(Table1[[HomeWon]:[HomeWon]], Table1[[GameIsOver]:[GameIsOver]], 1, Table1[[AwayTeam]:[AwayTeam]], $A62, Table1[[HomeTeam]:[HomeTeam]], AB$36, Table1[[ActualResult]:[ActualResult]], "SO") + SUMIFS(Table1[[AwayWon]:[AwayWon]], Table1[[GameIsOver]:[GameIsOver]], 1, Table1[[HomeTeam]:[HomeTeam]], $A62, Table1[[AwayTeam]:[AwayTeam]], AB$36, Table1[[ActualResult]:[ActualResult]], "SO")))/ (2*((COUNTIFS(Table1[[GameIsOver]:[GameIsOver]],1,Table1[[AwayTeam]:[AwayTeam]],$A62, Table1[[HomeTeam]:[HomeTeam]], AB$36)))+( COUNTIFS(Table1[[GameIsOver]:[GameIsOver]],1,Table1[[AwayTeam]:[AwayTeam]],AB$36, Table1[[HomeTeam]:[HomeTeam]],$A62))), "")</f>
        <v/>
      </c>
      <c r="AC62" s="50" t="str">
        <f>IFERROR(((2 * (SUMIFS(Table1[[AwayWon]:[AwayWon]], Table1[[GameIsOver]:[GameIsOver]], 1, Table1[[AwayTeam]:[AwayTeam]], $A62, Table1[[HomeTeam]:[HomeTeam]], AC$36) + SUMIFS(Table1[[HomeWon]:[HomeWon]], Table1[[GameIsOver]:[GameIsOver]], 1, Table1[[HomeTeam]:[HomeTeam]], $A62, Table1[[AwayTeam]:[AwayTeam]], AC$36))) + (SUMIFS(Table1[[HomeWon]:[HomeWon]], Table1[[GameIsOver]:[GameIsOver]], 1, Table1[[AwayTeam]:[AwayTeam]], $A62, Table1[[HomeTeam]:[HomeTeam]],  AC$36, Table1[[ActualResult]:[ActualResult]], "OT") + SUMIFS(Table1[[AwayWon]:[AwayWon]], Table1[[GameIsOver]:[GameIsOver]], 1, Table1[[HomeTeam]:[HomeTeam]], $A62, Table1[[AwayTeam]:[AwayTeam]], AC$36, Table1[[ActualResult]:[ActualResult]], "OT") + SUMIFS(Table1[[HomeWon]:[HomeWon]], Table1[[GameIsOver]:[GameIsOver]], 1, Table1[[AwayTeam]:[AwayTeam]], $A62, Table1[[HomeTeam]:[HomeTeam]], AC$36, Table1[[ActualResult]:[ActualResult]], "SO") + SUMIFS(Table1[[AwayWon]:[AwayWon]], Table1[[GameIsOver]:[GameIsOver]], 1, Table1[[HomeTeam]:[HomeTeam]], $A62, Table1[[AwayTeam]:[AwayTeam]], AC$36, Table1[[ActualResult]:[ActualResult]], "SO")))/ (2*((COUNTIFS(Table1[[GameIsOver]:[GameIsOver]],1,Table1[[AwayTeam]:[AwayTeam]],$A62, Table1[[HomeTeam]:[HomeTeam]], AC$36)))+( COUNTIFS(Table1[[GameIsOver]:[GameIsOver]],1,Table1[[AwayTeam]:[AwayTeam]],AC$36, Table1[[HomeTeam]:[HomeTeam]],$A62))), "")</f>
        <v/>
      </c>
      <c r="AD62" s="50" t="str">
        <f>IFERROR(((2 * (SUMIFS(Table1[[AwayWon]:[AwayWon]], Table1[[GameIsOver]:[GameIsOver]], 1, Table1[[AwayTeam]:[AwayTeam]], $A62, Table1[[HomeTeam]:[HomeTeam]], AD$36) + SUMIFS(Table1[[HomeWon]:[HomeWon]], Table1[[GameIsOver]:[GameIsOver]], 1, Table1[[HomeTeam]:[HomeTeam]], $A62, Table1[[AwayTeam]:[AwayTeam]], AD$36))) + (SUMIFS(Table1[[HomeWon]:[HomeWon]], Table1[[GameIsOver]:[GameIsOver]], 1, Table1[[AwayTeam]:[AwayTeam]], $A62, Table1[[HomeTeam]:[HomeTeam]],  AD$36, Table1[[ActualResult]:[ActualResult]], "OT") + SUMIFS(Table1[[AwayWon]:[AwayWon]], Table1[[GameIsOver]:[GameIsOver]], 1, Table1[[HomeTeam]:[HomeTeam]], $A62, Table1[[AwayTeam]:[AwayTeam]], AD$36, Table1[[ActualResult]:[ActualResult]], "OT") + SUMIFS(Table1[[HomeWon]:[HomeWon]], Table1[[GameIsOver]:[GameIsOver]], 1, Table1[[AwayTeam]:[AwayTeam]], $A62, Table1[[HomeTeam]:[HomeTeam]], AD$36, Table1[[ActualResult]:[ActualResult]], "SO") + SUMIFS(Table1[[AwayWon]:[AwayWon]], Table1[[GameIsOver]:[GameIsOver]], 1, Table1[[HomeTeam]:[HomeTeam]], $A62, Table1[[AwayTeam]:[AwayTeam]], AD$36, Table1[[ActualResult]:[ActualResult]], "SO")))/ (2*((COUNTIFS(Table1[[GameIsOver]:[GameIsOver]],1,Table1[[AwayTeam]:[AwayTeam]],$A62, Table1[[HomeTeam]:[HomeTeam]], AD$36)))+( COUNTIFS(Table1[[GameIsOver]:[GameIsOver]],1,Table1[[AwayTeam]:[AwayTeam]],AD$36, Table1[[HomeTeam]:[HomeTeam]],$A62))), "")</f>
        <v/>
      </c>
      <c r="AE62" s="50" t="str">
        <f>IFERROR(((2 * (SUMIFS(Table1[[AwayWon]:[AwayWon]], Table1[[GameIsOver]:[GameIsOver]], 1, Table1[[AwayTeam]:[AwayTeam]], $A62, Table1[[HomeTeam]:[HomeTeam]], AE$36) + SUMIFS(Table1[[HomeWon]:[HomeWon]], Table1[[GameIsOver]:[GameIsOver]], 1, Table1[[HomeTeam]:[HomeTeam]], $A62, Table1[[AwayTeam]:[AwayTeam]], AE$36))) + (SUMIFS(Table1[[HomeWon]:[HomeWon]], Table1[[GameIsOver]:[GameIsOver]], 1, Table1[[AwayTeam]:[AwayTeam]], $A62, Table1[[HomeTeam]:[HomeTeam]],  AE$36, Table1[[ActualResult]:[ActualResult]], "OT") + SUMIFS(Table1[[AwayWon]:[AwayWon]], Table1[[GameIsOver]:[GameIsOver]], 1, Table1[[HomeTeam]:[HomeTeam]], $A62, Table1[[AwayTeam]:[AwayTeam]], AE$36, Table1[[ActualResult]:[ActualResult]], "OT") + SUMIFS(Table1[[HomeWon]:[HomeWon]], Table1[[GameIsOver]:[GameIsOver]], 1, Table1[[AwayTeam]:[AwayTeam]], $A62, Table1[[HomeTeam]:[HomeTeam]], AE$36, Table1[[ActualResult]:[ActualResult]], "SO") + SUMIFS(Table1[[AwayWon]:[AwayWon]], Table1[[GameIsOver]:[GameIsOver]], 1, Table1[[HomeTeam]:[HomeTeam]], $A62, Table1[[AwayTeam]:[AwayTeam]], AE$36, Table1[[ActualResult]:[ActualResult]], "SO")))/ (2*((COUNTIFS(Table1[[GameIsOver]:[GameIsOver]],1,Table1[[AwayTeam]:[AwayTeam]],$A62, Table1[[HomeTeam]:[HomeTeam]], AE$36)))+( COUNTIFS(Table1[[GameIsOver]:[GameIsOver]],1,Table1[[AwayTeam]:[AwayTeam]],AE$36, Table1[[HomeTeam]:[HomeTeam]],$A62))), "")</f>
        <v/>
      </c>
      <c r="AF62" s="50" t="str">
        <f>IFERROR(((2 * (SUMIFS(Table1[[AwayWon]:[AwayWon]], Table1[[GameIsOver]:[GameIsOver]], 1, Table1[[AwayTeam]:[AwayTeam]], $A62, Table1[[HomeTeam]:[HomeTeam]], AF$36) + SUMIFS(Table1[[HomeWon]:[HomeWon]], Table1[[GameIsOver]:[GameIsOver]], 1, Table1[[HomeTeam]:[HomeTeam]], $A62, Table1[[AwayTeam]:[AwayTeam]], AF$36))) + (SUMIFS(Table1[[HomeWon]:[HomeWon]], Table1[[GameIsOver]:[GameIsOver]], 1, Table1[[AwayTeam]:[AwayTeam]], $A62, Table1[[HomeTeam]:[HomeTeam]],  AF$36, Table1[[ActualResult]:[ActualResult]], "OT") + SUMIFS(Table1[[AwayWon]:[AwayWon]], Table1[[GameIsOver]:[GameIsOver]], 1, Table1[[HomeTeam]:[HomeTeam]], $A62, Table1[[AwayTeam]:[AwayTeam]], AF$36, Table1[[ActualResult]:[ActualResult]], "OT") + SUMIFS(Table1[[HomeWon]:[HomeWon]], Table1[[GameIsOver]:[GameIsOver]], 1, Table1[[AwayTeam]:[AwayTeam]], $A62, Table1[[HomeTeam]:[HomeTeam]], AF$36, Table1[[ActualResult]:[ActualResult]], "SO") + SUMIFS(Table1[[AwayWon]:[AwayWon]], Table1[[GameIsOver]:[GameIsOver]], 1, Table1[[HomeTeam]:[HomeTeam]], $A62, Table1[[AwayTeam]:[AwayTeam]], AF$36, Table1[[ActualResult]:[ActualResult]], "SO")))/ (2*((COUNTIFS(Table1[[GameIsOver]:[GameIsOver]],1,Table1[[AwayTeam]:[AwayTeam]],$A62, Table1[[HomeTeam]:[HomeTeam]], AF$36)))+( COUNTIFS(Table1[[GameIsOver]:[GameIsOver]],1,Table1[[AwayTeam]:[AwayTeam]],AF$36, Table1[[HomeTeam]:[HomeTeam]],$A62))), "")</f>
        <v/>
      </c>
      <c r="AG62" s="50" t="str">
        <f>IFERROR(((2 * (SUMIFS(Table1[[AwayWon]:[AwayWon]], Table1[[GameIsOver]:[GameIsOver]], 1, Table1[[AwayTeam]:[AwayTeam]], $A62, Table1[[HomeTeam]:[HomeTeam]], AG$36) + SUMIFS(Table1[[HomeWon]:[HomeWon]], Table1[[GameIsOver]:[GameIsOver]], 1, Table1[[HomeTeam]:[HomeTeam]], $A62, Table1[[AwayTeam]:[AwayTeam]], AG$36))) + (SUMIFS(Table1[[HomeWon]:[HomeWon]], Table1[[GameIsOver]:[GameIsOver]], 1, Table1[[AwayTeam]:[AwayTeam]], $A62, Table1[[HomeTeam]:[HomeTeam]],  AG$36, Table1[[ActualResult]:[ActualResult]], "OT") + SUMIFS(Table1[[AwayWon]:[AwayWon]], Table1[[GameIsOver]:[GameIsOver]], 1, Table1[[HomeTeam]:[HomeTeam]], $A62, Table1[[AwayTeam]:[AwayTeam]], AG$36, Table1[[ActualResult]:[ActualResult]], "OT") + SUMIFS(Table1[[HomeWon]:[HomeWon]], Table1[[GameIsOver]:[GameIsOver]], 1, Table1[[AwayTeam]:[AwayTeam]], $A62, Table1[[HomeTeam]:[HomeTeam]], AG$36, Table1[[ActualResult]:[ActualResult]], "SO") + SUMIFS(Table1[[AwayWon]:[AwayWon]], Table1[[GameIsOver]:[GameIsOver]], 1, Table1[[HomeTeam]:[HomeTeam]], $A62, Table1[[AwayTeam]:[AwayTeam]], AG$36, Table1[[ActualResult]:[ActualResult]], "SO")))/ (2*((COUNTIFS(Table1[[GameIsOver]:[GameIsOver]],1,Table1[[AwayTeam]:[AwayTeam]],$A62, Table1[[HomeTeam]:[HomeTeam]], AG$36)))+( COUNTIFS(Table1[[GameIsOver]:[GameIsOver]],1,Table1[[AwayTeam]:[AwayTeam]],AG$36, Table1[[HomeTeam]:[HomeTeam]],$A62))), "")</f>
        <v/>
      </c>
      <c r="AH62" s="51">
        <f t="shared" si="0"/>
        <v>2</v>
      </c>
      <c r="AI62" s="51">
        <f t="shared" si="1"/>
        <v>2</v>
      </c>
      <c r="AJ62" s="52" t="e">
        <f t="shared" si="2"/>
        <v>#DIV/0!</v>
      </c>
      <c r="AK62" s="52">
        <f t="shared" si="3"/>
        <v>2</v>
      </c>
      <c r="AL62" s="52" t="e">
        <f t="shared" si="4"/>
        <v>#DIV/0!</v>
      </c>
      <c r="AM62" s="52">
        <f t="shared" si="5"/>
        <v>2</v>
      </c>
    </row>
    <row r="63" spans="1:39" x14ac:dyDescent="0.25">
      <c r="A63" s="28" t="s">
        <v>44</v>
      </c>
      <c r="B63" s="50" t="str">
        <f>IFERROR(((2 * (SUMIFS(Table1[[AwayWon]:[AwayWon]], Table1[[GameIsOver]:[GameIsOver]], 1, Table1[[AwayTeam]:[AwayTeam]], $A63, Table1[[HomeTeam]:[HomeTeam]], B$36) + SUMIFS(Table1[[HomeWon]:[HomeWon]], Table1[[GameIsOver]:[GameIsOver]], 1, Table1[[HomeTeam]:[HomeTeam]], $A63, Table1[[AwayTeam]:[AwayTeam]], B$36))) + (SUMIFS(Table1[[HomeWon]:[HomeWon]], Table1[[GameIsOver]:[GameIsOver]], 1, Table1[[AwayTeam]:[AwayTeam]], $A63, Table1[[HomeTeam]:[HomeTeam]],  B$36, Table1[[ActualResult]:[ActualResult]], "OT") + SUMIFS(Table1[[AwayWon]:[AwayWon]], Table1[[GameIsOver]:[GameIsOver]], 1, Table1[[HomeTeam]:[HomeTeam]], $A63, Table1[[AwayTeam]:[AwayTeam]], B$36, Table1[[ActualResult]:[ActualResult]], "OT") + SUMIFS(Table1[[HomeWon]:[HomeWon]], Table1[[GameIsOver]:[GameIsOver]], 1, Table1[[AwayTeam]:[AwayTeam]], $A63, Table1[[HomeTeam]:[HomeTeam]], B$36, Table1[[ActualResult]:[ActualResult]], "SO") + SUMIFS(Table1[[AwayWon]:[AwayWon]], Table1[[GameIsOver]:[GameIsOver]], 1, Table1[[HomeTeam]:[HomeTeam]], $A63, Table1[[AwayTeam]:[AwayTeam]], B$36, Table1[[ActualResult]:[ActualResult]], "SO")))/ (2*((COUNTIFS(Table1[[GameIsOver]:[GameIsOver]],1,Table1[[AwayTeam]:[AwayTeam]],$A63, Table1[[HomeTeam]:[HomeTeam]], B$36)))+( COUNTIFS(Table1[[GameIsOver]:[GameIsOver]],1,Table1[[AwayTeam]:[AwayTeam]],B$36, Table1[[HomeTeam]:[HomeTeam]],$A63))), "")</f>
        <v/>
      </c>
      <c r="C63" s="50" t="str">
        <f>IFERROR(((2 * (SUMIFS(Table1[[AwayWon]:[AwayWon]], Table1[[GameIsOver]:[GameIsOver]], 1, Table1[[AwayTeam]:[AwayTeam]], $A63, Table1[[HomeTeam]:[HomeTeam]], C$36) + SUMIFS(Table1[[HomeWon]:[HomeWon]], Table1[[GameIsOver]:[GameIsOver]], 1, Table1[[HomeTeam]:[HomeTeam]], $A63, Table1[[AwayTeam]:[AwayTeam]], C$36))) + (SUMIFS(Table1[[HomeWon]:[HomeWon]], Table1[[GameIsOver]:[GameIsOver]], 1, Table1[[AwayTeam]:[AwayTeam]], $A63, Table1[[HomeTeam]:[HomeTeam]],  C$36, Table1[[ActualResult]:[ActualResult]], "OT") + SUMIFS(Table1[[AwayWon]:[AwayWon]], Table1[[GameIsOver]:[GameIsOver]], 1, Table1[[HomeTeam]:[HomeTeam]], $A63, Table1[[AwayTeam]:[AwayTeam]], C$36, Table1[[ActualResult]:[ActualResult]], "OT") + SUMIFS(Table1[[HomeWon]:[HomeWon]], Table1[[GameIsOver]:[GameIsOver]], 1, Table1[[AwayTeam]:[AwayTeam]], $A63, Table1[[HomeTeam]:[HomeTeam]], C$36, Table1[[ActualResult]:[ActualResult]], "SO") + SUMIFS(Table1[[AwayWon]:[AwayWon]], Table1[[GameIsOver]:[GameIsOver]], 1, Table1[[HomeTeam]:[HomeTeam]], $A63, Table1[[AwayTeam]:[AwayTeam]], C$36, Table1[[ActualResult]:[ActualResult]], "SO")))/ (2*((COUNTIFS(Table1[[GameIsOver]:[GameIsOver]],1,Table1[[AwayTeam]:[AwayTeam]],$A63, Table1[[HomeTeam]:[HomeTeam]], C$36)))+( COUNTIFS(Table1[[GameIsOver]:[GameIsOver]],1,Table1[[AwayTeam]:[AwayTeam]],C$36, Table1[[HomeTeam]:[HomeTeam]],$A63))), "")</f>
        <v/>
      </c>
      <c r="D63" s="50" t="str">
        <f>IFERROR(((2 * (SUMIFS(Table1[[AwayWon]:[AwayWon]], Table1[[GameIsOver]:[GameIsOver]], 1, Table1[[AwayTeam]:[AwayTeam]], $A63, Table1[[HomeTeam]:[HomeTeam]], D$36) + SUMIFS(Table1[[HomeWon]:[HomeWon]], Table1[[GameIsOver]:[GameIsOver]], 1, Table1[[HomeTeam]:[HomeTeam]], $A63, Table1[[AwayTeam]:[AwayTeam]], D$36))) + (SUMIFS(Table1[[HomeWon]:[HomeWon]], Table1[[GameIsOver]:[GameIsOver]], 1, Table1[[AwayTeam]:[AwayTeam]], $A63, Table1[[HomeTeam]:[HomeTeam]],  D$36, Table1[[ActualResult]:[ActualResult]], "OT") + SUMIFS(Table1[[AwayWon]:[AwayWon]], Table1[[GameIsOver]:[GameIsOver]], 1, Table1[[HomeTeam]:[HomeTeam]], $A63, Table1[[AwayTeam]:[AwayTeam]], D$36, Table1[[ActualResult]:[ActualResult]], "OT") + SUMIFS(Table1[[HomeWon]:[HomeWon]], Table1[[GameIsOver]:[GameIsOver]], 1, Table1[[AwayTeam]:[AwayTeam]], $A63, Table1[[HomeTeam]:[HomeTeam]], D$36, Table1[[ActualResult]:[ActualResult]], "SO") + SUMIFS(Table1[[AwayWon]:[AwayWon]], Table1[[GameIsOver]:[GameIsOver]], 1, Table1[[HomeTeam]:[HomeTeam]], $A63, Table1[[AwayTeam]:[AwayTeam]], D$36, Table1[[ActualResult]:[ActualResult]], "SO")))/ (2*((COUNTIFS(Table1[[GameIsOver]:[GameIsOver]],1,Table1[[AwayTeam]:[AwayTeam]],$A63, Table1[[HomeTeam]:[HomeTeam]], D$36)))+( COUNTIFS(Table1[[GameIsOver]:[GameIsOver]],1,Table1[[AwayTeam]:[AwayTeam]],D$36, Table1[[HomeTeam]:[HomeTeam]],$A63))), "")</f>
        <v/>
      </c>
      <c r="E63" s="50" t="str">
        <f>IFERROR(((2 * (SUMIFS(Table1[[AwayWon]:[AwayWon]], Table1[[GameIsOver]:[GameIsOver]], 1, Table1[[AwayTeam]:[AwayTeam]], $A63, Table1[[HomeTeam]:[HomeTeam]], E$36) + SUMIFS(Table1[[HomeWon]:[HomeWon]], Table1[[GameIsOver]:[GameIsOver]], 1, Table1[[HomeTeam]:[HomeTeam]], $A63, Table1[[AwayTeam]:[AwayTeam]], E$36))) + (SUMIFS(Table1[[HomeWon]:[HomeWon]], Table1[[GameIsOver]:[GameIsOver]], 1, Table1[[AwayTeam]:[AwayTeam]], $A63, Table1[[HomeTeam]:[HomeTeam]],  E$36, Table1[[ActualResult]:[ActualResult]], "OT") + SUMIFS(Table1[[AwayWon]:[AwayWon]], Table1[[GameIsOver]:[GameIsOver]], 1, Table1[[HomeTeam]:[HomeTeam]], $A63, Table1[[AwayTeam]:[AwayTeam]], E$36, Table1[[ActualResult]:[ActualResult]], "OT") + SUMIFS(Table1[[HomeWon]:[HomeWon]], Table1[[GameIsOver]:[GameIsOver]], 1, Table1[[AwayTeam]:[AwayTeam]], $A63, Table1[[HomeTeam]:[HomeTeam]], E$36, Table1[[ActualResult]:[ActualResult]], "SO") + SUMIFS(Table1[[AwayWon]:[AwayWon]], Table1[[GameIsOver]:[GameIsOver]], 1, Table1[[HomeTeam]:[HomeTeam]], $A63, Table1[[AwayTeam]:[AwayTeam]], E$36, Table1[[ActualResult]:[ActualResult]], "SO")))/ (2*((COUNTIFS(Table1[[GameIsOver]:[GameIsOver]],1,Table1[[AwayTeam]:[AwayTeam]],$A63, Table1[[HomeTeam]:[HomeTeam]], E$36)))+( COUNTIFS(Table1[[GameIsOver]:[GameIsOver]],1,Table1[[AwayTeam]:[AwayTeam]],E$36, Table1[[HomeTeam]:[HomeTeam]],$A63))), "")</f>
        <v/>
      </c>
      <c r="F63" s="50" t="str">
        <f>IFERROR(((2 * (SUMIFS(Table1[[AwayWon]:[AwayWon]], Table1[[GameIsOver]:[GameIsOver]], 1, Table1[[AwayTeam]:[AwayTeam]], $A63, Table1[[HomeTeam]:[HomeTeam]], F$36) + SUMIFS(Table1[[HomeWon]:[HomeWon]], Table1[[GameIsOver]:[GameIsOver]], 1, Table1[[HomeTeam]:[HomeTeam]], $A63, Table1[[AwayTeam]:[AwayTeam]], F$36))) + (SUMIFS(Table1[[HomeWon]:[HomeWon]], Table1[[GameIsOver]:[GameIsOver]], 1, Table1[[AwayTeam]:[AwayTeam]], $A63, Table1[[HomeTeam]:[HomeTeam]],  F$36, Table1[[ActualResult]:[ActualResult]], "OT") + SUMIFS(Table1[[AwayWon]:[AwayWon]], Table1[[GameIsOver]:[GameIsOver]], 1, Table1[[HomeTeam]:[HomeTeam]], $A63, Table1[[AwayTeam]:[AwayTeam]], F$36, Table1[[ActualResult]:[ActualResult]], "OT") + SUMIFS(Table1[[HomeWon]:[HomeWon]], Table1[[GameIsOver]:[GameIsOver]], 1, Table1[[AwayTeam]:[AwayTeam]], $A63, Table1[[HomeTeam]:[HomeTeam]], F$36, Table1[[ActualResult]:[ActualResult]], "SO") + SUMIFS(Table1[[AwayWon]:[AwayWon]], Table1[[GameIsOver]:[GameIsOver]], 1, Table1[[HomeTeam]:[HomeTeam]], $A63, Table1[[AwayTeam]:[AwayTeam]], F$36, Table1[[ActualResult]:[ActualResult]], "SO")))/ (2*((COUNTIFS(Table1[[GameIsOver]:[GameIsOver]],1,Table1[[AwayTeam]:[AwayTeam]],$A63, Table1[[HomeTeam]:[HomeTeam]], F$36)))+( COUNTIFS(Table1[[GameIsOver]:[GameIsOver]],1,Table1[[AwayTeam]:[AwayTeam]],F$36, Table1[[HomeTeam]:[HomeTeam]],$A63))), "")</f>
        <v/>
      </c>
      <c r="G63" s="50" t="str">
        <f>IFERROR(((2 * (SUMIFS(Table1[[AwayWon]:[AwayWon]], Table1[[GameIsOver]:[GameIsOver]], 1, Table1[[AwayTeam]:[AwayTeam]], $A63, Table1[[HomeTeam]:[HomeTeam]], G$36) + SUMIFS(Table1[[HomeWon]:[HomeWon]], Table1[[GameIsOver]:[GameIsOver]], 1, Table1[[HomeTeam]:[HomeTeam]], $A63, Table1[[AwayTeam]:[AwayTeam]], G$36))) + (SUMIFS(Table1[[HomeWon]:[HomeWon]], Table1[[GameIsOver]:[GameIsOver]], 1, Table1[[AwayTeam]:[AwayTeam]], $A63, Table1[[HomeTeam]:[HomeTeam]],  G$36, Table1[[ActualResult]:[ActualResult]], "OT") + SUMIFS(Table1[[AwayWon]:[AwayWon]], Table1[[GameIsOver]:[GameIsOver]], 1, Table1[[HomeTeam]:[HomeTeam]], $A63, Table1[[AwayTeam]:[AwayTeam]], G$36, Table1[[ActualResult]:[ActualResult]], "OT") + SUMIFS(Table1[[HomeWon]:[HomeWon]], Table1[[GameIsOver]:[GameIsOver]], 1, Table1[[AwayTeam]:[AwayTeam]], $A63, Table1[[HomeTeam]:[HomeTeam]], G$36, Table1[[ActualResult]:[ActualResult]], "SO") + SUMIFS(Table1[[AwayWon]:[AwayWon]], Table1[[GameIsOver]:[GameIsOver]], 1, Table1[[HomeTeam]:[HomeTeam]], $A63, Table1[[AwayTeam]:[AwayTeam]], G$36, Table1[[ActualResult]:[ActualResult]], "SO")))/ (2*((COUNTIFS(Table1[[GameIsOver]:[GameIsOver]],1,Table1[[AwayTeam]:[AwayTeam]],$A63, Table1[[HomeTeam]:[HomeTeam]], G$36)))+( COUNTIFS(Table1[[GameIsOver]:[GameIsOver]],1,Table1[[AwayTeam]:[AwayTeam]],G$36, Table1[[HomeTeam]:[HomeTeam]],$A63))), "")</f>
        <v/>
      </c>
      <c r="H63" s="50" t="str">
        <f>IFERROR(((2 * (SUMIFS(Table1[[AwayWon]:[AwayWon]], Table1[[GameIsOver]:[GameIsOver]], 1, Table1[[AwayTeam]:[AwayTeam]], $A63, Table1[[HomeTeam]:[HomeTeam]], H$36) + SUMIFS(Table1[[HomeWon]:[HomeWon]], Table1[[GameIsOver]:[GameIsOver]], 1, Table1[[HomeTeam]:[HomeTeam]], $A63, Table1[[AwayTeam]:[AwayTeam]], H$36))) + (SUMIFS(Table1[[HomeWon]:[HomeWon]], Table1[[GameIsOver]:[GameIsOver]], 1, Table1[[AwayTeam]:[AwayTeam]], $A63, Table1[[HomeTeam]:[HomeTeam]],  H$36, Table1[[ActualResult]:[ActualResult]], "OT") + SUMIFS(Table1[[AwayWon]:[AwayWon]], Table1[[GameIsOver]:[GameIsOver]], 1, Table1[[HomeTeam]:[HomeTeam]], $A63, Table1[[AwayTeam]:[AwayTeam]], H$36, Table1[[ActualResult]:[ActualResult]], "OT") + SUMIFS(Table1[[HomeWon]:[HomeWon]], Table1[[GameIsOver]:[GameIsOver]], 1, Table1[[AwayTeam]:[AwayTeam]], $A63, Table1[[HomeTeam]:[HomeTeam]], H$36, Table1[[ActualResult]:[ActualResult]], "SO") + SUMIFS(Table1[[AwayWon]:[AwayWon]], Table1[[GameIsOver]:[GameIsOver]], 1, Table1[[HomeTeam]:[HomeTeam]], $A63, Table1[[AwayTeam]:[AwayTeam]], H$36, Table1[[ActualResult]:[ActualResult]], "SO")))/ (2*((COUNTIFS(Table1[[GameIsOver]:[GameIsOver]],1,Table1[[AwayTeam]:[AwayTeam]],$A63, Table1[[HomeTeam]:[HomeTeam]], H$36)))+( COUNTIFS(Table1[[GameIsOver]:[GameIsOver]],1,Table1[[AwayTeam]:[AwayTeam]],H$36, Table1[[HomeTeam]:[HomeTeam]],$A63))), "")</f>
        <v/>
      </c>
      <c r="I63" s="52" t="str">
        <f>IFERROR(((2 * (SUMIFS(Table1[[AwayWon]:[AwayWon]], Table1[[GameIsOver]:[GameIsOver]], 1, Table1[[AwayTeam]:[AwayTeam]], $A63, Table1[[HomeTeam]:[HomeTeam]], I$36) + SUMIFS(Table1[[HomeWon]:[HomeWon]], Table1[[GameIsOver]:[GameIsOver]], 1, Table1[[HomeTeam]:[HomeTeam]], $A63, Table1[[AwayTeam]:[AwayTeam]], I$36))) + (SUMIFS(Table1[[HomeWon]:[HomeWon]], Table1[[GameIsOver]:[GameIsOver]], 1, Table1[[AwayTeam]:[AwayTeam]], $A63, Table1[[HomeTeam]:[HomeTeam]],  I$36, Table1[[ActualResult]:[ActualResult]], "OT") + SUMIFS(Table1[[AwayWon]:[AwayWon]], Table1[[GameIsOver]:[GameIsOver]], 1, Table1[[HomeTeam]:[HomeTeam]], $A63, Table1[[AwayTeam]:[AwayTeam]], I$36, Table1[[ActualResult]:[ActualResult]], "OT") + SUMIFS(Table1[[HomeWon]:[HomeWon]], Table1[[GameIsOver]:[GameIsOver]], 1, Table1[[AwayTeam]:[AwayTeam]], $A63, Table1[[HomeTeam]:[HomeTeam]], I$36, Table1[[ActualResult]:[ActualResult]], "SO") + SUMIFS(Table1[[AwayWon]:[AwayWon]], Table1[[GameIsOver]:[GameIsOver]], 1, Table1[[HomeTeam]:[HomeTeam]], $A63, Table1[[AwayTeam]:[AwayTeam]], I$36, Table1[[ActualResult]:[ActualResult]], "SO")))/ (2*((COUNTIFS(Table1[[GameIsOver]:[GameIsOver]],1,Table1[[AwayTeam]:[AwayTeam]],$A63, Table1[[HomeTeam]:[HomeTeam]], I$36)))+( COUNTIFS(Table1[[GameIsOver]:[GameIsOver]],1,Table1[[AwayTeam]:[AwayTeam]],I$36, Table1[[HomeTeam]:[HomeTeam]],$A63))), "")</f>
        <v/>
      </c>
      <c r="J63" s="50" t="str">
        <f>IFERROR(((2 * (SUMIFS(Table1[[AwayWon]:[AwayWon]], Table1[[GameIsOver]:[GameIsOver]], 1, Table1[[AwayTeam]:[AwayTeam]], $A63, Table1[[HomeTeam]:[HomeTeam]], J$36) + SUMIFS(Table1[[HomeWon]:[HomeWon]], Table1[[GameIsOver]:[GameIsOver]], 1, Table1[[HomeTeam]:[HomeTeam]], $A63, Table1[[AwayTeam]:[AwayTeam]], J$36))) + (SUMIFS(Table1[[HomeWon]:[HomeWon]], Table1[[GameIsOver]:[GameIsOver]], 1, Table1[[AwayTeam]:[AwayTeam]], $A63, Table1[[HomeTeam]:[HomeTeam]],  J$36, Table1[[ActualResult]:[ActualResult]], "OT") + SUMIFS(Table1[[AwayWon]:[AwayWon]], Table1[[GameIsOver]:[GameIsOver]], 1, Table1[[HomeTeam]:[HomeTeam]], $A63, Table1[[AwayTeam]:[AwayTeam]], J$36, Table1[[ActualResult]:[ActualResult]], "OT") + SUMIFS(Table1[[HomeWon]:[HomeWon]], Table1[[GameIsOver]:[GameIsOver]], 1, Table1[[AwayTeam]:[AwayTeam]], $A63, Table1[[HomeTeam]:[HomeTeam]], J$36, Table1[[ActualResult]:[ActualResult]], "SO") + SUMIFS(Table1[[AwayWon]:[AwayWon]], Table1[[GameIsOver]:[GameIsOver]], 1, Table1[[HomeTeam]:[HomeTeam]], $A63, Table1[[AwayTeam]:[AwayTeam]], J$36, Table1[[ActualResult]:[ActualResult]], "SO")))/ (2*((COUNTIFS(Table1[[GameIsOver]:[GameIsOver]],1,Table1[[AwayTeam]:[AwayTeam]],$A63, Table1[[HomeTeam]:[HomeTeam]], J$36)))+( COUNTIFS(Table1[[GameIsOver]:[GameIsOver]],1,Table1[[AwayTeam]:[AwayTeam]],J$36, Table1[[HomeTeam]:[HomeTeam]],$A63))), "")</f>
        <v/>
      </c>
      <c r="K63" s="50" t="str">
        <f>IFERROR(((2 * (SUMIFS(Table1[[AwayWon]:[AwayWon]], Table1[[GameIsOver]:[GameIsOver]], 1, Table1[[AwayTeam]:[AwayTeam]], $A63, Table1[[HomeTeam]:[HomeTeam]], K$36) + SUMIFS(Table1[[HomeWon]:[HomeWon]], Table1[[GameIsOver]:[GameIsOver]], 1, Table1[[HomeTeam]:[HomeTeam]], $A63, Table1[[AwayTeam]:[AwayTeam]], K$36))) + (SUMIFS(Table1[[HomeWon]:[HomeWon]], Table1[[GameIsOver]:[GameIsOver]], 1, Table1[[AwayTeam]:[AwayTeam]], $A63, Table1[[HomeTeam]:[HomeTeam]],  K$36, Table1[[ActualResult]:[ActualResult]], "OT") + SUMIFS(Table1[[AwayWon]:[AwayWon]], Table1[[GameIsOver]:[GameIsOver]], 1, Table1[[HomeTeam]:[HomeTeam]], $A63, Table1[[AwayTeam]:[AwayTeam]], K$36, Table1[[ActualResult]:[ActualResult]], "OT") + SUMIFS(Table1[[HomeWon]:[HomeWon]], Table1[[GameIsOver]:[GameIsOver]], 1, Table1[[AwayTeam]:[AwayTeam]], $A63, Table1[[HomeTeam]:[HomeTeam]], K$36, Table1[[ActualResult]:[ActualResult]], "SO") + SUMIFS(Table1[[AwayWon]:[AwayWon]], Table1[[GameIsOver]:[GameIsOver]], 1, Table1[[HomeTeam]:[HomeTeam]], $A63, Table1[[AwayTeam]:[AwayTeam]], K$36, Table1[[ActualResult]:[ActualResult]], "SO")))/ (2*((COUNTIFS(Table1[[GameIsOver]:[GameIsOver]],1,Table1[[AwayTeam]:[AwayTeam]],$A63, Table1[[HomeTeam]:[HomeTeam]], K$36)))+( COUNTIFS(Table1[[GameIsOver]:[GameIsOver]],1,Table1[[AwayTeam]:[AwayTeam]],K$36, Table1[[HomeTeam]:[HomeTeam]],$A63))), "")</f>
        <v/>
      </c>
      <c r="L63" s="50" t="str">
        <f>IFERROR(((2 * (SUMIFS(Table1[[AwayWon]:[AwayWon]], Table1[[GameIsOver]:[GameIsOver]], 1, Table1[[AwayTeam]:[AwayTeam]], $A63, Table1[[HomeTeam]:[HomeTeam]], L$36) + SUMIFS(Table1[[HomeWon]:[HomeWon]], Table1[[GameIsOver]:[GameIsOver]], 1, Table1[[HomeTeam]:[HomeTeam]], $A63, Table1[[AwayTeam]:[AwayTeam]], L$36))) + (SUMIFS(Table1[[HomeWon]:[HomeWon]], Table1[[GameIsOver]:[GameIsOver]], 1, Table1[[AwayTeam]:[AwayTeam]], $A63, Table1[[HomeTeam]:[HomeTeam]],  L$36, Table1[[ActualResult]:[ActualResult]], "OT") + SUMIFS(Table1[[AwayWon]:[AwayWon]], Table1[[GameIsOver]:[GameIsOver]], 1, Table1[[HomeTeam]:[HomeTeam]], $A63, Table1[[AwayTeam]:[AwayTeam]], L$36, Table1[[ActualResult]:[ActualResult]], "OT") + SUMIFS(Table1[[HomeWon]:[HomeWon]], Table1[[GameIsOver]:[GameIsOver]], 1, Table1[[AwayTeam]:[AwayTeam]], $A63, Table1[[HomeTeam]:[HomeTeam]], L$36, Table1[[ActualResult]:[ActualResult]], "SO") + SUMIFS(Table1[[AwayWon]:[AwayWon]], Table1[[GameIsOver]:[GameIsOver]], 1, Table1[[HomeTeam]:[HomeTeam]], $A63, Table1[[AwayTeam]:[AwayTeam]], L$36, Table1[[ActualResult]:[ActualResult]], "SO")))/ (2*((COUNTIFS(Table1[[GameIsOver]:[GameIsOver]],1,Table1[[AwayTeam]:[AwayTeam]],$A63, Table1[[HomeTeam]:[HomeTeam]], L$36)))+( COUNTIFS(Table1[[GameIsOver]:[GameIsOver]],1,Table1[[AwayTeam]:[AwayTeam]],L$36, Table1[[HomeTeam]:[HomeTeam]],$A63))), "")</f>
        <v/>
      </c>
      <c r="M63" s="50" t="str">
        <f>IFERROR(((2 * (SUMIFS(Table1[[AwayWon]:[AwayWon]], Table1[[GameIsOver]:[GameIsOver]], 1, Table1[[AwayTeam]:[AwayTeam]], $A63, Table1[[HomeTeam]:[HomeTeam]], M$36) + SUMIFS(Table1[[HomeWon]:[HomeWon]], Table1[[GameIsOver]:[GameIsOver]], 1, Table1[[HomeTeam]:[HomeTeam]], $A63, Table1[[AwayTeam]:[AwayTeam]], M$36))) + (SUMIFS(Table1[[HomeWon]:[HomeWon]], Table1[[GameIsOver]:[GameIsOver]], 1, Table1[[AwayTeam]:[AwayTeam]], $A63, Table1[[HomeTeam]:[HomeTeam]],  M$36, Table1[[ActualResult]:[ActualResult]], "OT") + SUMIFS(Table1[[AwayWon]:[AwayWon]], Table1[[GameIsOver]:[GameIsOver]], 1, Table1[[HomeTeam]:[HomeTeam]], $A63, Table1[[AwayTeam]:[AwayTeam]], M$36, Table1[[ActualResult]:[ActualResult]], "OT") + SUMIFS(Table1[[HomeWon]:[HomeWon]], Table1[[GameIsOver]:[GameIsOver]], 1, Table1[[AwayTeam]:[AwayTeam]], $A63, Table1[[HomeTeam]:[HomeTeam]], M$36, Table1[[ActualResult]:[ActualResult]], "SO") + SUMIFS(Table1[[AwayWon]:[AwayWon]], Table1[[GameIsOver]:[GameIsOver]], 1, Table1[[HomeTeam]:[HomeTeam]], $A63, Table1[[AwayTeam]:[AwayTeam]], M$36, Table1[[ActualResult]:[ActualResult]], "SO")))/ (2*((COUNTIFS(Table1[[GameIsOver]:[GameIsOver]],1,Table1[[AwayTeam]:[AwayTeam]],$A63, Table1[[HomeTeam]:[HomeTeam]], M$36)))+( COUNTIFS(Table1[[GameIsOver]:[GameIsOver]],1,Table1[[AwayTeam]:[AwayTeam]],M$36, Table1[[HomeTeam]:[HomeTeam]],$A63))), "")</f>
        <v/>
      </c>
      <c r="N63" s="50">
        <f>IFERROR(((2 * (SUMIFS(Table1[[AwayWon]:[AwayWon]], Table1[[GameIsOver]:[GameIsOver]], 1, Table1[[AwayTeam]:[AwayTeam]], $A63, Table1[[HomeTeam]:[HomeTeam]], N$36) + SUMIFS(Table1[[HomeWon]:[HomeWon]], Table1[[GameIsOver]:[GameIsOver]], 1, Table1[[HomeTeam]:[HomeTeam]], $A63, Table1[[AwayTeam]:[AwayTeam]], N$36))) + (SUMIFS(Table1[[HomeWon]:[HomeWon]], Table1[[GameIsOver]:[GameIsOver]], 1, Table1[[AwayTeam]:[AwayTeam]], $A63, Table1[[HomeTeam]:[HomeTeam]],  N$36, Table1[[ActualResult]:[ActualResult]], "OT") + SUMIFS(Table1[[AwayWon]:[AwayWon]], Table1[[GameIsOver]:[GameIsOver]], 1, Table1[[HomeTeam]:[HomeTeam]], $A63, Table1[[AwayTeam]:[AwayTeam]], N$36, Table1[[ActualResult]:[ActualResult]], "OT") + SUMIFS(Table1[[HomeWon]:[HomeWon]], Table1[[GameIsOver]:[GameIsOver]], 1, Table1[[AwayTeam]:[AwayTeam]], $A63, Table1[[HomeTeam]:[HomeTeam]], N$36, Table1[[ActualResult]:[ActualResult]], "SO") + SUMIFS(Table1[[AwayWon]:[AwayWon]], Table1[[GameIsOver]:[GameIsOver]], 1, Table1[[HomeTeam]:[HomeTeam]], $A63, Table1[[AwayTeam]:[AwayTeam]], N$36, Table1[[ActualResult]:[ActualResult]], "SO")))/ (2*((COUNTIFS(Table1[[GameIsOver]:[GameIsOver]],1,Table1[[AwayTeam]:[AwayTeam]],$A63, Table1[[HomeTeam]:[HomeTeam]], N$36)))+( COUNTIFS(Table1[[GameIsOver]:[GameIsOver]],1,Table1[[AwayTeam]:[AwayTeam]],N$36, Table1[[HomeTeam]:[HomeTeam]],$A63))), "")</f>
        <v>1</v>
      </c>
      <c r="O63" s="50" t="str">
        <f>IFERROR(((2 * (SUMIFS(Table1[[AwayWon]:[AwayWon]], Table1[[GameIsOver]:[GameIsOver]], 1, Table1[[AwayTeam]:[AwayTeam]], $A63, Table1[[HomeTeam]:[HomeTeam]], O$36) + SUMIFS(Table1[[HomeWon]:[HomeWon]], Table1[[GameIsOver]:[GameIsOver]], 1, Table1[[HomeTeam]:[HomeTeam]], $A63, Table1[[AwayTeam]:[AwayTeam]], O$36))) + (SUMIFS(Table1[[HomeWon]:[HomeWon]], Table1[[GameIsOver]:[GameIsOver]], 1, Table1[[AwayTeam]:[AwayTeam]], $A63, Table1[[HomeTeam]:[HomeTeam]],  O$36, Table1[[ActualResult]:[ActualResult]], "OT") + SUMIFS(Table1[[AwayWon]:[AwayWon]], Table1[[GameIsOver]:[GameIsOver]], 1, Table1[[HomeTeam]:[HomeTeam]], $A63, Table1[[AwayTeam]:[AwayTeam]], O$36, Table1[[ActualResult]:[ActualResult]], "OT") + SUMIFS(Table1[[HomeWon]:[HomeWon]], Table1[[GameIsOver]:[GameIsOver]], 1, Table1[[AwayTeam]:[AwayTeam]], $A63, Table1[[HomeTeam]:[HomeTeam]], O$36, Table1[[ActualResult]:[ActualResult]], "SO") + SUMIFS(Table1[[AwayWon]:[AwayWon]], Table1[[GameIsOver]:[GameIsOver]], 1, Table1[[HomeTeam]:[HomeTeam]], $A63, Table1[[AwayTeam]:[AwayTeam]], O$36, Table1[[ActualResult]:[ActualResult]], "SO")))/ (2*((COUNTIFS(Table1[[GameIsOver]:[GameIsOver]],1,Table1[[AwayTeam]:[AwayTeam]],$A63, Table1[[HomeTeam]:[HomeTeam]], O$36)))+( COUNTIFS(Table1[[GameIsOver]:[GameIsOver]],1,Table1[[AwayTeam]:[AwayTeam]],O$36, Table1[[HomeTeam]:[HomeTeam]],$A63))), "")</f>
        <v/>
      </c>
      <c r="P63" s="50" t="str">
        <f>IFERROR(((2 * (SUMIFS(Table1[[AwayWon]:[AwayWon]], Table1[[GameIsOver]:[GameIsOver]], 1, Table1[[AwayTeam]:[AwayTeam]], $A63, Table1[[HomeTeam]:[HomeTeam]], P$36) + SUMIFS(Table1[[HomeWon]:[HomeWon]], Table1[[GameIsOver]:[GameIsOver]], 1, Table1[[HomeTeam]:[HomeTeam]], $A63, Table1[[AwayTeam]:[AwayTeam]], P$36))) + (SUMIFS(Table1[[HomeWon]:[HomeWon]], Table1[[GameIsOver]:[GameIsOver]], 1, Table1[[AwayTeam]:[AwayTeam]], $A63, Table1[[HomeTeam]:[HomeTeam]],  P$36, Table1[[ActualResult]:[ActualResult]], "OT") + SUMIFS(Table1[[AwayWon]:[AwayWon]], Table1[[GameIsOver]:[GameIsOver]], 1, Table1[[HomeTeam]:[HomeTeam]], $A63, Table1[[AwayTeam]:[AwayTeam]], P$36, Table1[[ActualResult]:[ActualResult]], "OT") + SUMIFS(Table1[[HomeWon]:[HomeWon]], Table1[[GameIsOver]:[GameIsOver]], 1, Table1[[AwayTeam]:[AwayTeam]], $A63, Table1[[HomeTeam]:[HomeTeam]], P$36, Table1[[ActualResult]:[ActualResult]], "SO") + SUMIFS(Table1[[AwayWon]:[AwayWon]], Table1[[GameIsOver]:[GameIsOver]], 1, Table1[[HomeTeam]:[HomeTeam]], $A63, Table1[[AwayTeam]:[AwayTeam]], P$36, Table1[[ActualResult]:[ActualResult]], "SO")))/ (2*((COUNTIFS(Table1[[GameIsOver]:[GameIsOver]],1,Table1[[AwayTeam]:[AwayTeam]],$A63, Table1[[HomeTeam]:[HomeTeam]], P$36)))+( COUNTIFS(Table1[[GameIsOver]:[GameIsOver]],1,Table1[[AwayTeam]:[AwayTeam]],P$36, Table1[[HomeTeam]:[HomeTeam]],$A63))), "")</f>
        <v/>
      </c>
      <c r="Q63" s="52" t="str">
        <f>IFERROR(((2 * (SUMIFS(Table1[[AwayWon]:[AwayWon]], Table1[[GameIsOver]:[GameIsOver]], 1, Table1[[AwayTeam]:[AwayTeam]], $A63, Table1[[HomeTeam]:[HomeTeam]], Q$36) + SUMIFS(Table1[[HomeWon]:[HomeWon]], Table1[[GameIsOver]:[GameIsOver]], 1, Table1[[HomeTeam]:[HomeTeam]], $A63, Table1[[AwayTeam]:[AwayTeam]], Q$36))) + (SUMIFS(Table1[[HomeWon]:[HomeWon]], Table1[[GameIsOver]:[GameIsOver]], 1, Table1[[AwayTeam]:[AwayTeam]], $A63, Table1[[HomeTeam]:[HomeTeam]],  Q$36, Table1[[ActualResult]:[ActualResult]], "OT") + SUMIFS(Table1[[AwayWon]:[AwayWon]], Table1[[GameIsOver]:[GameIsOver]], 1, Table1[[HomeTeam]:[HomeTeam]], $A63, Table1[[AwayTeam]:[AwayTeam]], Q$36, Table1[[ActualResult]:[ActualResult]], "OT") + SUMIFS(Table1[[HomeWon]:[HomeWon]], Table1[[GameIsOver]:[GameIsOver]], 1, Table1[[AwayTeam]:[AwayTeam]], $A63, Table1[[HomeTeam]:[HomeTeam]], Q$36, Table1[[ActualResult]:[ActualResult]], "SO") + SUMIFS(Table1[[AwayWon]:[AwayWon]], Table1[[GameIsOver]:[GameIsOver]], 1, Table1[[HomeTeam]:[HomeTeam]], $A63, Table1[[AwayTeam]:[AwayTeam]], Q$36, Table1[[ActualResult]:[ActualResult]], "SO")))/ (2*((COUNTIFS(Table1[[GameIsOver]:[GameIsOver]],1,Table1[[AwayTeam]:[AwayTeam]],$A63, Table1[[HomeTeam]:[HomeTeam]], Q$36)))+( COUNTIFS(Table1[[GameIsOver]:[GameIsOver]],1,Table1[[AwayTeam]:[AwayTeam]],Q$36, Table1[[HomeTeam]:[HomeTeam]],$A63))), "")</f>
        <v/>
      </c>
      <c r="R63" s="50" t="str">
        <f>IFERROR(((2 * (SUMIFS(Table1[[AwayWon]:[AwayWon]], Table1[[GameIsOver]:[GameIsOver]], 1, Table1[[AwayTeam]:[AwayTeam]], $A63, Table1[[HomeTeam]:[HomeTeam]], R$36) + SUMIFS(Table1[[HomeWon]:[HomeWon]], Table1[[GameIsOver]:[GameIsOver]], 1, Table1[[HomeTeam]:[HomeTeam]], $A63, Table1[[AwayTeam]:[AwayTeam]], R$36))) + (SUMIFS(Table1[[HomeWon]:[HomeWon]], Table1[[GameIsOver]:[GameIsOver]], 1, Table1[[AwayTeam]:[AwayTeam]], $A63, Table1[[HomeTeam]:[HomeTeam]],  R$36, Table1[[ActualResult]:[ActualResult]], "OT") + SUMIFS(Table1[[AwayWon]:[AwayWon]], Table1[[GameIsOver]:[GameIsOver]], 1, Table1[[HomeTeam]:[HomeTeam]], $A63, Table1[[AwayTeam]:[AwayTeam]], R$36, Table1[[ActualResult]:[ActualResult]], "OT") + SUMIFS(Table1[[HomeWon]:[HomeWon]], Table1[[GameIsOver]:[GameIsOver]], 1, Table1[[AwayTeam]:[AwayTeam]], $A63, Table1[[HomeTeam]:[HomeTeam]], R$36, Table1[[ActualResult]:[ActualResult]], "SO") + SUMIFS(Table1[[AwayWon]:[AwayWon]], Table1[[GameIsOver]:[GameIsOver]], 1, Table1[[HomeTeam]:[HomeTeam]], $A63, Table1[[AwayTeam]:[AwayTeam]], R$36, Table1[[ActualResult]:[ActualResult]], "SO")))/ (2*((COUNTIFS(Table1[[GameIsOver]:[GameIsOver]],1,Table1[[AwayTeam]:[AwayTeam]],$A63, Table1[[HomeTeam]:[HomeTeam]], R$36)))+( COUNTIFS(Table1[[GameIsOver]:[GameIsOver]],1,Table1[[AwayTeam]:[AwayTeam]],R$36, Table1[[HomeTeam]:[HomeTeam]],$A63))), "")</f>
        <v/>
      </c>
      <c r="S63" s="50" t="str">
        <f>IFERROR(((2 * (SUMIFS(Table1[[AwayWon]:[AwayWon]], Table1[[GameIsOver]:[GameIsOver]], 1, Table1[[AwayTeam]:[AwayTeam]], $A63, Table1[[HomeTeam]:[HomeTeam]], S$36) + SUMIFS(Table1[[HomeWon]:[HomeWon]], Table1[[GameIsOver]:[GameIsOver]], 1, Table1[[HomeTeam]:[HomeTeam]], $A63, Table1[[AwayTeam]:[AwayTeam]], S$36))) + (SUMIFS(Table1[[HomeWon]:[HomeWon]], Table1[[GameIsOver]:[GameIsOver]], 1, Table1[[AwayTeam]:[AwayTeam]], $A63, Table1[[HomeTeam]:[HomeTeam]],  S$36, Table1[[ActualResult]:[ActualResult]], "OT") + SUMIFS(Table1[[AwayWon]:[AwayWon]], Table1[[GameIsOver]:[GameIsOver]], 1, Table1[[HomeTeam]:[HomeTeam]], $A63, Table1[[AwayTeam]:[AwayTeam]], S$36, Table1[[ActualResult]:[ActualResult]], "OT") + SUMIFS(Table1[[HomeWon]:[HomeWon]], Table1[[GameIsOver]:[GameIsOver]], 1, Table1[[AwayTeam]:[AwayTeam]], $A63, Table1[[HomeTeam]:[HomeTeam]], S$36, Table1[[ActualResult]:[ActualResult]], "SO") + SUMIFS(Table1[[AwayWon]:[AwayWon]], Table1[[GameIsOver]:[GameIsOver]], 1, Table1[[HomeTeam]:[HomeTeam]], $A63, Table1[[AwayTeam]:[AwayTeam]], S$36, Table1[[ActualResult]:[ActualResult]], "SO")))/ (2*((COUNTIFS(Table1[[GameIsOver]:[GameIsOver]],1,Table1[[AwayTeam]:[AwayTeam]],$A63, Table1[[HomeTeam]:[HomeTeam]], S$36)))+( COUNTIFS(Table1[[GameIsOver]:[GameIsOver]],1,Table1[[AwayTeam]:[AwayTeam]],S$36, Table1[[HomeTeam]:[HomeTeam]],$A63))), "")</f>
        <v/>
      </c>
      <c r="T63" s="50" t="str">
        <f>IFERROR(((2 * (SUMIFS(Table1[[AwayWon]:[AwayWon]], Table1[[GameIsOver]:[GameIsOver]], 1, Table1[[AwayTeam]:[AwayTeam]], $A63, Table1[[HomeTeam]:[HomeTeam]], T$36) + SUMIFS(Table1[[HomeWon]:[HomeWon]], Table1[[GameIsOver]:[GameIsOver]], 1, Table1[[HomeTeam]:[HomeTeam]], $A63, Table1[[AwayTeam]:[AwayTeam]], T$36))) + (SUMIFS(Table1[[HomeWon]:[HomeWon]], Table1[[GameIsOver]:[GameIsOver]], 1, Table1[[AwayTeam]:[AwayTeam]], $A63, Table1[[HomeTeam]:[HomeTeam]],  T$36, Table1[[ActualResult]:[ActualResult]], "OT") + SUMIFS(Table1[[AwayWon]:[AwayWon]], Table1[[GameIsOver]:[GameIsOver]], 1, Table1[[HomeTeam]:[HomeTeam]], $A63, Table1[[AwayTeam]:[AwayTeam]], T$36, Table1[[ActualResult]:[ActualResult]], "OT") + SUMIFS(Table1[[HomeWon]:[HomeWon]], Table1[[GameIsOver]:[GameIsOver]], 1, Table1[[AwayTeam]:[AwayTeam]], $A63, Table1[[HomeTeam]:[HomeTeam]], T$36, Table1[[ActualResult]:[ActualResult]], "SO") + SUMIFS(Table1[[AwayWon]:[AwayWon]], Table1[[GameIsOver]:[GameIsOver]], 1, Table1[[HomeTeam]:[HomeTeam]], $A63, Table1[[AwayTeam]:[AwayTeam]], T$36, Table1[[ActualResult]:[ActualResult]], "SO")))/ (2*((COUNTIFS(Table1[[GameIsOver]:[GameIsOver]],1,Table1[[AwayTeam]:[AwayTeam]],$A63, Table1[[HomeTeam]:[HomeTeam]], T$36)))+( COUNTIFS(Table1[[GameIsOver]:[GameIsOver]],1,Table1[[AwayTeam]:[AwayTeam]],T$36, Table1[[HomeTeam]:[HomeTeam]],$A63))), "")</f>
        <v/>
      </c>
      <c r="U63" s="50" t="str">
        <f>IFERROR(((2 * (SUMIFS(Table1[[AwayWon]:[AwayWon]], Table1[[GameIsOver]:[GameIsOver]], 1, Table1[[AwayTeam]:[AwayTeam]], $A63, Table1[[HomeTeam]:[HomeTeam]], U$36) + SUMIFS(Table1[[HomeWon]:[HomeWon]], Table1[[GameIsOver]:[GameIsOver]], 1, Table1[[HomeTeam]:[HomeTeam]], $A63, Table1[[AwayTeam]:[AwayTeam]], U$36))) + (SUMIFS(Table1[[HomeWon]:[HomeWon]], Table1[[GameIsOver]:[GameIsOver]], 1, Table1[[AwayTeam]:[AwayTeam]], $A63, Table1[[HomeTeam]:[HomeTeam]],  U$36, Table1[[ActualResult]:[ActualResult]], "OT") + SUMIFS(Table1[[AwayWon]:[AwayWon]], Table1[[GameIsOver]:[GameIsOver]], 1, Table1[[HomeTeam]:[HomeTeam]], $A63, Table1[[AwayTeam]:[AwayTeam]], U$36, Table1[[ActualResult]:[ActualResult]], "OT") + SUMIFS(Table1[[HomeWon]:[HomeWon]], Table1[[GameIsOver]:[GameIsOver]], 1, Table1[[AwayTeam]:[AwayTeam]], $A63, Table1[[HomeTeam]:[HomeTeam]], U$36, Table1[[ActualResult]:[ActualResult]], "SO") + SUMIFS(Table1[[AwayWon]:[AwayWon]], Table1[[GameIsOver]:[GameIsOver]], 1, Table1[[HomeTeam]:[HomeTeam]], $A63, Table1[[AwayTeam]:[AwayTeam]], U$36, Table1[[ActualResult]:[ActualResult]], "SO")))/ (2*((COUNTIFS(Table1[[GameIsOver]:[GameIsOver]],1,Table1[[AwayTeam]:[AwayTeam]],$A63, Table1[[HomeTeam]:[HomeTeam]], U$36)))+( COUNTIFS(Table1[[GameIsOver]:[GameIsOver]],1,Table1[[AwayTeam]:[AwayTeam]],U$36, Table1[[HomeTeam]:[HomeTeam]],$A63))), "")</f>
        <v/>
      </c>
      <c r="V63" s="50" t="str">
        <f>IFERROR(((2 * (SUMIFS(Table1[[AwayWon]:[AwayWon]], Table1[[GameIsOver]:[GameIsOver]], 1, Table1[[AwayTeam]:[AwayTeam]], $A63, Table1[[HomeTeam]:[HomeTeam]], V$36) + SUMIFS(Table1[[HomeWon]:[HomeWon]], Table1[[GameIsOver]:[GameIsOver]], 1, Table1[[HomeTeam]:[HomeTeam]], $A63, Table1[[AwayTeam]:[AwayTeam]], V$36))) + (SUMIFS(Table1[[HomeWon]:[HomeWon]], Table1[[GameIsOver]:[GameIsOver]], 1, Table1[[AwayTeam]:[AwayTeam]], $A63, Table1[[HomeTeam]:[HomeTeam]],  V$36, Table1[[ActualResult]:[ActualResult]], "OT") + SUMIFS(Table1[[AwayWon]:[AwayWon]], Table1[[GameIsOver]:[GameIsOver]], 1, Table1[[HomeTeam]:[HomeTeam]], $A63, Table1[[AwayTeam]:[AwayTeam]], V$36, Table1[[ActualResult]:[ActualResult]], "OT") + SUMIFS(Table1[[HomeWon]:[HomeWon]], Table1[[GameIsOver]:[GameIsOver]], 1, Table1[[AwayTeam]:[AwayTeam]], $A63, Table1[[HomeTeam]:[HomeTeam]], V$36, Table1[[ActualResult]:[ActualResult]], "SO") + SUMIFS(Table1[[AwayWon]:[AwayWon]], Table1[[GameIsOver]:[GameIsOver]], 1, Table1[[HomeTeam]:[HomeTeam]], $A63, Table1[[AwayTeam]:[AwayTeam]], V$36, Table1[[ActualResult]:[ActualResult]], "SO")))/ (2*((COUNTIFS(Table1[[GameIsOver]:[GameIsOver]],1,Table1[[AwayTeam]:[AwayTeam]],$A63, Table1[[HomeTeam]:[HomeTeam]], V$36)))+( COUNTIFS(Table1[[GameIsOver]:[GameIsOver]],1,Table1[[AwayTeam]:[AwayTeam]],V$36, Table1[[HomeTeam]:[HomeTeam]],$A63))), "")</f>
        <v/>
      </c>
      <c r="W63" s="50" t="str">
        <f>IFERROR(((2 * (SUMIFS(Table1[[AwayWon]:[AwayWon]], Table1[[GameIsOver]:[GameIsOver]], 1, Table1[[AwayTeam]:[AwayTeam]], $A63, Table1[[HomeTeam]:[HomeTeam]], W$36) + SUMIFS(Table1[[HomeWon]:[HomeWon]], Table1[[GameIsOver]:[GameIsOver]], 1, Table1[[HomeTeam]:[HomeTeam]], $A63, Table1[[AwayTeam]:[AwayTeam]], W$36))) + (SUMIFS(Table1[[HomeWon]:[HomeWon]], Table1[[GameIsOver]:[GameIsOver]], 1, Table1[[AwayTeam]:[AwayTeam]], $A63, Table1[[HomeTeam]:[HomeTeam]],  W$36, Table1[[ActualResult]:[ActualResult]], "OT") + SUMIFS(Table1[[AwayWon]:[AwayWon]], Table1[[GameIsOver]:[GameIsOver]], 1, Table1[[HomeTeam]:[HomeTeam]], $A63, Table1[[AwayTeam]:[AwayTeam]], W$36, Table1[[ActualResult]:[ActualResult]], "OT") + SUMIFS(Table1[[HomeWon]:[HomeWon]], Table1[[GameIsOver]:[GameIsOver]], 1, Table1[[AwayTeam]:[AwayTeam]], $A63, Table1[[HomeTeam]:[HomeTeam]], W$36, Table1[[ActualResult]:[ActualResult]], "SO") + SUMIFS(Table1[[AwayWon]:[AwayWon]], Table1[[GameIsOver]:[GameIsOver]], 1, Table1[[HomeTeam]:[HomeTeam]], $A63, Table1[[AwayTeam]:[AwayTeam]], W$36, Table1[[ActualResult]:[ActualResult]], "SO")))/ (2*((COUNTIFS(Table1[[GameIsOver]:[GameIsOver]],1,Table1[[AwayTeam]:[AwayTeam]],$A63, Table1[[HomeTeam]:[HomeTeam]], W$36)))+( COUNTIFS(Table1[[GameIsOver]:[GameIsOver]],1,Table1[[AwayTeam]:[AwayTeam]],W$36, Table1[[HomeTeam]:[HomeTeam]],$A63))), "")</f>
        <v/>
      </c>
      <c r="X63" s="50" t="str">
        <f>IFERROR(((2 * (SUMIFS(Table1[[AwayWon]:[AwayWon]], Table1[[GameIsOver]:[GameIsOver]], 1, Table1[[AwayTeam]:[AwayTeam]], $A63, Table1[[HomeTeam]:[HomeTeam]], X$36) + SUMIFS(Table1[[HomeWon]:[HomeWon]], Table1[[GameIsOver]:[GameIsOver]], 1, Table1[[HomeTeam]:[HomeTeam]], $A63, Table1[[AwayTeam]:[AwayTeam]], X$36))) + (SUMIFS(Table1[[HomeWon]:[HomeWon]], Table1[[GameIsOver]:[GameIsOver]], 1, Table1[[AwayTeam]:[AwayTeam]], $A63, Table1[[HomeTeam]:[HomeTeam]],  X$36, Table1[[ActualResult]:[ActualResult]], "OT") + SUMIFS(Table1[[AwayWon]:[AwayWon]], Table1[[GameIsOver]:[GameIsOver]], 1, Table1[[HomeTeam]:[HomeTeam]], $A63, Table1[[AwayTeam]:[AwayTeam]], X$36, Table1[[ActualResult]:[ActualResult]], "OT") + SUMIFS(Table1[[HomeWon]:[HomeWon]], Table1[[GameIsOver]:[GameIsOver]], 1, Table1[[AwayTeam]:[AwayTeam]], $A63, Table1[[HomeTeam]:[HomeTeam]], X$36, Table1[[ActualResult]:[ActualResult]], "SO") + SUMIFS(Table1[[AwayWon]:[AwayWon]], Table1[[GameIsOver]:[GameIsOver]], 1, Table1[[HomeTeam]:[HomeTeam]], $A63, Table1[[AwayTeam]:[AwayTeam]], X$36, Table1[[ActualResult]:[ActualResult]], "SO")))/ (2*((COUNTIFS(Table1[[GameIsOver]:[GameIsOver]],1,Table1[[AwayTeam]:[AwayTeam]],$A63, Table1[[HomeTeam]:[HomeTeam]], X$36)))+( COUNTIFS(Table1[[GameIsOver]:[GameIsOver]],1,Table1[[AwayTeam]:[AwayTeam]],X$36, Table1[[HomeTeam]:[HomeTeam]],$A63))), "")</f>
        <v/>
      </c>
      <c r="Y63" s="52" t="str">
        <f>IFERROR(((2 * (SUMIFS(Table1[[AwayWon]:[AwayWon]], Table1[[GameIsOver]:[GameIsOver]], 1, Table1[[AwayTeam]:[AwayTeam]], $A63, Table1[[HomeTeam]:[HomeTeam]], Y$36) + SUMIFS(Table1[[HomeWon]:[HomeWon]], Table1[[GameIsOver]:[GameIsOver]], 1, Table1[[HomeTeam]:[HomeTeam]], $A63, Table1[[AwayTeam]:[AwayTeam]], Y$36))) + (SUMIFS(Table1[[HomeWon]:[HomeWon]], Table1[[GameIsOver]:[GameIsOver]], 1, Table1[[AwayTeam]:[AwayTeam]], $A63, Table1[[HomeTeam]:[HomeTeam]],  Y$36, Table1[[ActualResult]:[ActualResult]], "OT") + SUMIFS(Table1[[AwayWon]:[AwayWon]], Table1[[GameIsOver]:[GameIsOver]], 1, Table1[[HomeTeam]:[HomeTeam]], $A63, Table1[[AwayTeam]:[AwayTeam]], Y$36, Table1[[ActualResult]:[ActualResult]], "OT") + SUMIFS(Table1[[HomeWon]:[HomeWon]], Table1[[GameIsOver]:[GameIsOver]], 1, Table1[[AwayTeam]:[AwayTeam]], $A63, Table1[[HomeTeam]:[HomeTeam]], Y$36, Table1[[ActualResult]:[ActualResult]], "SO") + SUMIFS(Table1[[AwayWon]:[AwayWon]], Table1[[GameIsOver]:[GameIsOver]], 1, Table1[[HomeTeam]:[HomeTeam]], $A63, Table1[[AwayTeam]:[AwayTeam]], Y$36, Table1[[ActualResult]:[ActualResult]], "SO")))/ (2*((COUNTIFS(Table1[[GameIsOver]:[GameIsOver]],1,Table1[[AwayTeam]:[AwayTeam]],$A63, Table1[[HomeTeam]:[HomeTeam]], Y$36)))+( COUNTIFS(Table1[[GameIsOver]:[GameIsOver]],1,Table1[[AwayTeam]:[AwayTeam]],Y$36, Table1[[HomeTeam]:[HomeTeam]],$A63))), "")</f>
        <v/>
      </c>
      <c r="Z63" s="50" t="str">
        <f>IFERROR(((2 * (SUMIFS(Table1[[AwayWon]:[AwayWon]], Table1[[GameIsOver]:[GameIsOver]], 1, Table1[[AwayTeam]:[AwayTeam]], $A63, Table1[[HomeTeam]:[HomeTeam]], Z$36) + SUMIFS(Table1[[HomeWon]:[HomeWon]], Table1[[GameIsOver]:[GameIsOver]], 1, Table1[[HomeTeam]:[HomeTeam]], $A63, Table1[[AwayTeam]:[AwayTeam]], Z$36))) + (SUMIFS(Table1[[HomeWon]:[HomeWon]], Table1[[GameIsOver]:[GameIsOver]], 1, Table1[[AwayTeam]:[AwayTeam]], $A63, Table1[[HomeTeam]:[HomeTeam]],  Z$36, Table1[[ActualResult]:[ActualResult]], "OT") + SUMIFS(Table1[[AwayWon]:[AwayWon]], Table1[[GameIsOver]:[GameIsOver]], 1, Table1[[HomeTeam]:[HomeTeam]], $A63, Table1[[AwayTeam]:[AwayTeam]], Z$36, Table1[[ActualResult]:[ActualResult]], "OT") + SUMIFS(Table1[[HomeWon]:[HomeWon]], Table1[[GameIsOver]:[GameIsOver]], 1, Table1[[AwayTeam]:[AwayTeam]], $A63, Table1[[HomeTeam]:[HomeTeam]], Z$36, Table1[[ActualResult]:[ActualResult]], "SO") + SUMIFS(Table1[[AwayWon]:[AwayWon]], Table1[[GameIsOver]:[GameIsOver]], 1, Table1[[HomeTeam]:[HomeTeam]], $A63, Table1[[AwayTeam]:[AwayTeam]], Z$36, Table1[[ActualResult]:[ActualResult]], "SO")))/ (2*((COUNTIFS(Table1[[GameIsOver]:[GameIsOver]],1,Table1[[AwayTeam]:[AwayTeam]],$A63, Table1[[HomeTeam]:[HomeTeam]], Z$36)))+( COUNTIFS(Table1[[GameIsOver]:[GameIsOver]],1,Table1[[AwayTeam]:[AwayTeam]],Z$36, Table1[[HomeTeam]:[HomeTeam]],$A63))), "")</f>
        <v/>
      </c>
      <c r="AA63" s="50" t="str">
        <f>IFERROR(((2 * (SUMIFS(Table1[[AwayWon]:[AwayWon]], Table1[[GameIsOver]:[GameIsOver]], 1, Table1[[AwayTeam]:[AwayTeam]], $A63, Table1[[HomeTeam]:[HomeTeam]], AA$36) + SUMIFS(Table1[[HomeWon]:[HomeWon]], Table1[[GameIsOver]:[GameIsOver]], 1, Table1[[HomeTeam]:[HomeTeam]], $A63, Table1[[AwayTeam]:[AwayTeam]], AA$36))) + (SUMIFS(Table1[[HomeWon]:[HomeWon]], Table1[[GameIsOver]:[GameIsOver]], 1, Table1[[AwayTeam]:[AwayTeam]], $A63, Table1[[HomeTeam]:[HomeTeam]],  AA$36, Table1[[ActualResult]:[ActualResult]], "OT") + SUMIFS(Table1[[AwayWon]:[AwayWon]], Table1[[GameIsOver]:[GameIsOver]], 1, Table1[[HomeTeam]:[HomeTeam]], $A63, Table1[[AwayTeam]:[AwayTeam]], AA$36, Table1[[ActualResult]:[ActualResult]], "OT") + SUMIFS(Table1[[HomeWon]:[HomeWon]], Table1[[GameIsOver]:[GameIsOver]], 1, Table1[[AwayTeam]:[AwayTeam]], $A63, Table1[[HomeTeam]:[HomeTeam]], AA$36, Table1[[ActualResult]:[ActualResult]], "SO") + SUMIFS(Table1[[AwayWon]:[AwayWon]], Table1[[GameIsOver]:[GameIsOver]], 1, Table1[[HomeTeam]:[HomeTeam]], $A63, Table1[[AwayTeam]:[AwayTeam]], AA$36, Table1[[ActualResult]:[ActualResult]], "SO")))/ (2*((COUNTIFS(Table1[[GameIsOver]:[GameIsOver]],1,Table1[[AwayTeam]:[AwayTeam]],$A63, Table1[[HomeTeam]:[HomeTeam]], AA$36)))+( COUNTIFS(Table1[[GameIsOver]:[GameIsOver]],1,Table1[[AwayTeam]:[AwayTeam]],AA$36, Table1[[HomeTeam]:[HomeTeam]],$A63))), "")</f>
        <v/>
      </c>
      <c r="AB63" s="50" t="str">
        <f>IFERROR(((2 * (SUMIFS(Table1[[AwayWon]:[AwayWon]], Table1[[GameIsOver]:[GameIsOver]], 1, Table1[[AwayTeam]:[AwayTeam]], $A63, Table1[[HomeTeam]:[HomeTeam]], AB$36) + SUMIFS(Table1[[HomeWon]:[HomeWon]], Table1[[GameIsOver]:[GameIsOver]], 1, Table1[[HomeTeam]:[HomeTeam]], $A63, Table1[[AwayTeam]:[AwayTeam]], AB$36))) + (SUMIFS(Table1[[HomeWon]:[HomeWon]], Table1[[GameIsOver]:[GameIsOver]], 1, Table1[[AwayTeam]:[AwayTeam]], $A63, Table1[[HomeTeam]:[HomeTeam]],  AB$36, Table1[[ActualResult]:[ActualResult]], "OT") + SUMIFS(Table1[[AwayWon]:[AwayWon]], Table1[[GameIsOver]:[GameIsOver]], 1, Table1[[HomeTeam]:[HomeTeam]], $A63, Table1[[AwayTeam]:[AwayTeam]], AB$36, Table1[[ActualResult]:[ActualResult]], "OT") + SUMIFS(Table1[[HomeWon]:[HomeWon]], Table1[[GameIsOver]:[GameIsOver]], 1, Table1[[AwayTeam]:[AwayTeam]], $A63, Table1[[HomeTeam]:[HomeTeam]], AB$36, Table1[[ActualResult]:[ActualResult]], "SO") + SUMIFS(Table1[[AwayWon]:[AwayWon]], Table1[[GameIsOver]:[GameIsOver]], 1, Table1[[HomeTeam]:[HomeTeam]], $A63, Table1[[AwayTeam]:[AwayTeam]], AB$36, Table1[[ActualResult]:[ActualResult]], "SO")))/ (2*((COUNTIFS(Table1[[GameIsOver]:[GameIsOver]],1,Table1[[AwayTeam]:[AwayTeam]],$A63, Table1[[HomeTeam]:[HomeTeam]], AB$36)))+( COUNTIFS(Table1[[GameIsOver]:[GameIsOver]],1,Table1[[AwayTeam]:[AwayTeam]],AB$36, Table1[[HomeTeam]:[HomeTeam]],$A63))), "")</f>
        <v/>
      </c>
      <c r="AC63" s="50" t="str">
        <f>IFERROR(((2 * (SUMIFS(Table1[[AwayWon]:[AwayWon]], Table1[[GameIsOver]:[GameIsOver]], 1, Table1[[AwayTeam]:[AwayTeam]], $A63, Table1[[HomeTeam]:[HomeTeam]], AC$36) + SUMIFS(Table1[[HomeWon]:[HomeWon]], Table1[[GameIsOver]:[GameIsOver]], 1, Table1[[HomeTeam]:[HomeTeam]], $A63, Table1[[AwayTeam]:[AwayTeam]], AC$36))) + (SUMIFS(Table1[[HomeWon]:[HomeWon]], Table1[[GameIsOver]:[GameIsOver]], 1, Table1[[AwayTeam]:[AwayTeam]], $A63, Table1[[HomeTeam]:[HomeTeam]],  AC$36, Table1[[ActualResult]:[ActualResult]], "OT") + SUMIFS(Table1[[AwayWon]:[AwayWon]], Table1[[GameIsOver]:[GameIsOver]], 1, Table1[[HomeTeam]:[HomeTeam]], $A63, Table1[[AwayTeam]:[AwayTeam]], AC$36, Table1[[ActualResult]:[ActualResult]], "OT") + SUMIFS(Table1[[HomeWon]:[HomeWon]], Table1[[GameIsOver]:[GameIsOver]], 1, Table1[[AwayTeam]:[AwayTeam]], $A63, Table1[[HomeTeam]:[HomeTeam]], AC$36, Table1[[ActualResult]:[ActualResult]], "SO") + SUMIFS(Table1[[AwayWon]:[AwayWon]], Table1[[GameIsOver]:[GameIsOver]], 1, Table1[[HomeTeam]:[HomeTeam]], $A63, Table1[[AwayTeam]:[AwayTeam]], AC$36, Table1[[ActualResult]:[ActualResult]], "SO")))/ (2*((COUNTIFS(Table1[[GameIsOver]:[GameIsOver]],1,Table1[[AwayTeam]:[AwayTeam]],$A63, Table1[[HomeTeam]:[HomeTeam]], AC$36)))+( COUNTIFS(Table1[[GameIsOver]:[GameIsOver]],1,Table1[[AwayTeam]:[AwayTeam]],AC$36, Table1[[HomeTeam]:[HomeTeam]],$A63))), "")</f>
        <v/>
      </c>
      <c r="AD63" s="50" t="str">
        <f>IFERROR(((2 * (SUMIFS(Table1[[AwayWon]:[AwayWon]], Table1[[GameIsOver]:[GameIsOver]], 1, Table1[[AwayTeam]:[AwayTeam]], $A63, Table1[[HomeTeam]:[HomeTeam]], AD$36) + SUMIFS(Table1[[HomeWon]:[HomeWon]], Table1[[GameIsOver]:[GameIsOver]], 1, Table1[[HomeTeam]:[HomeTeam]], $A63, Table1[[AwayTeam]:[AwayTeam]], AD$36))) + (SUMIFS(Table1[[HomeWon]:[HomeWon]], Table1[[GameIsOver]:[GameIsOver]], 1, Table1[[AwayTeam]:[AwayTeam]], $A63, Table1[[HomeTeam]:[HomeTeam]],  AD$36, Table1[[ActualResult]:[ActualResult]], "OT") + SUMIFS(Table1[[AwayWon]:[AwayWon]], Table1[[GameIsOver]:[GameIsOver]], 1, Table1[[HomeTeam]:[HomeTeam]], $A63, Table1[[AwayTeam]:[AwayTeam]], AD$36, Table1[[ActualResult]:[ActualResult]], "OT") + SUMIFS(Table1[[HomeWon]:[HomeWon]], Table1[[GameIsOver]:[GameIsOver]], 1, Table1[[AwayTeam]:[AwayTeam]], $A63, Table1[[HomeTeam]:[HomeTeam]], AD$36, Table1[[ActualResult]:[ActualResult]], "SO") + SUMIFS(Table1[[AwayWon]:[AwayWon]], Table1[[GameIsOver]:[GameIsOver]], 1, Table1[[HomeTeam]:[HomeTeam]], $A63, Table1[[AwayTeam]:[AwayTeam]], AD$36, Table1[[ActualResult]:[ActualResult]], "SO")))/ (2*((COUNTIFS(Table1[[GameIsOver]:[GameIsOver]],1,Table1[[AwayTeam]:[AwayTeam]],$A63, Table1[[HomeTeam]:[HomeTeam]], AD$36)))+( COUNTIFS(Table1[[GameIsOver]:[GameIsOver]],1,Table1[[AwayTeam]:[AwayTeam]],AD$36, Table1[[HomeTeam]:[HomeTeam]],$A63))), "")</f>
        <v/>
      </c>
      <c r="AE63" s="50" t="str">
        <f>IFERROR(((2 * (SUMIFS(Table1[[AwayWon]:[AwayWon]], Table1[[GameIsOver]:[GameIsOver]], 1, Table1[[AwayTeam]:[AwayTeam]], $A63, Table1[[HomeTeam]:[HomeTeam]], AE$36) + SUMIFS(Table1[[HomeWon]:[HomeWon]], Table1[[GameIsOver]:[GameIsOver]], 1, Table1[[HomeTeam]:[HomeTeam]], $A63, Table1[[AwayTeam]:[AwayTeam]], AE$36))) + (SUMIFS(Table1[[HomeWon]:[HomeWon]], Table1[[GameIsOver]:[GameIsOver]], 1, Table1[[AwayTeam]:[AwayTeam]], $A63, Table1[[HomeTeam]:[HomeTeam]],  AE$36, Table1[[ActualResult]:[ActualResult]], "OT") + SUMIFS(Table1[[AwayWon]:[AwayWon]], Table1[[GameIsOver]:[GameIsOver]], 1, Table1[[HomeTeam]:[HomeTeam]], $A63, Table1[[AwayTeam]:[AwayTeam]], AE$36, Table1[[ActualResult]:[ActualResult]], "OT") + SUMIFS(Table1[[HomeWon]:[HomeWon]], Table1[[GameIsOver]:[GameIsOver]], 1, Table1[[AwayTeam]:[AwayTeam]], $A63, Table1[[HomeTeam]:[HomeTeam]], AE$36, Table1[[ActualResult]:[ActualResult]], "SO") + SUMIFS(Table1[[AwayWon]:[AwayWon]], Table1[[GameIsOver]:[GameIsOver]], 1, Table1[[HomeTeam]:[HomeTeam]], $A63, Table1[[AwayTeam]:[AwayTeam]], AE$36, Table1[[ActualResult]:[ActualResult]], "SO")))/ (2*((COUNTIFS(Table1[[GameIsOver]:[GameIsOver]],1,Table1[[AwayTeam]:[AwayTeam]],$A63, Table1[[HomeTeam]:[HomeTeam]], AE$36)))+( COUNTIFS(Table1[[GameIsOver]:[GameIsOver]],1,Table1[[AwayTeam]:[AwayTeam]],AE$36, Table1[[HomeTeam]:[HomeTeam]],$A63))), "")</f>
        <v/>
      </c>
      <c r="AF63" s="50" t="str">
        <f>IFERROR(((2 * (SUMIFS(Table1[[AwayWon]:[AwayWon]], Table1[[GameIsOver]:[GameIsOver]], 1, Table1[[AwayTeam]:[AwayTeam]], $A63, Table1[[HomeTeam]:[HomeTeam]], AF$36) + SUMIFS(Table1[[HomeWon]:[HomeWon]], Table1[[GameIsOver]:[GameIsOver]], 1, Table1[[HomeTeam]:[HomeTeam]], $A63, Table1[[AwayTeam]:[AwayTeam]], AF$36))) + (SUMIFS(Table1[[HomeWon]:[HomeWon]], Table1[[GameIsOver]:[GameIsOver]], 1, Table1[[AwayTeam]:[AwayTeam]], $A63, Table1[[HomeTeam]:[HomeTeam]],  AF$36, Table1[[ActualResult]:[ActualResult]], "OT") + SUMIFS(Table1[[AwayWon]:[AwayWon]], Table1[[GameIsOver]:[GameIsOver]], 1, Table1[[HomeTeam]:[HomeTeam]], $A63, Table1[[AwayTeam]:[AwayTeam]], AF$36, Table1[[ActualResult]:[ActualResult]], "OT") + SUMIFS(Table1[[HomeWon]:[HomeWon]], Table1[[GameIsOver]:[GameIsOver]], 1, Table1[[AwayTeam]:[AwayTeam]], $A63, Table1[[HomeTeam]:[HomeTeam]], AF$36, Table1[[ActualResult]:[ActualResult]], "SO") + SUMIFS(Table1[[AwayWon]:[AwayWon]], Table1[[GameIsOver]:[GameIsOver]], 1, Table1[[HomeTeam]:[HomeTeam]], $A63, Table1[[AwayTeam]:[AwayTeam]], AF$36, Table1[[ActualResult]:[ActualResult]], "SO")))/ (2*((COUNTIFS(Table1[[GameIsOver]:[GameIsOver]],1,Table1[[AwayTeam]:[AwayTeam]],$A63, Table1[[HomeTeam]:[HomeTeam]], AF$36)))+( COUNTIFS(Table1[[GameIsOver]:[GameIsOver]],1,Table1[[AwayTeam]:[AwayTeam]],AF$36, Table1[[HomeTeam]:[HomeTeam]],$A63))), "")</f>
        <v/>
      </c>
      <c r="AG63" s="50" t="str">
        <f>IFERROR(((2 * (SUMIFS(Table1[[AwayWon]:[AwayWon]], Table1[[GameIsOver]:[GameIsOver]], 1, Table1[[AwayTeam]:[AwayTeam]], $A63, Table1[[HomeTeam]:[HomeTeam]], AG$36) + SUMIFS(Table1[[HomeWon]:[HomeWon]], Table1[[GameIsOver]:[GameIsOver]], 1, Table1[[HomeTeam]:[HomeTeam]], $A63, Table1[[AwayTeam]:[AwayTeam]], AG$36))) + (SUMIFS(Table1[[HomeWon]:[HomeWon]], Table1[[GameIsOver]:[GameIsOver]], 1, Table1[[AwayTeam]:[AwayTeam]], $A63, Table1[[HomeTeam]:[HomeTeam]],  AG$36, Table1[[ActualResult]:[ActualResult]], "OT") + SUMIFS(Table1[[AwayWon]:[AwayWon]], Table1[[GameIsOver]:[GameIsOver]], 1, Table1[[HomeTeam]:[HomeTeam]], $A63, Table1[[AwayTeam]:[AwayTeam]], AG$36, Table1[[ActualResult]:[ActualResult]], "OT") + SUMIFS(Table1[[HomeWon]:[HomeWon]], Table1[[GameIsOver]:[GameIsOver]], 1, Table1[[AwayTeam]:[AwayTeam]], $A63, Table1[[HomeTeam]:[HomeTeam]], AG$36, Table1[[ActualResult]:[ActualResult]], "SO") + SUMIFS(Table1[[AwayWon]:[AwayWon]], Table1[[GameIsOver]:[GameIsOver]], 1, Table1[[HomeTeam]:[HomeTeam]], $A63, Table1[[AwayTeam]:[AwayTeam]], AG$36, Table1[[ActualResult]:[ActualResult]], "SO")))/ (2*((COUNTIFS(Table1[[GameIsOver]:[GameIsOver]],1,Table1[[AwayTeam]:[AwayTeam]],$A63, Table1[[HomeTeam]:[HomeTeam]], AG$36)))+( COUNTIFS(Table1[[GameIsOver]:[GameIsOver]],1,Table1[[AwayTeam]:[AwayTeam]],AG$36, Table1[[HomeTeam]:[HomeTeam]],$A63))), "")</f>
        <v/>
      </c>
      <c r="AH63" s="51" t="e">
        <f t="shared" si="0"/>
        <v>#DIV/0!</v>
      </c>
      <c r="AI63" s="51">
        <f t="shared" si="1"/>
        <v>1</v>
      </c>
      <c r="AJ63" s="52" t="e">
        <f t="shared" si="2"/>
        <v>#DIV/0!</v>
      </c>
      <c r="AK63" s="52" t="e">
        <f t="shared" si="3"/>
        <v>#DIV/0!</v>
      </c>
      <c r="AL63" s="52">
        <f t="shared" si="4"/>
        <v>1</v>
      </c>
      <c r="AM63" s="52" t="e">
        <f t="shared" si="5"/>
        <v>#DIV/0!</v>
      </c>
    </row>
    <row r="64" spans="1:39" x14ac:dyDescent="0.25">
      <c r="A64" s="28" t="s">
        <v>17</v>
      </c>
      <c r="B64" s="50" t="str">
        <f>IFERROR(((2 * (SUMIFS(Table1[[AwayWon]:[AwayWon]], Table1[[GameIsOver]:[GameIsOver]], 1, Table1[[AwayTeam]:[AwayTeam]], $A64, Table1[[HomeTeam]:[HomeTeam]], B$36) + SUMIFS(Table1[[HomeWon]:[HomeWon]], Table1[[GameIsOver]:[GameIsOver]], 1, Table1[[HomeTeam]:[HomeTeam]], $A64, Table1[[AwayTeam]:[AwayTeam]], B$36))) + (SUMIFS(Table1[[HomeWon]:[HomeWon]], Table1[[GameIsOver]:[GameIsOver]], 1, Table1[[AwayTeam]:[AwayTeam]], $A64, Table1[[HomeTeam]:[HomeTeam]],  B$36, Table1[[ActualResult]:[ActualResult]], "OT") + SUMIFS(Table1[[AwayWon]:[AwayWon]], Table1[[GameIsOver]:[GameIsOver]], 1, Table1[[HomeTeam]:[HomeTeam]], $A64, Table1[[AwayTeam]:[AwayTeam]], B$36, Table1[[ActualResult]:[ActualResult]], "OT") + SUMIFS(Table1[[HomeWon]:[HomeWon]], Table1[[GameIsOver]:[GameIsOver]], 1, Table1[[AwayTeam]:[AwayTeam]], $A64, Table1[[HomeTeam]:[HomeTeam]], B$36, Table1[[ActualResult]:[ActualResult]], "SO") + SUMIFS(Table1[[AwayWon]:[AwayWon]], Table1[[GameIsOver]:[GameIsOver]], 1, Table1[[HomeTeam]:[HomeTeam]], $A64, Table1[[AwayTeam]:[AwayTeam]], B$36, Table1[[ActualResult]:[ActualResult]], "SO")))/ (2*((COUNTIFS(Table1[[GameIsOver]:[GameIsOver]],1,Table1[[AwayTeam]:[AwayTeam]],$A64, Table1[[HomeTeam]:[HomeTeam]], B$36)))+( COUNTIFS(Table1[[GameIsOver]:[GameIsOver]],1,Table1[[AwayTeam]:[AwayTeam]],B$36, Table1[[HomeTeam]:[HomeTeam]],$A64))), "")</f>
        <v/>
      </c>
      <c r="C64" s="50" t="str">
        <f>IFERROR(((2 * (SUMIFS(Table1[[AwayWon]:[AwayWon]], Table1[[GameIsOver]:[GameIsOver]], 1, Table1[[AwayTeam]:[AwayTeam]], $A64, Table1[[HomeTeam]:[HomeTeam]], C$36) + SUMIFS(Table1[[HomeWon]:[HomeWon]], Table1[[GameIsOver]:[GameIsOver]], 1, Table1[[HomeTeam]:[HomeTeam]], $A64, Table1[[AwayTeam]:[AwayTeam]], C$36))) + (SUMIFS(Table1[[HomeWon]:[HomeWon]], Table1[[GameIsOver]:[GameIsOver]], 1, Table1[[AwayTeam]:[AwayTeam]], $A64, Table1[[HomeTeam]:[HomeTeam]],  C$36, Table1[[ActualResult]:[ActualResult]], "OT") + SUMIFS(Table1[[AwayWon]:[AwayWon]], Table1[[GameIsOver]:[GameIsOver]], 1, Table1[[HomeTeam]:[HomeTeam]], $A64, Table1[[AwayTeam]:[AwayTeam]], C$36, Table1[[ActualResult]:[ActualResult]], "OT") + SUMIFS(Table1[[HomeWon]:[HomeWon]], Table1[[GameIsOver]:[GameIsOver]], 1, Table1[[AwayTeam]:[AwayTeam]], $A64, Table1[[HomeTeam]:[HomeTeam]], C$36, Table1[[ActualResult]:[ActualResult]], "SO") + SUMIFS(Table1[[AwayWon]:[AwayWon]], Table1[[GameIsOver]:[GameIsOver]], 1, Table1[[HomeTeam]:[HomeTeam]], $A64, Table1[[AwayTeam]:[AwayTeam]], C$36, Table1[[ActualResult]:[ActualResult]], "SO")))/ (2*((COUNTIFS(Table1[[GameIsOver]:[GameIsOver]],1,Table1[[AwayTeam]:[AwayTeam]],$A64, Table1[[HomeTeam]:[HomeTeam]], C$36)))+( COUNTIFS(Table1[[GameIsOver]:[GameIsOver]],1,Table1[[AwayTeam]:[AwayTeam]],C$36, Table1[[HomeTeam]:[HomeTeam]],$A64))), "")</f>
        <v/>
      </c>
      <c r="D64" s="50" t="str">
        <f>IFERROR(((2 * (SUMIFS(Table1[[AwayWon]:[AwayWon]], Table1[[GameIsOver]:[GameIsOver]], 1, Table1[[AwayTeam]:[AwayTeam]], $A64, Table1[[HomeTeam]:[HomeTeam]], D$36) + SUMIFS(Table1[[HomeWon]:[HomeWon]], Table1[[GameIsOver]:[GameIsOver]], 1, Table1[[HomeTeam]:[HomeTeam]], $A64, Table1[[AwayTeam]:[AwayTeam]], D$36))) + (SUMIFS(Table1[[HomeWon]:[HomeWon]], Table1[[GameIsOver]:[GameIsOver]], 1, Table1[[AwayTeam]:[AwayTeam]], $A64, Table1[[HomeTeam]:[HomeTeam]],  D$36, Table1[[ActualResult]:[ActualResult]], "OT") + SUMIFS(Table1[[AwayWon]:[AwayWon]], Table1[[GameIsOver]:[GameIsOver]], 1, Table1[[HomeTeam]:[HomeTeam]], $A64, Table1[[AwayTeam]:[AwayTeam]], D$36, Table1[[ActualResult]:[ActualResult]], "OT") + SUMIFS(Table1[[HomeWon]:[HomeWon]], Table1[[GameIsOver]:[GameIsOver]], 1, Table1[[AwayTeam]:[AwayTeam]], $A64, Table1[[HomeTeam]:[HomeTeam]], D$36, Table1[[ActualResult]:[ActualResult]], "SO") + SUMIFS(Table1[[AwayWon]:[AwayWon]], Table1[[GameIsOver]:[GameIsOver]], 1, Table1[[HomeTeam]:[HomeTeam]], $A64, Table1[[AwayTeam]:[AwayTeam]], D$36, Table1[[ActualResult]:[ActualResult]], "SO")))/ (2*((COUNTIFS(Table1[[GameIsOver]:[GameIsOver]],1,Table1[[AwayTeam]:[AwayTeam]],$A64, Table1[[HomeTeam]:[HomeTeam]], D$36)))+( COUNTIFS(Table1[[GameIsOver]:[GameIsOver]],1,Table1[[AwayTeam]:[AwayTeam]],D$36, Table1[[HomeTeam]:[HomeTeam]],$A64))), "")</f>
        <v/>
      </c>
      <c r="E64" s="50" t="str">
        <f>IFERROR(((2 * (SUMIFS(Table1[[AwayWon]:[AwayWon]], Table1[[GameIsOver]:[GameIsOver]], 1, Table1[[AwayTeam]:[AwayTeam]], $A64, Table1[[HomeTeam]:[HomeTeam]], E$36) + SUMIFS(Table1[[HomeWon]:[HomeWon]], Table1[[GameIsOver]:[GameIsOver]], 1, Table1[[HomeTeam]:[HomeTeam]], $A64, Table1[[AwayTeam]:[AwayTeam]], E$36))) + (SUMIFS(Table1[[HomeWon]:[HomeWon]], Table1[[GameIsOver]:[GameIsOver]], 1, Table1[[AwayTeam]:[AwayTeam]], $A64, Table1[[HomeTeam]:[HomeTeam]],  E$36, Table1[[ActualResult]:[ActualResult]], "OT") + SUMIFS(Table1[[AwayWon]:[AwayWon]], Table1[[GameIsOver]:[GameIsOver]], 1, Table1[[HomeTeam]:[HomeTeam]], $A64, Table1[[AwayTeam]:[AwayTeam]], E$36, Table1[[ActualResult]:[ActualResult]], "OT") + SUMIFS(Table1[[HomeWon]:[HomeWon]], Table1[[GameIsOver]:[GameIsOver]], 1, Table1[[AwayTeam]:[AwayTeam]], $A64, Table1[[HomeTeam]:[HomeTeam]], E$36, Table1[[ActualResult]:[ActualResult]], "SO") + SUMIFS(Table1[[AwayWon]:[AwayWon]], Table1[[GameIsOver]:[GameIsOver]], 1, Table1[[HomeTeam]:[HomeTeam]], $A64, Table1[[AwayTeam]:[AwayTeam]], E$36, Table1[[ActualResult]:[ActualResult]], "SO")))/ (2*((COUNTIFS(Table1[[GameIsOver]:[GameIsOver]],1,Table1[[AwayTeam]:[AwayTeam]],$A64, Table1[[HomeTeam]:[HomeTeam]], E$36)))+( COUNTIFS(Table1[[GameIsOver]:[GameIsOver]],1,Table1[[AwayTeam]:[AwayTeam]],E$36, Table1[[HomeTeam]:[HomeTeam]],$A64))), "")</f>
        <v/>
      </c>
      <c r="F64" s="50" t="str">
        <f>IFERROR(((2 * (SUMIFS(Table1[[AwayWon]:[AwayWon]], Table1[[GameIsOver]:[GameIsOver]], 1, Table1[[AwayTeam]:[AwayTeam]], $A64, Table1[[HomeTeam]:[HomeTeam]], F$36) + SUMIFS(Table1[[HomeWon]:[HomeWon]], Table1[[GameIsOver]:[GameIsOver]], 1, Table1[[HomeTeam]:[HomeTeam]], $A64, Table1[[AwayTeam]:[AwayTeam]], F$36))) + (SUMIFS(Table1[[HomeWon]:[HomeWon]], Table1[[GameIsOver]:[GameIsOver]], 1, Table1[[AwayTeam]:[AwayTeam]], $A64, Table1[[HomeTeam]:[HomeTeam]],  F$36, Table1[[ActualResult]:[ActualResult]], "OT") + SUMIFS(Table1[[AwayWon]:[AwayWon]], Table1[[GameIsOver]:[GameIsOver]], 1, Table1[[HomeTeam]:[HomeTeam]], $A64, Table1[[AwayTeam]:[AwayTeam]], F$36, Table1[[ActualResult]:[ActualResult]], "OT") + SUMIFS(Table1[[HomeWon]:[HomeWon]], Table1[[GameIsOver]:[GameIsOver]], 1, Table1[[AwayTeam]:[AwayTeam]], $A64, Table1[[HomeTeam]:[HomeTeam]], F$36, Table1[[ActualResult]:[ActualResult]], "SO") + SUMIFS(Table1[[AwayWon]:[AwayWon]], Table1[[GameIsOver]:[GameIsOver]], 1, Table1[[HomeTeam]:[HomeTeam]], $A64, Table1[[AwayTeam]:[AwayTeam]], F$36, Table1[[ActualResult]:[ActualResult]], "SO")))/ (2*((COUNTIFS(Table1[[GameIsOver]:[GameIsOver]],1,Table1[[AwayTeam]:[AwayTeam]],$A64, Table1[[HomeTeam]:[HomeTeam]], F$36)))+( COUNTIFS(Table1[[GameIsOver]:[GameIsOver]],1,Table1[[AwayTeam]:[AwayTeam]],F$36, Table1[[HomeTeam]:[HomeTeam]],$A64))), "")</f>
        <v/>
      </c>
      <c r="G64" s="50" t="str">
        <f>IFERROR(((2 * (SUMIFS(Table1[[AwayWon]:[AwayWon]], Table1[[GameIsOver]:[GameIsOver]], 1, Table1[[AwayTeam]:[AwayTeam]], $A64, Table1[[HomeTeam]:[HomeTeam]], G$36) + SUMIFS(Table1[[HomeWon]:[HomeWon]], Table1[[GameIsOver]:[GameIsOver]], 1, Table1[[HomeTeam]:[HomeTeam]], $A64, Table1[[AwayTeam]:[AwayTeam]], G$36))) + (SUMIFS(Table1[[HomeWon]:[HomeWon]], Table1[[GameIsOver]:[GameIsOver]], 1, Table1[[AwayTeam]:[AwayTeam]], $A64, Table1[[HomeTeam]:[HomeTeam]],  G$36, Table1[[ActualResult]:[ActualResult]], "OT") + SUMIFS(Table1[[AwayWon]:[AwayWon]], Table1[[GameIsOver]:[GameIsOver]], 1, Table1[[HomeTeam]:[HomeTeam]], $A64, Table1[[AwayTeam]:[AwayTeam]], G$36, Table1[[ActualResult]:[ActualResult]], "OT") + SUMIFS(Table1[[HomeWon]:[HomeWon]], Table1[[GameIsOver]:[GameIsOver]], 1, Table1[[AwayTeam]:[AwayTeam]], $A64, Table1[[HomeTeam]:[HomeTeam]], G$36, Table1[[ActualResult]:[ActualResult]], "SO") + SUMIFS(Table1[[AwayWon]:[AwayWon]], Table1[[GameIsOver]:[GameIsOver]], 1, Table1[[HomeTeam]:[HomeTeam]], $A64, Table1[[AwayTeam]:[AwayTeam]], G$36, Table1[[ActualResult]:[ActualResult]], "SO")))/ (2*((COUNTIFS(Table1[[GameIsOver]:[GameIsOver]],1,Table1[[AwayTeam]:[AwayTeam]],$A64, Table1[[HomeTeam]:[HomeTeam]], G$36)))+( COUNTIFS(Table1[[GameIsOver]:[GameIsOver]],1,Table1[[AwayTeam]:[AwayTeam]],G$36, Table1[[HomeTeam]:[HomeTeam]],$A64))), "")</f>
        <v/>
      </c>
      <c r="H64" s="50" t="str">
        <f>IFERROR(((2 * (SUMIFS(Table1[[AwayWon]:[AwayWon]], Table1[[GameIsOver]:[GameIsOver]], 1, Table1[[AwayTeam]:[AwayTeam]], $A64, Table1[[HomeTeam]:[HomeTeam]], H$36) + SUMIFS(Table1[[HomeWon]:[HomeWon]], Table1[[GameIsOver]:[GameIsOver]], 1, Table1[[HomeTeam]:[HomeTeam]], $A64, Table1[[AwayTeam]:[AwayTeam]], H$36))) + (SUMIFS(Table1[[HomeWon]:[HomeWon]], Table1[[GameIsOver]:[GameIsOver]], 1, Table1[[AwayTeam]:[AwayTeam]], $A64, Table1[[HomeTeam]:[HomeTeam]],  H$36, Table1[[ActualResult]:[ActualResult]], "OT") + SUMIFS(Table1[[AwayWon]:[AwayWon]], Table1[[GameIsOver]:[GameIsOver]], 1, Table1[[HomeTeam]:[HomeTeam]], $A64, Table1[[AwayTeam]:[AwayTeam]], H$36, Table1[[ActualResult]:[ActualResult]], "OT") + SUMIFS(Table1[[HomeWon]:[HomeWon]], Table1[[GameIsOver]:[GameIsOver]], 1, Table1[[AwayTeam]:[AwayTeam]], $A64, Table1[[HomeTeam]:[HomeTeam]], H$36, Table1[[ActualResult]:[ActualResult]], "SO") + SUMIFS(Table1[[AwayWon]:[AwayWon]], Table1[[GameIsOver]:[GameIsOver]], 1, Table1[[HomeTeam]:[HomeTeam]], $A64, Table1[[AwayTeam]:[AwayTeam]], H$36, Table1[[ActualResult]:[ActualResult]], "SO")))/ (2*((COUNTIFS(Table1[[GameIsOver]:[GameIsOver]],1,Table1[[AwayTeam]:[AwayTeam]],$A64, Table1[[HomeTeam]:[HomeTeam]], H$36)))+( COUNTIFS(Table1[[GameIsOver]:[GameIsOver]],1,Table1[[AwayTeam]:[AwayTeam]],H$36, Table1[[HomeTeam]:[HomeTeam]],$A64))), "")</f>
        <v/>
      </c>
      <c r="I64" s="52" t="str">
        <f>IFERROR(((2 * (SUMIFS(Table1[[AwayWon]:[AwayWon]], Table1[[GameIsOver]:[GameIsOver]], 1, Table1[[AwayTeam]:[AwayTeam]], $A64, Table1[[HomeTeam]:[HomeTeam]], I$36) + SUMIFS(Table1[[HomeWon]:[HomeWon]], Table1[[GameIsOver]:[GameIsOver]], 1, Table1[[HomeTeam]:[HomeTeam]], $A64, Table1[[AwayTeam]:[AwayTeam]], I$36))) + (SUMIFS(Table1[[HomeWon]:[HomeWon]], Table1[[GameIsOver]:[GameIsOver]], 1, Table1[[AwayTeam]:[AwayTeam]], $A64, Table1[[HomeTeam]:[HomeTeam]],  I$36, Table1[[ActualResult]:[ActualResult]], "OT") + SUMIFS(Table1[[AwayWon]:[AwayWon]], Table1[[GameIsOver]:[GameIsOver]], 1, Table1[[HomeTeam]:[HomeTeam]], $A64, Table1[[AwayTeam]:[AwayTeam]], I$36, Table1[[ActualResult]:[ActualResult]], "OT") + SUMIFS(Table1[[HomeWon]:[HomeWon]], Table1[[GameIsOver]:[GameIsOver]], 1, Table1[[AwayTeam]:[AwayTeam]], $A64, Table1[[HomeTeam]:[HomeTeam]], I$36, Table1[[ActualResult]:[ActualResult]], "SO") + SUMIFS(Table1[[AwayWon]:[AwayWon]], Table1[[GameIsOver]:[GameIsOver]], 1, Table1[[HomeTeam]:[HomeTeam]], $A64, Table1[[AwayTeam]:[AwayTeam]], I$36, Table1[[ActualResult]:[ActualResult]], "SO")))/ (2*((COUNTIFS(Table1[[GameIsOver]:[GameIsOver]],1,Table1[[AwayTeam]:[AwayTeam]],$A64, Table1[[HomeTeam]:[HomeTeam]], I$36)))+( COUNTIFS(Table1[[GameIsOver]:[GameIsOver]],1,Table1[[AwayTeam]:[AwayTeam]],I$36, Table1[[HomeTeam]:[HomeTeam]],$A64))), "")</f>
        <v/>
      </c>
      <c r="J64" s="50">
        <f>IFERROR(((2 * (SUMIFS(Table1[[AwayWon]:[AwayWon]], Table1[[GameIsOver]:[GameIsOver]], 1, Table1[[AwayTeam]:[AwayTeam]], $A64, Table1[[HomeTeam]:[HomeTeam]], J$36) + SUMIFS(Table1[[HomeWon]:[HomeWon]], Table1[[GameIsOver]:[GameIsOver]], 1, Table1[[HomeTeam]:[HomeTeam]], $A64, Table1[[AwayTeam]:[AwayTeam]], J$36))) + (SUMIFS(Table1[[HomeWon]:[HomeWon]], Table1[[GameIsOver]:[GameIsOver]], 1, Table1[[AwayTeam]:[AwayTeam]], $A64, Table1[[HomeTeam]:[HomeTeam]],  J$36, Table1[[ActualResult]:[ActualResult]], "OT") + SUMIFS(Table1[[AwayWon]:[AwayWon]], Table1[[GameIsOver]:[GameIsOver]], 1, Table1[[HomeTeam]:[HomeTeam]], $A64, Table1[[AwayTeam]:[AwayTeam]], J$36, Table1[[ActualResult]:[ActualResult]], "OT") + SUMIFS(Table1[[HomeWon]:[HomeWon]], Table1[[GameIsOver]:[GameIsOver]], 1, Table1[[AwayTeam]:[AwayTeam]], $A64, Table1[[HomeTeam]:[HomeTeam]], J$36, Table1[[ActualResult]:[ActualResult]], "SO") + SUMIFS(Table1[[AwayWon]:[AwayWon]], Table1[[GameIsOver]:[GameIsOver]], 1, Table1[[HomeTeam]:[HomeTeam]], $A64, Table1[[AwayTeam]:[AwayTeam]], J$36, Table1[[ActualResult]:[ActualResult]], "SO")))/ (2*((COUNTIFS(Table1[[GameIsOver]:[GameIsOver]],1,Table1[[AwayTeam]:[AwayTeam]],$A64, Table1[[HomeTeam]:[HomeTeam]], J$36)))+( COUNTIFS(Table1[[GameIsOver]:[GameIsOver]],1,Table1[[AwayTeam]:[AwayTeam]],J$36, Table1[[HomeTeam]:[HomeTeam]],$A64))), "")</f>
        <v>0</v>
      </c>
      <c r="K64" s="50" t="str">
        <f>IFERROR(((2 * (SUMIFS(Table1[[AwayWon]:[AwayWon]], Table1[[GameIsOver]:[GameIsOver]], 1, Table1[[AwayTeam]:[AwayTeam]], $A64, Table1[[HomeTeam]:[HomeTeam]], K$36) + SUMIFS(Table1[[HomeWon]:[HomeWon]], Table1[[GameIsOver]:[GameIsOver]], 1, Table1[[HomeTeam]:[HomeTeam]], $A64, Table1[[AwayTeam]:[AwayTeam]], K$36))) + (SUMIFS(Table1[[HomeWon]:[HomeWon]], Table1[[GameIsOver]:[GameIsOver]], 1, Table1[[AwayTeam]:[AwayTeam]], $A64, Table1[[HomeTeam]:[HomeTeam]],  K$36, Table1[[ActualResult]:[ActualResult]], "OT") + SUMIFS(Table1[[AwayWon]:[AwayWon]], Table1[[GameIsOver]:[GameIsOver]], 1, Table1[[HomeTeam]:[HomeTeam]], $A64, Table1[[AwayTeam]:[AwayTeam]], K$36, Table1[[ActualResult]:[ActualResult]], "OT") + SUMIFS(Table1[[HomeWon]:[HomeWon]], Table1[[GameIsOver]:[GameIsOver]], 1, Table1[[AwayTeam]:[AwayTeam]], $A64, Table1[[HomeTeam]:[HomeTeam]], K$36, Table1[[ActualResult]:[ActualResult]], "SO") + SUMIFS(Table1[[AwayWon]:[AwayWon]], Table1[[GameIsOver]:[GameIsOver]], 1, Table1[[HomeTeam]:[HomeTeam]], $A64, Table1[[AwayTeam]:[AwayTeam]], K$36, Table1[[ActualResult]:[ActualResult]], "SO")))/ (2*((COUNTIFS(Table1[[GameIsOver]:[GameIsOver]],1,Table1[[AwayTeam]:[AwayTeam]],$A64, Table1[[HomeTeam]:[HomeTeam]], K$36)))+( COUNTIFS(Table1[[GameIsOver]:[GameIsOver]],1,Table1[[AwayTeam]:[AwayTeam]],K$36, Table1[[HomeTeam]:[HomeTeam]],$A64))), "")</f>
        <v/>
      </c>
      <c r="L64" s="50" t="str">
        <f>IFERROR(((2 * (SUMIFS(Table1[[AwayWon]:[AwayWon]], Table1[[GameIsOver]:[GameIsOver]], 1, Table1[[AwayTeam]:[AwayTeam]], $A64, Table1[[HomeTeam]:[HomeTeam]], L$36) + SUMIFS(Table1[[HomeWon]:[HomeWon]], Table1[[GameIsOver]:[GameIsOver]], 1, Table1[[HomeTeam]:[HomeTeam]], $A64, Table1[[AwayTeam]:[AwayTeam]], L$36))) + (SUMIFS(Table1[[HomeWon]:[HomeWon]], Table1[[GameIsOver]:[GameIsOver]], 1, Table1[[AwayTeam]:[AwayTeam]], $A64, Table1[[HomeTeam]:[HomeTeam]],  L$36, Table1[[ActualResult]:[ActualResult]], "OT") + SUMIFS(Table1[[AwayWon]:[AwayWon]], Table1[[GameIsOver]:[GameIsOver]], 1, Table1[[HomeTeam]:[HomeTeam]], $A64, Table1[[AwayTeam]:[AwayTeam]], L$36, Table1[[ActualResult]:[ActualResult]], "OT") + SUMIFS(Table1[[HomeWon]:[HomeWon]], Table1[[GameIsOver]:[GameIsOver]], 1, Table1[[AwayTeam]:[AwayTeam]], $A64, Table1[[HomeTeam]:[HomeTeam]], L$36, Table1[[ActualResult]:[ActualResult]], "SO") + SUMIFS(Table1[[AwayWon]:[AwayWon]], Table1[[GameIsOver]:[GameIsOver]], 1, Table1[[HomeTeam]:[HomeTeam]], $A64, Table1[[AwayTeam]:[AwayTeam]], L$36, Table1[[ActualResult]:[ActualResult]], "SO")))/ (2*((COUNTIFS(Table1[[GameIsOver]:[GameIsOver]],1,Table1[[AwayTeam]:[AwayTeam]],$A64, Table1[[HomeTeam]:[HomeTeam]], L$36)))+( COUNTIFS(Table1[[GameIsOver]:[GameIsOver]],1,Table1[[AwayTeam]:[AwayTeam]],L$36, Table1[[HomeTeam]:[HomeTeam]],$A64))), "")</f>
        <v/>
      </c>
      <c r="M64" s="50" t="str">
        <f>IFERROR(((2 * (SUMIFS(Table1[[AwayWon]:[AwayWon]], Table1[[GameIsOver]:[GameIsOver]], 1, Table1[[AwayTeam]:[AwayTeam]], $A64, Table1[[HomeTeam]:[HomeTeam]], M$36) + SUMIFS(Table1[[HomeWon]:[HomeWon]], Table1[[GameIsOver]:[GameIsOver]], 1, Table1[[HomeTeam]:[HomeTeam]], $A64, Table1[[AwayTeam]:[AwayTeam]], M$36))) + (SUMIFS(Table1[[HomeWon]:[HomeWon]], Table1[[GameIsOver]:[GameIsOver]], 1, Table1[[AwayTeam]:[AwayTeam]], $A64, Table1[[HomeTeam]:[HomeTeam]],  M$36, Table1[[ActualResult]:[ActualResult]], "OT") + SUMIFS(Table1[[AwayWon]:[AwayWon]], Table1[[GameIsOver]:[GameIsOver]], 1, Table1[[HomeTeam]:[HomeTeam]], $A64, Table1[[AwayTeam]:[AwayTeam]], M$36, Table1[[ActualResult]:[ActualResult]], "OT") + SUMIFS(Table1[[HomeWon]:[HomeWon]], Table1[[GameIsOver]:[GameIsOver]], 1, Table1[[AwayTeam]:[AwayTeam]], $A64, Table1[[HomeTeam]:[HomeTeam]], M$36, Table1[[ActualResult]:[ActualResult]], "SO") + SUMIFS(Table1[[AwayWon]:[AwayWon]], Table1[[GameIsOver]:[GameIsOver]], 1, Table1[[HomeTeam]:[HomeTeam]], $A64, Table1[[AwayTeam]:[AwayTeam]], M$36, Table1[[ActualResult]:[ActualResult]], "SO")))/ (2*((COUNTIFS(Table1[[GameIsOver]:[GameIsOver]],1,Table1[[AwayTeam]:[AwayTeam]],$A64, Table1[[HomeTeam]:[HomeTeam]], M$36)))+( COUNTIFS(Table1[[GameIsOver]:[GameIsOver]],1,Table1[[AwayTeam]:[AwayTeam]],M$36, Table1[[HomeTeam]:[HomeTeam]],$A64))), "")</f>
        <v/>
      </c>
      <c r="N64" s="50" t="str">
        <f>IFERROR(((2 * (SUMIFS(Table1[[AwayWon]:[AwayWon]], Table1[[GameIsOver]:[GameIsOver]], 1, Table1[[AwayTeam]:[AwayTeam]], $A64, Table1[[HomeTeam]:[HomeTeam]], N$36) + SUMIFS(Table1[[HomeWon]:[HomeWon]], Table1[[GameIsOver]:[GameIsOver]], 1, Table1[[HomeTeam]:[HomeTeam]], $A64, Table1[[AwayTeam]:[AwayTeam]], N$36))) + (SUMIFS(Table1[[HomeWon]:[HomeWon]], Table1[[GameIsOver]:[GameIsOver]], 1, Table1[[AwayTeam]:[AwayTeam]], $A64, Table1[[HomeTeam]:[HomeTeam]],  N$36, Table1[[ActualResult]:[ActualResult]], "OT") + SUMIFS(Table1[[AwayWon]:[AwayWon]], Table1[[GameIsOver]:[GameIsOver]], 1, Table1[[HomeTeam]:[HomeTeam]], $A64, Table1[[AwayTeam]:[AwayTeam]], N$36, Table1[[ActualResult]:[ActualResult]], "OT") + SUMIFS(Table1[[HomeWon]:[HomeWon]], Table1[[GameIsOver]:[GameIsOver]], 1, Table1[[AwayTeam]:[AwayTeam]], $A64, Table1[[HomeTeam]:[HomeTeam]], N$36, Table1[[ActualResult]:[ActualResult]], "SO") + SUMIFS(Table1[[AwayWon]:[AwayWon]], Table1[[GameIsOver]:[GameIsOver]], 1, Table1[[HomeTeam]:[HomeTeam]], $A64, Table1[[AwayTeam]:[AwayTeam]], N$36, Table1[[ActualResult]:[ActualResult]], "SO")))/ (2*((COUNTIFS(Table1[[GameIsOver]:[GameIsOver]],1,Table1[[AwayTeam]:[AwayTeam]],$A64, Table1[[HomeTeam]:[HomeTeam]], N$36)))+( COUNTIFS(Table1[[GameIsOver]:[GameIsOver]],1,Table1[[AwayTeam]:[AwayTeam]],N$36, Table1[[HomeTeam]:[HomeTeam]],$A64))), "")</f>
        <v/>
      </c>
      <c r="O64" s="50" t="str">
        <f>IFERROR(((2 * (SUMIFS(Table1[[AwayWon]:[AwayWon]], Table1[[GameIsOver]:[GameIsOver]], 1, Table1[[AwayTeam]:[AwayTeam]], $A64, Table1[[HomeTeam]:[HomeTeam]], O$36) + SUMIFS(Table1[[HomeWon]:[HomeWon]], Table1[[GameIsOver]:[GameIsOver]], 1, Table1[[HomeTeam]:[HomeTeam]], $A64, Table1[[AwayTeam]:[AwayTeam]], O$36))) + (SUMIFS(Table1[[HomeWon]:[HomeWon]], Table1[[GameIsOver]:[GameIsOver]], 1, Table1[[AwayTeam]:[AwayTeam]], $A64, Table1[[HomeTeam]:[HomeTeam]],  O$36, Table1[[ActualResult]:[ActualResult]], "OT") + SUMIFS(Table1[[AwayWon]:[AwayWon]], Table1[[GameIsOver]:[GameIsOver]], 1, Table1[[HomeTeam]:[HomeTeam]], $A64, Table1[[AwayTeam]:[AwayTeam]], O$36, Table1[[ActualResult]:[ActualResult]], "OT") + SUMIFS(Table1[[HomeWon]:[HomeWon]], Table1[[GameIsOver]:[GameIsOver]], 1, Table1[[AwayTeam]:[AwayTeam]], $A64, Table1[[HomeTeam]:[HomeTeam]], O$36, Table1[[ActualResult]:[ActualResult]], "SO") + SUMIFS(Table1[[AwayWon]:[AwayWon]], Table1[[GameIsOver]:[GameIsOver]], 1, Table1[[HomeTeam]:[HomeTeam]], $A64, Table1[[AwayTeam]:[AwayTeam]], O$36, Table1[[ActualResult]:[ActualResult]], "SO")))/ (2*((COUNTIFS(Table1[[GameIsOver]:[GameIsOver]],1,Table1[[AwayTeam]:[AwayTeam]],$A64, Table1[[HomeTeam]:[HomeTeam]], O$36)))+( COUNTIFS(Table1[[GameIsOver]:[GameIsOver]],1,Table1[[AwayTeam]:[AwayTeam]],O$36, Table1[[HomeTeam]:[HomeTeam]],$A64))), "")</f>
        <v/>
      </c>
      <c r="P64" s="50" t="str">
        <f>IFERROR(((2 * (SUMIFS(Table1[[AwayWon]:[AwayWon]], Table1[[GameIsOver]:[GameIsOver]], 1, Table1[[AwayTeam]:[AwayTeam]], $A64, Table1[[HomeTeam]:[HomeTeam]], P$36) + SUMIFS(Table1[[HomeWon]:[HomeWon]], Table1[[GameIsOver]:[GameIsOver]], 1, Table1[[HomeTeam]:[HomeTeam]], $A64, Table1[[AwayTeam]:[AwayTeam]], P$36))) + (SUMIFS(Table1[[HomeWon]:[HomeWon]], Table1[[GameIsOver]:[GameIsOver]], 1, Table1[[AwayTeam]:[AwayTeam]], $A64, Table1[[HomeTeam]:[HomeTeam]],  P$36, Table1[[ActualResult]:[ActualResult]], "OT") + SUMIFS(Table1[[AwayWon]:[AwayWon]], Table1[[GameIsOver]:[GameIsOver]], 1, Table1[[HomeTeam]:[HomeTeam]], $A64, Table1[[AwayTeam]:[AwayTeam]], P$36, Table1[[ActualResult]:[ActualResult]], "OT") + SUMIFS(Table1[[HomeWon]:[HomeWon]], Table1[[GameIsOver]:[GameIsOver]], 1, Table1[[AwayTeam]:[AwayTeam]], $A64, Table1[[HomeTeam]:[HomeTeam]], P$36, Table1[[ActualResult]:[ActualResult]], "SO") + SUMIFS(Table1[[AwayWon]:[AwayWon]], Table1[[GameIsOver]:[GameIsOver]], 1, Table1[[HomeTeam]:[HomeTeam]], $A64, Table1[[AwayTeam]:[AwayTeam]], P$36, Table1[[ActualResult]:[ActualResult]], "SO")))/ (2*((COUNTIFS(Table1[[GameIsOver]:[GameIsOver]],1,Table1[[AwayTeam]:[AwayTeam]],$A64, Table1[[HomeTeam]:[HomeTeam]], P$36)))+( COUNTIFS(Table1[[GameIsOver]:[GameIsOver]],1,Table1[[AwayTeam]:[AwayTeam]],P$36, Table1[[HomeTeam]:[HomeTeam]],$A64))), "")</f>
        <v/>
      </c>
      <c r="Q64" s="52" t="str">
        <f>IFERROR(((2 * (SUMIFS(Table1[[AwayWon]:[AwayWon]], Table1[[GameIsOver]:[GameIsOver]], 1, Table1[[AwayTeam]:[AwayTeam]], $A64, Table1[[HomeTeam]:[HomeTeam]], Q$36) + SUMIFS(Table1[[HomeWon]:[HomeWon]], Table1[[GameIsOver]:[GameIsOver]], 1, Table1[[HomeTeam]:[HomeTeam]], $A64, Table1[[AwayTeam]:[AwayTeam]], Q$36))) + (SUMIFS(Table1[[HomeWon]:[HomeWon]], Table1[[GameIsOver]:[GameIsOver]], 1, Table1[[AwayTeam]:[AwayTeam]], $A64, Table1[[HomeTeam]:[HomeTeam]],  Q$36, Table1[[ActualResult]:[ActualResult]], "OT") + SUMIFS(Table1[[AwayWon]:[AwayWon]], Table1[[GameIsOver]:[GameIsOver]], 1, Table1[[HomeTeam]:[HomeTeam]], $A64, Table1[[AwayTeam]:[AwayTeam]], Q$36, Table1[[ActualResult]:[ActualResult]], "OT") + SUMIFS(Table1[[HomeWon]:[HomeWon]], Table1[[GameIsOver]:[GameIsOver]], 1, Table1[[AwayTeam]:[AwayTeam]], $A64, Table1[[HomeTeam]:[HomeTeam]], Q$36, Table1[[ActualResult]:[ActualResult]], "SO") + SUMIFS(Table1[[AwayWon]:[AwayWon]], Table1[[GameIsOver]:[GameIsOver]], 1, Table1[[HomeTeam]:[HomeTeam]], $A64, Table1[[AwayTeam]:[AwayTeam]], Q$36, Table1[[ActualResult]:[ActualResult]], "SO")))/ (2*((COUNTIFS(Table1[[GameIsOver]:[GameIsOver]],1,Table1[[AwayTeam]:[AwayTeam]],$A64, Table1[[HomeTeam]:[HomeTeam]], Q$36)))+( COUNTIFS(Table1[[GameIsOver]:[GameIsOver]],1,Table1[[AwayTeam]:[AwayTeam]],Q$36, Table1[[HomeTeam]:[HomeTeam]],$A64))), "")</f>
        <v/>
      </c>
      <c r="R64" s="50" t="str">
        <f>IFERROR(((2 * (SUMIFS(Table1[[AwayWon]:[AwayWon]], Table1[[GameIsOver]:[GameIsOver]], 1, Table1[[AwayTeam]:[AwayTeam]], $A64, Table1[[HomeTeam]:[HomeTeam]], R$36) + SUMIFS(Table1[[HomeWon]:[HomeWon]], Table1[[GameIsOver]:[GameIsOver]], 1, Table1[[HomeTeam]:[HomeTeam]], $A64, Table1[[AwayTeam]:[AwayTeam]], R$36))) + (SUMIFS(Table1[[HomeWon]:[HomeWon]], Table1[[GameIsOver]:[GameIsOver]], 1, Table1[[AwayTeam]:[AwayTeam]], $A64, Table1[[HomeTeam]:[HomeTeam]],  R$36, Table1[[ActualResult]:[ActualResult]], "OT") + SUMIFS(Table1[[AwayWon]:[AwayWon]], Table1[[GameIsOver]:[GameIsOver]], 1, Table1[[HomeTeam]:[HomeTeam]], $A64, Table1[[AwayTeam]:[AwayTeam]], R$36, Table1[[ActualResult]:[ActualResult]], "OT") + SUMIFS(Table1[[HomeWon]:[HomeWon]], Table1[[GameIsOver]:[GameIsOver]], 1, Table1[[AwayTeam]:[AwayTeam]], $A64, Table1[[HomeTeam]:[HomeTeam]], R$36, Table1[[ActualResult]:[ActualResult]], "SO") + SUMIFS(Table1[[AwayWon]:[AwayWon]], Table1[[GameIsOver]:[GameIsOver]], 1, Table1[[HomeTeam]:[HomeTeam]], $A64, Table1[[AwayTeam]:[AwayTeam]], R$36, Table1[[ActualResult]:[ActualResult]], "SO")))/ (2*((COUNTIFS(Table1[[GameIsOver]:[GameIsOver]],1,Table1[[AwayTeam]:[AwayTeam]],$A64, Table1[[HomeTeam]:[HomeTeam]], R$36)))+( COUNTIFS(Table1[[GameIsOver]:[GameIsOver]],1,Table1[[AwayTeam]:[AwayTeam]],R$36, Table1[[HomeTeam]:[HomeTeam]],$A64))), "")</f>
        <v/>
      </c>
      <c r="S64" s="50" t="str">
        <f>IFERROR(((2 * (SUMIFS(Table1[[AwayWon]:[AwayWon]], Table1[[GameIsOver]:[GameIsOver]], 1, Table1[[AwayTeam]:[AwayTeam]], $A64, Table1[[HomeTeam]:[HomeTeam]], S$36) + SUMIFS(Table1[[HomeWon]:[HomeWon]], Table1[[GameIsOver]:[GameIsOver]], 1, Table1[[HomeTeam]:[HomeTeam]], $A64, Table1[[AwayTeam]:[AwayTeam]], S$36))) + (SUMIFS(Table1[[HomeWon]:[HomeWon]], Table1[[GameIsOver]:[GameIsOver]], 1, Table1[[AwayTeam]:[AwayTeam]], $A64, Table1[[HomeTeam]:[HomeTeam]],  S$36, Table1[[ActualResult]:[ActualResult]], "OT") + SUMIFS(Table1[[AwayWon]:[AwayWon]], Table1[[GameIsOver]:[GameIsOver]], 1, Table1[[HomeTeam]:[HomeTeam]], $A64, Table1[[AwayTeam]:[AwayTeam]], S$36, Table1[[ActualResult]:[ActualResult]], "OT") + SUMIFS(Table1[[HomeWon]:[HomeWon]], Table1[[GameIsOver]:[GameIsOver]], 1, Table1[[AwayTeam]:[AwayTeam]], $A64, Table1[[HomeTeam]:[HomeTeam]], S$36, Table1[[ActualResult]:[ActualResult]], "SO") + SUMIFS(Table1[[AwayWon]:[AwayWon]], Table1[[GameIsOver]:[GameIsOver]], 1, Table1[[HomeTeam]:[HomeTeam]], $A64, Table1[[AwayTeam]:[AwayTeam]], S$36, Table1[[ActualResult]:[ActualResult]], "SO")))/ (2*((COUNTIFS(Table1[[GameIsOver]:[GameIsOver]],1,Table1[[AwayTeam]:[AwayTeam]],$A64, Table1[[HomeTeam]:[HomeTeam]], S$36)))+( COUNTIFS(Table1[[GameIsOver]:[GameIsOver]],1,Table1[[AwayTeam]:[AwayTeam]],S$36, Table1[[HomeTeam]:[HomeTeam]],$A64))), "")</f>
        <v/>
      </c>
      <c r="T64" s="50" t="str">
        <f>IFERROR(((2 * (SUMIFS(Table1[[AwayWon]:[AwayWon]], Table1[[GameIsOver]:[GameIsOver]], 1, Table1[[AwayTeam]:[AwayTeam]], $A64, Table1[[HomeTeam]:[HomeTeam]], T$36) + SUMIFS(Table1[[HomeWon]:[HomeWon]], Table1[[GameIsOver]:[GameIsOver]], 1, Table1[[HomeTeam]:[HomeTeam]], $A64, Table1[[AwayTeam]:[AwayTeam]], T$36))) + (SUMIFS(Table1[[HomeWon]:[HomeWon]], Table1[[GameIsOver]:[GameIsOver]], 1, Table1[[AwayTeam]:[AwayTeam]], $A64, Table1[[HomeTeam]:[HomeTeam]],  T$36, Table1[[ActualResult]:[ActualResult]], "OT") + SUMIFS(Table1[[AwayWon]:[AwayWon]], Table1[[GameIsOver]:[GameIsOver]], 1, Table1[[HomeTeam]:[HomeTeam]], $A64, Table1[[AwayTeam]:[AwayTeam]], T$36, Table1[[ActualResult]:[ActualResult]], "OT") + SUMIFS(Table1[[HomeWon]:[HomeWon]], Table1[[GameIsOver]:[GameIsOver]], 1, Table1[[AwayTeam]:[AwayTeam]], $A64, Table1[[HomeTeam]:[HomeTeam]], T$36, Table1[[ActualResult]:[ActualResult]], "SO") + SUMIFS(Table1[[AwayWon]:[AwayWon]], Table1[[GameIsOver]:[GameIsOver]], 1, Table1[[HomeTeam]:[HomeTeam]], $A64, Table1[[AwayTeam]:[AwayTeam]], T$36, Table1[[ActualResult]:[ActualResult]], "SO")))/ (2*((COUNTIFS(Table1[[GameIsOver]:[GameIsOver]],1,Table1[[AwayTeam]:[AwayTeam]],$A64, Table1[[HomeTeam]:[HomeTeam]], T$36)))+( COUNTIFS(Table1[[GameIsOver]:[GameIsOver]],1,Table1[[AwayTeam]:[AwayTeam]],T$36, Table1[[HomeTeam]:[HomeTeam]],$A64))), "")</f>
        <v/>
      </c>
      <c r="U64" s="50" t="str">
        <f>IFERROR(((2 * (SUMIFS(Table1[[AwayWon]:[AwayWon]], Table1[[GameIsOver]:[GameIsOver]], 1, Table1[[AwayTeam]:[AwayTeam]], $A64, Table1[[HomeTeam]:[HomeTeam]], U$36) + SUMIFS(Table1[[HomeWon]:[HomeWon]], Table1[[GameIsOver]:[GameIsOver]], 1, Table1[[HomeTeam]:[HomeTeam]], $A64, Table1[[AwayTeam]:[AwayTeam]], U$36))) + (SUMIFS(Table1[[HomeWon]:[HomeWon]], Table1[[GameIsOver]:[GameIsOver]], 1, Table1[[AwayTeam]:[AwayTeam]], $A64, Table1[[HomeTeam]:[HomeTeam]],  U$36, Table1[[ActualResult]:[ActualResult]], "OT") + SUMIFS(Table1[[AwayWon]:[AwayWon]], Table1[[GameIsOver]:[GameIsOver]], 1, Table1[[HomeTeam]:[HomeTeam]], $A64, Table1[[AwayTeam]:[AwayTeam]], U$36, Table1[[ActualResult]:[ActualResult]], "OT") + SUMIFS(Table1[[HomeWon]:[HomeWon]], Table1[[GameIsOver]:[GameIsOver]], 1, Table1[[AwayTeam]:[AwayTeam]], $A64, Table1[[HomeTeam]:[HomeTeam]], U$36, Table1[[ActualResult]:[ActualResult]], "SO") + SUMIFS(Table1[[AwayWon]:[AwayWon]], Table1[[GameIsOver]:[GameIsOver]], 1, Table1[[HomeTeam]:[HomeTeam]], $A64, Table1[[AwayTeam]:[AwayTeam]], U$36, Table1[[ActualResult]:[ActualResult]], "SO")))/ (2*((COUNTIFS(Table1[[GameIsOver]:[GameIsOver]],1,Table1[[AwayTeam]:[AwayTeam]],$A64, Table1[[HomeTeam]:[HomeTeam]], U$36)))+( COUNTIFS(Table1[[GameIsOver]:[GameIsOver]],1,Table1[[AwayTeam]:[AwayTeam]],U$36, Table1[[HomeTeam]:[HomeTeam]],$A64))), "")</f>
        <v/>
      </c>
      <c r="V64" s="50" t="str">
        <f>IFERROR(((2 * (SUMIFS(Table1[[AwayWon]:[AwayWon]], Table1[[GameIsOver]:[GameIsOver]], 1, Table1[[AwayTeam]:[AwayTeam]], $A64, Table1[[HomeTeam]:[HomeTeam]], V$36) + SUMIFS(Table1[[HomeWon]:[HomeWon]], Table1[[GameIsOver]:[GameIsOver]], 1, Table1[[HomeTeam]:[HomeTeam]], $A64, Table1[[AwayTeam]:[AwayTeam]], V$36))) + (SUMIFS(Table1[[HomeWon]:[HomeWon]], Table1[[GameIsOver]:[GameIsOver]], 1, Table1[[AwayTeam]:[AwayTeam]], $A64, Table1[[HomeTeam]:[HomeTeam]],  V$36, Table1[[ActualResult]:[ActualResult]], "OT") + SUMIFS(Table1[[AwayWon]:[AwayWon]], Table1[[GameIsOver]:[GameIsOver]], 1, Table1[[HomeTeam]:[HomeTeam]], $A64, Table1[[AwayTeam]:[AwayTeam]], V$36, Table1[[ActualResult]:[ActualResult]], "OT") + SUMIFS(Table1[[HomeWon]:[HomeWon]], Table1[[GameIsOver]:[GameIsOver]], 1, Table1[[AwayTeam]:[AwayTeam]], $A64, Table1[[HomeTeam]:[HomeTeam]], V$36, Table1[[ActualResult]:[ActualResult]], "SO") + SUMIFS(Table1[[AwayWon]:[AwayWon]], Table1[[GameIsOver]:[GameIsOver]], 1, Table1[[HomeTeam]:[HomeTeam]], $A64, Table1[[AwayTeam]:[AwayTeam]], V$36, Table1[[ActualResult]:[ActualResult]], "SO")))/ (2*((COUNTIFS(Table1[[GameIsOver]:[GameIsOver]],1,Table1[[AwayTeam]:[AwayTeam]],$A64, Table1[[HomeTeam]:[HomeTeam]], V$36)))+( COUNTIFS(Table1[[GameIsOver]:[GameIsOver]],1,Table1[[AwayTeam]:[AwayTeam]],V$36, Table1[[HomeTeam]:[HomeTeam]],$A64))), "")</f>
        <v/>
      </c>
      <c r="W64" s="50" t="str">
        <f>IFERROR(((2 * (SUMIFS(Table1[[AwayWon]:[AwayWon]], Table1[[GameIsOver]:[GameIsOver]], 1, Table1[[AwayTeam]:[AwayTeam]], $A64, Table1[[HomeTeam]:[HomeTeam]], W$36) + SUMIFS(Table1[[HomeWon]:[HomeWon]], Table1[[GameIsOver]:[GameIsOver]], 1, Table1[[HomeTeam]:[HomeTeam]], $A64, Table1[[AwayTeam]:[AwayTeam]], W$36))) + (SUMIFS(Table1[[HomeWon]:[HomeWon]], Table1[[GameIsOver]:[GameIsOver]], 1, Table1[[AwayTeam]:[AwayTeam]], $A64, Table1[[HomeTeam]:[HomeTeam]],  W$36, Table1[[ActualResult]:[ActualResult]], "OT") + SUMIFS(Table1[[AwayWon]:[AwayWon]], Table1[[GameIsOver]:[GameIsOver]], 1, Table1[[HomeTeam]:[HomeTeam]], $A64, Table1[[AwayTeam]:[AwayTeam]], W$36, Table1[[ActualResult]:[ActualResult]], "OT") + SUMIFS(Table1[[HomeWon]:[HomeWon]], Table1[[GameIsOver]:[GameIsOver]], 1, Table1[[AwayTeam]:[AwayTeam]], $A64, Table1[[HomeTeam]:[HomeTeam]], W$36, Table1[[ActualResult]:[ActualResult]], "SO") + SUMIFS(Table1[[AwayWon]:[AwayWon]], Table1[[GameIsOver]:[GameIsOver]], 1, Table1[[HomeTeam]:[HomeTeam]], $A64, Table1[[AwayTeam]:[AwayTeam]], W$36, Table1[[ActualResult]:[ActualResult]], "SO")))/ (2*((COUNTIFS(Table1[[GameIsOver]:[GameIsOver]],1,Table1[[AwayTeam]:[AwayTeam]],$A64, Table1[[HomeTeam]:[HomeTeam]], W$36)))+( COUNTIFS(Table1[[GameIsOver]:[GameIsOver]],1,Table1[[AwayTeam]:[AwayTeam]],W$36, Table1[[HomeTeam]:[HomeTeam]],$A64))), "")</f>
        <v/>
      </c>
      <c r="X64" s="50" t="str">
        <f>IFERROR(((2 * (SUMIFS(Table1[[AwayWon]:[AwayWon]], Table1[[GameIsOver]:[GameIsOver]], 1, Table1[[AwayTeam]:[AwayTeam]], $A64, Table1[[HomeTeam]:[HomeTeam]], X$36) + SUMIFS(Table1[[HomeWon]:[HomeWon]], Table1[[GameIsOver]:[GameIsOver]], 1, Table1[[HomeTeam]:[HomeTeam]], $A64, Table1[[AwayTeam]:[AwayTeam]], X$36))) + (SUMIFS(Table1[[HomeWon]:[HomeWon]], Table1[[GameIsOver]:[GameIsOver]], 1, Table1[[AwayTeam]:[AwayTeam]], $A64, Table1[[HomeTeam]:[HomeTeam]],  X$36, Table1[[ActualResult]:[ActualResult]], "OT") + SUMIFS(Table1[[AwayWon]:[AwayWon]], Table1[[GameIsOver]:[GameIsOver]], 1, Table1[[HomeTeam]:[HomeTeam]], $A64, Table1[[AwayTeam]:[AwayTeam]], X$36, Table1[[ActualResult]:[ActualResult]], "OT") + SUMIFS(Table1[[HomeWon]:[HomeWon]], Table1[[GameIsOver]:[GameIsOver]], 1, Table1[[AwayTeam]:[AwayTeam]], $A64, Table1[[HomeTeam]:[HomeTeam]], X$36, Table1[[ActualResult]:[ActualResult]], "SO") + SUMIFS(Table1[[AwayWon]:[AwayWon]], Table1[[GameIsOver]:[GameIsOver]], 1, Table1[[HomeTeam]:[HomeTeam]], $A64, Table1[[AwayTeam]:[AwayTeam]], X$36, Table1[[ActualResult]:[ActualResult]], "SO")))/ (2*((COUNTIFS(Table1[[GameIsOver]:[GameIsOver]],1,Table1[[AwayTeam]:[AwayTeam]],$A64, Table1[[HomeTeam]:[HomeTeam]], X$36)))+( COUNTIFS(Table1[[GameIsOver]:[GameIsOver]],1,Table1[[AwayTeam]:[AwayTeam]],X$36, Table1[[HomeTeam]:[HomeTeam]],$A64))), "")</f>
        <v/>
      </c>
      <c r="Y64" s="52" t="str">
        <f>IFERROR(((2 * (SUMIFS(Table1[[AwayWon]:[AwayWon]], Table1[[GameIsOver]:[GameIsOver]], 1, Table1[[AwayTeam]:[AwayTeam]], $A64, Table1[[HomeTeam]:[HomeTeam]], Y$36) + SUMIFS(Table1[[HomeWon]:[HomeWon]], Table1[[GameIsOver]:[GameIsOver]], 1, Table1[[HomeTeam]:[HomeTeam]], $A64, Table1[[AwayTeam]:[AwayTeam]], Y$36))) + (SUMIFS(Table1[[HomeWon]:[HomeWon]], Table1[[GameIsOver]:[GameIsOver]], 1, Table1[[AwayTeam]:[AwayTeam]], $A64, Table1[[HomeTeam]:[HomeTeam]],  Y$36, Table1[[ActualResult]:[ActualResult]], "OT") + SUMIFS(Table1[[AwayWon]:[AwayWon]], Table1[[GameIsOver]:[GameIsOver]], 1, Table1[[HomeTeam]:[HomeTeam]], $A64, Table1[[AwayTeam]:[AwayTeam]], Y$36, Table1[[ActualResult]:[ActualResult]], "OT") + SUMIFS(Table1[[HomeWon]:[HomeWon]], Table1[[GameIsOver]:[GameIsOver]], 1, Table1[[AwayTeam]:[AwayTeam]], $A64, Table1[[HomeTeam]:[HomeTeam]], Y$36, Table1[[ActualResult]:[ActualResult]], "SO") + SUMIFS(Table1[[AwayWon]:[AwayWon]], Table1[[GameIsOver]:[GameIsOver]], 1, Table1[[HomeTeam]:[HomeTeam]], $A64, Table1[[AwayTeam]:[AwayTeam]], Y$36, Table1[[ActualResult]:[ActualResult]], "SO")))/ (2*((COUNTIFS(Table1[[GameIsOver]:[GameIsOver]],1,Table1[[AwayTeam]:[AwayTeam]],$A64, Table1[[HomeTeam]:[HomeTeam]], Y$36)))+( COUNTIFS(Table1[[GameIsOver]:[GameIsOver]],1,Table1[[AwayTeam]:[AwayTeam]],Y$36, Table1[[HomeTeam]:[HomeTeam]],$A64))), "")</f>
        <v/>
      </c>
      <c r="Z64" s="50" t="str">
        <f>IFERROR(((2 * (SUMIFS(Table1[[AwayWon]:[AwayWon]], Table1[[GameIsOver]:[GameIsOver]], 1, Table1[[AwayTeam]:[AwayTeam]], $A64, Table1[[HomeTeam]:[HomeTeam]], Z$36) + SUMIFS(Table1[[HomeWon]:[HomeWon]], Table1[[GameIsOver]:[GameIsOver]], 1, Table1[[HomeTeam]:[HomeTeam]], $A64, Table1[[AwayTeam]:[AwayTeam]], Z$36))) + (SUMIFS(Table1[[HomeWon]:[HomeWon]], Table1[[GameIsOver]:[GameIsOver]], 1, Table1[[AwayTeam]:[AwayTeam]], $A64, Table1[[HomeTeam]:[HomeTeam]],  Z$36, Table1[[ActualResult]:[ActualResult]], "OT") + SUMIFS(Table1[[AwayWon]:[AwayWon]], Table1[[GameIsOver]:[GameIsOver]], 1, Table1[[HomeTeam]:[HomeTeam]], $A64, Table1[[AwayTeam]:[AwayTeam]], Z$36, Table1[[ActualResult]:[ActualResult]], "OT") + SUMIFS(Table1[[HomeWon]:[HomeWon]], Table1[[GameIsOver]:[GameIsOver]], 1, Table1[[AwayTeam]:[AwayTeam]], $A64, Table1[[HomeTeam]:[HomeTeam]], Z$36, Table1[[ActualResult]:[ActualResult]], "SO") + SUMIFS(Table1[[AwayWon]:[AwayWon]], Table1[[GameIsOver]:[GameIsOver]], 1, Table1[[HomeTeam]:[HomeTeam]], $A64, Table1[[AwayTeam]:[AwayTeam]], Z$36, Table1[[ActualResult]:[ActualResult]], "SO")))/ (2*((COUNTIFS(Table1[[GameIsOver]:[GameIsOver]],1,Table1[[AwayTeam]:[AwayTeam]],$A64, Table1[[HomeTeam]:[HomeTeam]], Z$36)))+( COUNTIFS(Table1[[GameIsOver]:[GameIsOver]],1,Table1[[AwayTeam]:[AwayTeam]],Z$36, Table1[[HomeTeam]:[HomeTeam]],$A64))), "")</f>
        <v/>
      </c>
      <c r="AA64" s="50" t="str">
        <f>IFERROR(((2 * (SUMIFS(Table1[[AwayWon]:[AwayWon]], Table1[[GameIsOver]:[GameIsOver]], 1, Table1[[AwayTeam]:[AwayTeam]], $A64, Table1[[HomeTeam]:[HomeTeam]], AA$36) + SUMIFS(Table1[[HomeWon]:[HomeWon]], Table1[[GameIsOver]:[GameIsOver]], 1, Table1[[HomeTeam]:[HomeTeam]], $A64, Table1[[AwayTeam]:[AwayTeam]], AA$36))) + (SUMIFS(Table1[[HomeWon]:[HomeWon]], Table1[[GameIsOver]:[GameIsOver]], 1, Table1[[AwayTeam]:[AwayTeam]], $A64, Table1[[HomeTeam]:[HomeTeam]],  AA$36, Table1[[ActualResult]:[ActualResult]], "OT") + SUMIFS(Table1[[AwayWon]:[AwayWon]], Table1[[GameIsOver]:[GameIsOver]], 1, Table1[[HomeTeam]:[HomeTeam]], $A64, Table1[[AwayTeam]:[AwayTeam]], AA$36, Table1[[ActualResult]:[ActualResult]], "OT") + SUMIFS(Table1[[HomeWon]:[HomeWon]], Table1[[GameIsOver]:[GameIsOver]], 1, Table1[[AwayTeam]:[AwayTeam]], $A64, Table1[[HomeTeam]:[HomeTeam]], AA$36, Table1[[ActualResult]:[ActualResult]], "SO") + SUMIFS(Table1[[AwayWon]:[AwayWon]], Table1[[GameIsOver]:[GameIsOver]], 1, Table1[[HomeTeam]:[HomeTeam]], $A64, Table1[[AwayTeam]:[AwayTeam]], AA$36, Table1[[ActualResult]:[ActualResult]], "SO")))/ (2*((COUNTIFS(Table1[[GameIsOver]:[GameIsOver]],1,Table1[[AwayTeam]:[AwayTeam]],$A64, Table1[[HomeTeam]:[HomeTeam]], AA$36)))+( COUNTIFS(Table1[[GameIsOver]:[GameIsOver]],1,Table1[[AwayTeam]:[AwayTeam]],AA$36, Table1[[HomeTeam]:[HomeTeam]],$A64))), "")</f>
        <v/>
      </c>
      <c r="AB64" s="50" t="str">
        <f>IFERROR(((2 * (SUMIFS(Table1[[AwayWon]:[AwayWon]], Table1[[GameIsOver]:[GameIsOver]], 1, Table1[[AwayTeam]:[AwayTeam]], $A64, Table1[[HomeTeam]:[HomeTeam]], AB$36) + SUMIFS(Table1[[HomeWon]:[HomeWon]], Table1[[GameIsOver]:[GameIsOver]], 1, Table1[[HomeTeam]:[HomeTeam]], $A64, Table1[[AwayTeam]:[AwayTeam]], AB$36))) + (SUMIFS(Table1[[HomeWon]:[HomeWon]], Table1[[GameIsOver]:[GameIsOver]], 1, Table1[[AwayTeam]:[AwayTeam]], $A64, Table1[[HomeTeam]:[HomeTeam]],  AB$36, Table1[[ActualResult]:[ActualResult]], "OT") + SUMIFS(Table1[[AwayWon]:[AwayWon]], Table1[[GameIsOver]:[GameIsOver]], 1, Table1[[HomeTeam]:[HomeTeam]], $A64, Table1[[AwayTeam]:[AwayTeam]], AB$36, Table1[[ActualResult]:[ActualResult]], "OT") + SUMIFS(Table1[[HomeWon]:[HomeWon]], Table1[[GameIsOver]:[GameIsOver]], 1, Table1[[AwayTeam]:[AwayTeam]], $A64, Table1[[HomeTeam]:[HomeTeam]], AB$36, Table1[[ActualResult]:[ActualResult]], "SO") + SUMIFS(Table1[[AwayWon]:[AwayWon]], Table1[[GameIsOver]:[GameIsOver]], 1, Table1[[HomeTeam]:[HomeTeam]], $A64, Table1[[AwayTeam]:[AwayTeam]], AB$36, Table1[[ActualResult]:[ActualResult]], "SO")))/ (2*((COUNTIFS(Table1[[GameIsOver]:[GameIsOver]],1,Table1[[AwayTeam]:[AwayTeam]],$A64, Table1[[HomeTeam]:[HomeTeam]], AB$36)))+( COUNTIFS(Table1[[GameIsOver]:[GameIsOver]],1,Table1[[AwayTeam]:[AwayTeam]],AB$36, Table1[[HomeTeam]:[HomeTeam]],$A64))), "")</f>
        <v/>
      </c>
      <c r="AC64" s="50" t="str">
        <f>IFERROR(((2 * (SUMIFS(Table1[[AwayWon]:[AwayWon]], Table1[[GameIsOver]:[GameIsOver]], 1, Table1[[AwayTeam]:[AwayTeam]], $A64, Table1[[HomeTeam]:[HomeTeam]], AC$36) + SUMIFS(Table1[[HomeWon]:[HomeWon]], Table1[[GameIsOver]:[GameIsOver]], 1, Table1[[HomeTeam]:[HomeTeam]], $A64, Table1[[AwayTeam]:[AwayTeam]], AC$36))) + (SUMIFS(Table1[[HomeWon]:[HomeWon]], Table1[[GameIsOver]:[GameIsOver]], 1, Table1[[AwayTeam]:[AwayTeam]], $A64, Table1[[HomeTeam]:[HomeTeam]],  AC$36, Table1[[ActualResult]:[ActualResult]], "OT") + SUMIFS(Table1[[AwayWon]:[AwayWon]], Table1[[GameIsOver]:[GameIsOver]], 1, Table1[[HomeTeam]:[HomeTeam]], $A64, Table1[[AwayTeam]:[AwayTeam]], AC$36, Table1[[ActualResult]:[ActualResult]], "OT") + SUMIFS(Table1[[HomeWon]:[HomeWon]], Table1[[GameIsOver]:[GameIsOver]], 1, Table1[[AwayTeam]:[AwayTeam]], $A64, Table1[[HomeTeam]:[HomeTeam]], AC$36, Table1[[ActualResult]:[ActualResult]], "SO") + SUMIFS(Table1[[AwayWon]:[AwayWon]], Table1[[GameIsOver]:[GameIsOver]], 1, Table1[[HomeTeam]:[HomeTeam]], $A64, Table1[[AwayTeam]:[AwayTeam]], AC$36, Table1[[ActualResult]:[ActualResult]], "SO")))/ (2*((COUNTIFS(Table1[[GameIsOver]:[GameIsOver]],1,Table1[[AwayTeam]:[AwayTeam]],$A64, Table1[[HomeTeam]:[HomeTeam]], AC$36)))+( COUNTIFS(Table1[[GameIsOver]:[GameIsOver]],1,Table1[[AwayTeam]:[AwayTeam]],AC$36, Table1[[HomeTeam]:[HomeTeam]],$A64))), "")</f>
        <v/>
      </c>
      <c r="AD64" s="50" t="str">
        <f>IFERROR(((2 * (SUMIFS(Table1[[AwayWon]:[AwayWon]], Table1[[GameIsOver]:[GameIsOver]], 1, Table1[[AwayTeam]:[AwayTeam]], $A64, Table1[[HomeTeam]:[HomeTeam]], AD$36) + SUMIFS(Table1[[HomeWon]:[HomeWon]], Table1[[GameIsOver]:[GameIsOver]], 1, Table1[[HomeTeam]:[HomeTeam]], $A64, Table1[[AwayTeam]:[AwayTeam]], AD$36))) + (SUMIFS(Table1[[HomeWon]:[HomeWon]], Table1[[GameIsOver]:[GameIsOver]], 1, Table1[[AwayTeam]:[AwayTeam]], $A64, Table1[[HomeTeam]:[HomeTeam]],  AD$36, Table1[[ActualResult]:[ActualResult]], "OT") + SUMIFS(Table1[[AwayWon]:[AwayWon]], Table1[[GameIsOver]:[GameIsOver]], 1, Table1[[HomeTeam]:[HomeTeam]], $A64, Table1[[AwayTeam]:[AwayTeam]], AD$36, Table1[[ActualResult]:[ActualResult]], "OT") + SUMIFS(Table1[[HomeWon]:[HomeWon]], Table1[[GameIsOver]:[GameIsOver]], 1, Table1[[AwayTeam]:[AwayTeam]], $A64, Table1[[HomeTeam]:[HomeTeam]], AD$36, Table1[[ActualResult]:[ActualResult]], "SO") + SUMIFS(Table1[[AwayWon]:[AwayWon]], Table1[[GameIsOver]:[GameIsOver]], 1, Table1[[HomeTeam]:[HomeTeam]], $A64, Table1[[AwayTeam]:[AwayTeam]], AD$36, Table1[[ActualResult]:[ActualResult]], "SO")))/ (2*((COUNTIFS(Table1[[GameIsOver]:[GameIsOver]],1,Table1[[AwayTeam]:[AwayTeam]],$A64, Table1[[HomeTeam]:[HomeTeam]], AD$36)))+( COUNTIFS(Table1[[GameIsOver]:[GameIsOver]],1,Table1[[AwayTeam]:[AwayTeam]],AD$36, Table1[[HomeTeam]:[HomeTeam]],$A64))), "")</f>
        <v/>
      </c>
      <c r="AE64" s="50" t="str">
        <f>IFERROR(((2 * (SUMIFS(Table1[[AwayWon]:[AwayWon]], Table1[[GameIsOver]:[GameIsOver]], 1, Table1[[AwayTeam]:[AwayTeam]], $A64, Table1[[HomeTeam]:[HomeTeam]], AE$36) + SUMIFS(Table1[[HomeWon]:[HomeWon]], Table1[[GameIsOver]:[GameIsOver]], 1, Table1[[HomeTeam]:[HomeTeam]], $A64, Table1[[AwayTeam]:[AwayTeam]], AE$36))) + (SUMIFS(Table1[[HomeWon]:[HomeWon]], Table1[[GameIsOver]:[GameIsOver]], 1, Table1[[AwayTeam]:[AwayTeam]], $A64, Table1[[HomeTeam]:[HomeTeam]],  AE$36, Table1[[ActualResult]:[ActualResult]], "OT") + SUMIFS(Table1[[AwayWon]:[AwayWon]], Table1[[GameIsOver]:[GameIsOver]], 1, Table1[[HomeTeam]:[HomeTeam]], $A64, Table1[[AwayTeam]:[AwayTeam]], AE$36, Table1[[ActualResult]:[ActualResult]], "OT") + SUMIFS(Table1[[HomeWon]:[HomeWon]], Table1[[GameIsOver]:[GameIsOver]], 1, Table1[[AwayTeam]:[AwayTeam]], $A64, Table1[[HomeTeam]:[HomeTeam]], AE$36, Table1[[ActualResult]:[ActualResult]], "SO") + SUMIFS(Table1[[AwayWon]:[AwayWon]], Table1[[GameIsOver]:[GameIsOver]], 1, Table1[[HomeTeam]:[HomeTeam]], $A64, Table1[[AwayTeam]:[AwayTeam]], AE$36, Table1[[ActualResult]:[ActualResult]], "SO")))/ (2*((COUNTIFS(Table1[[GameIsOver]:[GameIsOver]],1,Table1[[AwayTeam]:[AwayTeam]],$A64, Table1[[HomeTeam]:[HomeTeam]], AE$36)))+( COUNTIFS(Table1[[GameIsOver]:[GameIsOver]],1,Table1[[AwayTeam]:[AwayTeam]],AE$36, Table1[[HomeTeam]:[HomeTeam]],$A64))), "")</f>
        <v/>
      </c>
      <c r="AF64" s="50" t="str">
        <f>IFERROR(((2 * (SUMIFS(Table1[[AwayWon]:[AwayWon]], Table1[[GameIsOver]:[GameIsOver]], 1, Table1[[AwayTeam]:[AwayTeam]], $A64, Table1[[HomeTeam]:[HomeTeam]], AF$36) + SUMIFS(Table1[[HomeWon]:[HomeWon]], Table1[[GameIsOver]:[GameIsOver]], 1, Table1[[HomeTeam]:[HomeTeam]], $A64, Table1[[AwayTeam]:[AwayTeam]], AF$36))) + (SUMIFS(Table1[[HomeWon]:[HomeWon]], Table1[[GameIsOver]:[GameIsOver]], 1, Table1[[AwayTeam]:[AwayTeam]], $A64, Table1[[HomeTeam]:[HomeTeam]],  AF$36, Table1[[ActualResult]:[ActualResult]], "OT") + SUMIFS(Table1[[AwayWon]:[AwayWon]], Table1[[GameIsOver]:[GameIsOver]], 1, Table1[[HomeTeam]:[HomeTeam]], $A64, Table1[[AwayTeam]:[AwayTeam]], AF$36, Table1[[ActualResult]:[ActualResult]], "OT") + SUMIFS(Table1[[HomeWon]:[HomeWon]], Table1[[GameIsOver]:[GameIsOver]], 1, Table1[[AwayTeam]:[AwayTeam]], $A64, Table1[[HomeTeam]:[HomeTeam]], AF$36, Table1[[ActualResult]:[ActualResult]], "SO") + SUMIFS(Table1[[AwayWon]:[AwayWon]], Table1[[GameIsOver]:[GameIsOver]], 1, Table1[[HomeTeam]:[HomeTeam]], $A64, Table1[[AwayTeam]:[AwayTeam]], AF$36, Table1[[ActualResult]:[ActualResult]], "SO")))/ (2*((COUNTIFS(Table1[[GameIsOver]:[GameIsOver]],1,Table1[[AwayTeam]:[AwayTeam]],$A64, Table1[[HomeTeam]:[HomeTeam]], AF$36)))+( COUNTIFS(Table1[[GameIsOver]:[GameIsOver]],1,Table1[[AwayTeam]:[AwayTeam]],AF$36, Table1[[HomeTeam]:[HomeTeam]],$A64))), "")</f>
        <v/>
      </c>
      <c r="AG64" s="50" t="str">
        <f>IFERROR(((2 * (SUMIFS(Table1[[AwayWon]:[AwayWon]], Table1[[GameIsOver]:[GameIsOver]], 1, Table1[[AwayTeam]:[AwayTeam]], $A64, Table1[[HomeTeam]:[HomeTeam]], AG$36) + SUMIFS(Table1[[HomeWon]:[HomeWon]], Table1[[GameIsOver]:[GameIsOver]], 1, Table1[[HomeTeam]:[HomeTeam]], $A64, Table1[[AwayTeam]:[AwayTeam]], AG$36))) + (SUMIFS(Table1[[HomeWon]:[HomeWon]], Table1[[GameIsOver]:[GameIsOver]], 1, Table1[[AwayTeam]:[AwayTeam]], $A64, Table1[[HomeTeam]:[HomeTeam]],  AG$36, Table1[[ActualResult]:[ActualResult]], "OT") + SUMIFS(Table1[[AwayWon]:[AwayWon]], Table1[[GameIsOver]:[GameIsOver]], 1, Table1[[HomeTeam]:[HomeTeam]], $A64, Table1[[AwayTeam]:[AwayTeam]], AG$36, Table1[[ActualResult]:[ActualResult]], "OT") + SUMIFS(Table1[[HomeWon]:[HomeWon]], Table1[[GameIsOver]:[GameIsOver]], 1, Table1[[AwayTeam]:[AwayTeam]], $A64, Table1[[HomeTeam]:[HomeTeam]], AG$36, Table1[[ActualResult]:[ActualResult]], "SO") + SUMIFS(Table1[[AwayWon]:[AwayWon]], Table1[[GameIsOver]:[GameIsOver]], 1, Table1[[HomeTeam]:[HomeTeam]], $A64, Table1[[AwayTeam]:[AwayTeam]], AG$36, Table1[[ActualResult]:[ActualResult]], "SO")))/ (2*((COUNTIFS(Table1[[GameIsOver]:[GameIsOver]],1,Table1[[AwayTeam]:[AwayTeam]],$A64, Table1[[HomeTeam]:[HomeTeam]], AG$36)))+( COUNTIFS(Table1[[GameIsOver]:[GameIsOver]],1,Table1[[AwayTeam]:[AwayTeam]],AG$36, Table1[[HomeTeam]:[HomeTeam]],$A64))), "")</f>
        <v/>
      </c>
      <c r="AH64" s="51" t="e">
        <f t="shared" si="0"/>
        <v>#DIV/0!</v>
      </c>
      <c r="AI64" s="51">
        <f t="shared" si="1"/>
        <v>0</v>
      </c>
      <c r="AJ64" s="52" t="e">
        <f t="shared" si="2"/>
        <v>#DIV/0!</v>
      </c>
      <c r="AK64" s="52" t="e">
        <f t="shared" si="3"/>
        <v>#DIV/0!</v>
      </c>
      <c r="AL64" s="52">
        <f t="shared" si="4"/>
        <v>0</v>
      </c>
      <c r="AM64" s="52" t="e">
        <f t="shared" si="5"/>
        <v>#DIV/0!</v>
      </c>
    </row>
    <row r="65" spans="1:39" x14ac:dyDescent="0.25">
      <c r="A65" s="28" t="s">
        <v>47</v>
      </c>
      <c r="B65" s="50" t="str">
        <f>IFERROR(((2 * (SUMIFS(Table1[[AwayWon]:[AwayWon]], Table1[[GameIsOver]:[GameIsOver]], 1, Table1[[AwayTeam]:[AwayTeam]], $A65, Table1[[HomeTeam]:[HomeTeam]], B$36) + SUMIFS(Table1[[HomeWon]:[HomeWon]], Table1[[GameIsOver]:[GameIsOver]], 1, Table1[[HomeTeam]:[HomeTeam]], $A65, Table1[[AwayTeam]:[AwayTeam]], B$36))) + (SUMIFS(Table1[[HomeWon]:[HomeWon]], Table1[[GameIsOver]:[GameIsOver]], 1, Table1[[AwayTeam]:[AwayTeam]], $A65, Table1[[HomeTeam]:[HomeTeam]],  B$36, Table1[[ActualResult]:[ActualResult]], "OT") + SUMIFS(Table1[[AwayWon]:[AwayWon]], Table1[[GameIsOver]:[GameIsOver]], 1, Table1[[HomeTeam]:[HomeTeam]], $A65, Table1[[AwayTeam]:[AwayTeam]], B$36, Table1[[ActualResult]:[ActualResult]], "OT") + SUMIFS(Table1[[HomeWon]:[HomeWon]], Table1[[GameIsOver]:[GameIsOver]], 1, Table1[[AwayTeam]:[AwayTeam]], $A65, Table1[[HomeTeam]:[HomeTeam]], B$36, Table1[[ActualResult]:[ActualResult]], "SO") + SUMIFS(Table1[[AwayWon]:[AwayWon]], Table1[[GameIsOver]:[GameIsOver]], 1, Table1[[HomeTeam]:[HomeTeam]], $A65, Table1[[AwayTeam]:[AwayTeam]], B$36, Table1[[ActualResult]:[ActualResult]], "SO")))/ (2*((COUNTIFS(Table1[[GameIsOver]:[GameIsOver]],1,Table1[[AwayTeam]:[AwayTeam]],$A65, Table1[[HomeTeam]:[HomeTeam]], B$36)))+( COUNTIFS(Table1[[GameIsOver]:[GameIsOver]],1,Table1[[AwayTeam]:[AwayTeam]],B$36, Table1[[HomeTeam]:[HomeTeam]],$A65))), "")</f>
        <v/>
      </c>
      <c r="C65" s="50" t="str">
        <f>IFERROR(((2 * (SUMIFS(Table1[[AwayWon]:[AwayWon]], Table1[[GameIsOver]:[GameIsOver]], 1, Table1[[AwayTeam]:[AwayTeam]], $A65, Table1[[HomeTeam]:[HomeTeam]], C$36) + SUMIFS(Table1[[HomeWon]:[HomeWon]], Table1[[GameIsOver]:[GameIsOver]], 1, Table1[[HomeTeam]:[HomeTeam]], $A65, Table1[[AwayTeam]:[AwayTeam]], C$36))) + (SUMIFS(Table1[[HomeWon]:[HomeWon]], Table1[[GameIsOver]:[GameIsOver]], 1, Table1[[AwayTeam]:[AwayTeam]], $A65, Table1[[HomeTeam]:[HomeTeam]],  C$36, Table1[[ActualResult]:[ActualResult]], "OT") + SUMIFS(Table1[[AwayWon]:[AwayWon]], Table1[[GameIsOver]:[GameIsOver]], 1, Table1[[HomeTeam]:[HomeTeam]], $A65, Table1[[AwayTeam]:[AwayTeam]], C$36, Table1[[ActualResult]:[ActualResult]], "OT") + SUMIFS(Table1[[HomeWon]:[HomeWon]], Table1[[GameIsOver]:[GameIsOver]], 1, Table1[[AwayTeam]:[AwayTeam]], $A65, Table1[[HomeTeam]:[HomeTeam]], C$36, Table1[[ActualResult]:[ActualResult]], "SO") + SUMIFS(Table1[[AwayWon]:[AwayWon]], Table1[[GameIsOver]:[GameIsOver]], 1, Table1[[HomeTeam]:[HomeTeam]], $A65, Table1[[AwayTeam]:[AwayTeam]], C$36, Table1[[ActualResult]:[ActualResult]], "SO")))/ (2*((COUNTIFS(Table1[[GameIsOver]:[GameIsOver]],1,Table1[[AwayTeam]:[AwayTeam]],$A65, Table1[[HomeTeam]:[HomeTeam]], C$36)))+( COUNTIFS(Table1[[GameIsOver]:[GameIsOver]],1,Table1[[AwayTeam]:[AwayTeam]],C$36, Table1[[HomeTeam]:[HomeTeam]],$A65))), "")</f>
        <v/>
      </c>
      <c r="D65" s="50">
        <f>IFERROR(((2 * (SUMIFS(Table1[[AwayWon]:[AwayWon]], Table1[[GameIsOver]:[GameIsOver]], 1, Table1[[AwayTeam]:[AwayTeam]], $A65, Table1[[HomeTeam]:[HomeTeam]], D$36) + SUMIFS(Table1[[HomeWon]:[HomeWon]], Table1[[GameIsOver]:[GameIsOver]], 1, Table1[[HomeTeam]:[HomeTeam]], $A65, Table1[[AwayTeam]:[AwayTeam]], D$36))) + (SUMIFS(Table1[[HomeWon]:[HomeWon]], Table1[[GameIsOver]:[GameIsOver]], 1, Table1[[AwayTeam]:[AwayTeam]], $A65, Table1[[HomeTeam]:[HomeTeam]],  D$36, Table1[[ActualResult]:[ActualResult]], "OT") + SUMIFS(Table1[[AwayWon]:[AwayWon]], Table1[[GameIsOver]:[GameIsOver]], 1, Table1[[HomeTeam]:[HomeTeam]], $A65, Table1[[AwayTeam]:[AwayTeam]], D$36, Table1[[ActualResult]:[ActualResult]], "OT") + SUMIFS(Table1[[HomeWon]:[HomeWon]], Table1[[GameIsOver]:[GameIsOver]], 1, Table1[[AwayTeam]:[AwayTeam]], $A65, Table1[[HomeTeam]:[HomeTeam]], D$36, Table1[[ActualResult]:[ActualResult]], "SO") + SUMIFS(Table1[[AwayWon]:[AwayWon]], Table1[[GameIsOver]:[GameIsOver]], 1, Table1[[HomeTeam]:[HomeTeam]], $A65, Table1[[AwayTeam]:[AwayTeam]], D$36, Table1[[ActualResult]:[ActualResult]], "SO")))/ (2*((COUNTIFS(Table1[[GameIsOver]:[GameIsOver]],1,Table1[[AwayTeam]:[AwayTeam]],$A65, Table1[[HomeTeam]:[HomeTeam]], D$36)))+( COUNTIFS(Table1[[GameIsOver]:[GameIsOver]],1,Table1[[AwayTeam]:[AwayTeam]],D$36, Table1[[HomeTeam]:[HomeTeam]],$A65))), "")</f>
        <v>0.5</v>
      </c>
      <c r="E65" s="50" t="str">
        <f>IFERROR(((2 * (SUMIFS(Table1[[AwayWon]:[AwayWon]], Table1[[GameIsOver]:[GameIsOver]], 1, Table1[[AwayTeam]:[AwayTeam]], $A65, Table1[[HomeTeam]:[HomeTeam]], E$36) + SUMIFS(Table1[[HomeWon]:[HomeWon]], Table1[[GameIsOver]:[GameIsOver]], 1, Table1[[HomeTeam]:[HomeTeam]], $A65, Table1[[AwayTeam]:[AwayTeam]], E$36))) + (SUMIFS(Table1[[HomeWon]:[HomeWon]], Table1[[GameIsOver]:[GameIsOver]], 1, Table1[[AwayTeam]:[AwayTeam]], $A65, Table1[[HomeTeam]:[HomeTeam]],  E$36, Table1[[ActualResult]:[ActualResult]], "OT") + SUMIFS(Table1[[AwayWon]:[AwayWon]], Table1[[GameIsOver]:[GameIsOver]], 1, Table1[[HomeTeam]:[HomeTeam]], $A65, Table1[[AwayTeam]:[AwayTeam]], E$36, Table1[[ActualResult]:[ActualResult]], "OT") + SUMIFS(Table1[[HomeWon]:[HomeWon]], Table1[[GameIsOver]:[GameIsOver]], 1, Table1[[AwayTeam]:[AwayTeam]], $A65, Table1[[HomeTeam]:[HomeTeam]], E$36, Table1[[ActualResult]:[ActualResult]], "SO") + SUMIFS(Table1[[AwayWon]:[AwayWon]], Table1[[GameIsOver]:[GameIsOver]], 1, Table1[[HomeTeam]:[HomeTeam]], $A65, Table1[[AwayTeam]:[AwayTeam]], E$36, Table1[[ActualResult]:[ActualResult]], "SO")))/ (2*((COUNTIFS(Table1[[GameIsOver]:[GameIsOver]],1,Table1[[AwayTeam]:[AwayTeam]],$A65, Table1[[HomeTeam]:[HomeTeam]], E$36)))+( COUNTIFS(Table1[[GameIsOver]:[GameIsOver]],1,Table1[[AwayTeam]:[AwayTeam]],E$36, Table1[[HomeTeam]:[HomeTeam]],$A65))), "")</f>
        <v/>
      </c>
      <c r="F65" s="50" t="str">
        <f>IFERROR(((2 * (SUMIFS(Table1[[AwayWon]:[AwayWon]], Table1[[GameIsOver]:[GameIsOver]], 1, Table1[[AwayTeam]:[AwayTeam]], $A65, Table1[[HomeTeam]:[HomeTeam]], F$36) + SUMIFS(Table1[[HomeWon]:[HomeWon]], Table1[[GameIsOver]:[GameIsOver]], 1, Table1[[HomeTeam]:[HomeTeam]], $A65, Table1[[AwayTeam]:[AwayTeam]], F$36))) + (SUMIFS(Table1[[HomeWon]:[HomeWon]], Table1[[GameIsOver]:[GameIsOver]], 1, Table1[[AwayTeam]:[AwayTeam]], $A65, Table1[[HomeTeam]:[HomeTeam]],  F$36, Table1[[ActualResult]:[ActualResult]], "OT") + SUMIFS(Table1[[AwayWon]:[AwayWon]], Table1[[GameIsOver]:[GameIsOver]], 1, Table1[[HomeTeam]:[HomeTeam]], $A65, Table1[[AwayTeam]:[AwayTeam]], F$36, Table1[[ActualResult]:[ActualResult]], "OT") + SUMIFS(Table1[[HomeWon]:[HomeWon]], Table1[[GameIsOver]:[GameIsOver]], 1, Table1[[AwayTeam]:[AwayTeam]], $A65, Table1[[HomeTeam]:[HomeTeam]], F$36, Table1[[ActualResult]:[ActualResult]], "SO") + SUMIFS(Table1[[AwayWon]:[AwayWon]], Table1[[GameIsOver]:[GameIsOver]], 1, Table1[[HomeTeam]:[HomeTeam]], $A65, Table1[[AwayTeam]:[AwayTeam]], F$36, Table1[[ActualResult]:[ActualResult]], "SO")))/ (2*((COUNTIFS(Table1[[GameIsOver]:[GameIsOver]],1,Table1[[AwayTeam]:[AwayTeam]],$A65, Table1[[HomeTeam]:[HomeTeam]], F$36)))+( COUNTIFS(Table1[[GameIsOver]:[GameIsOver]],1,Table1[[AwayTeam]:[AwayTeam]],F$36, Table1[[HomeTeam]:[HomeTeam]],$A65))), "")</f>
        <v/>
      </c>
      <c r="G65" s="50" t="str">
        <f>IFERROR(((2 * (SUMIFS(Table1[[AwayWon]:[AwayWon]], Table1[[GameIsOver]:[GameIsOver]], 1, Table1[[AwayTeam]:[AwayTeam]], $A65, Table1[[HomeTeam]:[HomeTeam]], G$36) + SUMIFS(Table1[[HomeWon]:[HomeWon]], Table1[[GameIsOver]:[GameIsOver]], 1, Table1[[HomeTeam]:[HomeTeam]], $A65, Table1[[AwayTeam]:[AwayTeam]], G$36))) + (SUMIFS(Table1[[HomeWon]:[HomeWon]], Table1[[GameIsOver]:[GameIsOver]], 1, Table1[[AwayTeam]:[AwayTeam]], $A65, Table1[[HomeTeam]:[HomeTeam]],  G$36, Table1[[ActualResult]:[ActualResult]], "OT") + SUMIFS(Table1[[AwayWon]:[AwayWon]], Table1[[GameIsOver]:[GameIsOver]], 1, Table1[[HomeTeam]:[HomeTeam]], $A65, Table1[[AwayTeam]:[AwayTeam]], G$36, Table1[[ActualResult]:[ActualResult]], "OT") + SUMIFS(Table1[[HomeWon]:[HomeWon]], Table1[[GameIsOver]:[GameIsOver]], 1, Table1[[AwayTeam]:[AwayTeam]], $A65, Table1[[HomeTeam]:[HomeTeam]], G$36, Table1[[ActualResult]:[ActualResult]], "SO") + SUMIFS(Table1[[AwayWon]:[AwayWon]], Table1[[GameIsOver]:[GameIsOver]], 1, Table1[[HomeTeam]:[HomeTeam]], $A65, Table1[[AwayTeam]:[AwayTeam]], G$36, Table1[[ActualResult]:[ActualResult]], "SO")))/ (2*((COUNTIFS(Table1[[GameIsOver]:[GameIsOver]],1,Table1[[AwayTeam]:[AwayTeam]],$A65, Table1[[HomeTeam]:[HomeTeam]], G$36)))+( COUNTIFS(Table1[[GameIsOver]:[GameIsOver]],1,Table1[[AwayTeam]:[AwayTeam]],G$36, Table1[[HomeTeam]:[HomeTeam]],$A65))), "")</f>
        <v/>
      </c>
      <c r="H65" s="50" t="str">
        <f>IFERROR(((2 * (SUMIFS(Table1[[AwayWon]:[AwayWon]], Table1[[GameIsOver]:[GameIsOver]], 1, Table1[[AwayTeam]:[AwayTeam]], $A65, Table1[[HomeTeam]:[HomeTeam]], H$36) + SUMIFS(Table1[[HomeWon]:[HomeWon]], Table1[[GameIsOver]:[GameIsOver]], 1, Table1[[HomeTeam]:[HomeTeam]], $A65, Table1[[AwayTeam]:[AwayTeam]], H$36))) + (SUMIFS(Table1[[HomeWon]:[HomeWon]], Table1[[GameIsOver]:[GameIsOver]], 1, Table1[[AwayTeam]:[AwayTeam]], $A65, Table1[[HomeTeam]:[HomeTeam]],  H$36, Table1[[ActualResult]:[ActualResult]], "OT") + SUMIFS(Table1[[AwayWon]:[AwayWon]], Table1[[GameIsOver]:[GameIsOver]], 1, Table1[[HomeTeam]:[HomeTeam]], $A65, Table1[[AwayTeam]:[AwayTeam]], H$36, Table1[[ActualResult]:[ActualResult]], "OT") + SUMIFS(Table1[[HomeWon]:[HomeWon]], Table1[[GameIsOver]:[GameIsOver]], 1, Table1[[AwayTeam]:[AwayTeam]], $A65, Table1[[HomeTeam]:[HomeTeam]], H$36, Table1[[ActualResult]:[ActualResult]], "SO") + SUMIFS(Table1[[AwayWon]:[AwayWon]], Table1[[GameIsOver]:[GameIsOver]], 1, Table1[[HomeTeam]:[HomeTeam]], $A65, Table1[[AwayTeam]:[AwayTeam]], H$36, Table1[[ActualResult]:[ActualResult]], "SO")))/ (2*((COUNTIFS(Table1[[GameIsOver]:[GameIsOver]],1,Table1[[AwayTeam]:[AwayTeam]],$A65, Table1[[HomeTeam]:[HomeTeam]], H$36)))+( COUNTIFS(Table1[[GameIsOver]:[GameIsOver]],1,Table1[[AwayTeam]:[AwayTeam]],H$36, Table1[[HomeTeam]:[HomeTeam]],$A65))), "")</f>
        <v/>
      </c>
      <c r="I65" s="52" t="str">
        <f>IFERROR(((2 * (SUMIFS(Table1[[AwayWon]:[AwayWon]], Table1[[GameIsOver]:[GameIsOver]], 1, Table1[[AwayTeam]:[AwayTeam]], $A65, Table1[[HomeTeam]:[HomeTeam]], I$36) + SUMIFS(Table1[[HomeWon]:[HomeWon]], Table1[[GameIsOver]:[GameIsOver]], 1, Table1[[HomeTeam]:[HomeTeam]], $A65, Table1[[AwayTeam]:[AwayTeam]], I$36))) + (SUMIFS(Table1[[HomeWon]:[HomeWon]], Table1[[GameIsOver]:[GameIsOver]], 1, Table1[[AwayTeam]:[AwayTeam]], $A65, Table1[[HomeTeam]:[HomeTeam]],  I$36, Table1[[ActualResult]:[ActualResult]], "OT") + SUMIFS(Table1[[AwayWon]:[AwayWon]], Table1[[GameIsOver]:[GameIsOver]], 1, Table1[[HomeTeam]:[HomeTeam]], $A65, Table1[[AwayTeam]:[AwayTeam]], I$36, Table1[[ActualResult]:[ActualResult]], "OT") + SUMIFS(Table1[[HomeWon]:[HomeWon]], Table1[[GameIsOver]:[GameIsOver]], 1, Table1[[AwayTeam]:[AwayTeam]], $A65, Table1[[HomeTeam]:[HomeTeam]], I$36, Table1[[ActualResult]:[ActualResult]], "SO") + SUMIFS(Table1[[AwayWon]:[AwayWon]], Table1[[GameIsOver]:[GameIsOver]], 1, Table1[[HomeTeam]:[HomeTeam]], $A65, Table1[[AwayTeam]:[AwayTeam]], I$36, Table1[[ActualResult]:[ActualResult]], "SO")))/ (2*((COUNTIFS(Table1[[GameIsOver]:[GameIsOver]],1,Table1[[AwayTeam]:[AwayTeam]],$A65, Table1[[HomeTeam]:[HomeTeam]], I$36)))+( COUNTIFS(Table1[[GameIsOver]:[GameIsOver]],1,Table1[[AwayTeam]:[AwayTeam]],I$36, Table1[[HomeTeam]:[HomeTeam]],$A65))), "")</f>
        <v/>
      </c>
      <c r="J65" s="50" t="str">
        <f>IFERROR(((2 * (SUMIFS(Table1[[AwayWon]:[AwayWon]], Table1[[GameIsOver]:[GameIsOver]], 1, Table1[[AwayTeam]:[AwayTeam]], $A65, Table1[[HomeTeam]:[HomeTeam]], J$36) + SUMIFS(Table1[[HomeWon]:[HomeWon]], Table1[[GameIsOver]:[GameIsOver]], 1, Table1[[HomeTeam]:[HomeTeam]], $A65, Table1[[AwayTeam]:[AwayTeam]], J$36))) + (SUMIFS(Table1[[HomeWon]:[HomeWon]], Table1[[GameIsOver]:[GameIsOver]], 1, Table1[[AwayTeam]:[AwayTeam]], $A65, Table1[[HomeTeam]:[HomeTeam]],  J$36, Table1[[ActualResult]:[ActualResult]], "OT") + SUMIFS(Table1[[AwayWon]:[AwayWon]], Table1[[GameIsOver]:[GameIsOver]], 1, Table1[[HomeTeam]:[HomeTeam]], $A65, Table1[[AwayTeam]:[AwayTeam]], J$36, Table1[[ActualResult]:[ActualResult]], "OT") + SUMIFS(Table1[[HomeWon]:[HomeWon]], Table1[[GameIsOver]:[GameIsOver]], 1, Table1[[AwayTeam]:[AwayTeam]], $A65, Table1[[HomeTeam]:[HomeTeam]], J$36, Table1[[ActualResult]:[ActualResult]], "SO") + SUMIFS(Table1[[AwayWon]:[AwayWon]], Table1[[GameIsOver]:[GameIsOver]], 1, Table1[[HomeTeam]:[HomeTeam]], $A65, Table1[[AwayTeam]:[AwayTeam]], J$36, Table1[[ActualResult]:[ActualResult]], "SO")))/ (2*((COUNTIFS(Table1[[GameIsOver]:[GameIsOver]],1,Table1[[AwayTeam]:[AwayTeam]],$A65, Table1[[HomeTeam]:[HomeTeam]], J$36)))+( COUNTIFS(Table1[[GameIsOver]:[GameIsOver]],1,Table1[[AwayTeam]:[AwayTeam]],J$36, Table1[[HomeTeam]:[HomeTeam]],$A65))), "")</f>
        <v/>
      </c>
      <c r="K65" s="50" t="str">
        <f>IFERROR(((2 * (SUMIFS(Table1[[AwayWon]:[AwayWon]], Table1[[GameIsOver]:[GameIsOver]], 1, Table1[[AwayTeam]:[AwayTeam]], $A65, Table1[[HomeTeam]:[HomeTeam]], K$36) + SUMIFS(Table1[[HomeWon]:[HomeWon]], Table1[[GameIsOver]:[GameIsOver]], 1, Table1[[HomeTeam]:[HomeTeam]], $A65, Table1[[AwayTeam]:[AwayTeam]], K$36))) + (SUMIFS(Table1[[HomeWon]:[HomeWon]], Table1[[GameIsOver]:[GameIsOver]], 1, Table1[[AwayTeam]:[AwayTeam]], $A65, Table1[[HomeTeam]:[HomeTeam]],  K$36, Table1[[ActualResult]:[ActualResult]], "OT") + SUMIFS(Table1[[AwayWon]:[AwayWon]], Table1[[GameIsOver]:[GameIsOver]], 1, Table1[[HomeTeam]:[HomeTeam]], $A65, Table1[[AwayTeam]:[AwayTeam]], K$36, Table1[[ActualResult]:[ActualResult]], "OT") + SUMIFS(Table1[[HomeWon]:[HomeWon]], Table1[[GameIsOver]:[GameIsOver]], 1, Table1[[AwayTeam]:[AwayTeam]], $A65, Table1[[HomeTeam]:[HomeTeam]], K$36, Table1[[ActualResult]:[ActualResult]], "SO") + SUMIFS(Table1[[AwayWon]:[AwayWon]], Table1[[GameIsOver]:[GameIsOver]], 1, Table1[[HomeTeam]:[HomeTeam]], $A65, Table1[[AwayTeam]:[AwayTeam]], K$36, Table1[[ActualResult]:[ActualResult]], "SO")))/ (2*((COUNTIFS(Table1[[GameIsOver]:[GameIsOver]],1,Table1[[AwayTeam]:[AwayTeam]],$A65, Table1[[HomeTeam]:[HomeTeam]], K$36)))+( COUNTIFS(Table1[[GameIsOver]:[GameIsOver]],1,Table1[[AwayTeam]:[AwayTeam]],K$36, Table1[[HomeTeam]:[HomeTeam]],$A65))), "")</f>
        <v/>
      </c>
      <c r="L65" s="50" t="str">
        <f>IFERROR(((2 * (SUMIFS(Table1[[AwayWon]:[AwayWon]], Table1[[GameIsOver]:[GameIsOver]], 1, Table1[[AwayTeam]:[AwayTeam]], $A65, Table1[[HomeTeam]:[HomeTeam]], L$36) + SUMIFS(Table1[[HomeWon]:[HomeWon]], Table1[[GameIsOver]:[GameIsOver]], 1, Table1[[HomeTeam]:[HomeTeam]], $A65, Table1[[AwayTeam]:[AwayTeam]], L$36))) + (SUMIFS(Table1[[HomeWon]:[HomeWon]], Table1[[GameIsOver]:[GameIsOver]], 1, Table1[[AwayTeam]:[AwayTeam]], $A65, Table1[[HomeTeam]:[HomeTeam]],  L$36, Table1[[ActualResult]:[ActualResult]], "OT") + SUMIFS(Table1[[AwayWon]:[AwayWon]], Table1[[GameIsOver]:[GameIsOver]], 1, Table1[[HomeTeam]:[HomeTeam]], $A65, Table1[[AwayTeam]:[AwayTeam]], L$36, Table1[[ActualResult]:[ActualResult]], "OT") + SUMIFS(Table1[[HomeWon]:[HomeWon]], Table1[[GameIsOver]:[GameIsOver]], 1, Table1[[AwayTeam]:[AwayTeam]], $A65, Table1[[HomeTeam]:[HomeTeam]], L$36, Table1[[ActualResult]:[ActualResult]], "SO") + SUMIFS(Table1[[AwayWon]:[AwayWon]], Table1[[GameIsOver]:[GameIsOver]], 1, Table1[[HomeTeam]:[HomeTeam]], $A65, Table1[[AwayTeam]:[AwayTeam]], L$36, Table1[[ActualResult]:[ActualResult]], "SO")))/ (2*((COUNTIFS(Table1[[GameIsOver]:[GameIsOver]],1,Table1[[AwayTeam]:[AwayTeam]],$A65, Table1[[HomeTeam]:[HomeTeam]], L$36)))+( COUNTIFS(Table1[[GameIsOver]:[GameIsOver]],1,Table1[[AwayTeam]:[AwayTeam]],L$36, Table1[[HomeTeam]:[HomeTeam]],$A65))), "")</f>
        <v/>
      </c>
      <c r="M65" s="50" t="str">
        <f>IFERROR(((2 * (SUMIFS(Table1[[AwayWon]:[AwayWon]], Table1[[GameIsOver]:[GameIsOver]], 1, Table1[[AwayTeam]:[AwayTeam]], $A65, Table1[[HomeTeam]:[HomeTeam]], M$36) + SUMIFS(Table1[[HomeWon]:[HomeWon]], Table1[[GameIsOver]:[GameIsOver]], 1, Table1[[HomeTeam]:[HomeTeam]], $A65, Table1[[AwayTeam]:[AwayTeam]], M$36))) + (SUMIFS(Table1[[HomeWon]:[HomeWon]], Table1[[GameIsOver]:[GameIsOver]], 1, Table1[[AwayTeam]:[AwayTeam]], $A65, Table1[[HomeTeam]:[HomeTeam]],  M$36, Table1[[ActualResult]:[ActualResult]], "OT") + SUMIFS(Table1[[AwayWon]:[AwayWon]], Table1[[GameIsOver]:[GameIsOver]], 1, Table1[[HomeTeam]:[HomeTeam]], $A65, Table1[[AwayTeam]:[AwayTeam]], M$36, Table1[[ActualResult]:[ActualResult]], "OT") + SUMIFS(Table1[[HomeWon]:[HomeWon]], Table1[[GameIsOver]:[GameIsOver]], 1, Table1[[AwayTeam]:[AwayTeam]], $A65, Table1[[HomeTeam]:[HomeTeam]], M$36, Table1[[ActualResult]:[ActualResult]], "SO") + SUMIFS(Table1[[AwayWon]:[AwayWon]], Table1[[GameIsOver]:[GameIsOver]], 1, Table1[[HomeTeam]:[HomeTeam]], $A65, Table1[[AwayTeam]:[AwayTeam]], M$36, Table1[[ActualResult]:[ActualResult]], "SO")))/ (2*((COUNTIFS(Table1[[GameIsOver]:[GameIsOver]],1,Table1[[AwayTeam]:[AwayTeam]],$A65, Table1[[HomeTeam]:[HomeTeam]], M$36)))+( COUNTIFS(Table1[[GameIsOver]:[GameIsOver]],1,Table1[[AwayTeam]:[AwayTeam]],M$36, Table1[[HomeTeam]:[HomeTeam]],$A65))), "")</f>
        <v/>
      </c>
      <c r="N65" s="50" t="str">
        <f>IFERROR(((2 * (SUMIFS(Table1[[AwayWon]:[AwayWon]], Table1[[GameIsOver]:[GameIsOver]], 1, Table1[[AwayTeam]:[AwayTeam]], $A65, Table1[[HomeTeam]:[HomeTeam]], N$36) + SUMIFS(Table1[[HomeWon]:[HomeWon]], Table1[[GameIsOver]:[GameIsOver]], 1, Table1[[HomeTeam]:[HomeTeam]], $A65, Table1[[AwayTeam]:[AwayTeam]], N$36))) + (SUMIFS(Table1[[HomeWon]:[HomeWon]], Table1[[GameIsOver]:[GameIsOver]], 1, Table1[[AwayTeam]:[AwayTeam]], $A65, Table1[[HomeTeam]:[HomeTeam]],  N$36, Table1[[ActualResult]:[ActualResult]], "OT") + SUMIFS(Table1[[AwayWon]:[AwayWon]], Table1[[GameIsOver]:[GameIsOver]], 1, Table1[[HomeTeam]:[HomeTeam]], $A65, Table1[[AwayTeam]:[AwayTeam]], N$36, Table1[[ActualResult]:[ActualResult]], "OT") + SUMIFS(Table1[[HomeWon]:[HomeWon]], Table1[[GameIsOver]:[GameIsOver]], 1, Table1[[AwayTeam]:[AwayTeam]], $A65, Table1[[HomeTeam]:[HomeTeam]], N$36, Table1[[ActualResult]:[ActualResult]], "SO") + SUMIFS(Table1[[AwayWon]:[AwayWon]], Table1[[GameIsOver]:[GameIsOver]], 1, Table1[[HomeTeam]:[HomeTeam]], $A65, Table1[[AwayTeam]:[AwayTeam]], N$36, Table1[[ActualResult]:[ActualResult]], "SO")))/ (2*((COUNTIFS(Table1[[GameIsOver]:[GameIsOver]],1,Table1[[AwayTeam]:[AwayTeam]],$A65, Table1[[HomeTeam]:[HomeTeam]], N$36)))+( COUNTIFS(Table1[[GameIsOver]:[GameIsOver]],1,Table1[[AwayTeam]:[AwayTeam]],N$36, Table1[[HomeTeam]:[HomeTeam]],$A65))), "")</f>
        <v/>
      </c>
      <c r="O65" s="50" t="str">
        <f>IFERROR(((2 * (SUMIFS(Table1[[AwayWon]:[AwayWon]], Table1[[GameIsOver]:[GameIsOver]], 1, Table1[[AwayTeam]:[AwayTeam]], $A65, Table1[[HomeTeam]:[HomeTeam]], O$36) + SUMIFS(Table1[[HomeWon]:[HomeWon]], Table1[[GameIsOver]:[GameIsOver]], 1, Table1[[HomeTeam]:[HomeTeam]], $A65, Table1[[AwayTeam]:[AwayTeam]], O$36))) + (SUMIFS(Table1[[HomeWon]:[HomeWon]], Table1[[GameIsOver]:[GameIsOver]], 1, Table1[[AwayTeam]:[AwayTeam]], $A65, Table1[[HomeTeam]:[HomeTeam]],  O$36, Table1[[ActualResult]:[ActualResult]], "OT") + SUMIFS(Table1[[AwayWon]:[AwayWon]], Table1[[GameIsOver]:[GameIsOver]], 1, Table1[[HomeTeam]:[HomeTeam]], $A65, Table1[[AwayTeam]:[AwayTeam]], O$36, Table1[[ActualResult]:[ActualResult]], "OT") + SUMIFS(Table1[[HomeWon]:[HomeWon]], Table1[[GameIsOver]:[GameIsOver]], 1, Table1[[AwayTeam]:[AwayTeam]], $A65, Table1[[HomeTeam]:[HomeTeam]], O$36, Table1[[ActualResult]:[ActualResult]], "SO") + SUMIFS(Table1[[AwayWon]:[AwayWon]], Table1[[GameIsOver]:[GameIsOver]], 1, Table1[[HomeTeam]:[HomeTeam]], $A65, Table1[[AwayTeam]:[AwayTeam]], O$36, Table1[[ActualResult]:[ActualResult]], "SO")))/ (2*((COUNTIFS(Table1[[GameIsOver]:[GameIsOver]],1,Table1[[AwayTeam]:[AwayTeam]],$A65, Table1[[HomeTeam]:[HomeTeam]], O$36)))+( COUNTIFS(Table1[[GameIsOver]:[GameIsOver]],1,Table1[[AwayTeam]:[AwayTeam]],O$36, Table1[[HomeTeam]:[HomeTeam]],$A65))), "")</f>
        <v/>
      </c>
      <c r="P65" s="50" t="str">
        <f>IFERROR(((2 * (SUMIFS(Table1[[AwayWon]:[AwayWon]], Table1[[GameIsOver]:[GameIsOver]], 1, Table1[[AwayTeam]:[AwayTeam]], $A65, Table1[[HomeTeam]:[HomeTeam]], P$36) + SUMIFS(Table1[[HomeWon]:[HomeWon]], Table1[[GameIsOver]:[GameIsOver]], 1, Table1[[HomeTeam]:[HomeTeam]], $A65, Table1[[AwayTeam]:[AwayTeam]], P$36))) + (SUMIFS(Table1[[HomeWon]:[HomeWon]], Table1[[GameIsOver]:[GameIsOver]], 1, Table1[[AwayTeam]:[AwayTeam]], $A65, Table1[[HomeTeam]:[HomeTeam]],  P$36, Table1[[ActualResult]:[ActualResult]], "OT") + SUMIFS(Table1[[AwayWon]:[AwayWon]], Table1[[GameIsOver]:[GameIsOver]], 1, Table1[[HomeTeam]:[HomeTeam]], $A65, Table1[[AwayTeam]:[AwayTeam]], P$36, Table1[[ActualResult]:[ActualResult]], "OT") + SUMIFS(Table1[[HomeWon]:[HomeWon]], Table1[[GameIsOver]:[GameIsOver]], 1, Table1[[AwayTeam]:[AwayTeam]], $A65, Table1[[HomeTeam]:[HomeTeam]], P$36, Table1[[ActualResult]:[ActualResult]], "SO") + SUMIFS(Table1[[AwayWon]:[AwayWon]], Table1[[GameIsOver]:[GameIsOver]], 1, Table1[[HomeTeam]:[HomeTeam]], $A65, Table1[[AwayTeam]:[AwayTeam]], P$36, Table1[[ActualResult]:[ActualResult]], "SO")))/ (2*((COUNTIFS(Table1[[GameIsOver]:[GameIsOver]],1,Table1[[AwayTeam]:[AwayTeam]],$A65, Table1[[HomeTeam]:[HomeTeam]], P$36)))+( COUNTIFS(Table1[[GameIsOver]:[GameIsOver]],1,Table1[[AwayTeam]:[AwayTeam]],P$36, Table1[[HomeTeam]:[HomeTeam]],$A65))), "")</f>
        <v/>
      </c>
      <c r="Q65" s="52" t="str">
        <f>IFERROR(((2 * (SUMIFS(Table1[[AwayWon]:[AwayWon]], Table1[[GameIsOver]:[GameIsOver]], 1, Table1[[AwayTeam]:[AwayTeam]], $A65, Table1[[HomeTeam]:[HomeTeam]], Q$36) + SUMIFS(Table1[[HomeWon]:[HomeWon]], Table1[[GameIsOver]:[GameIsOver]], 1, Table1[[HomeTeam]:[HomeTeam]], $A65, Table1[[AwayTeam]:[AwayTeam]], Q$36))) + (SUMIFS(Table1[[HomeWon]:[HomeWon]], Table1[[GameIsOver]:[GameIsOver]], 1, Table1[[AwayTeam]:[AwayTeam]], $A65, Table1[[HomeTeam]:[HomeTeam]],  Q$36, Table1[[ActualResult]:[ActualResult]], "OT") + SUMIFS(Table1[[AwayWon]:[AwayWon]], Table1[[GameIsOver]:[GameIsOver]], 1, Table1[[HomeTeam]:[HomeTeam]], $A65, Table1[[AwayTeam]:[AwayTeam]], Q$36, Table1[[ActualResult]:[ActualResult]], "OT") + SUMIFS(Table1[[HomeWon]:[HomeWon]], Table1[[GameIsOver]:[GameIsOver]], 1, Table1[[AwayTeam]:[AwayTeam]], $A65, Table1[[HomeTeam]:[HomeTeam]], Q$36, Table1[[ActualResult]:[ActualResult]], "SO") + SUMIFS(Table1[[AwayWon]:[AwayWon]], Table1[[GameIsOver]:[GameIsOver]], 1, Table1[[HomeTeam]:[HomeTeam]], $A65, Table1[[AwayTeam]:[AwayTeam]], Q$36, Table1[[ActualResult]:[ActualResult]], "SO")))/ (2*((COUNTIFS(Table1[[GameIsOver]:[GameIsOver]],1,Table1[[AwayTeam]:[AwayTeam]],$A65, Table1[[HomeTeam]:[HomeTeam]], Q$36)))+( COUNTIFS(Table1[[GameIsOver]:[GameIsOver]],1,Table1[[AwayTeam]:[AwayTeam]],Q$36, Table1[[HomeTeam]:[HomeTeam]],$A65))), "")</f>
        <v/>
      </c>
      <c r="R65" s="50" t="str">
        <f>IFERROR(((2 * (SUMIFS(Table1[[AwayWon]:[AwayWon]], Table1[[GameIsOver]:[GameIsOver]], 1, Table1[[AwayTeam]:[AwayTeam]], $A65, Table1[[HomeTeam]:[HomeTeam]], R$36) + SUMIFS(Table1[[HomeWon]:[HomeWon]], Table1[[GameIsOver]:[GameIsOver]], 1, Table1[[HomeTeam]:[HomeTeam]], $A65, Table1[[AwayTeam]:[AwayTeam]], R$36))) + (SUMIFS(Table1[[HomeWon]:[HomeWon]], Table1[[GameIsOver]:[GameIsOver]], 1, Table1[[AwayTeam]:[AwayTeam]], $A65, Table1[[HomeTeam]:[HomeTeam]],  R$36, Table1[[ActualResult]:[ActualResult]], "OT") + SUMIFS(Table1[[AwayWon]:[AwayWon]], Table1[[GameIsOver]:[GameIsOver]], 1, Table1[[HomeTeam]:[HomeTeam]], $A65, Table1[[AwayTeam]:[AwayTeam]], R$36, Table1[[ActualResult]:[ActualResult]], "OT") + SUMIFS(Table1[[HomeWon]:[HomeWon]], Table1[[GameIsOver]:[GameIsOver]], 1, Table1[[AwayTeam]:[AwayTeam]], $A65, Table1[[HomeTeam]:[HomeTeam]], R$36, Table1[[ActualResult]:[ActualResult]], "SO") + SUMIFS(Table1[[AwayWon]:[AwayWon]], Table1[[GameIsOver]:[GameIsOver]], 1, Table1[[HomeTeam]:[HomeTeam]], $A65, Table1[[AwayTeam]:[AwayTeam]], R$36, Table1[[ActualResult]:[ActualResult]], "SO")))/ (2*((COUNTIFS(Table1[[GameIsOver]:[GameIsOver]],1,Table1[[AwayTeam]:[AwayTeam]],$A65, Table1[[HomeTeam]:[HomeTeam]], R$36)))+( COUNTIFS(Table1[[GameIsOver]:[GameIsOver]],1,Table1[[AwayTeam]:[AwayTeam]],R$36, Table1[[HomeTeam]:[HomeTeam]],$A65))), "")</f>
        <v/>
      </c>
      <c r="S65" s="50" t="str">
        <f>IFERROR(((2 * (SUMIFS(Table1[[AwayWon]:[AwayWon]], Table1[[GameIsOver]:[GameIsOver]], 1, Table1[[AwayTeam]:[AwayTeam]], $A65, Table1[[HomeTeam]:[HomeTeam]], S$36) + SUMIFS(Table1[[HomeWon]:[HomeWon]], Table1[[GameIsOver]:[GameIsOver]], 1, Table1[[HomeTeam]:[HomeTeam]], $A65, Table1[[AwayTeam]:[AwayTeam]], S$36))) + (SUMIFS(Table1[[HomeWon]:[HomeWon]], Table1[[GameIsOver]:[GameIsOver]], 1, Table1[[AwayTeam]:[AwayTeam]], $A65, Table1[[HomeTeam]:[HomeTeam]],  S$36, Table1[[ActualResult]:[ActualResult]], "OT") + SUMIFS(Table1[[AwayWon]:[AwayWon]], Table1[[GameIsOver]:[GameIsOver]], 1, Table1[[HomeTeam]:[HomeTeam]], $A65, Table1[[AwayTeam]:[AwayTeam]], S$36, Table1[[ActualResult]:[ActualResult]], "OT") + SUMIFS(Table1[[HomeWon]:[HomeWon]], Table1[[GameIsOver]:[GameIsOver]], 1, Table1[[AwayTeam]:[AwayTeam]], $A65, Table1[[HomeTeam]:[HomeTeam]], S$36, Table1[[ActualResult]:[ActualResult]], "SO") + SUMIFS(Table1[[AwayWon]:[AwayWon]], Table1[[GameIsOver]:[GameIsOver]], 1, Table1[[HomeTeam]:[HomeTeam]], $A65, Table1[[AwayTeam]:[AwayTeam]], S$36, Table1[[ActualResult]:[ActualResult]], "SO")))/ (2*((COUNTIFS(Table1[[GameIsOver]:[GameIsOver]],1,Table1[[AwayTeam]:[AwayTeam]],$A65, Table1[[HomeTeam]:[HomeTeam]], S$36)))+( COUNTIFS(Table1[[GameIsOver]:[GameIsOver]],1,Table1[[AwayTeam]:[AwayTeam]],S$36, Table1[[HomeTeam]:[HomeTeam]],$A65))), "")</f>
        <v/>
      </c>
      <c r="T65" s="50" t="str">
        <f>IFERROR(((2 * (SUMIFS(Table1[[AwayWon]:[AwayWon]], Table1[[GameIsOver]:[GameIsOver]], 1, Table1[[AwayTeam]:[AwayTeam]], $A65, Table1[[HomeTeam]:[HomeTeam]], T$36) + SUMIFS(Table1[[HomeWon]:[HomeWon]], Table1[[GameIsOver]:[GameIsOver]], 1, Table1[[HomeTeam]:[HomeTeam]], $A65, Table1[[AwayTeam]:[AwayTeam]], T$36))) + (SUMIFS(Table1[[HomeWon]:[HomeWon]], Table1[[GameIsOver]:[GameIsOver]], 1, Table1[[AwayTeam]:[AwayTeam]], $A65, Table1[[HomeTeam]:[HomeTeam]],  T$36, Table1[[ActualResult]:[ActualResult]], "OT") + SUMIFS(Table1[[AwayWon]:[AwayWon]], Table1[[GameIsOver]:[GameIsOver]], 1, Table1[[HomeTeam]:[HomeTeam]], $A65, Table1[[AwayTeam]:[AwayTeam]], T$36, Table1[[ActualResult]:[ActualResult]], "OT") + SUMIFS(Table1[[HomeWon]:[HomeWon]], Table1[[GameIsOver]:[GameIsOver]], 1, Table1[[AwayTeam]:[AwayTeam]], $A65, Table1[[HomeTeam]:[HomeTeam]], T$36, Table1[[ActualResult]:[ActualResult]], "SO") + SUMIFS(Table1[[AwayWon]:[AwayWon]], Table1[[GameIsOver]:[GameIsOver]], 1, Table1[[HomeTeam]:[HomeTeam]], $A65, Table1[[AwayTeam]:[AwayTeam]], T$36, Table1[[ActualResult]:[ActualResult]], "SO")))/ (2*((COUNTIFS(Table1[[GameIsOver]:[GameIsOver]],1,Table1[[AwayTeam]:[AwayTeam]],$A65, Table1[[HomeTeam]:[HomeTeam]], T$36)))+( COUNTIFS(Table1[[GameIsOver]:[GameIsOver]],1,Table1[[AwayTeam]:[AwayTeam]],T$36, Table1[[HomeTeam]:[HomeTeam]],$A65))), "")</f>
        <v/>
      </c>
      <c r="U65" s="50" t="str">
        <f>IFERROR(((2 * (SUMIFS(Table1[[AwayWon]:[AwayWon]], Table1[[GameIsOver]:[GameIsOver]], 1, Table1[[AwayTeam]:[AwayTeam]], $A65, Table1[[HomeTeam]:[HomeTeam]], U$36) + SUMIFS(Table1[[HomeWon]:[HomeWon]], Table1[[GameIsOver]:[GameIsOver]], 1, Table1[[HomeTeam]:[HomeTeam]], $A65, Table1[[AwayTeam]:[AwayTeam]], U$36))) + (SUMIFS(Table1[[HomeWon]:[HomeWon]], Table1[[GameIsOver]:[GameIsOver]], 1, Table1[[AwayTeam]:[AwayTeam]], $A65, Table1[[HomeTeam]:[HomeTeam]],  U$36, Table1[[ActualResult]:[ActualResult]], "OT") + SUMIFS(Table1[[AwayWon]:[AwayWon]], Table1[[GameIsOver]:[GameIsOver]], 1, Table1[[HomeTeam]:[HomeTeam]], $A65, Table1[[AwayTeam]:[AwayTeam]], U$36, Table1[[ActualResult]:[ActualResult]], "OT") + SUMIFS(Table1[[HomeWon]:[HomeWon]], Table1[[GameIsOver]:[GameIsOver]], 1, Table1[[AwayTeam]:[AwayTeam]], $A65, Table1[[HomeTeam]:[HomeTeam]], U$36, Table1[[ActualResult]:[ActualResult]], "SO") + SUMIFS(Table1[[AwayWon]:[AwayWon]], Table1[[GameIsOver]:[GameIsOver]], 1, Table1[[HomeTeam]:[HomeTeam]], $A65, Table1[[AwayTeam]:[AwayTeam]], U$36, Table1[[ActualResult]:[ActualResult]], "SO")))/ (2*((COUNTIFS(Table1[[GameIsOver]:[GameIsOver]],1,Table1[[AwayTeam]:[AwayTeam]],$A65, Table1[[HomeTeam]:[HomeTeam]], U$36)))+( COUNTIFS(Table1[[GameIsOver]:[GameIsOver]],1,Table1[[AwayTeam]:[AwayTeam]],U$36, Table1[[HomeTeam]:[HomeTeam]],$A65))), "")</f>
        <v/>
      </c>
      <c r="V65" s="50" t="str">
        <f>IFERROR(((2 * (SUMIFS(Table1[[AwayWon]:[AwayWon]], Table1[[GameIsOver]:[GameIsOver]], 1, Table1[[AwayTeam]:[AwayTeam]], $A65, Table1[[HomeTeam]:[HomeTeam]], V$36) + SUMIFS(Table1[[HomeWon]:[HomeWon]], Table1[[GameIsOver]:[GameIsOver]], 1, Table1[[HomeTeam]:[HomeTeam]], $A65, Table1[[AwayTeam]:[AwayTeam]], V$36))) + (SUMIFS(Table1[[HomeWon]:[HomeWon]], Table1[[GameIsOver]:[GameIsOver]], 1, Table1[[AwayTeam]:[AwayTeam]], $A65, Table1[[HomeTeam]:[HomeTeam]],  V$36, Table1[[ActualResult]:[ActualResult]], "OT") + SUMIFS(Table1[[AwayWon]:[AwayWon]], Table1[[GameIsOver]:[GameIsOver]], 1, Table1[[HomeTeam]:[HomeTeam]], $A65, Table1[[AwayTeam]:[AwayTeam]], V$36, Table1[[ActualResult]:[ActualResult]], "OT") + SUMIFS(Table1[[HomeWon]:[HomeWon]], Table1[[GameIsOver]:[GameIsOver]], 1, Table1[[AwayTeam]:[AwayTeam]], $A65, Table1[[HomeTeam]:[HomeTeam]], V$36, Table1[[ActualResult]:[ActualResult]], "SO") + SUMIFS(Table1[[AwayWon]:[AwayWon]], Table1[[GameIsOver]:[GameIsOver]], 1, Table1[[HomeTeam]:[HomeTeam]], $A65, Table1[[AwayTeam]:[AwayTeam]], V$36, Table1[[ActualResult]:[ActualResult]], "SO")))/ (2*((COUNTIFS(Table1[[GameIsOver]:[GameIsOver]],1,Table1[[AwayTeam]:[AwayTeam]],$A65, Table1[[HomeTeam]:[HomeTeam]], V$36)))+( COUNTIFS(Table1[[GameIsOver]:[GameIsOver]],1,Table1[[AwayTeam]:[AwayTeam]],V$36, Table1[[HomeTeam]:[HomeTeam]],$A65))), "")</f>
        <v/>
      </c>
      <c r="W65" s="50" t="str">
        <f>IFERROR(((2 * (SUMIFS(Table1[[AwayWon]:[AwayWon]], Table1[[GameIsOver]:[GameIsOver]], 1, Table1[[AwayTeam]:[AwayTeam]], $A65, Table1[[HomeTeam]:[HomeTeam]], W$36) + SUMIFS(Table1[[HomeWon]:[HomeWon]], Table1[[GameIsOver]:[GameIsOver]], 1, Table1[[HomeTeam]:[HomeTeam]], $A65, Table1[[AwayTeam]:[AwayTeam]], W$36))) + (SUMIFS(Table1[[HomeWon]:[HomeWon]], Table1[[GameIsOver]:[GameIsOver]], 1, Table1[[AwayTeam]:[AwayTeam]], $A65, Table1[[HomeTeam]:[HomeTeam]],  W$36, Table1[[ActualResult]:[ActualResult]], "OT") + SUMIFS(Table1[[AwayWon]:[AwayWon]], Table1[[GameIsOver]:[GameIsOver]], 1, Table1[[HomeTeam]:[HomeTeam]], $A65, Table1[[AwayTeam]:[AwayTeam]], W$36, Table1[[ActualResult]:[ActualResult]], "OT") + SUMIFS(Table1[[HomeWon]:[HomeWon]], Table1[[GameIsOver]:[GameIsOver]], 1, Table1[[AwayTeam]:[AwayTeam]], $A65, Table1[[HomeTeam]:[HomeTeam]], W$36, Table1[[ActualResult]:[ActualResult]], "SO") + SUMIFS(Table1[[AwayWon]:[AwayWon]], Table1[[GameIsOver]:[GameIsOver]], 1, Table1[[HomeTeam]:[HomeTeam]], $A65, Table1[[AwayTeam]:[AwayTeam]], W$36, Table1[[ActualResult]:[ActualResult]], "SO")))/ (2*((COUNTIFS(Table1[[GameIsOver]:[GameIsOver]],1,Table1[[AwayTeam]:[AwayTeam]],$A65, Table1[[HomeTeam]:[HomeTeam]], W$36)))+( COUNTIFS(Table1[[GameIsOver]:[GameIsOver]],1,Table1[[AwayTeam]:[AwayTeam]],W$36, Table1[[HomeTeam]:[HomeTeam]],$A65))), "")</f>
        <v/>
      </c>
      <c r="X65" s="50" t="str">
        <f>IFERROR(((2 * (SUMIFS(Table1[[AwayWon]:[AwayWon]], Table1[[GameIsOver]:[GameIsOver]], 1, Table1[[AwayTeam]:[AwayTeam]], $A65, Table1[[HomeTeam]:[HomeTeam]], X$36) + SUMIFS(Table1[[HomeWon]:[HomeWon]], Table1[[GameIsOver]:[GameIsOver]], 1, Table1[[HomeTeam]:[HomeTeam]], $A65, Table1[[AwayTeam]:[AwayTeam]], X$36))) + (SUMIFS(Table1[[HomeWon]:[HomeWon]], Table1[[GameIsOver]:[GameIsOver]], 1, Table1[[AwayTeam]:[AwayTeam]], $A65, Table1[[HomeTeam]:[HomeTeam]],  X$36, Table1[[ActualResult]:[ActualResult]], "OT") + SUMIFS(Table1[[AwayWon]:[AwayWon]], Table1[[GameIsOver]:[GameIsOver]], 1, Table1[[HomeTeam]:[HomeTeam]], $A65, Table1[[AwayTeam]:[AwayTeam]], X$36, Table1[[ActualResult]:[ActualResult]], "OT") + SUMIFS(Table1[[HomeWon]:[HomeWon]], Table1[[GameIsOver]:[GameIsOver]], 1, Table1[[AwayTeam]:[AwayTeam]], $A65, Table1[[HomeTeam]:[HomeTeam]], X$36, Table1[[ActualResult]:[ActualResult]], "SO") + SUMIFS(Table1[[AwayWon]:[AwayWon]], Table1[[GameIsOver]:[GameIsOver]], 1, Table1[[HomeTeam]:[HomeTeam]], $A65, Table1[[AwayTeam]:[AwayTeam]], X$36, Table1[[ActualResult]:[ActualResult]], "SO")))/ (2*((COUNTIFS(Table1[[GameIsOver]:[GameIsOver]],1,Table1[[AwayTeam]:[AwayTeam]],$A65, Table1[[HomeTeam]:[HomeTeam]], X$36)))+( COUNTIFS(Table1[[GameIsOver]:[GameIsOver]],1,Table1[[AwayTeam]:[AwayTeam]],X$36, Table1[[HomeTeam]:[HomeTeam]],$A65))), "")</f>
        <v/>
      </c>
      <c r="Y65" s="52" t="str">
        <f>IFERROR(((2 * (SUMIFS(Table1[[AwayWon]:[AwayWon]], Table1[[GameIsOver]:[GameIsOver]], 1, Table1[[AwayTeam]:[AwayTeam]], $A65, Table1[[HomeTeam]:[HomeTeam]], Y$36) + SUMIFS(Table1[[HomeWon]:[HomeWon]], Table1[[GameIsOver]:[GameIsOver]], 1, Table1[[HomeTeam]:[HomeTeam]], $A65, Table1[[AwayTeam]:[AwayTeam]], Y$36))) + (SUMIFS(Table1[[HomeWon]:[HomeWon]], Table1[[GameIsOver]:[GameIsOver]], 1, Table1[[AwayTeam]:[AwayTeam]], $A65, Table1[[HomeTeam]:[HomeTeam]],  Y$36, Table1[[ActualResult]:[ActualResult]], "OT") + SUMIFS(Table1[[AwayWon]:[AwayWon]], Table1[[GameIsOver]:[GameIsOver]], 1, Table1[[HomeTeam]:[HomeTeam]], $A65, Table1[[AwayTeam]:[AwayTeam]], Y$36, Table1[[ActualResult]:[ActualResult]], "OT") + SUMIFS(Table1[[HomeWon]:[HomeWon]], Table1[[GameIsOver]:[GameIsOver]], 1, Table1[[AwayTeam]:[AwayTeam]], $A65, Table1[[HomeTeam]:[HomeTeam]], Y$36, Table1[[ActualResult]:[ActualResult]], "SO") + SUMIFS(Table1[[AwayWon]:[AwayWon]], Table1[[GameIsOver]:[GameIsOver]], 1, Table1[[HomeTeam]:[HomeTeam]], $A65, Table1[[AwayTeam]:[AwayTeam]], Y$36, Table1[[ActualResult]:[ActualResult]], "SO")))/ (2*((COUNTIFS(Table1[[GameIsOver]:[GameIsOver]],1,Table1[[AwayTeam]:[AwayTeam]],$A65, Table1[[HomeTeam]:[HomeTeam]], Y$36)))+( COUNTIFS(Table1[[GameIsOver]:[GameIsOver]],1,Table1[[AwayTeam]:[AwayTeam]],Y$36, Table1[[HomeTeam]:[HomeTeam]],$A65))), "")</f>
        <v/>
      </c>
      <c r="Z65" s="50" t="str">
        <f>IFERROR(((2 * (SUMIFS(Table1[[AwayWon]:[AwayWon]], Table1[[GameIsOver]:[GameIsOver]], 1, Table1[[AwayTeam]:[AwayTeam]], $A65, Table1[[HomeTeam]:[HomeTeam]], Z$36) + SUMIFS(Table1[[HomeWon]:[HomeWon]], Table1[[GameIsOver]:[GameIsOver]], 1, Table1[[HomeTeam]:[HomeTeam]], $A65, Table1[[AwayTeam]:[AwayTeam]], Z$36))) + (SUMIFS(Table1[[HomeWon]:[HomeWon]], Table1[[GameIsOver]:[GameIsOver]], 1, Table1[[AwayTeam]:[AwayTeam]], $A65, Table1[[HomeTeam]:[HomeTeam]],  Z$36, Table1[[ActualResult]:[ActualResult]], "OT") + SUMIFS(Table1[[AwayWon]:[AwayWon]], Table1[[GameIsOver]:[GameIsOver]], 1, Table1[[HomeTeam]:[HomeTeam]], $A65, Table1[[AwayTeam]:[AwayTeam]], Z$36, Table1[[ActualResult]:[ActualResult]], "OT") + SUMIFS(Table1[[HomeWon]:[HomeWon]], Table1[[GameIsOver]:[GameIsOver]], 1, Table1[[AwayTeam]:[AwayTeam]], $A65, Table1[[HomeTeam]:[HomeTeam]], Z$36, Table1[[ActualResult]:[ActualResult]], "SO") + SUMIFS(Table1[[AwayWon]:[AwayWon]], Table1[[GameIsOver]:[GameIsOver]], 1, Table1[[HomeTeam]:[HomeTeam]], $A65, Table1[[AwayTeam]:[AwayTeam]], Z$36, Table1[[ActualResult]:[ActualResult]], "SO")))/ (2*((COUNTIFS(Table1[[GameIsOver]:[GameIsOver]],1,Table1[[AwayTeam]:[AwayTeam]],$A65, Table1[[HomeTeam]:[HomeTeam]], Z$36)))+( COUNTIFS(Table1[[GameIsOver]:[GameIsOver]],1,Table1[[AwayTeam]:[AwayTeam]],Z$36, Table1[[HomeTeam]:[HomeTeam]],$A65))), "")</f>
        <v/>
      </c>
      <c r="AA65" s="50" t="str">
        <f>IFERROR(((2 * (SUMIFS(Table1[[AwayWon]:[AwayWon]], Table1[[GameIsOver]:[GameIsOver]], 1, Table1[[AwayTeam]:[AwayTeam]], $A65, Table1[[HomeTeam]:[HomeTeam]], AA$36) + SUMIFS(Table1[[HomeWon]:[HomeWon]], Table1[[GameIsOver]:[GameIsOver]], 1, Table1[[HomeTeam]:[HomeTeam]], $A65, Table1[[AwayTeam]:[AwayTeam]], AA$36))) + (SUMIFS(Table1[[HomeWon]:[HomeWon]], Table1[[GameIsOver]:[GameIsOver]], 1, Table1[[AwayTeam]:[AwayTeam]], $A65, Table1[[HomeTeam]:[HomeTeam]],  AA$36, Table1[[ActualResult]:[ActualResult]], "OT") + SUMIFS(Table1[[AwayWon]:[AwayWon]], Table1[[GameIsOver]:[GameIsOver]], 1, Table1[[HomeTeam]:[HomeTeam]], $A65, Table1[[AwayTeam]:[AwayTeam]], AA$36, Table1[[ActualResult]:[ActualResult]], "OT") + SUMIFS(Table1[[HomeWon]:[HomeWon]], Table1[[GameIsOver]:[GameIsOver]], 1, Table1[[AwayTeam]:[AwayTeam]], $A65, Table1[[HomeTeam]:[HomeTeam]], AA$36, Table1[[ActualResult]:[ActualResult]], "SO") + SUMIFS(Table1[[AwayWon]:[AwayWon]], Table1[[GameIsOver]:[GameIsOver]], 1, Table1[[HomeTeam]:[HomeTeam]], $A65, Table1[[AwayTeam]:[AwayTeam]], AA$36, Table1[[ActualResult]:[ActualResult]], "SO")))/ (2*((COUNTIFS(Table1[[GameIsOver]:[GameIsOver]],1,Table1[[AwayTeam]:[AwayTeam]],$A65, Table1[[HomeTeam]:[HomeTeam]], AA$36)))+( COUNTIFS(Table1[[GameIsOver]:[GameIsOver]],1,Table1[[AwayTeam]:[AwayTeam]],AA$36, Table1[[HomeTeam]:[HomeTeam]],$A65))), "")</f>
        <v/>
      </c>
      <c r="AB65" s="50" t="str">
        <f>IFERROR(((2 * (SUMIFS(Table1[[AwayWon]:[AwayWon]], Table1[[GameIsOver]:[GameIsOver]], 1, Table1[[AwayTeam]:[AwayTeam]], $A65, Table1[[HomeTeam]:[HomeTeam]], AB$36) + SUMIFS(Table1[[HomeWon]:[HomeWon]], Table1[[GameIsOver]:[GameIsOver]], 1, Table1[[HomeTeam]:[HomeTeam]], $A65, Table1[[AwayTeam]:[AwayTeam]], AB$36))) + (SUMIFS(Table1[[HomeWon]:[HomeWon]], Table1[[GameIsOver]:[GameIsOver]], 1, Table1[[AwayTeam]:[AwayTeam]], $A65, Table1[[HomeTeam]:[HomeTeam]],  AB$36, Table1[[ActualResult]:[ActualResult]], "OT") + SUMIFS(Table1[[AwayWon]:[AwayWon]], Table1[[GameIsOver]:[GameIsOver]], 1, Table1[[HomeTeam]:[HomeTeam]], $A65, Table1[[AwayTeam]:[AwayTeam]], AB$36, Table1[[ActualResult]:[ActualResult]], "OT") + SUMIFS(Table1[[HomeWon]:[HomeWon]], Table1[[GameIsOver]:[GameIsOver]], 1, Table1[[AwayTeam]:[AwayTeam]], $A65, Table1[[HomeTeam]:[HomeTeam]], AB$36, Table1[[ActualResult]:[ActualResult]], "SO") + SUMIFS(Table1[[AwayWon]:[AwayWon]], Table1[[GameIsOver]:[GameIsOver]], 1, Table1[[HomeTeam]:[HomeTeam]], $A65, Table1[[AwayTeam]:[AwayTeam]], AB$36, Table1[[ActualResult]:[ActualResult]], "SO")))/ (2*((COUNTIFS(Table1[[GameIsOver]:[GameIsOver]],1,Table1[[AwayTeam]:[AwayTeam]],$A65, Table1[[HomeTeam]:[HomeTeam]], AB$36)))+( COUNTIFS(Table1[[GameIsOver]:[GameIsOver]],1,Table1[[AwayTeam]:[AwayTeam]],AB$36, Table1[[HomeTeam]:[HomeTeam]],$A65))), "")</f>
        <v/>
      </c>
      <c r="AC65" s="50" t="str">
        <f>IFERROR(((2 * (SUMIFS(Table1[[AwayWon]:[AwayWon]], Table1[[GameIsOver]:[GameIsOver]], 1, Table1[[AwayTeam]:[AwayTeam]], $A65, Table1[[HomeTeam]:[HomeTeam]], AC$36) + SUMIFS(Table1[[HomeWon]:[HomeWon]], Table1[[GameIsOver]:[GameIsOver]], 1, Table1[[HomeTeam]:[HomeTeam]], $A65, Table1[[AwayTeam]:[AwayTeam]], AC$36))) + (SUMIFS(Table1[[HomeWon]:[HomeWon]], Table1[[GameIsOver]:[GameIsOver]], 1, Table1[[AwayTeam]:[AwayTeam]], $A65, Table1[[HomeTeam]:[HomeTeam]],  AC$36, Table1[[ActualResult]:[ActualResult]], "OT") + SUMIFS(Table1[[AwayWon]:[AwayWon]], Table1[[GameIsOver]:[GameIsOver]], 1, Table1[[HomeTeam]:[HomeTeam]], $A65, Table1[[AwayTeam]:[AwayTeam]], AC$36, Table1[[ActualResult]:[ActualResult]], "OT") + SUMIFS(Table1[[HomeWon]:[HomeWon]], Table1[[GameIsOver]:[GameIsOver]], 1, Table1[[AwayTeam]:[AwayTeam]], $A65, Table1[[HomeTeam]:[HomeTeam]], AC$36, Table1[[ActualResult]:[ActualResult]], "SO") + SUMIFS(Table1[[AwayWon]:[AwayWon]], Table1[[GameIsOver]:[GameIsOver]], 1, Table1[[HomeTeam]:[HomeTeam]], $A65, Table1[[AwayTeam]:[AwayTeam]], AC$36, Table1[[ActualResult]:[ActualResult]], "SO")))/ (2*((COUNTIFS(Table1[[GameIsOver]:[GameIsOver]],1,Table1[[AwayTeam]:[AwayTeam]],$A65, Table1[[HomeTeam]:[HomeTeam]], AC$36)))+( COUNTIFS(Table1[[GameIsOver]:[GameIsOver]],1,Table1[[AwayTeam]:[AwayTeam]],AC$36, Table1[[HomeTeam]:[HomeTeam]],$A65))), "")</f>
        <v/>
      </c>
      <c r="AD65" s="50" t="str">
        <f>IFERROR(((2 * (SUMIFS(Table1[[AwayWon]:[AwayWon]], Table1[[GameIsOver]:[GameIsOver]], 1, Table1[[AwayTeam]:[AwayTeam]], $A65, Table1[[HomeTeam]:[HomeTeam]], AD$36) + SUMIFS(Table1[[HomeWon]:[HomeWon]], Table1[[GameIsOver]:[GameIsOver]], 1, Table1[[HomeTeam]:[HomeTeam]], $A65, Table1[[AwayTeam]:[AwayTeam]], AD$36))) + (SUMIFS(Table1[[HomeWon]:[HomeWon]], Table1[[GameIsOver]:[GameIsOver]], 1, Table1[[AwayTeam]:[AwayTeam]], $A65, Table1[[HomeTeam]:[HomeTeam]],  AD$36, Table1[[ActualResult]:[ActualResult]], "OT") + SUMIFS(Table1[[AwayWon]:[AwayWon]], Table1[[GameIsOver]:[GameIsOver]], 1, Table1[[HomeTeam]:[HomeTeam]], $A65, Table1[[AwayTeam]:[AwayTeam]], AD$36, Table1[[ActualResult]:[ActualResult]], "OT") + SUMIFS(Table1[[HomeWon]:[HomeWon]], Table1[[GameIsOver]:[GameIsOver]], 1, Table1[[AwayTeam]:[AwayTeam]], $A65, Table1[[HomeTeam]:[HomeTeam]], AD$36, Table1[[ActualResult]:[ActualResult]], "SO") + SUMIFS(Table1[[AwayWon]:[AwayWon]], Table1[[GameIsOver]:[GameIsOver]], 1, Table1[[HomeTeam]:[HomeTeam]], $A65, Table1[[AwayTeam]:[AwayTeam]], AD$36, Table1[[ActualResult]:[ActualResult]], "SO")))/ (2*((COUNTIFS(Table1[[GameIsOver]:[GameIsOver]],1,Table1[[AwayTeam]:[AwayTeam]],$A65, Table1[[HomeTeam]:[HomeTeam]], AD$36)))+( COUNTIFS(Table1[[GameIsOver]:[GameIsOver]],1,Table1[[AwayTeam]:[AwayTeam]],AD$36, Table1[[HomeTeam]:[HomeTeam]],$A65))), "")</f>
        <v/>
      </c>
      <c r="AE65" s="50" t="str">
        <f>IFERROR(((2 * (SUMIFS(Table1[[AwayWon]:[AwayWon]], Table1[[GameIsOver]:[GameIsOver]], 1, Table1[[AwayTeam]:[AwayTeam]], $A65, Table1[[HomeTeam]:[HomeTeam]], AE$36) + SUMIFS(Table1[[HomeWon]:[HomeWon]], Table1[[GameIsOver]:[GameIsOver]], 1, Table1[[HomeTeam]:[HomeTeam]], $A65, Table1[[AwayTeam]:[AwayTeam]], AE$36))) + (SUMIFS(Table1[[HomeWon]:[HomeWon]], Table1[[GameIsOver]:[GameIsOver]], 1, Table1[[AwayTeam]:[AwayTeam]], $A65, Table1[[HomeTeam]:[HomeTeam]],  AE$36, Table1[[ActualResult]:[ActualResult]], "OT") + SUMIFS(Table1[[AwayWon]:[AwayWon]], Table1[[GameIsOver]:[GameIsOver]], 1, Table1[[HomeTeam]:[HomeTeam]], $A65, Table1[[AwayTeam]:[AwayTeam]], AE$36, Table1[[ActualResult]:[ActualResult]], "OT") + SUMIFS(Table1[[HomeWon]:[HomeWon]], Table1[[GameIsOver]:[GameIsOver]], 1, Table1[[AwayTeam]:[AwayTeam]], $A65, Table1[[HomeTeam]:[HomeTeam]], AE$36, Table1[[ActualResult]:[ActualResult]], "SO") + SUMIFS(Table1[[AwayWon]:[AwayWon]], Table1[[GameIsOver]:[GameIsOver]], 1, Table1[[HomeTeam]:[HomeTeam]], $A65, Table1[[AwayTeam]:[AwayTeam]], AE$36, Table1[[ActualResult]:[ActualResult]], "SO")))/ (2*((COUNTIFS(Table1[[GameIsOver]:[GameIsOver]],1,Table1[[AwayTeam]:[AwayTeam]],$A65, Table1[[HomeTeam]:[HomeTeam]], AE$36)))+( COUNTIFS(Table1[[GameIsOver]:[GameIsOver]],1,Table1[[AwayTeam]:[AwayTeam]],AE$36, Table1[[HomeTeam]:[HomeTeam]],$A65))), "")</f>
        <v/>
      </c>
      <c r="AF65" s="50" t="str">
        <f>IFERROR(((2 * (SUMIFS(Table1[[AwayWon]:[AwayWon]], Table1[[GameIsOver]:[GameIsOver]], 1, Table1[[AwayTeam]:[AwayTeam]], $A65, Table1[[HomeTeam]:[HomeTeam]], AF$36) + SUMIFS(Table1[[HomeWon]:[HomeWon]], Table1[[GameIsOver]:[GameIsOver]], 1, Table1[[HomeTeam]:[HomeTeam]], $A65, Table1[[AwayTeam]:[AwayTeam]], AF$36))) + (SUMIFS(Table1[[HomeWon]:[HomeWon]], Table1[[GameIsOver]:[GameIsOver]], 1, Table1[[AwayTeam]:[AwayTeam]], $A65, Table1[[HomeTeam]:[HomeTeam]],  AF$36, Table1[[ActualResult]:[ActualResult]], "OT") + SUMIFS(Table1[[AwayWon]:[AwayWon]], Table1[[GameIsOver]:[GameIsOver]], 1, Table1[[HomeTeam]:[HomeTeam]], $A65, Table1[[AwayTeam]:[AwayTeam]], AF$36, Table1[[ActualResult]:[ActualResult]], "OT") + SUMIFS(Table1[[HomeWon]:[HomeWon]], Table1[[GameIsOver]:[GameIsOver]], 1, Table1[[AwayTeam]:[AwayTeam]], $A65, Table1[[HomeTeam]:[HomeTeam]], AF$36, Table1[[ActualResult]:[ActualResult]], "SO") + SUMIFS(Table1[[AwayWon]:[AwayWon]], Table1[[GameIsOver]:[GameIsOver]], 1, Table1[[HomeTeam]:[HomeTeam]], $A65, Table1[[AwayTeam]:[AwayTeam]], AF$36, Table1[[ActualResult]:[ActualResult]], "SO")))/ (2*((COUNTIFS(Table1[[GameIsOver]:[GameIsOver]],1,Table1[[AwayTeam]:[AwayTeam]],$A65, Table1[[HomeTeam]:[HomeTeam]], AF$36)))+( COUNTIFS(Table1[[GameIsOver]:[GameIsOver]],1,Table1[[AwayTeam]:[AwayTeam]],AF$36, Table1[[HomeTeam]:[HomeTeam]],$A65))), "")</f>
        <v/>
      </c>
      <c r="AG65" s="50" t="str">
        <f>IFERROR(((2 * (SUMIFS(Table1[[AwayWon]:[AwayWon]], Table1[[GameIsOver]:[GameIsOver]], 1, Table1[[AwayTeam]:[AwayTeam]], $A65, Table1[[HomeTeam]:[HomeTeam]], AG$36) + SUMIFS(Table1[[HomeWon]:[HomeWon]], Table1[[GameIsOver]:[GameIsOver]], 1, Table1[[HomeTeam]:[HomeTeam]], $A65, Table1[[AwayTeam]:[AwayTeam]], AG$36))) + (SUMIFS(Table1[[HomeWon]:[HomeWon]], Table1[[GameIsOver]:[GameIsOver]], 1, Table1[[AwayTeam]:[AwayTeam]], $A65, Table1[[HomeTeam]:[HomeTeam]],  AG$36, Table1[[ActualResult]:[ActualResult]], "OT") + SUMIFS(Table1[[AwayWon]:[AwayWon]], Table1[[GameIsOver]:[GameIsOver]], 1, Table1[[HomeTeam]:[HomeTeam]], $A65, Table1[[AwayTeam]:[AwayTeam]], AG$36, Table1[[ActualResult]:[ActualResult]], "OT") + SUMIFS(Table1[[HomeWon]:[HomeWon]], Table1[[GameIsOver]:[GameIsOver]], 1, Table1[[AwayTeam]:[AwayTeam]], $A65, Table1[[HomeTeam]:[HomeTeam]], AG$36, Table1[[ActualResult]:[ActualResult]], "SO") + SUMIFS(Table1[[AwayWon]:[AwayWon]], Table1[[GameIsOver]:[GameIsOver]], 1, Table1[[HomeTeam]:[HomeTeam]], $A65, Table1[[AwayTeam]:[AwayTeam]], AG$36, Table1[[ActualResult]:[ActualResult]], "SO")))/ (2*((COUNTIFS(Table1[[GameIsOver]:[GameIsOver]],1,Table1[[AwayTeam]:[AwayTeam]],$A65, Table1[[HomeTeam]:[HomeTeam]], AG$36)))+( COUNTIFS(Table1[[GameIsOver]:[GameIsOver]],1,Table1[[AwayTeam]:[AwayTeam]],AG$36, Table1[[HomeTeam]:[HomeTeam]],$A65))), "")</f>
        <v/>
      </c>
      <c r="AH65" s="51" t="e">
        <f t="shared" si="0"/>
        <v>#DIV/0!</v>
      </c>
      <c r="AI65" s="51">
        <f t="shared" si="1"/>
        <v>0.5</v>
      </c>
      <c r="AJ65" s="52" t="e">
        <f t="shared" si="2"/>
        <v>#DIV/0!</v>
      </c>
      <c r="AK65" s="52" t="e">
        <f t="shared" si="3"/>
        <v>#DIV/0!</v>
      </c>
      <c r="AL65" s="52" t="e">
        <f t="shared" si="4"/>
        <v>#DIV/0!</v>
      </c>
      <c r="AM65" s="52">
        <f t="shared" si="5"/>
        <v>0.5</v>
      </c>
    </row>
    <row r="66" spans="1:39" x14ac:dyDescent="0.25">
      <c r="A66" s="28" t="s">
        <v>52</v>
      </c>
      <c r="B66" s="50" t="str">
        <f>IFERROR(((2 * (SUMIFS(Table1[[AwayWon]:[AwayWon]], Table1[[GameIsOver]:[GameIsOver]], 1, Table1[[AwayTeam]:[AwayTeam]], $A66, Table1[[HomeTeam]:[HomeTeam]], B$36) + SUMIFS(Table1[[HomeWon]:[HomeWon]], Table1[[GameIsOver]:[GameIsOver]], 1, Table1[[HomeTeam]:[HomeTeam]], $A66, Table1[[AwayTeam]:[AwayTeam]], B$36))) + (SUMIFS(Table1[[HomeWon]:[HomeWon]], Table1[[GameIsOver]:[GameIsOver]], 1, Table1[[AwayTeam]:[AwayTeam]], $A66, Table1[[HomeTeam]:[HomeTeam]],  B$36, Table1[[ActualResult]:[ActualResult]], "OT") + SUMIFS(Table1[[AwayWon]:[AwayWon]], Table1[[GameIsOver]:[GameIsOver]], 1, Table1[[HomeTeam]:[HomeTeam]], $A66, Table1[[AwayTeam]:[AwayTeam]], B$36, Table1[[ActualResult]:[ActualResult]], "OT") + SUMIFS(Table1[[HomeWon]:[HomeWon]], Table1[[GameIsOver]:[GameIsOver]], 1, Table1[[AwayTeam]:[AwayTeam]], $A66, Table1[[HomeTeam]:[HomeTeam]], B$36, Table1[[ActualResult]:[ActualResult]], "SO") + SUMIFS(Table1[[AwayWon]:[AwayWon]], Table1[[GameIsOver]:[GameIsOver]], 1, Table1[[HomeTeam]:[HomeTeam]], $A66, Table1[[AwayTeam]:[AwayTeam]], B$36, Table1[[ActualResult]:[ActualResult]], "SO")))/ (2*((COUNTIFS(Table1[[GameIsOver]:[GameIsOver]],1,Table1[[AwayTeam]:[AwayTeam]],$A66, Table1[[HomeTeam]:[HomeTeam]], B$36)))+( COUNTIFS(Table1[[GameIsOver]:[GameIsOver]],1,Table1[[AwayTeam]:[AwayTeam]],B$36, Table1[[HomeTeam]:[HomeTeam]],$A66))), "")</f>
        <v/>
      </c>
      <c r="C66" s="50">
        <f>IFERROR(((2 * (SUMIFS(Table1[[AwayWon]:[AwayWon]], Table1[[GameIsOver]:[GameIsOver]], 1, Table1[[AwayTeam]:[AwayTeam]], $A66, Table1[[HomeTeam]:[HomeTeam]], C$36) + SUMIFS(Table1[[HomeWon]:[HomeWon]], Table1[[GameIsOver]:[GameIsOver]], 1, Table1[[HomeTeam]:[HomeTeam]], $A66, Table1[[AwayTeam]:[AwayTeam]], C$36))) + (SUMIFS(Table1[[HomeWon]:[HomeWon]], Table1[[GameIsOver]:[GameIsOver]], 1, Table1[[AwayTeam]:[AwayTeam]], $A66, Table1[[HomeTeam]:[HomeTeam]],  C$36, Table1[[ActualResult]:[ActualResult]], "OT") + SUMIFS(Table1[[AwayWon]:[AwayWon]], Table1[[GameIsOver]:[GameIsOver]], 1, Table1[[HomeTeam]:[HomeTeam]], $A66, Table1[[AwayTeam]:[AwayTeam]], C$36, Table1[[ActualResult]:[ActualResult]], "OT") + SUMIFS(Table1[[HomeWon]:[HomeWon]], Table1[[GameIsOver]:[GameIsOver]], 1, Table1[[AwayTeam]:[AwayTeam]], $A66, Table1[[HomeTeam]:[HomeTeam]], C$36, Table1[[ActualResult]:[ActualResult]], "SO") + SUMIFS(Table1[[AwayWon]:[AwayWon]], Table1[[GameIsOver]:[GameIsOver]], 1, Table1[[HomeTeam]:[HomeTeam]], $A66, Table1[[AwayTeam]:[AwayTeam]], C$36, Table1[[ActualResult]:[ActualResult]], "SO")))/ (2*((COUNTIFS(Table1[[GameIsOver]:[GameIsOver]],1,Table1[[AwayTeam]:[AwayTeam]],$A66, Table1[[HomeTeam]:[HomeTeam]], C$36)))+( COUNTIFS(Table1[[GameIsOver]:[GameIsOver]],1,Table1[[AwayTeam]:[AwayTeam]],C$36, Table1[[HomeTeam]:[HomeTeam]],$A66))), "")</f>
        <v>0</v>
      </c>
      <c r="D66" s="50" t="str">
        <f>IFERROR(((2 * (SUMIFS(Table1[[AwayWon]:[AwayWon]], Table1[[GameIsOver]:[GameIsOver]], 1, Table1[[AwayTeam]:[AwayTeam]], $A66, Table1[[HomeTeam]:[HomeTeam]], D$36) + SUMIFS(Table1[[HomeWon]:[HomeWon]], Table1[[GameIsOver]:[GameIsOver]], 1, Table1[[HomeTeam]:[HomeTeam]], $A66, Table1[[AwayTeam]:[AwayTeam]], D$36))) + (SUMIFS(Table1[[HomeWon]:[HomeWon]], Table1[[GameIsOver]:[GameIsOver]], 1, Table1[[AwayTeam]:[AwayTeam]], $A66, Table1[[HomeTeam]:[HomeTeam]],  D$36, Table1[[ActualResult]:[ActualResult]], "OT") + SUMIFS(Table1[[AwayWon]:[AwayWon]], Table1[[GameIsOver]:[GameIsOver]], 1, Table1[[HomeTeam]:[HomeTeam]], $A66, Table1[[AwayTeam]:[AwayTeam]], D$36, Table1[[ActualResult]:[ActualResult]], "OT") + SUMIFS(Table1[[HomeWon]:[HomeWon]], Table1[[GameIsOver]:[GameIsOver]], 1, Table1[[AwayTeam]:[AwayTeam]], $A66, Table1[[HomeTeam]:[HomeTeam]], D$36, Table1[[ActualResult]:[ActualResult]], "SO") + SUMIFS(Table1[[AwayWon]:[AwayWon]], Table1[[GameIsOver]:[GameIsOver]], 1, Table1[[HomeTeam]:[HomeTeam]], $A66, Table1[[AwayTeam]:[AwayTeam]], D$36, Table1[[ActualResult]:[ActualResult]], "SO")))/ (2*((COUNTIFS(Table1[[GameIsOver]:[GameIsOver]],1,Table1[[AwayTeam]:[AwayTeam]],$A66, Table1[[HomeTeam]:[HomeTeam]], D$36)))+( COUNTIFS(Table1[[GameIsOver]:[GameIsOver]],1,Table1[[AwayTeam]:[AwayTeam]],D$36, Table1[[HomeTeam]:[HomeTeam]],$A66))), "")</f>
        <v/>
      </c>
      <c r="E66" s="50" t="str">
        <f>IFERROR(((2 * (SUMIFS(Table1[[AwayWon]:[AwayWon]], Table1[[GameIsOver]:[GameIsOver]], 1, Table1[[AwayTeam]:[AwayTeam]], $A66, Table1[[HomeTeam]:[HomeTeam]], E$36) + SUMIFS(Table1[[HomeWon]:[HomeWon]], Table1[[GameIsOver]:[GameIsOver]], 1, Table1[[HomeTeam]:[HomeTeam]], $A66, Table1[[AwayTeam]:[AwayTeam]], E$36))) + (SUMIFS(Table1[[HomeWon]:[HomeWon]], Table1[[GameIsOver]:[GameIsOver]], 1, Table1[[AwayTeam]:[AwayTeam]], $A66, Table1[[HomeTeam]:[HomeTeam]],  E$36, Table1[[ActualResult]:[ActualResult]], "OT") + SUMIFS(Table1[[AwayWon]:[AwayWon]], Table1[[GameIsOver]:[GameIsOver]], 1, Table1[[HomeTeam]:[HomeTeam]], $A66, Table1[[AwayTeam]:[AwayTeam]], E$36, Table1[[ActualResult]:[ActualResult]], "OT") + SUMIFS(Table1[[HomeWon]:[HomeWon]], Table1[[GameIsOver]:[GameIsOver]], 1, Table1[[AwayTeam]:[AwayTeam]], $A66, Table1[[HomeTeam]:[HomeTeam]], E$36, Table1[[ActualResult]:[ActualResult]], "SO") + SUMIFS(Table1[[AwayWon]:[AwayWon]], Table1[[GameIsOver]:[GameIsOver]], 1, Table1[[HomeTeam]:[HomeTeam]], $A66, Table1[[AwayTeam]:[AwayTeam]], E$36, Table1[[ActualResult]:[ActualResult]], "SO")))/ (2*((COUNTIFS(Table1[[GameIsOver]:[GameIsOver]],1,Table1[[AwayTeam]:[AwayTeam]],$A66, Table1[[HomeTeam]:[HomeTeam]], E$36)))+( COUNTIFS(Table1[[GameIsOver]:[GameIsOver]],1,Table1[[AwayTeam]:[AwayTeam]],E$36, Table1[[HomeTeam]:[HomeTeam]],$A66))), "")</f>
        <v/>
      </c>
      <c r="F66" s="50" t="str">
        <f>IFERROR(((2 * (SUMIFS(Table1[[AwayWon]:[AwayWon]], Table1[[GameIsOver]:[GameIsOver]], 1, Table1[[AwayTeam]:[AwayTeam]], $A66, Table1[[HomeTeam]:[HomeTeam]], F$36) + SUMIFS(Table1[[HomeWon]:[HomeWon]], Table1[[GameIsOver]:[GameIsOver]], 1, Table1[[HomeTeam]:[HomeTeam]], $A66, Table1[[AwayTeam]:[AwayTeam]], F$36))) + (SUMIFS(Table1[[HomeWon]:[HomeWon]], Table1[[GameIsOver]:[GameIsOver]], 1, Table1[[AwayTeam]:[AwayTeam]], $A66, Table1[[HomeTeam]:[HomeTeam]],  F$36, Table1[[ActualResult]:[ActualResult]], "OT") + SUMIFS(Table1[[AwayWon]:[AwayWon]], Table1[[GameIsOver]:[GameIsOver]], 1, Table1[[HomeTeam]:[HomeTeam]], $A66, Table1[[AwayTeam]:[AwayTeam]], F$36, Table1[[ActualResult]:[ActualResult]], "OT") + SUMIFS(Table1[[HomeWon]:[HomeWon]], Table1[[GameIsOver]:[GameIsOver]], 1, Table1[[AwayTeam]:[AwayTeam]], $A66, Table1[[HomeTeam]:[HomeTeam]], F$36, Table1[[ActualResult]:[ActualResult]], "SO") + SUMIFS(Table1[[AwayWon]:[AwayWon]], Table1[[GameIsOver]:[GameIsOver]], 1, Table1[[HomeTeam]:[HomeTeam]], $A66, Table1[[AwayTeam]:[AwayTeam]], F$36, Table1[[ActualResult]:[ActualResult]], "SO")))/ (2*((COUNTIFS(Table1[[GameIsOver]:[GameIsOver]],1,Table1[[AwayTeam]:[AwayTeam]],$A66, Table1[[HomeTeam]:[HomeTeam]], F$36)))+( COUNTIFS(Table1[[GameIsOver]:[GameIsOver]],1,Table1[[AwayTeam]:[AwayTeam]],F$36, Table1[[HomeTeam]:[HomeTeam]],$A66))), "")</f>
        <v/>
      </c>
      <c r="G66" s="50" t="str">
        <f>IFERROR(((2 * (SUMIFS(Table1[[AwayWon]:[AwayWon]], Table1[[GameIsOver]:[GameIsOver]], 1, Table1[[AwayTeam]:[AwayTeam]], $A66, Table1[[HomeTeam]:[HomeTeam]], G$36) + SUMIFS(Table1[[HomeWon]:[HomeWon]], Table1[[GameIsOver]:[GameIsOver]], 1, Table1[[HomeTeam]:[HomeTeam]], $A66, Table1[[AwayTeam]:[AwayTeam]], G$36))) + (SUMIFS(Table1[[HomeWon]:[HomeWon]], Table1[[GameIsOver]:[GameIsOver]], 1, Table1[[AwayTeam]:[AwayTeam]], $A66, Table1[[HomeTeam]:[HomeTeam]],  G$36, Table1[[ActualResult]:[ActualResult]], "OT") + SUMIFS(Table1[[AwayWon]:[AwayWon]], Table1[[GameIsOver]:[GameIsOver]], 1, Table1[[HomeTeam]:[HomeTeam]], $A66, Table1[[AwayTeam]:[AwayTeam]], G$36, Table1[[ActualResult]:[ActualResult]], "OT") + SUMIFS(Table1[[HomeWon]:[HomeWon]], Table1[[GameIsOver]:[GameIsOver]], 1, Table1[[AwayTeam]:[AwayTeam]], $A66, Table1[[HomeTeam]:[HomeTeam]], G$36, Table1[[ActualResult]:[ActualResult]], "SO") + SUMIFS(Table1[[AwayWon]:[AwayWon]], Table1[[GameIsOver]:[GameIsOver]], 1, Table1[[HomeTeam]:[HomeTeam]], $A66, Table1[[AwayTeam]:[AwayTeam]], G$36, Table1[[ActualResult]:[ActualResult]], "SO")))/ (2*((COUNTIFS(Table1[[GameIsOver]:[GameIsOver]],1,Table1[[AwayTeam]:[AwayTeam]],$A66, Table1[[HomeTeam]:[HomeTeam]], G$36)))+( COUNTIFS(Table1[[GameIsOver]:[GameIsOver]],1,Table1[[AwayTeam]:[AwayTeam]],G$36, Table1[[HomeTeam]:[HomeTeam]],$A66))), "")</f>
        <v/>
      </c>
      <c r="H66" s="50" t="str">
        <f>IFERROR(((2 * (SUMIFS(Table1[[AwayWon]:[AwayWon]], Table1[[GameIsOver]:[GameIsOver]], 1, Table1[[AwayTeam]:[AwayTeam]], $A66, Table1[[HomeTeam]:[HomeTeam]], H$36) + SUMIFS(Table1[[HomeWon]:[HomeWon]], Table1[[GameIsOver]:[GameIsOver]], 1, Table1[[HomeTeam]:[HomeTeam]], $A66, Table1[[AwayTeam]:[AwayTeam]], H$36))) + (SUMIFS(Table1[[HomeWon]:[HomeWon]], Table1[[GameIsOver]:[GameIsOver]], 1, Table1[[AwayTeam]:[AwayTeam]], $A66, Table1[[HomeTeam]:[HomeTeam]],  H$36, Table1[[ActualResult]:[ActualResult]], "OT") + SUMIFS(Table1[[AwayWon]:[AwayWon]], Table1[[GameIsOver]:[GameIsOver]], 1, Table1[[HomeTeam]:[HomeTeam]], $A66, Table1[[AwayTeam]:[AwayTeam]], H$36, Table1[[ActualResult]:[ActualResult]], "OT") + SUMIFS(Table1[[HomeWon]:[HomeWon]], Table1[[GameIsOver]:[GameIsOver]], 1, Table1[[AwayTeam]:[AwayTeam]], $A66, Table1[[HomeTeam]:[HomeTeam]], H$36, Table1[[ActualResult]:[ActualResult]], "SO") + SUMIFS(Table1[[AwayWon]:[AwayWon]], Table1[[GameIsOver]:[GameIsOver]], 1, Table1[[HomeTeam]:[HomeTeam]], $A66, Table1[[AwayTeam]:[AwayTeam]], H$36, Table1[[ActualResult]:[ActualResult]], "SO")))/ (2*((COUNTIFS(Table1[[GameIsOver]:[GameIsOver]],1,Table1[[AwayTeam]:[AwayTeam]],$A66, Table1[[HomeTeam]:[HomeTeam]], H$36)))+( COUNTIFS(Table1[[GameIsOver]:[GameIsOver]],1,Table1[[AwayTeam]:[AwayTeam]],H$36, Table1[[HomeTeam]:[HomeTeam]],$A66))), "")</f>
        <v/>
      </c>
      <c r="I66" s="52" t="str">
        <f>IFERROR(((2 * (SUMIFS(Table1[[AwayWon]:[AwayWon]], Table1[[GameIsOver]:[GameIsOver]], 1, Table1[[AwayTeam]:[AwayTeam]], $A66, Table1[[HomeTeam]:[HomeTeam]], I$36) + SUMIFS(Table1[[HomeWon]:[HomeWon]], Table1[[GameIsOver]:[GameIsOver]], 1, Table1[[HomeTeam]:[HomeTeam]], $A66, Table1[[AwayTeam]:[AwayTeam]], I$36))) + (SUMIFS(Table1[[HomeWon]:[HomeWon]], Table1[[GameIsOver]:[GameIsOver]], 1, Table1[[AwayTeam]:[AwayTeam]], $A66, Table1[[HomeTeam]:[HomeTeam]],  I$36, Table1[[ActualResult]:[ActualResult]], "OT") + SUMIFS(Table1[[AwayWon]:[AwayWon]], Table1[[GameIsOver]:[GameIsOver]], 1, Table1[[HomeTeam]:[HomeTeam]], $A66, Table1[[AwayTeam]:[AwayTeam]], I$36, Table1[[ActualResult]:[ActualResult]], "OT") + SUMIFS(Table1[[HomeWon]:[HomeWon]], Table1[[GameIsOver]:[GameIsOver]], 1, Table1[[AwayTeam]:[AwayTeam]], $A66, Table1[[HomeTeam]:[HomeTeam]], I$36, Table1[[ActualResult]:[ActualResult]], "SO") + SUMIFS(Table1[[AwayWon]:[AwayWon]], Table1[[GameIsOver]:[GameIsOver]], 1, Table1[[HomeTeam]:[HomeTeam]], $A66, Table1[[AwayTeam]:[AwayTeam]], I$36, Table1[[ActualResult]:[ActualResult]], "SO")))/ (2*((COUNTIFS(Table1[[GameIsOver]:[GameIsOver]],1,Table1[[AwayTeam]:[AwayTeam]],$A66, Table1[[HomeTeam]:[HomeTeam]], I$36)))+( COUNTIFS(Table1[[GameIsOver]:[GameIsOver]],1,Table1[[AwayTeam]:[AwayTeam]],I$36, Table1[[HomeTeam]:[HomeTeam]],$A66))), "")</f>
        <v/>
      </c>
      <c r="J66" s="50" t="str">
        <f>IFERROR(((2 * (SUMIFS(Table1[[AwayWon]:[AwayWon]], Table1[[GameIsOver]:[GameIsOver]], 1, Table1[[AwayTeam]:[AwayTeam]], $A66, Table1[[HomeTeam]:[HomeTeam]], J$36) + SUMIFS(Table1[[HomeWon]:[HomeWon]], Table1[[GameIsOver]:[GameIsOver]], 1, Table1[[HomeTeam]:[HomeTeam]], $A66, Table1[[AwayTeam]:[AwayTeam]], J$36))) + (SUMIFS(Table1[[HomeWon]:[HomeWon]], Table1[[GameIsOver]:[GameIsOver]], 1, Table1[[AwayTeam]:[AwayTeam]], $A66, Table1[[HomeTeam]:[HomeTeam]],  J$36, Table1[[ActualResult]:[ActualResult]], "OT") + SUMIFS(Table1[[AwayWon]:[AwayWon]], Table1[[GameIsOver]:[GameIsOver]], 1, Table1[[HomeTeam]:[HomeTeam]], $A66, Table1[[AwayTeam]:[AwayTeam]], J$36, Table1[[ActualResult]:[ActualResult]], "OT") + SUMIFS(Table1[[HomeWon]:[HomeWon]], Table1[[GameIsOver]:[GameIsOver]], 1, Table1[[AwayTeam]:[AwayTeam]], $A66, Table1[[HomeTeam]:[HomeTeam]], J$36, Table1[[ActualResult]:[ActualResult]], "SO") + SUMIFS(Table1[[AwayWon]:[AwayWon]], Table1[[GameIsOver]:[GameIsOver]], 1, Table1[[HomeTeam]:[HomeTeam]], $A66, Table1[[AwayTeam]:[AwayTeam]], J$36, Table1[[ActualResult]:[ActualResult]], "SO")))/ (2*((COUNTIFS(Table1[[GameIsOver]:[GameIsOver]],1,Table1[[AwayTeam]:[AwayTeam]],$A66, Table1[[HomeTeam]:[HomeTeam]], J$36)))+( COUNTIFS(Table1[[GameIsOver]:[GameIsOver]],1,Table1[[AwayTeam]:[AwayTeam]],J$36, Table1[[HomeTeam]:[HomeTeam]],$A66))), "")</f>
        <v/>
      </c>
      <c r="K66" s="50" t="str">
        <f>IFERROR(((2 * (SUMIFS(Table1[[AwayWon]:[AwayWon]], Table1[[GameIsOver]:[GameIsOver]], 1, Table1[[AwayTeam]:[AwayTeam]], $A66, Table1[[HomeTeam]:[HomeTeam]], K$36) + SUMIFS(Table1[[HomeWon]:[HomeWon]], Table1[[GameIsOver]:[GameIsOver]], 1, Table1[[HomeTeam]:[HomeTeam]], $A66, Table1[[AwayTeam]:[AwayTeam]], K$36))) + (SUMIFS(Table1[[HomeWon]:[HomeWon]], Table1[[GameIsOver]:[GameIsOver]], 1, Table1[[AwayTeam]:[AwayTeam]], $A66, Table1[[HomeTeam]:[HomeTeam]],  K$36, Table1[[ActualResult]:[ActualResult]], "OT") + SUMIFS(Table1[[AwayWon]:[AwayWon]], Table1[[GameIsOver]:[GameIsOver]], 1, Table1[[HomeTeam]:[HomeTeam]], $A66, Table1[[AwayTeam]:[AwayTeam]], K$36, Table1[[ActualResult]:[ActualResult]], "OT") + SUMIFS(Table1[[HomeWon]:[HomeWon]], Table1[[GameIsOver]:[GameIsOver]], 1, Table1[[AwayTeam]:[AwayTeam]], $A66, Table1[[HomeTeam]:[HomeTeam]], K$36, Table1[[ActualResult]:[ActualResult]], "SO") + SUMIFS(Table1[[AwayWon]:[AwayWon]], Table1[[GameIsOver]:[GameIsOver]], 1, Table1[[HomeTeam]:[HomeTeam]], $A66, Table1[[AwayTeam]:[AwayTeam]], K$36, Table1[[ActualResult]:[ActualResult]], "SO")))/ (2*((COUNTIFS(Table1[[GameIsOver]:[GameIsOver]],1,Table1[[AwayTeam]:[AwayTeam]],$A66, Table1[[HomeTeam]:[HomeTeam]], K$36)))+( COUNTIFS(Table1[[GameIsOver]:[GameIsOver]],1,Table1[[AwayTeam]:[AwayTeam]],K$36, Table1[[HomeTeam]:[HomeTeam]],$A66))), "")</f>
        <v/>
      </c>
      <c r="L66" s="50" t="str">
        <f>IFERROR(((2 * (SUMIFS(Table1[[AwayWon]:[AwayWon]], Table1[[GameIsOver]:[GameIsOver]], 1, Table1[[AwayTeam]:[AwayTeam]], $A66, Table1[[HomeTeam]:[HomeTeam]], L$36) + SUMIFS(Table1[[HomeWon]:[HomeWon]], Table1[[GameIsOver]:[GameIsOver]], 1, Table1[[HomeTeam]:[HomeTeam]], $A66, Table1[[AwayTeam]:[AwayTeam]], L$36))) + (SUMIFS(Table1[[HomeWon]:[HomeWon]], Table1[[GameIsOver]:[GameIsOver]], 1, Table1[[AwayTeam]:[AwayTeam]], $A66, Table1[[HomeTeam]:[HomeTeam]],  L$36, Table1[[ActualResult]:[ActualResult]], "OT") + SUMIFS(Table1[[AwayWon]:[AwayWon]], Table1[[GameIsOver]:[GameIsOver]], 1, Table1[[HomeTeam]:[HomeTeam]], $A66, Table1[[AwayTeam]:[AwayTeam]], L$36, Table1[[ActualResult]:[ActualResult]], "OT") + SUMIFS(Table1[[HomeWon]:[HomeWon]], Table1[[GameIsOver]:[GameIsOver]], 1, Table1[[AwayTeam]:[AwayTeam]], $A66, Table1[[HomeTeam]:[HomeTeam]], L$36, Table1[[ActualResult]:[ActualResult]], "SO") + SUMIFS(Table1[[AwayWon]:[AwayWon]], Table1[[GameIsOver]:[GameIsOver]], 1, Table1[[HomeTeam]:[HomeTeam]], $A66, Table1[[AwayTeam]:[AwayTeam]], L$36, Table1[[ActualResult]:[ActualResult]], "SO")))/ (2*((COUNTIFS(Table1[[GameIsOver]:[GameIsOver]],1,Table1[[AwayTeam]:[AwayTeam]],$A66, Table1[[HomeTeam]:[HomeTeam]], L$36)))+( COUNTIFS(Table1[[GameIsOver]:[GameIsOver]],1,Table1[[AwayTeam]:[AwayTeam]],L$36, Table1[[HomeTeam]:[HomeTeam]],$A66))), "")</f>
        <v/>
      </c>
      <c r="M66" s="50" t="str">
        <f>IFERROR(((2 * (SUMIFS(Table1[[AwayWon]:[AwayWon]], Table1[[GameIsOver]:[GameIsOver]], 1, Table1[[AwayTeam]:[AwayTeam]], $A66, Table1[[HomeTeam]:[HomeTeam]], M$36) + SUMIFS(Table1[[HomeWon]:[HomeWon]], Table1[[GameIsOver]:[GameIsOver]], 1, Table1[[HomeTeam]:[HomeTeam]], $A66, Table1[[AwayTeam]:[AwayTeam]], M$36))) + (SUMIFS(Table1[[HomeWon]:[HomeWon]], Table1[[GameIsOver]:[GameIsOver]], 1, Table1[[AwayTeam]:[AwayTeam]], $A66, Table1[[HomeTeam]:[HomeTeam]],  M$36, Table1[[ActualResult]:[ActualResult]], "OT") + SUMIFS(Table1[[AwayWon]:[AwayWon]], Table1[[GameIsOver]:[GameIsOver]], 1, Table1[[HomeTeam]:[HomeTeam]], $A66, Table1[[AwayTeam]:[AwayTeam]], M$36, Table1[[ActualResult]:[ActualResult]], "OT") + SUMIFS(Table1[[HomeWon]:[HomeWon]], Table1[[GameIsOver]:[GameIsOver]], 1, Table1[[AwayTeam]:[AwayTeam]], $A66, Table1[[HomeTeam]:[HomeTeam]], M$36, Table1[[ActualResult]:[ActualResult]], "SO") + SUMIFS(Table1[[AwayWon]:[AwayWon]], Table1[[GameIsOver]:[GameIsOver]], 1, Table1[[HomeTeam]:[HomeTeam]], $A66, Table1[[AwayTeam]:[AwayTeam]], M$36, Table1[[ActualResult]:[ActualResult]], "SO")))/ (2*((COUNTIFS(Table1[[GameIsOver]:[GameIsOver]],1,Table1[[AwayTeam]:[AwayTeam]],$A66, Table1[[HomeTeam]:[HomeTeam]], M$36)))+( COUNTIFS(Table1[[GameIsOver]:[GameIsOver]],1,Table1[[AwayTeam]:[AwayTeam]],M$36, Table1[[HomeTeam]:[HomeTeam]],$A66))), "")</f>
        <v/>
      </c>
      <c r="N66" s="50" t="str">
        <f>IFERROR(((2 * (SUMIFS(Table1[[AwayWon]:[AwayWon]], Table1[[GameIsOver]:[GameIsOver]], 1, Table1[[AwayTeam]:[AwayTeam]], $A66, Table1[[HomeTeam]:[HomeTeam]], N$36) + SUMIFS(Table1[[HomeWon]:[HomeWon]], Table1[[GameIsOver]:[GameIsOver]], 1, Table1[[HomeTeam]:[HomeTeam]], $A66, Table1[[AwayTeam]:[AwayTeam]], N$36))) + (SUMIFS(Table1[[HomeWon]:[HomeWon]], Table1[[GameIsOver]:[GameIsOver]], 1, Table1[[AwayTeam]:[AwayTeam]], $A66, Table1[[HomeTeam]:[HomeTeam]],  N$36, Table1[[ActualResult]:[ActualResult]], "OT") + SUMIFS(Table1[[AwayWon]:[AwayWon]], Table1[[GameIsOver]:[GameIsOver]], 1, Table1[[HomeTeam]:[HomeTeam]], $A66, Table1[[AwayTeam]:[AwayTeam]], N$36, Table1[[ActualResult]:[ActualResult]], "OT") + SUMIFS(Table1[[HomeWon]:[HomeWon]], Table1[[GameIsOver]:[GameIsOver]], 1, Table1[[AwayTeam]:[AwayTeam]], $A66, Table1[[HomeTeam]:[HomeTeam]], N$36, Table1[[ActualResult]:[ActualResult]], "SO") + SUMIFS(Table1[[AwayWon]:[AwayWon]], Table1[[GameIsOver]:[GameIsOver]], 1, Table1[[HomeTeam]:[HomeTeam]], $A66, Table1[[AwayTeam]:[AwayTeam]], N$36, Table1[[ActualResult]:[ActualResult]], "SO")))/ (2*((COUNTIFS(Table1[[GameIsOver]:[GameIsOver]],1,Table1[[AwayTeam]:[AwayTeam]],$A66, Table1[[HomeTeam]:[HomeTeam]], N$36)))+( COUNTIFS(Table1[[GameIsOver]:[GameIsOver]],1,Table1[[AwayTeam]:[AwayTeam]],N$36, Table1[[HomeTeam]:[HomeTeam]],$A66))), "")</f>
        <v/>
      </c>
      <c r="O66" s="50" t="str">
        <f>IFERROR(((2 * (SUMIFS(Table1[[AwayWon]:[AwayWon]], Table1[[GameIsOver]:[GameIsOver]], 1, Table1[[AwayTeam]:[AwayTeam]], $A66, Table1[[HomeTeam]:[HomeTeam]], O$36) + SUMIFS(Table1[[HomeWon]:[HomeWon]], Table1[[GameIsOver]:[GameIsOver]], 1, Table1[[HomeTeam]:[HomeTeam]], $A66, Table1[[AwayTeam]:[AwayTeam]], O$36))) + (SUMIFS(Table1[[HomeWon]:[HomeWon]], Table1[[GameIsOver]:[GameIsOver]], 1, Table1[[AwayTeam]:[AwayTeam]], $A66, Table1[[HomeTeam]:[HomeTeam]],  O$36, Table1[[ActualResult]:[ActualResult]], "OT") + SUMIFS(Table1[[AwayWon]:[AwayWon]], Table1[[GameIsOver]:[GameIsOver]], 1, Table1[[HomeTeam]:[HomeTeam]], $A66, Table1[[AwayTeam]:[AwayTeam]], O$36, Table1[[ActualResult]:[ActualResult]], "OT") + SUMIFS(Table1[[HomeWon]:[HomeWon]], Table1[[GameIsOver]:[GameIsOver]], 1, Table1[[AwayTeam]:[AwayTeam]], $A66, Table1[[HomeTeam]:[HomeTeam]], O$36, Table1[[ActualResult]:[ActualResult]], "SO") + SUMIFS(Table1[[AwayWon]:[AwayWon]], Table1[[GameIsOver]:[GameIsOver]], 1, Table1[[HomeTeam]:[HomeTeam]], $A66, Table1[[AwayTeam]:[AwayTeam]], O$36, Table1[[ActualResult]:[ActualResult]], "SO")))/ (2*((COUNTIFS(Table1[[GameIsOver]:[GameIsOver]],1,Table1[[AwayTeam]:[AwayTeam]],$A66, Table1[[HomeTeam]:[HomeTeam]], O$36)))+( COUNTIFS(Table1[[GameIsOver]:[GameIsOver]],1,Table1[[AwayTeam]:[AwayTeam]],O$36, Table1[[HomeTeam]:[HomeTeam]],$A66))), "")</f>
        <v/>
      </c>
      <c r="P66" s="50">
        <f>IFERROR(((2 * (SUMIFS(Table1[[AwayWon]:[AwayWon]], Table1[[GameIsOver]:[GameIsOver]], 1, Table1[[AwayTeam]:[AwayTeam]], $A66, Table1[[HomeTeam]:[HomeTeam]], P$36) + SUMIFS(Table1[[HomeWon]:[HomeWon]], Table1[[GameIsOver]:[GameIsOver]], 1, Table1[[HomeTeam]:[HomeTeam]], $A66, Table1[[AwayTeam]:[AwayTeam]], P$36))) + (SUMIFS(Table1[[HomeWon]:[HomeWon]], Table1[[GameIsOver]:[GameIsOver]], 1, Table1[[AwayTeam]:[AwayTeam]], $A66, Table1[[HomeTeam]:[HomeTeam]],  P$36, Table1[[ActualResult]:[ActualResult]], "OT") + SUMIFS(Table1[[AwayWon]:[AwayWon]], Table1[[GameIsOver]:[GameIsOver]], 1, Table1[[HomeTeam]:[HomeTeam]], $A66, Table1[[AwayTeam]:[AwayTeam]], P$36, Table1[[ActualResult]:[ActualResult]], "OT") + SUMIFS(Table1[[HomeWon]:[HomeWon]], Table1[[GameIsOver]:[GameIsOver]], 1, Table1[[AwayTeam]:[AwayTeam]], $A66, Table1[[HomeTeam]:[HomeTeam]], P$36, Table1[[ActualResult]:[ActualResult]], "SO") + SUMIFS(Table1[[AwayWon]:[AwayWon]], Table1[[GameIsOver]:[GameIsOver]], 1, Table1[[HomeTeam]:[HomeTeam]], $A66, Table1[[AwayTeam]:[AwayTeam]], P$36, Table1[[ActualResult]:[ActualResult]], "SO")))/ (2*((COUNTIFS(Table1[[GameIsOver]:[GameIsOver]],1,Table1[[AwayTeam]:[AwayTeam]],$A66, Table1[[HomeTeam]:[HomeTeam]], P$36)))+( COUNTIFS(Table1[[GameIsOver]:[GameIsOver]],1,Table1[[AwayTeam]:[AwayTeam]],P$36, Table1[[HomeTeam]:[HomeTeam]],$A66))), "")</f>
        <v>0.5</v>
      </c>
      <c r="Q66" s="52" t="str">
        <f>IFERROR(((2 * (SUMIFS(Table1[[AwayWon]:[AwayWon]], Table1[[GameIsOver]:[GameIsOver]], 1, Table1[[AwayTeam]:[AwayTeam]], $A66, Table1[[HomeTeam]:[HomeTeam]], Q$36) + SUMIFS(Table1[[HomeWon]:[HomeWon]], Table1[[GameIsOver]:[GameIsOver]], 1, Table1[[HomeTeam]:[HomeTeam]], $A66, Table1[[AwayTeam]:[AwayTeam]], Q$36))) + (SUMIFS(Table1[[HomeWon]:[HomeWon]], Table1[[GameIsOver]:[GameIsOver]], 1, Table1[[AwayTeam]:[AwayTeam]], $A66, Table1[[HomeTeam]:[HomeTeam]],  Q$36, Table1[[ActualResult]:[ActualResult]], "OT") + SUMIFS(Table1[[AwayWon]:[AwayWon]], Table1[[GameIsOver]:[GameIsOver]], 1, Table1[[HomeTeam]:[HomeTeam]], $A66, Table1[[AwayTeam]:[AwayTeam]], Q$36, Table1[[ActualResult]:[ActualResult]], "OT") + SUMIFS(Table1[[HomeWon]:[HomeWon]], Table1[[GameIsOver]:[GameIsOver]], 1, Table1[[AwayTeam]:[AwayTeam]], $A66, Table1[[HomeTeam]:[HomeTeam]], Q$36, Table1[[ActualResult]:[ActualResult]], "SO") + SUMIFS(Table1[[AwayWon]:[AwayWon]], Table1[[GameIsOver]:[GameIsOver]], 1, Table1[[HomeTeam]:[HomeTeam]], $A66, Table1[[AwayTeam]:[AwayTeam]], Q$36, Table1[[ActualResult]:[ActualResult]], "SO")))/ (2*((COUNTIFS(Table1[[GameIsOver]:[GameIsOver]],1,Table1[[AwayTeam]:[AwayTeam]],$A66, Table1[[HomeTeam]:[HomeTeam]], Q$36)))+( COUNTIFS(Table1[[GameIsOver]:[GameIsOver]],1,Table1[[AwayTeam]:[AwayTeam]],Q$36, Table1[[HomeTeam]:[HomeTeam]],$A66))), "")</f>
        <v/>
      </c>
      <c r="R66" s="50" t="str">
        <f>IFERROR(((2 * (SUMIFS(Table1[[AwayWon]:[AwayWon]], Table1[[GameIsOver]:[GameIsOver]], 1, Table1[[AwayTeam]:[AwayTeam]], $A66, Table1[[HomeTeam]:[HomeTeam]], R$36) + SUMIFS(Table1[[HomeWon]:[HomeWon]], Table1[[GameIsOver]:[GameIsOver]], 1, Table1[[HomeTeam]:[HomeTeam]], $A66, Table1[[AwayTeam]:[AwayTeam]], R$36))) + (SUMIFS(Table1[[HomeWon]:[HomeWon]], Table1[[GameIsOver]:[GameIsOver]], 1, Table1[[AwayTeam]:[AwayTeam]], $A66, Table1[[HomeTeam]:[HomeTeam]],  R$36, Table1[[ActualResult]:[ActualResult]], "OT") + SUMIFS(Table1[[AwayWon]:[AwayWon]], Table1[[GameIsOver]:[GameIsOver]], 1, Table1[[HomeTeam]:[HomeTeam]], $A66, Table1[[AwayTeam]:[AwayTeam]], R$36, Table1[[ActualResult]:[ActualResult]], "OT") + SUMIFS(Table1[[HomeWon]:[HomeWon]], Table1[[GameIsOver]:[GameIsOver]], 1, Table1[[AwayTeam]:[AwayTeam]], $A66, Table1[[HomeTeam]:[HomeTeam]], R$36, Table1[[ActualResult]:[ActualResult]], "SO") + SUMIFS(Table1[[AwayWon]:[AwayWon]], Table1[[GameIsOver]:[GameIsOver]], 1, Table1[[HomeTeam]:[HomeTeam]], $A66, Table1[[AwayTeam]:[AwayTeam]], R$36, Table1[[ActualResult]:[ActualResult]], "SO")))/ (2*((COUNTIFS(Table1[[GameIsOver]:[GameIsOver]],1,Table1[[AwayTeam]:[AwayTeam]],$A66, Table1[[HomeTeam]:[HomeTeam]], R$36)))+( COUNTIFS(Table1[[GameIsOver]:[GameIsOver]],1,Table1[[AwayTeam]:[AwayTeam]],R$36, Table1[[HomeTeam]:[HomeTeam]],$A66))), "")</f>
        <v/>
      </c>
      <c r="S66" s="50" t="str">
        <f>IFERROR(((2 * (SUMIFS(Table1[[AwayWon]:[AwayWon]], Table1[[GameIsOver]:[GameIsOver]], 1, Table1[[AwayTeam]:[AwayTeam]], $A66, Table1[[HomeTeam]:[HomeTeam]], S$36) + SUMIFS(Table1[[HomeWon]:[HomeWon]], Table1[[GameIsOver]:[GameIsOver]], 1, Table1[[HomeTeam]:[HomeTeam]], $A66, Table1[[AwayTeam]:[AwayTeam]], S$36))) + (SUMIFS(Table1[[HomeWon]:[HomeWon]], Table1[[GameIsOver]:[GameIsOver]], 1, Table1[[AwayTeam]:[AwayTeam]], $A66, Table1[[HomeTeam]:[HomeTeam]],  S$36, Table1[[ActualResult]:[ActualResult]], "OT") + SUMIFS(Table1[[AwayWon]:[AwayWon]], Table1[[GameIsOver]:[GameIsOver]], 1, Table1[[HomeTeam]:[HomeTeam]], $A66, Table1[[AwayTeam]:[AwayTeam]], S$36, Table1[[ActualResult]:[ActualResult]], "OT") + SUMIFS(Table1[[HomeWon]:[HomeWon]], Table1[[GameIsOver]:[GameIsOver]], 1, Table1[[AwayTeam]:[AwayTeam]], $A66, Table1[[HomeTeam]:[HomeTeam]], S$36, Table1[[ActualResult]:[ActualResult]], "SO") + SUMIFS(Table1[[AwayWon]:[AwayWon]], Table1[[GameIsOver]:[GameIsOver]], 1, Table1[[HomeTeam]:[HomeTeam]], $A66, Table1[[AwayTeam]:[AwayTeam]], S$36, Table1[[ActualResult]:[ActualResult]], "SO")))/ (2*((COUNTIFS(Table1[[GameIsOver]:[GameIsOver]],1,Table1[[AwayTeam]:[AwayTeam]],$A66, Table1[[HomeTeam]:[HomeTeam]], S$36)))+( COUNTIFS(Table1[[GameIsOver]:[GameIsOver]],1,Table1[[AwayTeam]:[AwayTeam]],S$36, Table1[[HomeTeam]:[HomeTeam]],$A66))), "")</f>
        <v/>
      </c>
      <c r="T66" s="50" t="str">
        <f>IFERROR(((2 * (SUMIFS(Table1[[AwayWon]:[AwayWon]], Table1[[GameIsOver]:[GameIsOver]], 1, Table1[[AwayTeam]:[AwayTeam]], $A66, Table1[[HomeTeam]:[HomeTeam]], T$36) + SUMIFS(Table1[[HomeWon]:[HomeWon]], Table1[[GameIsOver]:[GameIsOver]], 1, Table1[[HomeTeam]:[HomeTeam]], $A66, Table1[[AwayTeam]:[AwayTeam]], T$36))) + (SUMIFS(Table1[[HomeWon]:[HomeWon]], Table1[[GameIsOver]:[GameIsOver]], 1, Table1[[AwayTeam]:[AwayTeam]], $A66, Table1[[HomeTeam]:[HomeTeam]],  T$36, Table1[[ActualResult]:[ActualResult]], "OT") + SUMIFS(Table1[[AwayWon]:[AwayWon]], Table1[[GameIsOver]:[GameIsOver]], 1, Table1[[HomeTeam]:[HomeTeam]], $A66, Table1[[AwayTeam]:[AwayTeam]], T$36, Table1[[ActualResult]:[ActualResult]], "OT") + SUMIFS(Table1[[HomeWon]:[HomeWon]], Table1[[GameIsOver]:[GameIsOver]], 1, Table1[[AwayTeam]:[AwayTeam]], $A66, Table1[[HomeTeam]:[HomeTeam]], T$36, Table1[[ActualResult]:[ActualResult]], "SO") + SUMIFS(Table1[[AwayWon]:[AwayWon]], Table1[[GameIsOver]:[GameIsOver]], 1, Table1[[HomeTeam]:[HomeTeam]], $A66, Table1[[AwayTeam]:[AwayTeam]], T$36, Table1[[ActualResult]:[ActualResult]], "SO")))/ (2*((COUNTIFS(Table1[[GameIsOver]:[GameIsOver]],1,Table1[[AwayTeam]:[AwayTeam]],$A66, Table1[[HomeTeam]:[HomeTeam]], T$36)))+( COUNTIFS(Table1[[GameIsOver]:[GameIsOver]],1,Table1[[AwayTeam]:[AwayTeam]],T$36, Table1[[HomeTeam]:[HomeTeam]],$A66))), "")</f>
        <v/>
      </c>
      <c r="U66" s="50" t="str">
        <f>IFERROR(((2 * (SUMIFS(Table1[[AwayWon]:[AwayWon]], Table1[[GameIsOver]:[GameIsOver]], 1, Table1[[AwayTeam]:[AwayTeam]], $A66, Table1[[HomeTeam]:[HomeTeam]], U$36) + SUMIFS(Table1[[HomeWon]:[HomeWon]], Table1[[GameIsOver]:[GameIsOver]], 1, Table1[[HomeTeam]:[HomeTeam]], $A66, Table1[[AwayTeam]:[AwayTeam]], U$36))) + (SUMIFS(Table1[[HomeWon]:[HomeWon]], Table1[[GameIsOver]:[GameIsOver]], 1, Table1[[AwayTeam]:[AwayTeam]], $A66, Table1[[HomeTeam]:[HomeTeam]],  U$36, Table1[[ActualResult]:[ActualResult]], "OT") + SUMIFS(Table1[[AwayWon]:[AwayWon]], Table1[[GameIsOver]:[GameIsOver]], 1, Table1[[HomeTeam]:[HomeTeam]], $A66, Table1[[AwayTeam]:[AwayTeam]], U$36, Table1[[ActualResult]:[ActualResult]], "OT") + SUMIFS(Table1[[HomeWon]:[HomeWon]], Table1[[GameIsOver]:[GameIsOver]], 1, Table1[[AwayTeam]:[AwayTeam]], $A66, Table1[[HomeTeam]:[HomeTeam]], U$36, Table1[[ActualResult]:[ActualResult]], "SO") + SUMIFS(Table1[[AwayWon]:[AwayWon]], Table1[[GameIsOver]:[GameIsOver]], 1, Table1[[HomeTeam]:[HomeTeam]], $A66, Table1[[AwayTeam]:[AwayTeam]], U$36, Table1[[ActualResult]:[ActualResult]], "SO")))/ (2*((COUNTIFS(Table1[[GameIsOver]:[GameIsOver]],1,Table1[[AwayTeam]:[AwayTeam]],$A66, Table1[[HomeTeam]:[HomeTeam]], U$36)))+( COUNTIFS(Table1[[GameIsOver]:[GameIsOver]],1,Table1[[AwayTeam]:[AwayTeam]],U$36, Table1[[HomeTeam]:[HomeTeam]],$A66))), "")</f>
        <v/>
      </c>
      <c r="V66" s="50" t="str">
        <f>IFERROR(((2 * (SUMIFS(Table1[[AwayWon]:[AwayWon]], Table1[[GameIsOver]:[GameIsOver]], 1, Table1[[AwayTeam]:[AwayTeam]], $A66, Table1[[HomeTeam]:[HomeTeam]], V$36) + SUMIFS(Table1[[HomeWon]:[HomeWon]], Table1[[GameIsOver]:[GameIsOver]], 1, Table1[[HomeTeam]:[HomeTeam]], $A66, Table1[[AwayTeam]:[AwayTeam]], V$36))) + (SUMIFS(Table1[[HomeWon]:[HomeWon]], Table1[[GameIsOver]:[GameIsOver]], 1, Table1[[AwayTeam]:[AwayTeam]], $A66, Table1[[HomeTeam]:[HomeTeam]],  V$36, Table1[[ActualResult]:[ActualResult]], "OT") + SUMIFS(Table1[[AwayWon]:[AwayWon]], Table1[[GameIsOver]:[GameIsOver]], 1, Table1[[HomeTeam]:[HomeTeam]], $A66, Table1[[AwayTeam]:[AwayTeam]], V$36, Table1[[ActualResult]:[ActualResult]], "OT") + SUMIFS(Table1[[HomeWon]:[HomeWon]], Table1[[GameIsOver]:[GameIsOver]], 1, Table1[[AwayTeam]:[AwayTeam]], $A66, Table1[[HomeTeam]:[HomeTeam]], V$36, Table1[[ActualResult]:[ActualResult]], "SO") + SUMIFS(Table1[[AwayWon]:[AwayWon]], Table1[[GameIsOver]:[GameIsOver]], 1, Table1[[HomeTeam]:[HomeTeam]], $A66, Table1[[AwayTeam]:[AwayTeam]], V$36, Table1[[ActualResult]:[ActualResult]], "SO")))/ (2*((COUNTIFS(Table1[[GameIsOver]:[GameIsOver]],1,Table1[[AwayTeam]:[AwayTeam]],$A66, Table1[[HomeTeam]:[HomeTeam]], V$36)))+( COUNTIFS(Table1[[GameIsOver]:[GameIsOver]],1,Table1[[AwayTeam]:[AwayTeam]],V$36, Table1[[HomeTeam]:[HomeTeam]],$A66))), "")</f>
        <v/>
      </c>
      <c r="W66" s="50" t="str">
        <f>IFERROR(((2 * (SUMIFS(Table1[[AwayWon]:[AwayWon]], Table1[[GameIsOver]:[GameIsOver]], 1, Table1[[AwayTeam]:[AwayTeam]], $A66, Table1[[HomeTeam]:[HomeTeam]], W$36) + SUMIFS(Table1[[HomeWon]:[HomeWon]], Table1[[GameIsOver]:[GameIsOver]], 1, Table1[[HomeTeam]:[HomeTeam]], $A66, Table1[[AwayTeam]:[AwayTeam]], W$36))) + (SUMIFS(Table1[[HomeWon]:[HomeWon]], Table1[[GameIsOver]:[GameIsOver]], 1, Table1[[AwayTeam]:[AwayTeam]], $A66, Table1[[HomeTeam]:[HomeTeam]],  W$36, Table1[[ActualResult]:[ActualResult]], "OT") + SUMIFS(Table1[[AwayWon]:[AwayWon]], Table1[[GameIsOver]:[GameIsOver]], 1, Table1[[HomeTeam]:[HomeTeam]], $A66, Table1[[AwayTeam]:[AwayTeam]], W$36, Table1[[ActualResult]:[ActualResult]], "OT") + SUMIFS(Table1[[HomeWon]:[HomeWon]], Table1[[GameIsOver]:[GameIsOver]], 1, Table1[[AwayTeam]:[AwayTeam]], $A66, Table1[[HomeTeam]:[HomeTeam]], W$36, Table1[[ActualResult]:[ActualResult]], "SO") + SUMIFS(Table1[[AwayWon]:[AwayWon]], Table1[[GameIsOver]:[GameIsOver]], 1, Table1[[HomeTeam]:[HomeTeam]], $A66, Table1[[AwayTeam]:[AwayTeam]], W$36, Table1[[ActualResult]:[ActualResult]], "SO")))/ (2*((COUNTIFS(Table1[[GameIsOver]:[GameIsOver]],1,Table1[[AwayTeam]:[AwayTeam]],$A66, Table1[[HomeTeam]:[HomeTeam]], W$36)))+( COUNTIFS(Table1[[GameIsOver]:[GameIsOver]],1,Table1[[AwayTeam]:[AwayTeam]],W$36, Table1[[HomeTeam]:[HomeTeam]],$A66))), "")</f>
        <v/>
      </c>
      <c r="X66" s="50" t="str">
        <f>IFERROR(((2 * (SUMIFS(Table1[[AwayWon]:[AwayWon]], Table1[[GameIsOver]:[GameIsOver]], 1, Table1[[AwayTeam]:[AwayTeam]], $A66, Table1[[HomeTeam]:[HomeTeam]], X$36) + SUMIFS(Table1[[HomeWon]:[HomeWon]], Table1[[GameIsOver]:[GameIsOver]], 1, Table1[[HomeTeam]:[HomeTeam]], $A66, Table1[[AwayTeam]:[AwayTeam]], X$36))) + (SUMIFS(Table1[[HomeWon]:[HomeWon]], Table1[[GameIsOver]:[GameIsOver]], 1, Table1[[AwayTeam]:[AwayTeam]], $A66, Table1[[HomeTeam]:[HomeTeam]],  X$36, Table1[[ActualResult]:[ActualResult]], "OT") + SUMIFS(Table1[[AwayWon]:[AwayWon]], Table1[[GameIsOver]:[GameIsOver]], 1, Table1[[HomeTeam]:[HomeTeam]], $A66, Table1[[AwayTeam]:[AwayTeam]], X$36, Table1[[ActualResult]:[ActualResult]], "OT") + SUMIFS(Table1[[HomeWon]:[HomeWon]], Table1[[GameIsOver]:[GameIsOver]], 1, Table1[[AwayTeam]:[AwayTeam]], $A66, Table1[[HomeTeam]:[HomeTeam]], X$36, Table1[[ActualResult]:[ActualResult]], "SO") + SUMIFS(Table1[[AwayWon]:[AwayWon]], Table1[[GameIsOver]:[GameIsOver]], 1, Table1[[HomeTeam]:[HomeTeam]], $A66, Table1[[AwayTeam]:[AwayTeam]], X$36, Table1[[ActualResult]:[ActualResult]], "SO")))/ (2*((COUNTIFS(Table1[[GameIsOver]:[GameIsOver]],1,Table1[[AwayTeam]:[AwayTeam]],$A66, Table1[[HomeTeam]:[HomeTeam]], X$36)))+( COUNTIFS(Table1[[GameIsOver]:[GameIsOver]],1,Table1[[AwayTeam]:[AwayTeam]],X$36, Table1[[HomeTeam]:[HomeTeam]],$A66))), "")</f>
        <v/>
      </c>
      <c r="Y66" s="52" t="str">
        <f>IFERROR(((2 * (SUMIFS(Table1[[AwayWon]:[AwayWon]], Table1[[GameIsOver]:[GameIsOver]], 1, Table1[[AwayTeam]:[AwayTeam]], $A66, Table1[[HomeTeam]:[HomeTeam]], Y$36) + SUMIFS(Table1[[HomeWon]:[HomeWon]], Table1[[GameIsOver]:[GameIsOver]], 1, Table1[[HomeTeam]:[HomeTeam]], $A66, Table1[[AwayTeam]:[AwayTeam]], Y$36))) + (SUMIFS(Table1[[HomeWon]:[HomeWon]], Table1[[GameIsOver]:[GameIsOver]], 1, Table1[[AwayTeam]:[AwayTeam]], $A66, Table1[[HomeTeam]:[HomeTeam]],  Y$36, Table1[[ActualResult]:[ActualResult]], "OT") + SUMIFS(Table1[[AwayWon]:[AwayWon]], Table1[[GameIsOver]:[GameIsOver]], 1, Table1[[HomeTeam]:[HomeTeam]], $A66, Table1[[AwayTeam]:[AwayTeam]], Y$36, Table1[[ActualResult]:[ActualResult]], "OT") + SUMIFS(Table1[[HomeWon]:[HomeWon]], Table1[[GameIsOver]:[GameIsOver]], 1, Table1[[AwayTeam]:[AwayTeam]], $A66, Table1[[HomeTeam]:[HomeTeam]], Y$36, Table1[[ActualResult]:[ActualResult]], "SO") + SUMIFS(Table1[[AwayWon]:[AwayWon]], Table1[[GameIsOver]:[GameIsOver]], 1, Table1[[HomeTeam]:[HomeTeam]], $A66, Table1[[AwayTeam]:[AwayTeam]], Y$36, Table1[[ActualResult]:[ActualResult]], "SO")))/ (2*((COUNTIFS(Table1[[GameIsOver]:[GameIsOver]],1,Table1[[AwayTeam]:[AwayTeam]],$A66, Table1[[HomeTeam]:[HomeTeam]], Y$36)))+( COUNTIFS(Table1[[GameIsOver]:[GameIsOver]],1,Table1[[AwayTeam]:[AwayTeam]],Y$36, Table1[[HomeTeam]:[HomeTeam]],$A66))), "")</f>
        <v/>
      </c>
      <c r="Z66" s="50" t="str">
        <f>IFERROR(((2 * (SUMIFS(Table1[[AwayWon]:[AwayWon]], Table1[[GameIsOver]:[GameIsOver]], 1, Table1[[AwayTeam]:[AwayTeam]], $A66, Table1[[HomeTeam]:[HomeTeam]], Z$36) + SUMIFS(Table1[[HomeWon]:[HomeWon]], Table1[[GameIsOver]:[GameIsOver]], 1, Table1[[HomeTeam]:[HomeTeam]], $A66, Table1[[AwayTeam]:[AwayTeam]], Z$36))) + (SUMIFS(Table1[[HomeWon]:[HomeWon]], Table1[[GameIsOver]:[GameIsOver]], 1, Table1[[AwayTeam]:[AwayTeam]], $A66, Table1[[HomeTeam]:[HomeTeam]],  Z$36, Table1[[ActualResult]:[ActualResult]], "OT") + SUMIFS(Table1[[AwayWon]:[AwayWon]], Table1[[GameIsOver]:[GameIsOver]], 1, Table1[[HomeTeam]:[HomeTeam]], $A66, Table1[[AwayTeam]:[AwayTeam]], Z$36, Table1[[ActualResult]:[ActualResult]], "OT") + SUMIFS(Table1[[HomeWon]:[HomeWon]], Table1[[GameIsOver]:[GameIsOver]], 1, Table1[[AwayTeam]:[AwayTeam]], $A66, Table1[[HomeTeam]:[HomeTeam]], Z$36, Table1[[ActualResult]:[ActualResult]], "SO") + SUMIFS(Table1[[AwayWon]:[AwayWon]], Table1[[GameIsOver]:[GameIsOver]], 1, Table1[[HomeTeam]:[HomeTeam]], $A66, Table1[[AwayTeam]:[AwayTeam]], Z$36, Table1[[ActualResult]:[ActualResult]], "SO")))/ (2*((COUNTIFS(Table1[[GameIsOver]:[GameIsOver]],1,Table1[[AwayTeam]:[AwayTeam]],$A66, Table1[[HomeTeam]:[HomeTeam]], Z$36)))+( COUNTIFS(Table1[[GameIsOver]:[GameIsOver]],1,Table1[[AwayTeam]:[AwayTeam]],Z$36, Table1[[HomeTeam]:[HomeTeam]],$A66))), "")</f>
        <v/>
      </c>
      <c r="AA66" s="50" t="str">
        <f>IFERROR(((2 * (SUMIFS(Table1[[AwayWon]:[AwayWon]], Table1[[GameIsOver]:[GameIsOver]], 1, Table1[[AwayTeam]:[AwayTeam]], $A66, Table1[[HomeTeam]:[HomeTeam]], AA$36) + SUMIFS(Table1[[HomeWon]:[HomeWon]], Table1[[GameIsOver]:[GameIsOver]], 1, Table1[[HomeTeam]:[HomeTeam]], $A66, Table1[[AwayTeam]:[AwayTeam]], AA$36))) + (SUMIFS(Table1[[HomeWon]:[HomeWon]], Table1[[GameIsOver]:[GameIsOver]], 1, Table1[[AwayTeam]:[AwayTeam]], $A66, Table1[[HomeTeam]:[HomeTeam]],  AA$36, Table1[[ActualResult]:[ActualResult]], "OT") + SUMIFS(Table1[[AwayWon]:[AwayWon]], Table1[[GameIsOver]:[GameIsOver]], 1, Table1[[HomeTeam]:[HomeTeam]], $A66, Table1[[AwayTeam]:[AwayTeam]], AA$36, Table1[[ActualResult]:[ActualResult]], "OT") + SUMIFS(Table1[[HomeWon]:[HomeWon]], Table1[[GameIsOver]:[GameIsOver]], 1, Table1[[AwayTeam]:[AwayTeam]], $A66, Table1[[HomeTeam]:[HomeTeam]], AA$36, Table1[[ActualResult]:[ActualResult]], "SO") + SUMIFS(Table1[[AwayWon]:[AwayWon]], Table1[[GameIsOver]:[GameIsOver]], 1, Table1[[HomeTeam]:[HomeTeam]], $A66, Table1[[AwayTeam]:[AwayTeam]], AA$36, Table1[[ActualResult]:[ActualResult]], "SO")))/ (2*((COUNTIFS(Table1[[GameIsOver]:[GameIsOver]],1,Table1[[AwayTeam]:[AwayTeam]],$A66, Table1[[HomeTeam]:[HomeTeam]], AA$36)))+( COUNTIFS(Table1[[GameIsOver]:[GameIsOver]],1,Table1[[AwayTeam]:[AwayTeam]],AA$36, Table1[[HomeTeam]:[HomeTeam]],$A66))), "")</f>
        <v/>
      </c>
      <c r="AB66" s="50" t="str">
        <f>IFERROR(((2 * (SUMIFS(Table1[[AwayWon]:[AwayWon]], Table1[[GameIsOver]:[GameIsOver]], 1, Table1[[AwayTeam]:[AwayTeam]], $A66, Table1[[HomeTeam]:[HomeTeam]], AB$36) + SUMIFS(Table1[[HomeWon]:[HomeWon]], Table1[[GameIsOver]:[GameIsOver]], 1, Table1[[HomeTeam]:[HomeTeam]], $A66, Table1[[AwayTeam]:[AwayTeam]], AB$36))) + (SUMIFS(Table1[[HomeWon]:[HomeWon]], Table1[[GameIsOver]:[GameIsOver]], 1, Table1[[AwayTeam]:[AwayTeam]], $A66, Table1[[HomeTeam]:[HomeTeam]],  AB$36, Table1[[ActualResult]:[ActualResult]], "OT") + SUMIFS(Table1[[AwayWon]:[AwayWon]], Table1[[GameIsOver]:[GameIsOver]], 1, Table1[[HomeTeam]:[HomeTeam]], $A66, Table1[[AwayTeam]:[AwayTeam]], AB$36, Table1[[ActualResult]:[ActualResult]], "OT") + SUMIFS(Table1[[HomeWon]:[HomeWon]], Table1[[GameIsOver]:[GameIsOver]], 1, Table1[[AwayTeam]:[AwayTeam]], $A66, Table1[[HomeTeam]:[HomeTeam]], AB$36, Table1[[ActualResult]:[ActualResult]], "SO") + SUMIFS(Table1[[AwayWon]:[AwayWon]], Table1[[GameIsOver]:[GameIsOver]], 1, Table1[[HomeTeam]:[HomeTeam]], $A66, Table1[[AwayTeam]:[AwayTeam]], AB$36, Table1[[ActualResult]:[ActualResult]], "SO")))/ (2*((COUNTIFS(Table1[[GameIsOver]:[GameIsOver]],1,Table1[[AwayTeam]:[AwayTeam]],$A66, Table1[[HomeTeam]:[HomeTeam]], AB$36)))+( COUNTIFS(Table1[[GameIsOver]:[GameIsOver]],1,Table1[[AwayTeam]:[AwayTeam]],AB$36, Table1[[HomeTeam]:[HomeTeam]],$A66))), "")</f>
        <v/>
      </c>
      <c r="AC66" s="50" t="str">
        <f>IFERROR(((2 * (SUMIFS(Table1[[AwayWon]:[AwayWon]], Table1[[GameIsOver]:[GameIsOver]], 1, Table1[[AwayTeam]:[AwayTeam]], $A66, Table1[[HomeTeam]:[HomeTeam]], AC$36) + SUMIFS(Table1[[HomeWon]:[HomeWon]], Table1[[GameIsOver]:[GameIsOver]], 1, Table1[[HomeTeam]:[HomeTeam]], $A66, Table1[[AwayTeam]:[AwayTeam]], AC$36))) + (SUMIFS(Table1[[HomeWon]:[HomeWon]], Table1[[GameIsOver]:[GameIsOver]], 1, Table1[[AwayTeam]:[AwayTeam]], $A66, Table1[[HomeTeam]:[HomeTeam]],  AC$36, Table1[[ActualResult]:[ActualResult]], "OT") + SUMIFS(Table1[[AwayWon]:[AwayWon]], Table1[[GameIsOver]:[GameIsOver]], 1, Table1[[HomeTeam]:[HomeTeam]], $A66, Table1[[AwayTeam]:[AwayTeam]], AC$36, Table1[[ActualResult]:[ActualResult]], "OT") + SUMIFS(Table1[[HomeWon]:[HomeWon]], Table1[[GameIsOver]:[GameIsOver]], 1, Table1[[AwayTeam]:[AwayTeam]], $A66, Table1[[HomeTeam]:[HomeTeam]], AC$36, Table1[[ActualResult]:[ActualResult]], "SO") + SUMIFS(Table1[[AwayWon]:[AwayWon]], Table1[[GameIsOver]:[GameIsOver]], 1, Table1[[HomeTeam]:[HomeTeam]], $A66, Table1[[AwayTeam]:[AwayTeam]], AC$36, Table1[[ActualResult]:[ActualResult]], "SO")))/ (2*((COUNTIFS(Table1[[GameIsOver]:[GameIsOver]],1,Table1[[AwayTeam]:[AwayTeam]],$A66, Table1[[HomeTeam]:[HomeTeam]], AC$36)))+( COUNTIFS(Table1[[GameIsOver]:[GameIsOver]],1,Table1[[AwayTeam]:[AwayTeam]],AC$36, Table1[[HomeTeam]:[HomeTeam]],$A66))), "")</f>
        <v/>
      </c>
      <c r="AD66" s="50" t="str">
        <f>IFERROR(((2 * (SUMIFS(Table1[[AwayWon]:[AwayWon]], Table1[[GameIsOver]:[GameIsOver]], 1, Table1[[AwayTeam]:[AwayTeam]], $A66, Table1[[HomeTeam]:[HomeTeam]], AD$36) + SUMIFS(Table1[[HomeWon]:[HomeWon]], Table1[[GameIsOver]:[GameIsOver]], 1, Table1[[HomeTeam]:[HomeTeam]], $A66, Table1[[AwayTeam]:[AwayTeam]], AD$36))) + (SUMIFS(Table1[[HomeWon]:[HomeWon]], Table1[[GameIsOver]:[GameIsOver]], 1, Table1[[AwayTeam]:[AwayTeam]], $A66, Table1[[HomeTeam]:[HomeTeam]],  AD$36, Table1[[ActualResult]:[ActualResult]], "OT") + SUMIFS(Table1[[AwayWon]:[AwayWon]], Table1[[GameIsOver]:[GameIsOver]], 1, Table1[[HomeTeam]:[HomeTeam]], $A66, Table1[[AwayTeam]:[AwayTeam]], AD$36, Table1[[ActualResult]:[ActualResult]], "OT") + SUMIFS(Table1[[HomeWon]:[HomeWon]], Table1[[GameIsOver]:[GameIsOver]], 1, Table1[[AwayTeam]:[AwayTeam]], $A66, Table1[[HomeTeam]:[HomeTeam]], AD$36, Table1[[ActualResult]:[ActualResult]], "SO") + SUMIFS(Table1[[AwayWon]:[AwayWon]], Table1[[GameIsOver]:[GameIsOver]], 1, Table1[[HomeTeam]:[HomeTeam]], $A66, Table1[[AwayTeam]:[AwayTeam]], AD$36, Table1[[ActualResult]:[ActualResult]], "SO")))/ (2*((COUNTIFS(Table1[[GameIsOver]:[GameIsOver]],1,Table1[[AwayTeam]:[AwayTeam]],$A66, Table1[[HomeTeam]:[HomeTeam]], AD$36)))+( COUNTIFS(Table1[[GameIsOver]:[GameIsOver]],1,Table1[[AwayTeam]:[AwayTeam]],AD$36, Table1[[HomeTeam]:[HomeTeam]],$A66))), "")</f>
        <v/>
      </c>
      <c r="AE66" s="50" t="str">
        <f>IFERROR(((2 * (SUMIFS(Table1[[AwayWon]:[AwayWon]], Table1[[GameIsOver]:[GameIsOver]], 1, Table1[[AwayTeam]:[AwayTeam]], $A66, Table1[[HomeTeam]:[HomeTeam]], AE$36) + SUMIFS(Table1[[HomeWon]:[HomeWon]], Table1[[GameIsOver]:[GameIsOver]], 1, Table1[[HomeTeam]:[HomeTeam]], $A66, Table1[[AwayTeam]:[AwayTeam]], AE$36))) + (SUMIFS(Table1[[HomeWon]:[HomeWon]], Table1[[GameIsOver]:[GameIsOver]], 1, Table1[[AwayTeam]:[AwayTeam]], $A66, Table1[[HomeTeam]:[HomeTeam]],  AE$36, Table1[[ActualResult]:[ActualResult]], "OT") + SUMIFS(Table1[[AwayWon]:[AwayWon]], Table1[[GameIsOver]:[GameIsOver]], 1, Table1[[HomeTeam]:[HomeTeam]], $A66, Table1[[AwayTeam]:[AwayTeam]], AE$36, Table1[[ActualResult]:[ActualResult]], "OT") + SUMIFS(Table1[[HomeWon]:[HomeWon]], Table1[[GameIsOver]:[GameIsOver]], 1, Table1[[AwayTeam]:[AwayTeam]], $A66, Table1[[HomeTeam]:[HomeTeam]], AE$36, Table1[[ActualResult]:[ActualResult]], "SO") + SUMIFS(Table1[[AwayWon]:[AwayWon]], Table1[[GameIsOver]:[GameIsOver]], 1, Table1[[HomeTeam]:[HomeTeam]], $A66, Table1[[AwayTeam]:[AwayTeam]], AE$36, Table1[[ActualResult]:[ActualResult]], "SO")))/ (2*((COUNTIFS(Table1[[GameIsOver]:[GameIsOver]],1,Table1[[AwayTeam]:[AwayTeam]],$A66, Table1[[HomeTeam]:[HomeTeam]], AE$36)))+( COUNTIFS(Table1[[GameIsOver]:[GameIsOver]],1,Table1[[AwayTeam]:[AwayTeam]],AE$36, Table1[[HomeTeam]:[HomeTeam]],$A66))), "")</f>
        <v/>
      </c>
      <c r="AF66" s="50" t="str">
        <f>IFERROR(((2 * (SUMIFS(Table1[[AwayWon]:[AwayWon]], Table1[[GameIsOver]:[GameIsOver]], 1, Table1[[AwayTeam]:[AwayTeam]], $A66, Table1[[HomeTeam]:[HomeTeam]], AF$36) + SUMIFS(Table1[[HomeWon]:[HomeWon]], Table1[[GameIsOver]:[GameIsOver]], 1, Table1[[HomeTeam]:[HomeTeam]], $A66, Table1[[AwayTeam]:[AwayTeam]], AF$36))) + (SUMIFS(Table1[[HomeWon]:[HomeWon]], Table1[[GameIsOver]:[GameIsOver]], 1, Table1[[AwayTeam]:[AwayTeam]], $A66, Table1[[HomeTeam]:[HomeTeam]],  AF$36, Table1[[ActualResult]:[ActualResult]], "OT") + SUMIFS(Table1[[AwayWon]:[AwayWon]], Table1[[GameIsOver]:[GameIsOver]], 1, Table1[[HomeTeam]:[HomeTeam]], $A66, Table1[[AwayTeam]:[AwayTeam]], AF$36, Table1[[ActualResult]:[ActualResult]], "OT") + SUMIFS(Table1[[HomeWon]:[HomeWon]], Table1[[GameIsOver]:[GameIsOver]], 1, Table1[[AwayTeam]:[AwayTeam]], $A66, Table1[[HomeTeam]:[HomeTeam]], AF$36, Table1[[ActualResult]:[ActualResult]], "SO") + SUMIFS(Table1[[AwayWon]:[AwayWon]], Table1[[GameIsOver]:[GameIsOver]], 1, Table1[[HomeTeam]:[HomeTeam]], $A66, Table1[[AwayTeam]:[AwayTeam]], AF$36, Table1[[ActualResult]:[ActualResult]], "SO")))/ (2*((COUNTIFS(Table1[[GameIsOver]:[GameIsOver]],1,Table1[[AwayTeam]:[AwayTeam]],$A66, Table1[[HomeTeam]:[HomeTeam]], AF$36)))+( COUNTIFS(Table1[[GameIsOver]:[GameIsOver]],1,Table1[[AwayTeam]:[AwayTeam]],AF$36, Table1[[HomeTeam]:[HomeTeam]],$A66))), "")</f>
        <v/>
      </c>
      <c r="AG66" s="50" t="str">
        <f>IFERROR(((2 * (SUMIFS(Table1[[AwayWon]:[AwayWon]], Table1[[GameIsOver]:[GameIsOver]], 1, Table1[[AwayTeam]:[AwayTeam]], $A66, Table1[[HomeTeam]:[HomeTeam]], AG$36) + SUMIFS(Table1[[HomeWon]:[HomeWon]], Table1[[GameIsOver]:[GameIsOver]], 1, Table1[[HomeTeam]:[HomeTeam]], $A66, Table1[[AwayTeam]:[AwayTeam]], AG$36))) + (SUMIFS(Table1[[HomeWon]:[HomeWon]], Table1[[GameIsOver]:[GameIsOver]], 1, Table1[[AwayTeam]:[AwayTeam]], $A66, Table1[[HomeTeam]:[HomeTeam]],  AG$36, Table1[[ActualResult]:[ActualResult]], "OT") + SUMIFS(Table1[[AwayWon]:[AwayWon]], Table1[[GameIsOver]:[GameIsOver]], 1, Table1[[HomeTeam]:[HomeTeam]], $A66, Table1[[AwayTeam]:[AwayTeam]], AG$36, Table1[[ActualResult]:[ActualResult]], "OT") + SUMIFS(Table1[[HomeWon]:[HomeWon]], Table1[[GameIsOver]:[GameIsOver]], 1, Table1[[AwayTeam]:[AwayTeam]], $A66, Table1[[HomeTeam]:[HomeTeam]], AG$36, Table1[[ActualResult]:[ActualResult]], "SO") + SUMIFS(Table1[[AwayWon]:[AwayWon]], Table1[[GameIsOver]:[GameIsOver]], 1, Table1[[HomeTeam]:[HomeTeam]], $A66, Table1[[AwayTeam]:[AwayTeam]], AG$36, Table1[[ActualResult]:[ActualResult]], "SO")))/ (2*((COUNTIFS(Table1[[GameIsOver]:[GameIsOver]],1,Table1[[AwayTeam]:[AwayTeam]],$A66, Table1[[HomeTeam]:[HomeTeam]], AG$36)))+( COUNTIFS(Table1[[GameIsOver]:[GameIsOver]],1,Table1[[AwayTeam]:[AwayTeam]],AG$36, Table1[[HomeTeam]:[HomeTeam]],$A66))), "")</f>
        <v/>
      </c>
      <c r="AH66" s="51" t="e">
        <f t="shared" si="0"/>
        <v>#DIV/0!</v>
      </c>
      <c r="AI66" s="51">
        <f t="shared" si="1"/>
        <v>0.25</v>
      </c>
      <c r="AJ66" s="52" t="e">
        <f t="shared" si="2"/>
        <v>#DIV/0!</v>
      </c>
      <c r="AK66" s="52" t="e">
        <f t="shared" si="3"/>
        <v>#DIV/0!</v>
      </c>
      <c r="AL66" s="52">
        <f t="shared" si="4"/>
        <v>0.5</v>
      </c>
      <c r="AM66" s="52">
        <f t="shared" si="5"/>
        <v>0</v>
      </c>
    </row>
    <row r="67" spans="1:39" x14ac:dyDescent="0.25">
      <c r="A67" s="28" t="s">
        <v>57</v>
      </c>
      <c r="B67" s="50" t="str">
        <f>IFERROR(((2 * (SUMIFS(Table1[[AwayWon]:[AwayWon]], Table1[[GameIsOver]:[GameIsOver]], 1, Table1[[AwayTeam]:[AwayTeam]], $A67, Table1[[HomeTeam]:[HomeTeam]], B$36) + SUMIFS(Table1[[HomeWon]:[HomeWon]], Table1[[GameIsOver]:[GameIsOver]], 1, Table1[[HomeTeam]:[HomeTeam]], $A67, Table1[[AwayTeam]:[AwayTeam]], B$36))) + (SUMIFS(Table1[[HomeWon]:[HomeWon]], Table1[[GameIsOver]:[GameIsOver]], 1, Table1[[AwayTeam]:[AwayTeam]], $A67, Table1[[HomeTeam]:[HomeTeam]],  B$36, Table1[[ActualResult]:[ActualResult]], "OT") + SUMIFS(Table1[[AwayWon]:[AwayWon]], Table1[[GameIsOver]:[GameIsOver]], 1, Table1[[HomeTeam]:[HomeTeam]], $A67, Table1[[AwayTeam]:[AwayTeam]], B$36, Table1[[ActualResult]:[ActualResult]], "OT") + SUMIFS(Table1[[HomeWon]:[HomeWon]], Table1[[GameIsOver]:[GameIsOver]], 1, Table1[[AwayTeam]:[AwayTeam]], $A67, Table1[[HomeTeam]:[HomeTeam]], B$36, Table1[[ActualResult]:[ActualResult]], "SO") + SUMIFS(Table1[[AwayWon]:[AwayWon]], Table1[[GameIsOver]:[GameIsOver]], 1, Table1[[HomeTeam]:[HomeTeam]], $A67, Table1[[AwayTeam]:[AwayTeam]], B$36, Table1[[ActualResult]:[ActualResult]], "SO")))/ (2*((COUNTIFS(Table1[[GameIsOver]:[GameIsOver]],1,Table1[[AwayTeam]:[AwayTeam]],$A67, Table1[[HomeTeam]:[HomeTeam]], B$36)))+( COUNTIFS(Table1[[GameIsOver]:[GameIsOver]],1,Table1[[AwayTeam]:[AwayTeam]],B$36, Table1[[HomeTeam]:[HomeTeam]],$A67))), "")</f>
        <v/>
      </c>
      <c r="C67" s="50" t="str">
        <f>IFERROR(((2 * (SUMIFS(Table1[[AwayWon]:[AwayWon]], Table1[[GameIsOver]:[GameIsOver]], 1, Table1[[AwayTeam]:[AwayTeam]], $A67, Table1[[HomeTeam]:[HomeTeam]], C$36) + SUMIFS(Table1[[HomeWon]:[HomeWon]], Table1[[GameIsOver]:[GameIsOver]], 1, Table1[[HomeTeam]:[HomeTeam]], $A67, Table1[[AwayTeam]:[AwayTeam]], C$36))) + (SUMIFS(Table1[[HomeWon]:[HomeWon]], Table1[[GameIsOver]:[GameIsOver]], 1, Table1[[AwayTeam]:[AwayTeam]], $A67, Table1[[HomeTeam]:[HomeTeam]],  C$36, Table1[[ActualResult]:[ActualResult]], "OT") + SUMIFS(Table1[[AwayWon]:[AwayWon]], Table1[[GameIsOver]:[GameIsOver]], 1, Table1[[HomeTeam]:[HomeTeam]], $A67, Table1[[AwayTeam]:[AwayTeam]], C$36, Table1[[ActualResult]:[ActualResult]], "OT") + SUMIFS(Table1[[HomeWon]:[HomeWon]], Table1[[GameIsOver]:[GameIsOver]], 1, Table1[[AwayTeam]:[AwayTeam]], $A67, Table1[[HomeTeam]:[HomeTeam]], C$36, Table1[[ActualResult]:[ActualResult]], "SO") + SUMIFS(Table1[[AwayWon]:[AwayWon]], Table1[[GameIsOver]:[GameIsOver]], 1, Table1[[HomeTeam]:[HomeTeam]], $A67, Table1[[AwayTeam]:[AwayTeam]], C$36, Table1[[ActualResult]:[ActualResult]], "SO")))/ (2*((COUNTIFS(Table1[[GameIsOver]:[GameIsOver]],1,Table1[[AwayTeam]:[AwayTeam]],$A67, Table1[[HomeTeam]:[HomeTeam]], C$36)))+( COUNTIFS(Table1[[GameIsOver]:[GameIsOver]],1,Table1[[AwayTeam]:[AwayTeam]],C$36, Table1[[HomeTeam]:[HomeTeam]],$A67))), "")</f>
        <v/>
      </c>
      <c r="D67" s="50" t="str">
        <f>IFERROR(((2 * (SUMIFS(Table1[[AwayWon]:[AwayWon]], Table1[[GameIsOver]:[GameIsOver]], 1, Table1[[AwayTeam]:[AwayTeam]], $A67, Table1[[HomeTeam]:[HomeTeam]], D$36) + SUMIFS(Table1[[HomeWon]:[HomeWon]], Table1[[GameIsOver]:[GameIsOver]], 1, Table1[[HomeTeam]:[HomeTeam]], $A67, Table1[[AwayTeam]:[AwayTeam]], D$36))) + (SUMIFS(Table1[[HomeWon]:[HomeWon]], Table1[[GameIsOver]:[GameIsOver]], 1, Table1[[AwayTeam]:[AwayTeam]], $A67, Table1[[HomeTeam]:[HomeTeam]],  D$36, Table1[[ActualResult]:[ActualResult]], "OT") + SUMIFS(Table1[[AwayWon]:[AwayWon]], Table1[[GameIsOver]:[GameIsOver]], 1, Table1[[HomeTeam]:[HomeTeam]], $A67, Table1[[AwayTeam]:[AwayTeam]], D$36, Table1[[ActualResult]:[ActualResult]], "OT") + SUMIFS(Table1[[HomeWon]:[HomeWon]], Table1[[GameIsOver]:[GameIsOver]], 1, Table1[[AwayTeam]:[AwayTeam]], $A67, Table1[[HomeTeam]:[HomeTeam]], D$36, Table1[[ActualResult]:[ActualResult]], "SO") + SUMIFS(Table1[[AwayWon]:[AwayWon]], Table1[[GameIsOver]:[GameIsOver]], 1, Table1[[HomeTeam]:[HomeTeam]], $A67, Table1[[AwayTeam]:[AwayTeam]], D$36, Table1[[ActualResult]:[ActualResult]], "SO")))/ (2*((COUNTIFS(Table1[[GameIsOver]:[GameIsOver]],1,Table1[[AwayTeam]:[AwayTeam]],$A67, Table1[[HomeTeam]:[HomeTeam]], D$36)))+( COUNTIFS(Table1[[GameIsOver]:[GameIsOver]],1,Table1[[AwayTeam]:[AwayTeam]],D$36, Table1[[HomeTeam]:[HomeTeam]],$A67))), "")</f>
        <v/>
      </c>
      <c r="E67" s="50" t="str">
        <f>IFERROR(((2 * (SUMIFS(Table1[[AwayWon]:[AwayWon]], Table1[[GameIsOver]:[GameIsOver]], 1, Table1[[AwayTeam]:[AwayTeam]], $A67, Table1[[HomeTeam]:[HomeTeam]], E$36) + SUMIFS(Table1[[HomeWon]:[HomeWon]], Table1[[GameIsOver]:[GameIsOver]], 1, Table1[[HomeTeam]:[HomeTeam]], $A67, Table1[[AwayTeam]:[AwayTeam]], E$36))) + (SUMIFS(Table1[[HomeWon]:[HomeWon]], Table1[[GameIsOver]:[GameIsOver]], 1, Table1[[AwayTeam]:[AwayTeam]], $A67, Table1[[HomeTeam]:[HomeTeam]],  E$36, Table1[[ActualResult]:[ActualResult]], "OT") + SUMIFS(Table1[[AwayWon]:[AwayWon]], Table1[[GameIsOver]:[GameIsOver]], 1, Table1[[HomeTeam]:[HomeTeam]], $A67, Table1[[AwayTeam]:[AwayTeam]], E$36, Table1[[ActualResult]:[ActualResult]], "OT") + SUMIFS(Table1[[HomeWon]:[HomeWon]], Table1[[GameIsOver]:[GameIsOver]], 1, Table1[[AwayTeam]:[AwayTeam]], $A67, Table1[[HomeTeam]:[HomeTeam]], E$36, Table1[[ActualResult]:[ActualResult]], "SO") + SUMIFS(Table1[[AwayWon]:[AwayWon]], Table1[[GameIsOver]:[GameIsOver]], 1, Table1[[HomeTeam]:[HomeTeam]], $A67, Table1[[AwayTeam]:[AwayTeam]], E$36, Table1[[ActualResult]:[ActualResult]], "SO")))/ (2*((COUNTIFS(Table1[[GameIsOver]:[GameIsOver]],1,Table1[[AwayTeam]:[AwayTeam]],$A67, Table1[[HomeTeam]:[HomeTeam]], E$36)))+( COUNTIFS(Table1[[GameIsOver]:[GameIsOver]],1,Table1[[AwayTeam]:[AwayTeam]],E$36, Table1[[HomeTeam]:[HomeTeam]],$A67))), "")</f>
        <v/>
      </c>
      <c r="F67" s="50" t="str">
        <f>IFERROR(((2 * (SUMIFS(Table1[[AwayWon]:[AwayWon]], Table1[[GameIsOver]:[GameIsOver]], 1, Table1[[AwayTeam]:[AwayTeam]], $A67, Table1[[HomeTeam]:[HomeTeam]], F$36) + SUMIFS(Table1[[HomeWon]:[HomeWon]], Table1[[GameIsOver]:[GameIsOver]], 1, Table1[[HomeTeam]:[HomeTeam]], $A67, Table1[[AwayTeam]:[AwayTeam]], F$36))) + (SUMIFS(Table1[[HomeWon]:[HomeWon]], Table1[[GameIsOver]:[GameIsOver]], 1, Table1[[AwayTeam]:[AwayTeam]], $A67, Table1[[HomeTeam]:[HomeTeam]],  F$36, Table1[[ActualResult]:[ActualResult]], "OT") + SUMIFS(Table1[[AwayWon]:[AwayWon]], Table1[[GameIsOver]:[GameIsOver]], 1, Table1[[HomeTeam]:[HomeTeam]], $A67, Table1[[AwayTeam]:[AwayTeam]], F$36, Table1[[ActualResult]:[ActualResult]], "OT") + SUMIFS(Table1[[HomeWon]:[HomeWon]], Table1[[GameIsOver]:[GameIsOver]], 1, Table1[[AwayTeam]:[AwayTeam]], $A67, Table1[[HomeTeam]:[HomeTeam]], F$36, Table1[[ActualResult]:[ActualResult]], "SO") + SUMIFS(Table1[[AwayWon]:[AwayWon]], Table1[[GameIsOver]:[GameIsOver]], 1, Table1[[HomeTeam]:[HomeTeam]], $A67, Table1[[AwayTeam]:[AwayTeam]], F$36, Table1[[ActualResult]:[ActualResult]], "SO")))/ (2*((COUNTIFS(Table1[[GameIsOver]:[GameIsOver]],1,Table1[[AwayTeam]:[AwayTeam]],$A67, Table1[[HomeTeam]:[HomeTeam]], F$36)))+( COUNTIFS(Table1[[GameIsOver]:[GameIsOver]],1,Table1[[AwayTeam]:[AwayTeam]],F$36, Table1[[HomeTeam]:[HomeTeam]],$A67))), "")</f>
        <v/>
      </c>
      <c r="G67" s="50" t="str">
        <f>IFERROR(((2 * (SUMIFS(Table1[[AwayWon]:[AwayWon]], Table1[[GameIsOver]:[GameIsOver]], 1, Table1[[AwayTeam]:[AwayTeam]], $A67, Table1[[HomeTeam]:[HomeTeam]], G$36) + SUMIFS(Table1[[HomeWon]:[HomeWon]], Table1[[GameIsOver]:[GameIsOver]], 1, Table1[[HomeTeam]:[HomeTeam]], $A67, Table1[[AwayTeam]:[AwayTeam]], G$36))) + (SUMIFS(Table1[[HomeWon]:[HomeWon]], Table1[[GameIsOver]:[GameIsOver]], 1, Table1[[AwayTeam]:[AwayTeam]], $A67, Table1[[HomeTeam]:[HomeTeam]],  G$36, Table1[[ActualResult]:[ActualResult]], "OT") + SUMIFS(Table1[[AwayWon]:[AwayWon]], Table1[[GameIsOver]:[GameIsOver]], 1, Table1[[HomeTeam]:[HomeTeam]], $A67, Table1[[AwayTeam]:[AwayTeam]], G$36, Table1[[ActualResult]:[ActualResult]], "OT") + SUMIFS(Table1[[HomeWon]:[HomeWon]], Table1[[GameIsOver]:[GameIsOver]], 1, Table1[[AwayTeam]:[AwayTeam]], $A67, Table1[[HomeTeam]:[HomeTeam]], G$36, Table1[[ActualResult]:[ActualResult]], "SO") + SUMIFS(Table1[[AwayWon]:[AwayWon]], Table1[[GameIsOver]:[GameIsOver]], 1, Table1[[HomeTeam]:[HomeTeam]], $A67, Table1[[AwayTeam]:[AwayTeam]], G$36, Table1[[ActualResult]:[ActualResult]], "SO")))/ (2*((COUNTIFS(Table1[[GameIsOver]:[GameIsOver]],1,Table1[[AwayTeam]:[AwayTeam]],$A67, Table1[[HomeTeam]:[HomeTeam]], G$36)))+( COUNTIFS(Table1[[GameIsOver]:[GameIsOver]],1,Table1[[AwayTeam]:[AwayTeam]],G$36, Table1[[HomeTeam]:[HomeTeam]],$A67))), "")</f>
        <v/>
      </c>
      <c r="H67" s="50" t="str">
        <f>IFERROR(((2 * (SUMIFS(Table1[[AwayWon]:[AwayWon]], Table1[[GameIsOver]:[GameIsOver]], 1, Table1[[AwayTeam]:[AwayTeam]], $A67, Table1[[HomeTeam]:[HomeTeam]], H$36) + SUMIFS(Table1[[HomeWon]:[HomeWon]], Table1[[GameIsOver]:[GameIsOver]], 1, Table1[[HomeTeam]:[HomeTeam]], $A67, Table1[[AwayTeam]:[AwayTeam]], H$36))) + (SUMIFS(Table1[[HomeWon]:[HomeWon]], Table1[[GameIsOver]:[GameIsOver]], 1, Table1[[AwayTeam]:[AwayTeam]], $A67, Table1[[HomeTeam]:[HomeTeam]],  H$36, Table1[[ActualResult]:[ActualResult]], "OT") + SUMIFS(Table1[[AwayWon]:[AwayWon]], Table1[[GameIsOver]:[GameIsOver]], 1, Table1[[HomeTeam]:[HomeTeam]], $A67, Table1[[AwayTeam]:[AwayTeam]], H$36, Table1[[ActualResult]:[ActualResult]], "OT") + SUMIFS(Table1[[HomeWon]:[HomeWon]], Table1[[GameIsOver]:[GameIsOver]], 1, Table1[[AwayTeam]:[AwayTeam]], $A67, Table1[[HomeTeam]:[HomeTeam]], H$36, Table1[[ActualResult]:[ActualResult]], "SO") + SUMIFS(Table1[[AwayWon]:[AwayWon]], Table1[[GameIsOver]:[GameIsOver]], 1, Table1[[HomeTeam]:[HomeTeam]], $A67, Table1[[AwayTeam]:[AwayTeam]], H$36, Table1[[ActualResult]:[ActualResult]], "SO")))/ (2*((COUNTIFS(Table1[[GameIsOver]:[GameIsOver]],1,Table1[[AwayTeam]:[AwayTeam]],$A67, Table1[[HomeTeam]:[HomeTeam]], H$36)))+( COUNTIFS(Table1[[GameIsOver]:[GameIsOver]],1,Table1[[AwayTeam]:[AwayTeam]],H$36, Table1[[HomeTeam]:[HomeTeam]],$A67))), "")</f>
        <v/>
      </c>
      <c r="I67" s="52" t="str">
        <f>IFERROR(((2 * (SUMIFS(Table1[[AwayWon]:[AwayWon]], Table1[[GameIsOver]:[GameIsOver]], 1, Table1[[AwayTeam]:[AwayTeam]], $A67, Table1[[HomeTeam]:[HomeTeam]], I$36) + SUMIFS(Table1[[HomeWon]:[HomeWon]], Table1[[GameIsOver]:[GameIsOver]], 1, Table1[[HomeTeam]:[HomeTeam]], $A67, Table1[[AwayTeam]:[AwayTeam]], I$36))) + (SUMIFS(Table1[[HomeWon]:[HomeWon]], Table1[[GameIsOver]:[GameIsOver]], 1, Table1[[AwayTeam]:[AwayTeam]], $A67, Table1[[HomeTeam]:[HomeTeam]],  I$36, Table1[[ActualResult]:[ActualResult]], "OT") + SUMIFS(Table1[[AwayWon]:[AwayWon]], Table1[[GameIsOver]:[GameIsOver]], 1, Table1[[HomeTeam]:[HomeTeam]], $A67, Table1[[AwayTeam]:[AwayTeam]], I$36, Table1[[ActualResult]:[ActualResult]], "OT") + SUMIFS(Table1[[HomeWon]:[HomeWon]], Table1[[GameIsOver]:[GameIsOver]], 1, Table1[[AwayTeam]:[AwayTeam]], $A67, Table1[[HomeTeam]:[HomeTeam]], I$36, Table1[[ActualResult]:[ActualResult]], "SO") + SUMIFS(Table1[[AwayWon]:[AwayWon]], Table1[[GameIsOver]:[GameIsOver]], 1, Table1[[HomeTeam]:[HomeTeam]], $A67, Table1[[AwayTeam]:[AwayTeam]], I$36, Table1[[ActualResult]:[ActualResult]], "SO")))/ (2*((COUNTIFS(Table1[[GameIsOver]:[GameIsOver]],1,Table1[[AwayTeam]:[AwayTeam]],$A67, Table1[[HomeTeam]:[HomeTeam]], I$36)))+( COUNTIFS(Table1[[GameIsOver]:[GameIsOver]],1,Table1[[AwayTeam]:[AwayTeam]],I$36, Table1[[HomeTeam]:[HomeTeam]],$A67))), "")</f>
        <v/>
      </c>
      <c r="J67" s="50" t="str">
        <f>IFERROR(((2 * (SUMIFS(Table1[[AwayWon]:[AwayWon]], Table1[[GameIsOver]:[GameIsOver]], 1, Table1[[AwayTeam]:[AwayTeam]], $A67, Table1[[HomeTeam]:[HomeTeam]], J$36) + SUMIFS(Table1[[HomeWon]:[HomeWon]], Table1[[GameIsOver]:[GameIsOver]], 1, Table1[[HomeTeam]:[HomeTeam]], $A67, Table1[[AwayTeam]:[AwayTeam]], J$36))) + (SUMIFS(Table1[[HomeWon]:[HomeWon]], Table1[[GameIsOver]:[GameIsOver]], 1, Table1[[AwayTeam]:[AwayTeam]], $A67, Table1[[HomeTeam]:[HomeTeam]],  J$36, Table1[[ActualResult]:[ActualResult]], "OT") + SUMIFS(Table1[[AwayWon]:[AwayWon]], Table1[[GameIsOver]:[GameIsOver]], 1, Table1[[HomeTeam]:[HomeTeam]], $A67, Table1[[AwayTeam]:[AwayTeam]], J$36, Table1[[ActualResult]:[ActualResult]], "OT") + SUMIFS(Table1[[HomeWon]:[HomeWon]], Table1[[GameIsOver]:[GameIsOver]], 1, Table1[[AwayTeam]:[AwayTeam]], $A67, Table1[[HomeTeam]:[HomeTeam]], J$36, Table1[[ActualResult]:[ActualResult]], "SO") + SUMIFS(Table1[[AwayWon]:[AwayWon]], Table1[[GameIsOver]:[GameIsOver]], 1, Table1[[HomeTeam]:[HomeTeam]], $A67, Table1[[AwayTeam]:[AwayTeam]], J$36, Table1[[ActualResult]:[ActualResult]], "SO")))/ (2*((COUNTIFS(Table1[[GameIsOver]:[GameIsOver]],1,Table1[[AwayTeam]:[AwayTeam]],$A67, Table1[[HomeTeam]:[HomeTeam]], J$36)))+( COUNTIFS(Table1[[GameIsOver]:[GameIsOver]],1,Table1[[AwayTeam]:[AwayTeam]],J$36, Table1[[HomeTeam]:[HomeTeam]],$A67))), "")</f>
        <v/>
      </c>
      <c r="K67" s="50" t="str">
        <f>IFERROR(((2 * (SUMIFS(Table1[[AwayWon]:[AwayWon]], Table1[[GameIsOver]:[GameIsOver]], 1, Table1[[AwayTeam]:[AwayTeam]], $A67, Table1[[HomeTeam]:[HomeTeam]], K$36) + SUMIFS(Table1[[HomeWon]:[HomeWon]], Table1[[GameIsOver]:[GameIsOver]], 1, Table1[[HomeTeam]:[HomeTeam]], $A67, Table1[[AwayTeam]:[AwayTeam]], K$36))) + (SUMIFS(Table1[[HomeWon]:[HomeWon]], Table1[[GameIsOver]:[GameIsOver]], 1, Table1[[AwayTeam]:[AwayTeam]], $A67, Table1[[HomeTeam]:[HomeTeam]],  K$36, Table1[[ActualResult]:[ActualResult]], "OT") + SUMIFS(Table1[[AwayWon]:[AwayWon]], Table1[[GameIsOver]:[GameIsOver]], 1, Table1[[HomeTeam]:[HomeTeam]], $A67, Table1[[AwayTeam]:[AwayTeam]], K$36, Table1[[ActualResult]:[ActualResult]], "OT") + SUMIFS(Table1[[HomeWon]:[HomeWon]], Table1[[GameIsOver]:[GameIsOver]], 1, Table1[[AwayTeam]:[AwayTeam]], $A67, Table1[[HomeTeam]:[HomeTeam]], K$36, Table1[[ActualResult]:[ActualResult]], "SO") + SUMIFS(Table1[[AwayWon]:[AwayWon]], Table1[[GameIsOver]:[GameIsOver]], 1, Table1[[HomeTeam]:[HomeTeam]], $A67, Table1[[AwayTeam]:[AwayTeam]], K$36, Table1[[ActualResult]:[ActualResult]], "SO")))/ (2*((COUNTIFS(Table1[[GameIsOver]:[GameIsOver]],1,Table1[[AwayTeam]:[AwayTeam]],$A67, Table1[[HomeTeam]:[HomeTeam]], K$36)))+( COUNTIFS(Table1[[GameIsOver]:[GameIsOver]],1,Table1[[AwayTeam]:[AwayTeam]],K$36, Table1[[HomeTeam]:[HomeTeam]],$A67))), "")</f>
        <v/>
      </c>
      <c r="L67" s="50" t="str">
        <f>IFERROR(((2 * (SUMIFS(Table1[[AwayWon]:[AwayWon]], Table1[[GameIsOver]:[GameIsOver]], 1, Table1[[AwayTeam]:[AwayTeam]], $A67, Table1[[HomeTeam]:[HomeTeam]], L$36) + SUMIFS(Table1[[HomeWon]:[HomeWon]], Table1[[GameIsOver]:[GameIsOver]], 1, Table1[[HomeTeam]:[HomeTeam]], $A67, Table1[[AwayTeam]:[AwayTeam]], L$36))) + (SUMIFS(Table1[[HomeWon]:[HomeWon]], Table1[[GameIsOver]:[GameIsOver]], 1, Table1[[AwayTeam]:[AwayTeam]], $A67, Table1[[HomeTeam]:[HomeTeam]],  L$36, Table1[[ActualResult]:[ActualResult]], "OT") + SUMIFS(Table1[[AwayWon]:[AwayWon]], Table1[[GameIsOver]:[GameIsOver]], 1, Table1[[HomeTeam]:[HomeTeam]], $A67, Table1[[AwayTeam]:[AwayTeam]], L$36, Table1[[ActualResult]:[ActualResult]], "OT") + SUMIFS(Table1[[HomeWon]:[HomeWon]], Table1[[GameIsOver]:[GameIsOver]], 1, Table1[[AwayTeam]:[AwayTeam]], $A67, Table1[[HomeTeam]:[HomeTeam]], L$36, Table1[[ActualResult]:[ActualResult]], "SO") + SUMIFS(Table1[[AwayWon]:[AwayWon]], Table1[[GameIsOver]:[GameIsOver]], 1, Table1[[HomeTeam]:[HomeTeam]], $A67, Table1[[AwayTeam]:[AwayTeam]], L$36, Table1[[ActualResult]:[ActualResult]], "SO")))/ (2*((COUNTIFS(Table1[[GameIsOver]:[GameIsOver]],1,Table1[[AwayTeam]:[AwayTeam]],$A67, Table1[[HomeTeam]:[HomeTeam]], L$36)))+( COUNTIFS(Table1[[GameIsOver]:[GameIsOver]],1,Table1[[AwayTeam]:[AwayTeam]],L$36, Table1[[HomeTeam]:[HomeTeam]],$A67))), "")</f>
        <v/>
      </c>
      <c r="M67" s="50" t="str">
        <f>IFERROR(((2 * (SUMIFS(Table1[[AwayWon]:[AwayWon]], Table1[[GameIsOver]:[GameIsOver]], 1, Table1[[AwayTeam]:[AwayTeam]], $A67, Table1[[HomeTeam]:[HomeTeam]], M$36) + SUMIFS(Table1[[HomeWon]:[HomeWon]], Table1[[GameIsOver]:[GameIsOver]], 1, Table1[[HomeTeam]:[HomeTeam]], $A67, Table1[[AwayTeam]:[AwayTeam]], M$36))) + (SUMIFS(Table1[[HomeWon]:[HomeWon]], Table1[[GameIsOver]:[GameIsOver]], 1, Table1[[AwayTeam]:[AwayTeam]], $A67, Table1[[HomeTeam]:[HomeTeam]],  M$36, Table1[[ActualResult]:[ActualResult]], "OT") + SUMIFS(Table1[[AwayWon]:[AwayWon]], Table1[[GameIsOver]:[GameIsOver]], 1, Table1[[HomeTeam]:[HomeTeam]], $A67, Table1[[AwayTeam]:[AwayTeam]], M$36, Table1[[ActualResult]:[ActualResult]], "OT") + SUMIFS(Table1[[HomeWon]:[HomeWon]], Table1[[GameIsOver]:[GameIsOver]], 1, Table1[[AwayTeam]:[AwayTeam]], $A67, Table1[[HomeTeam]:[HomeTeam]], M$36, Table1[[ActualResult]:[ActualResult]], "SO") + SUMIFS(Table1[[AwayWon]:[AwayWon]], Table1[[GameIsOver]:[GameIsOver]], 1, Table1[[HomeTeam]:[HomeTeam]], $A67, Table1[[AwayTeam]:[AwayTeam]], M$36, Table1[[ActualResult]:[ActualResult]], "SO")))/ (2*((COUNTIFS(Table1[[GameIsOver]:[GameIsOver]],1,Table1[[AwayTeam]:[AwayTeam]],$A67, Table1[[HomeTeam]:[HomeTeam]], M$36)))+( COUNTIFS(Table1[[GameIsOver]:[GameIsOver]],1,Table1[[AwayTeam]:[AwayTeam]],M$36, Table1[[HomeTeam]:[HomeTeam]],$A67))), "")</f>
        <v/>
      </c>
      <c r="N67" s="50" t="str">
        <f>IFERROR(((2 * (SUMIFS(Table1[[AwayWon]:[AwayWon]], Table1[[GameIsOver]:[GameIsOver]], 1, Table1[[AwayTeam]:[AwayTeam]], $A67, Table1[[HomeTeam]:[HomeTeam]], N$36) + SUMIFS(Table1[[HomeWon]:[HomeWon]], Table1[[GameIsOver]:[GameIsOver]], 1, Table1[[HomeTeam]:[HomeTeam]], $A67, Table1[[AwayTeam]:[AwayTeam]], N$36))) + (SUMIFS(Table1[[HomeWon]:[HomeWon]], Table1[[GameIsOver]:[GameIsOver]], 1, Table1[[AwayTeam]:[AwayTeam]], $A67, Table1[[HomeTeam]:[HomeTeam]],  N$36, Table1[[ActualResult]:[ActualResult]], "OT") + SUMIFS(Table1[[AwayWon]:[AwayWon]], Table1[[GameIsOver]:[GameIsOver]], 1, Table1[[HomeTeam]:[HomeTeam]], $A67, Table1[[AwayTeam]:[AwayTeam]], N$36, Table1[[ActualResult]:[ActualResult]], "OT") + SUMIFS(Table1[[HomeWon]:[HomeWon]], Table1[[GameIsOver]:[GameIsOver]], 1, Table1[[AwayTeam]:[AwayTeam]], $A67, Table1[[HomeTeam]:[HomeTeam]], N$36, Table1[[ActualResult]:[ActualResult]], "SO") + SUMIFS(Table1[[AwayWon]:[AwayWon]], Table1[[GameIsOver]:[GameIsOver]], 1, Table1[[HomeTeam]:[HomeTeam]], $A67, Table1[[AwayTeam]:[AwayTeam]], N$36, Table1[[ActualResult]:[ActualResult]], "SO")))/ (2*((COUNTIFS(Table1[[GameIsOver]:[GameIsOver]],1,Table1[[AwayTeam]:[AwayTeam]],$A67, Table1[[HomeTeam]:[HomeTeam]], N$36)))+( COUNTIFS(Table1[[GameIsOver]:[GameIsOver]],1,Table1[[AwayTeam]:[AwayTeam]],N$36, Table1[[HomeTeam]:[HomeTeam]],$A67))), "")</f>
        <v/>
      </c>
      <c r="O67" s="50" t="str">
        <f>IFERROR(((2 * (SUMIFS(Table1[[AwayWon]:[AwayWon]], Table1[[GameIsOver]:[GameIsOver]], 1, Table1[[AwayTeam]:[AwayTeam]], $A67, Table1[[HomeTeam]:[HomeTeam]], O$36) + SUMIFS(Table1[[HomeWon]:[HomeWon]], Table1[[GameIsOver]:[GameIsOver]], 1, Table1[[HomeTeam]:[HomeTeam]], $A67, Table1[[AwayTeam]:[AwayTeam]], O$36))) + (SUMIFS(Table1[[HomeWon]:[HomeWon]], Table1[[GameIsOver]:[GameIsOver]], 1, Table1[[AwayTeam]:[AwayTeam]], $A67, Table1[[HomeTeam]:[HomeTeam]],  O$36, Table1[[ActualResult]:[ActualResult]], "OT") + SUMIFS(Table1[[AwayWon]:[AwayWon]], Table1[[GameIsOver]:[GameIsOver]], 1, Table1[[HomeTeam]:[HomeTeam]], $A67, Table1[[AwayTeam]:[AwayTeam]], O$36, Table1[[ActualResult]:[ActualResult]], "OT") + SUMIFS(Table1[[HomeWon]:[HomeWon]], Table1[[GameIsOver]:[GameIsOver]], 1, Table1[[AwayTeam]:[AwayTeam]], $A67, Table1[[HomeTeam]:[HomeTeam]], O$36, Table1[[ActualResult]:[ActualResult]], "SO") + SUMIFS(Table1[[AwayWon]:[AwayWon]], Table1[[GameIsOver]:[GameIsOver]], 1, Table1[[HomeTeam]:[HomeTeam]], $A67, Table1[[AwayTeam]:[AwayTeam]], O$36, Table1[[ActualResult]:[ActualResult]], "SO")))/ (2*((COUNTIFS(Table1[[GameIsOver]:[GameIsOver]],1,Table1[[AwayTeam]:[AwayTeam]],$A67, Table1[[HomeTeam]:[HomeTeam]], O$36)))+( COUNTIFS(Table1[[GameIsOver]:[GameIsOver]],1,Table1[[AwayTeam]:[AwayTeam]],O$36, Table1[[HomeTeam]:[HomeTeam]],$A67))), "")</f>
        <v/>
      </c>
      <c r="P67" s="50" t="str">
        <f>IFERROR(((2 * (SUMIFS(Table1[[AwayWon]:[AwayWon]], Table1[[GameIsOver]:[GameIsOver]], 1, Table1[[AwayTeam]:[AwayTeam]], $A67, Table1[[HomeTeam]:[HomeTeam]], P$36) + SUMIFS(Table1[[HomeWon]:[HomeWon]], Table1[[GameIsOver]:[GameIsOver]], 1, Table1[[HomeTeam]:[HomeTeam]], $A67, Table1[[AwayTeam]:[AwayTeam]], P$36))) + (SUMIFS(Table1[[HomeWon]:[HomeWon]], Table1[[GameIsOver]:[GameIsOver]], 1, Table1[[AwayTeam]:[AwayTeam]], $A67, Table1[[HomeTeam]:[HomeTeam]],  P$36, Table1[[ActualResult]:[ActualResult]], "OT") + SUMIFS(Table1[[AwayWon]:[AwayWon]], Table1[[GameIsOver]:[GameIsOver]], 1, Table1[[HomeTeam]:[HomeTeam]], $A67, Table1[[AwayTeam]:[AwayTeam]], P$36, Table1[[ActualResult]:[ActualResult]], "OT") + SUMIFS(Table1[[HomeWon]:[HomeWon]], Table1[[GameIsOver]:[GameIsOver]], 1, Table1[[AwayTeam]:[AwayTeam]], $A67, Table1[[HomeTeam]:[HomeTeam]], P$36, Table1[[ActualResult]:[ActualResult]], "SO") + SUMIFS(Table1[[AwayWon]:[AwayWon]], Table1[[GameIsOver]:[GameIsOver]], 1, Table1[[HomeTeam]:[HomeTeam]], $A67, Table1[[AwayTeam]:[AwayTeam]], P$36, Table1[[ActualResult]:[ActualResult]], "SO")))/ (2*((COUNTIFS(Table1[[GameIsOver]:[GameIsOver]],1,Table1[[AwayTeam]:[AwayTeam]],$A67, Table1[[HomeTeam]:[HomeTeam]], P$36)))+( COUNTIFS(Table1[[GameIsOver]:[GameIsOver]],1,Table1[[AwayTeam]:[AwayTeam]],P$36, Table1[[HomeTeam]:[HomeTeam]],$A67))), "")</f>
        <v/>
      </c>
      <c r="Q67" s="52" t="str">
        <f>IFERROR(((2 * (SUMIFS(Table1[[AwayWon]:[AwayWon]], Table1[[GameIsOver]:[GameIsOver]], 1, Table1[[AwayTeam]:[AwayTeam]], $A67, Table1[[HomeTeam]:[HomeTeam]], Q$36) + SUMIFS(Table1[[HomeWon]:[HomeWon]], Table1[[GameIsOver]:[GameIsOver]], 1, Table1[[HomeTeam]:[HomeTeam]], $A67, Table1[[AwayTeam]:[AwayTeam]], Q$36))) + (SUMIFS(Table1[[HomeWon]:[HomeWon]], Table1[[GameIsOver]:[GameIsOver]], 1, Table1[[AwayTeam]:[AwayTeam]], $A67, Table1[[HomeTeam]:[HomeTeam]],  Q$36, Table1[[ActualResult]:[ActualResult]], "OT") + SUMIFS(Table1[[AwayWon]:[AwayWon]], Table1[[GameIsOver]:[GameIsOver]], 1, Table1[[HomeTeam]:[HomeTeam]], $A67, Table1[[AwayTeam]:[AwayTeam]], Q$36, Table1[[ActualResult]:[ActualResult]], "OT") + SUMIFS(Table1[[HomeWon]:[HomeWon]], Table1[[GameIsOver]:[GameIsOver]], 1, Table1[[AwayTeam]:[AwayTeam]], $A67, Table1[[HomeTeam]:[HomeTeam]], Q$36, Table1[[ActualResult]:[ActualResult]], "SO") + SUMIFS(Table1[[AwayWon]:[AwayWon]], Table1[[GameIsOver]:[GameIsOver]], 1, Table1[[HomeTeam]:[HomeTeam]], $A67, Table1[[AwayTeam]:[AwayTeam]], Q$36, Table1[[ActualResult]:[ActualResult]], "SO")))/ (2*((COUNTIFS(Table1[[GameIsOver]:[GameIsOver]],1,Table1[[AwayTeam]:[AwayTeam]],$A67, Table1[[HomeTeam]:[HomeTeam]], Q$36)))+( COUNTIFS(Table1[[GameIsOver]:[GameIsOver]],1,Table1[[AwayTeam]:[AwayTeam]],Q$36, Table1[[HomeTeam]:[HomeTeam]],$A67))), "")</f>
        <v/>
      </c>
      <c r="R67" s="50" t="str">
        <f>IFERROR(((2 * (SUMIFS(Table1[[AwayWon]:[AwayWon]], Table1[[GameIsOver]:[GameIsOver]], 1, Table1[[AwayTeam]:[AwayTeam]], $A67, Table1[[HomeTeam]:[HomeTeam]], R$36) + SUMIFS(Table1[[HomeWon]:[HomeWon]], Table1[[GameIsOver]:[GameIsOver]], 1, Table1[[HomeTeam]:[HomeTeam]], $A67, Table1[[AwayTeam]:[AwayTeam]], R$36))) + (SUMIFS(Table1[[HomeWon]:[HomeWon]], Table1[[GameIsOver]:[GameIsOver]], 1, Table1[[AwayTeam]:[AwayTeam]], $A67, Table1[[HomeTeam]:[HomeTeam]],  R$36, Table1[[ActualResult]:[ActualResult]], "OT") + SUMIFS(Table1[[AwayWon]:[AwayWon]], Table1[[GameIsOver]:[GameIsOver]], 1, Table1[[HomeTeam]:[HomeTeam]], $A67, Table1[[AwayTeam]:[AwayTeam]], R$36, Table1[[ActualResult]:[ActualResult]], "OT") + SUMIFS(Table1[[HomeWon]:[HomeWon]], Table1[[GameIsOver]:[GameIsOver]], 1, Table1[[AwayTeam]:[AwayTeam]], $A67, Table1[[HomeTeam]:[HomeTeam]], R$36, Table1[[ActualResult]:[ActualResult]], "SO") + SUMIFS(Table1[[AwayWon]:[AwayWon]], Table1[[GameIsOver]:[GameIsOver]], 1, Table1[[HomeTeam]:[HomeTeam]], $A67, Table1[[AwayTeam]:[AwayTeam]], R$36, Table1[[ActualResult]:[ActualResult]], "SO")))/ (2*((COUNTIFS(Table1[[GameIsOver]:[GameIsOver]],1,Table1[[AwayTeam]:[AwayTeam]],$A67, Table1[[HomeTeam]:[HomeTeam]], R$36)))+( COUNTIFS(Table1[[GameIsOver]:[GameIsOver]],1,Table1[[AwayTeam]:[AwayTeam]],R$36, Table1[[HomeTeam]:[HomeTeam]],$A67))), "")</f>
        <v/>
      </c>
      <c r="S67" s="50" t="str">
        <f>IFERROR(((2 * (SUMIFS(Table1[[AwayWon]:[AwayWon]], Table1[[GameIsOver]:[GameIsOver]], 1, Table1[[AwayTeam]:[AwayTeam]], $A67, Table1[[HomeTeam]:[HomeTeam]], S$36) + SUMIFS(Table1[[HomeWon]:[HomeWon]], Table1[[GameIsOver]:[GameIsOver]], 1, Table1[[HomeTeam]:[HomeTeam]], $A67, Table1[[AwayTeam]:[AwayTeam]], S$36))) + (SUMIFS(Table1[[HomeWon]:[HomeWon]], Table1[[GameIsOver]:[GameIsOver]], 1, Table1[[AwayTeam]:[AwayTeam]], $A67, Table1[[HomeTeam]:[HomeTeam]],  S$36, Table1[[ActualResult]:[ActualResult]], "OT") + SUMIFS(Table1[[AwayWon]:[AwayWon]], Table1[[GameIsOver]:[GameIsOver]], 1, Table1[[HomeTeam]:[HomeTeam]], $A67, Table1[[AwayTeam]:[AwayTeam]], S$36, Table1[[ActualResult]:[ActualResult]], "OT") + SUMIFS(Table1[[HomeWon]:[HomeWon]], Table1[[GameIsOver]:[GameIsOver]], 1, Table1[[AwayTeam]:[AwayTeam]], $A67, Table1[[HomeTeam]:[HomeTeam]], S$36, Table1[[ActualResult]:[ActualResult]], "SO") + SUMIFS(Table1[[AwayWon]:[AwayWon]], Table1[[GameIsOver]:[GameIsOver]], 1, Table1[[HomeTeam]:[HomeTeam]], $A67, Table1[[AwayTeam]:[AwayTeam]], S$36, Table1[[ActualResult]:[ActualResult]], "SO")))/ (2*((COUNTIFS(Table1[[GameIsOver]:[GameIsOver]],1,Table1[[AwayTeam]:[AwayTeam]],$A67, Table1[[HomeTeam]:[HomeTeam]], S$36)))+( COUNTIFS(Table1[[GameIsOver]:[GameIsOver]],1,Table1[[AwayTeam]:[AwayTeam]],S$36, Table1[[HomeTeam]:[HomeTeam]],$A67))), "")</f>
        <v/>
      </c>
      <c r="T67" s="50" t="str">
        <f>IFERROR(((2 * (SUMIFS(Table1[[AwayWon]:[AwayWon]], Table1[[GameIsOver]:[GameIsOver]], 1, Table1[[AwayTeam]:[AwayTeam]], $A67, Table1[[HomeTeam]:[HomeTeam]], T$36) + SUMIFS(Table1[[HomeWon]:[HomeWon]], Table1[[GameIsOver]:[GameIsOver]], 1, Table1[[HomeTeam]:[HomeTeam]], $A67, Table1[[AwayTeam]:[AwayTeam]], T$36))) + (SUMIFS(Table1[[HomeWon]:[HomeWon]], Table1[[GameIsOver]:[GameIsOver]], 1, Table1[[AwayTeam]:[AwayTeam]], $A67, Table1[[HomeTeam]:[HomeTeam]],  T$36, Table1[[ActualResult]:[ActualResult]], "OT") + SUMIFS(Table1[[AwayWon]:[AwayWon]], Table1[[GameIsOver]:[GameIsOver]], 1, Table1[[HomeTeam]:[HomeTeam]], $A67, Table1[[AwayTeam]:[AwayTeam]], T$36, Table1[[ActualResult]:[ActualResult]], "OT") + SUMIFS(Table1[[HomeWon]:[HomeWon]], Table1[[GameIsOver]:[GameIsOver]], 1, Table1[[AwayTeam]:[AwayTeam]], $A67, Table1[[HomeTeam]:[HomeTeam]], T$36, Table1[[ActualResult]:[ActualResult]], "SO") + SUMIFS(Table1[[AwayWon]:[AwayWon]], Table1[[GameIsOver]:[GameIsOver]], 1, Table1[[HomeTeam]:[HomeTeam]], $A67, Table1[[AwayTeam]:[AwayTeam]], T$36, Table1[[ActualResult]:[ActualResult]], "SO")))/ (2*((COUNTIFS(Table1[[GameIsOver]:[GameIsOver]],1,Table1[[AwayTeam]:[AwayTeam]],$A67, Table1[[HomeTeam]:[HomeTeam]], T$36)))+( COUNTIFS(Table1[[GameIsOver]:[GameIsOver]],1,Table1[[AwayTeam]:[AwayTeam]],T$36, Table1[[HomeTeam]:[HomeTeam]],$A67))), "")</f>
        <v/>
      </c>
      <c r="U67" s="50" t="str">
        <f>IFERROR(((2 * (SUMIFS(Table1[[AwayWon]:[AwayWon]], Table1[[GameIsOver]:[GameIsOver]], 1, Table1[[AwayTeam]:[AwayTeam]], $A67, Table1[[HomeTeam]:[HomeTeam]], U$36) + SUMIFS(Table1[[HomeWon]:[HomeWon]], Table1[[GameIsOver]:[GameIsOver]], 1, Table1[[HomeTeam]:[HomeTeam]], $A67, Table1[[AwayTeam]:[AwayTeam]], U$36))) + (SUMIFS(Table1[[HomeWon]:[HomeWon]], Table1[[GameIsOver]:[GameIsOver]], 1, Table1[[AwayTeam]:[AwayTeam]], $A67, Table1[[HomeTeam]:[HomeTeam]],  U$36, Table1[[ActualResult]:[ActualResult]], "OT") + SUMIFS(Table1[[AwayWon]:[AwayWon]], Table1[[GameIsOver]:[GameIsOver]], 1, Table1[[HomeTeam]:[HomeTeam]], $A67, Table1[[AwayTeam]:[AwayTeam]], U$36, Table1[[ActualResult]:[ActualResult]], "OT") + SUMIFS(Table1[[HomeWon]:[HomeWon]], Table1[[GameIsOver]:[GameIsOver]], 1, Table1[[AwayTeam]:[AwayTeam]], $A67, Table1[[HomeTeam]:[HomeTeam]], U$36, Table1[[ActualResult]:[ActualResult]], "SO") + SUMIFS(Table1[[AwayWon]:[AwayWon]], Table1[[GameIsOver]:[GameIsOver]], 1, Table1[[HomeTeam]:[HomeTeam]], $A67, Table1[[AwayTeam]:[AwayTeam]], U$36, Table1[[ActualResult]:[ActualResult]], "SO")))/ (2*((COUNTIFS(Table1[[GameIsOver]:[GameIsOver]],1,Table1[[AwayTeam]:[AwayTeam]],$A67, Table1[[HomeTeam]:[HomeTeam]], U$36)))+( COUNTIFS(Table1[[GameIsOver]:[GameIsOver]],1,Table1[[AwayTeam]:[AwayTeam]],U$36, Table1[[HomeTeam]:[HomeTeam]],$A67))), "")</f>
        <v/>
      </c>
      <c r="V67" s="50">
        <f>IFERROR(((2 * (SUMIFS(Table1[[AwayWon]:[AwayWon]], Table1[[GameIsOver]:[GameIsOver]], 1, Table1[[AwayTeam]:[AwayTeam]], $A67, Table1[[HomeTeam]:[HomeTeam]], V$36) + SUMIFS(Table1[[HomeWon]:[HomeWon]], Table1[[GameIsOver]:[GameIsOver]], 1, Table1[[HomeTeam]:[HomeTeam]], $A67, Table1[[AwayTeam]:[AwayTeam]], V$36))) + (SUMIFS(Table1[[HomeWon]:[HomeWon]], Table1[[GameIsOver]:[GameIsOver]], 1, Table1[[AwayTeam]:[AwayTeam]], $A67, Table1[[HomeTeam]:[HomeTeam]],  V$36, Table1[[ActualResult]:[ActualResult]], "OT") + SUMIFS(Table1[[AwayWon]:[AwayWon]], Table1[[GameIsOver]:[GameIsOver]], 1, Table1[[HomeTeam]:[HomeTeam]], $A67, Table1[[AwayTeam]:[AwayTeam]], V$36, Table1[[ActualResult]:[ActualResult]], "OT") + SUMIFS(Table1[[HomeWon]:[HomeWon]], Table1[[GameIsOver]:[GameIsOver]], 1, Table1[[AwayTeam]:[AwayTeam]], $A67, Table1[[HomeTeam]:[HomeTeam]], V$36, Table1[[ActualResult]:[ActualResult]], "SO") + SUMIFS(Table1[[AwayWon]:[AwayWon]], Table1[[GameIsOver]:[GameIsOver]], 1, Table1[[HomeTeam]:[HomeTeam]], $A67, Table1[[AwayTeam]:[AwayTeam]], V$36, Table1[[ActualResult]:[ActualResult]], "SO")))/ (2*((COUNTIFS(Table1[[GameIsOver]:[GameIsOver]],1,Table1[[AwayTeam]:[AwayTeam]],$A67, Table1[[HomeTeam]:[HomeTeam]], V$36)))+( COUNTIFS(Table1[[GameIsOver]:[GameIsOver]],1,Table1[[AwayTeam]:[AwayTeam]],V$36, Table1[[HomeTeam]:[HomeTeam]],$A67))), "")</f>
        <v>2</v>
      </c>
      <c r="W67" s="50" t="str">
        <f>IFERROR(((2 * (SUMIFS(Table1[[AwayWon]:[AwayWon]], Table1[[GameIsOver]:[GameIsOver]], 1, Table1[[AwayTeam]:[AwayTeam]], $A67, Table1[[HomeTeam]:[HomeTeam]], W$36) + SUMIFS(Table1[[HomeWon]:[HomeWon]], Table1[[GameIsOver]:[GameIsOver]], 1, Table1[[HomeTeam]:[HomeTeam]], $A67, Table1[[AwayTeam]:[AwayTeam]], W$36))) + (SUMIFS(Table1[[HomeWon]:[HomeWon]], Table1[[GameIsOver]:[GameIsOver]], 1, Table1[[AwayTeam]:[AwayTeam]], $A67, Table1[[HomeTeam]:[HomeTeam]],  W$36, Table1[[ActualResult]:[ActualResult]], "OT") + SUMIFS(Table1[[AwayWon]:[AwayWon]], Table1[[GameIsOver]:[GameIsOver]], 1, Table1[[HomeTeam]:[HomeTeam]], $A67, Table1[[AwayTeam]:[AwayTeam]], W$36, Table1[[ActualResult]:[ActualResult]], "OT") + SUMIFS(Table1[[HomeWon]:[HomeWon]], Table1[[GameIsOver]:[GameIsOver]], 1, Table1[[AwayTeam]:[AwayTeam]], $A67, Table1[[HomeTeam]:[HomeTeam]], W$36, Table1[[ActualResult]:[ActualResult]], "SO") + SUMIFS(Table1[[AwayWon]:[AwayWon]], Table1[[GameIsOver]:[GameIsOver]], 1, Table1[[HomeTeam]:[HomeTeam]], $A67, Table1[[AwayTeam]:[AwayTeam]], W$36, Table1[[ActualResult]:[ActualResult]], "SO")))/ (2*((COUNTIFS(Table1[[GameIsOver]:[GameIsOver]],1,Table1[[AwayTeam]:[AwayTeam]],$A67, Table1[[HomeTeam]:[HomeTeam]], W$36)))+( COUNTIFS(Table1[[GameIsOver]:[GameIsOver]],1,Table1[[AwayTeam]:[AwayTeam]],W$36, Table1[[HomeTeam]:[HomeTeam]],$A67))), "")</f>
        <v/>
      </c>
      <c r="X67" s="50" t="str">
        <f>IFERROR(((2 * (SUMIFS(Table1[[AwayWon]:[AwayWon]], Table1[[GameIsOver]:[GameIsOver]], 1, Table1[[AwayTeam]:[AwayTeam]], $A67, Table1[[HomeTeam]:[HomeTeam]], X$36) + SUMIFS(Table1[[HomeWon]:[HomeWon]], Table1[[GameIsOver]:[GameIsOver]], 1, Table1[[HomeTeam]:[HomeTeam]], $A67, Table1[[AwayTeam]:[AwayTeam]], X$36))) + (SUMIFS(Table1[[HomeWon]:[HomeWon]], Table1[[GameIsOver]:[GameIsOver]], 1, Table1[[AwayTeam]:[AwayTeam]], $A67, Table1[[HomeTeam]:[HomeTeam]],  X$36, Table1[[ActualResult]:[ActualResult]], "OT") + SUMIFS(Table1[[AwayWon]:[AwayWon]], Table1[[GameIsOver]:[GameIsOver]], 1, Table1[[HomeTeam]:[HomeTeam]], $A67, Table1[[AwayTeam]:[AwayTeam]], X$36, Table1[[ActualResult]:[ActualResult]], "OT") + SUMIFS(Table1[[HomeWon]:[HomeWon]], Table1[[GameIsOver]:[GameIsOver]], 1, Table1[[AwayTeam]:[AwayTeam]], $A67, Table1[[HomeTeam]:[HomeTeam]], X$36, Table1[[ActualResult]:[ActualResult]], "SO") + SUMIFS(Table1[[AwayWon]:[AwayWon]], Table1[[GameIsOver]:[GameIsOver]], 1, Table1[[HomeTeam]:[HomeTeam]], $A67, Table1[[AwayTeam]:[AwayTeam]], X$36, Table1[[ActualResult]:[ActualResult]], "SO")))/ (2*((COUNTIFS(Table1[[GameIsOver]:[GameIsOver]],1,Table1[[AwayTeam]:[AwayTeam]],$A67, Table1[[HomeTeam]:[HomeTeam]], X$36)))+( COUNTIFS(Table1[[GameIsOver]:[GameIsOver]],1,Table1[[AwayTeam]:[AwayTeam]],X$36, Table1[[HomeTeam]:[HomeTeam]],$A67))), "")</f>
        <v/>
      </c>
      <c r="Y67" s="52" t="str">
        <f>IFERROR(((2 * (SUMIFS(Table1[[AwayWon]:[AwayWon]], Table1[[GameIsOver]:[GameIsOver]], 1, Table1[[AwayTeam]:[AwayTeam]], $A67, Table1[[HomeTeam]:[HomeTeam]], Y$36) + SUMIFS(Table1[[HomeWon]:[HomeWon]], Table1[[GameIsOver]:[GameIsOver]], 1, Table1[[HomeTeam]:[HomeTeam]], $A67, Table1[[AwayTeam]:[AwayTeam]], Y$36))) + (SUMIFS(Table1[[HomeWon]:[HomeWon]], Table1[[GameIsOver]:[GameIsOver]], 1, Table1[[AwayTeam]:[AwayTeam]], $A67, Table1[[HomeTeam]:[HomeTeam]],  Y$36, Table1[[ActualResult]:[ActualResult]], "OT") + SUMIFS(Table1[[AwayWon]:[AwayWon]], Table1[[GameIsOver]:[GameIsOver]], 1, Table1[[HomeTeam]:[HomeTeam]], $A67, Table1[[AwayTeam]:[AwayTeam]], Y$36, Table1[[ActualResult]:[ActualResult]], "OT") + SUMIFS(Table1[[HomeWon]:[HomeWon]], Table1[[GameIsOver]:[GameIsOver]], 1, Table1[[AwayTeam]:[AwayTeam]], $A67, Table1[[HomeTeam]:[HomeTeam]], Y$36, Table1[[ActualResult]:[ActualResult]], "SO") + SUMIFS(Table1[[AwayWon]:[AwayWon]], Table1[[GameIsOver]:[GameIsOver]], 1, Table1[[HomeTeam]:[HomeTeam]], $A67, Table1[[AwayTeam]:[AwayTeam]], Y$36, Table1[[ActualResult]:[ActualResult]], "SO")))/ (2*((COUNTIFS(Table1[[GameIsOver]:[GameIsOver]],1,Table1[[AwayTeam]:[AwayTeam]],$A67, Table1[[HomeTeam]:[HomeTeam]], Y$36)))+( COUNTIFS(Table1[[GameIsOver]:[GameIsOver]],1,Table1[[AwayTeam]:[AwayTeam]],Y$36, Table1[[HomeTeam]:[HomeTeam]],$A67))), "")</f>
        <v/>
      </c>
      <c r="Z67" s="50" t="str">
        <f>IFERROR(((2 * (SUMIFS(Table1[[AwayWon]:[AwayWon]], Table1[[GameIsOver]:[GameIsOver]], 1, Table1[[AwayTeam]:[AwayTeam]], $A67, Table1[[HomeTeam]:[HomeTeam]], Z$36) + SUMIFS(Table1[[HomeWon]:[HomeWon]], Table1[[GameIsOver]:[GameIsOver]], 1, Table1[[HomeTeam]:[HomeTeam]], $A67, Table1[[AwayTeam]:[AwayTeam]], Z$36))) + (SUMIFS(Table1[[HomeWon]:[HomeWon]], Table1[[GameIsOver]:[GameIsOver]], 1, Table1[[AwayTeam]:[AwayTeam]], $A67, Table1[[HomeTeam]:[HomeTeam]],  Z$36, Table1[[ActualResult]:[ActualResult]], "OT") + SUMIFS(Table1[[AwayWon]:[AwayWon]], Table1[[GameIsOver]:[GameIsOver]], 1, Table1[[HomeTeam]:[HomeTeam]], $A67, Table1[[AwayTeam]:[AwayTeam]], Z$36, Table1[[ActualResult]:[ActualResult]], "OT") + SUMIFS(Table1[[HomeWon]:[HomeWon]], Table1[[GameIsOver]:[GameIsOver]], 1, Table1[[AwayTeam]:[AwayTeam]], $A67, Table1[[HomeTeam]:[HomeTeam]], Z$36, Table1[[ActualResult]:[ActualResult]], "SO") + SUMIFS(Table1[[AwayWon]:[AwayWon]], Table1[[GameIsOver]:[GameIsOver]], 1, Table1[[HomeTeam]:[HomeTeam]], $A67, Table1[[AwayTeam]:[AwayTeam]], Z$36, Table1[[ActualResult]:[ActualResult]], "SO")))/ (2*((COUNTIFS(Table1[[GameIsOver]:[GameIsOver]],1,Table1[[AwayTeam]:[AwayTeam]],$A67, Table1[[HomeTeam]:[HomeTeam]], Z$36)))+( COUNTIFS(Table1[[GameIsOver]:[GameIsOver]],1,Table1[[AwayTeam]:[AwayTeam]],Z$36, Table1[[HomeTeam]:[HomeTeam]],$A67))), "")</f>
        <v/>
      </c>
      <c r="AA67" s="50" t="str">
        <f>IFERROR(((2 * (SUMIFS(Table1[[AwayWon]:[AwayWon]], Table1[[GameIsOver]:[GameIsOver]], 1, Table1[[AwayTeam]:[AwayTeam]], $A67, Table1[[HomeTeam]:[HomeTeam]], AA$36) + SUMIFS(Table1[[HomeWon]:[HomeWon]], Table1[[GameIsOver]:[GameIsOver]], 1, Table1[[HomeTeam]:[HomeTeam]], $A67, Table1[[AwayTeam]:[AwayTeam]], AA$36))) + (SUMIFS(Table1[[HomeWon]:[HomeWon]], Table1[[GameIsOver]:[GameIsOver]], 1, Table1[[AwayTeam]:[AwayTeam]], $A67, Table1[[HomeTeam]:[HomeTeam]],  AA$36, Table1[[ActualResult]:[ActualResult]], "OT") + SUMIFS(Table1[[AwayWon]:[AwayWon]], Table1[[GameIsOver]:[GameIsOver]], 1, Table1[[HomeTeam]:[HomeTeam]], $A67, Table1[[AwayTeam]:[AwayTeam]], AA$36, Table1[[ActualResult]:[ActualResult]], "OT") + SUMIFS(Table1[[HomeWon]:[HomeWon]], Table1[[GameIsOver]:[GameIsOver]], 1, Table1[[AwayTeam]:[AwayTeam]], $A67, Table1[[HomeTeam]:[HomeTeam]], AA$36, Table1[[ActualResult]:[ActualResult]], "SO") + SUMIFS(Table1[[AwayWon]:[AwayWon]], Table1[[GameIsOver]:[GameIsOver]], 1, Table1[[HomeTeam]:[HomeTeam]], $A67, Table1[[AwayTeam]:[AwayTeam]], AA$36, Table1[[ActualResult]:[ActualResult]], "SO")))/ (2*((COUNTIFS(Table1[[GameIsOver]:[GameIsOver]],1,Table1[[AwayTeam]:[AwayTeam]],$A67, Table1[[HomeTeam]:[HomeTeam]], AA$36)))+( COUNTIFS(Table1[[GameIsOver]:[GameIsOver]],1,Table1[[AwayTeam]:[AwayTeam]],AA$36, Table1[[HomeTeam]:[HomeTeam]],$A67))), "")</f>
        <v/>
      </c>
      <c r="AB67" s="50" t="str">
        <f>IFERROR(((2 * (SUMIFS(Table1[[AwayWon]:[AwayWon]], Table1[[GameIsOver]:[GameIsOver]], 1, Table1[[AwayTeam]:[AwayTeam]], $A67, Table1[[HomeTeam]:[HomeTeam]], AB$36) + SUMIFS(Table1[[HomeWon]:[HomeWon]], Table1[[GameIsOver]:[GameIsOver]], 1, Table1[[HomeTeam]:[HomeTeam]], $A67, Table1[[AwayTeam]:[AwayTeam]], AB$36))) + (SUMIFS(Table1[[HomeWon]:[HomeWon]], Table1[[GameIsOver]:[GameIsOver]], 1, Table1[[AwayTeam]:[AwayTeam]], $A67, Table1[[HomeTeam]:[HomeTeam]],  AB$36, Table1[[ActualResult]:[ActualResult]], "OT") + SUMIFS(Table1[[AwayWon]:[AwayWon]], Table1[[GameIsOver]:[GameIsOver]], 1, Table1[[HomeTeam]:[HomeTeam]], $A67, Table1[[AwayTeam]:[AwayTeam]], AB$36, Table1[[ActualResult]:[ActualResult]], "OT") + SUMIFS(Table1[[HomeWon]:[HomeWon]], Table1[[GameIsOver]:[GameIsOver]], 1, Table1[[AwayTeam]:[AwayTeam]], $A67, Table1[[HomeTeam]:[HomeTeam]], AB$36, Table1[[ActualResult]:[ActualResult]], "SO") + SUMIFS(Table1[[AwayWon]:[AwayWon]], Table1[[GameIsOver]:[GameIsOver]], 1, Table1[[HomeTeam]:[HomeTeam]], $A67, Table1[[AwayTeam]:[AwayTeam]], AB$36, Table1[[ActualResult]:[ActualResult]], "SO")))/ (2*((COUNTIFS(Table1[[GameIsOver]:[GameIsOver]],1,Table1[[AwayTeam]:[AwayTeam]],$A67, Table1[[HomeTeam]:[HomeTeam]], AB$36)))+( COUNTIFS(Table1[[GameIsOver]:[GameIsOver]],1,Table1[[AwayTeam]:[AwayTeam]],AB$36, Table1[[HomeTeam]:[HomeTeam]],$A67))), "")</f>
        <v/>
      </c>
      <c r="AC67" s="50" t="str">
        <f>IFERROR(((2 * (SUMIFS(Table1[[AwayWon]:[AwayWon]], Table1[[GameIsOver]:[GameIsOver]], 1, Table1[[AwayTeam]:[AwayTeam]], $A67, Table1[[HomeTeam]:[HomeTeam]], AC$36) + SUMIFS(Table1[[HomeWon]:[HomeWon]], Table1[[GameIsOver]:[GameIsOver]], 1, Table1[[HomeTeam]:[HomeTeam]], $A67, Table1[[AwayTeam]:[AwayTeam]], AC$36))) + (SUMIFS(Table1[[HomeWon]:[HomeWon]], Table1[[GameIsOver]:[GameIsOver]], 1, Table1[[AwayTeam]:[AwayTeam]], $A67, Table1[[HomeTeam]:[HomeTeam]],  AC$36, Table1[[ActualResult]:[ActualResult]], "OT") + SUMIFS(Table1[[AwayWon]:[AwayWon]], Table1[[GameIsOver]:[GameIsOver]], 1, Table1[[HomeTeam]:[HomeTeam]], $A67, Table1[[AwayTeam]:[AwayTeam]], AC$36, Table1[[ActualResult]:[ActualResult]], "OT") + SUMIFS(Table1[[HomeWon]:[HomeWon]], Table1[[GameIsOver]:[GameIsOver]], 1, Table1[[AwayTeam]:[AwayTeam]], $A67, Table1[[HomeTeam]:[HomeTeam]], AC$36, Table1[[ActualResult]:[ActualResult]], "SO") + SUMIFS(Table1[[AwayWon]:[AwayWon]], Table1[[GameIsOver]:[GameIsOver]], 1, Table1[[HomeTeam]:[HomeTeam]], $A67, Table1[[AwayTeam]:[AwayTeam]], AC$36, Table1[[ActualResult]:[ActualResult]], "SO")))/ (2*((COUNTIFS(Table1[[GameIsOver]:[GameIsOver]],1,Table1[[AwayTeam]:[AwayTeam]],$A67, Table1[[HomeTeam]:[HomeTeam]], AC$36)))+( COUNTIFS(Table1[[GameIsOver]:[GameIsOver]],1,Table1[[AwayTeam]:[AwayTeam]],AC$36, Table1[[HomeTeam]:[HomeTeam]],$A67))), "")</f>
        <v/>
      </c>
      <c r="AD67" s="50" t="str">
        <f>IFERROR(((2 * (SUMIFS(Table1[[AwayWon]:[AwayWon]], Table1[[GameIsOver]:[GameIsOver]], 1, Table1[[AwayTeam]:[AwayTeam]], $A67, Table1[[HomeTeam]:[HomeTeam]], AD$36) + SUMIFS(Table1[[HomeWon]:[HomeWon]], Table1[[GameIsOver]:[GameIsOver]], 1, Table1[[HomeTeam]:[HomeTeam]], $A67, Table1[[AwayTeam]:[AwayTeam]], AD$36))) + (SUMIFS(Table1[[HomeWon]:[HomeWon]], Table1[[GameIsOver]:[GameIsOver]], 1, Table1[[AwayTeam]:[AwayTeam]], $A67, Table1[[HomeTeam]:[HomeTeam]],  AD$36, Table1[[ActualResult]:[ActualResult]], "OT") + SUMIFS(Table1[[AwayWon]:[AwayWon]], Table1[[GameIsOver]:[GameIsOver]], 1, Table1[[HomeTeam]:[HomeTeam]], $A67, Table1[[AwayTeam]:[AwayTeam]], AD$36, Table1[[ActualResult]:[ActualResult]], "OT") + SUMIFS(Table1[[HomeWon]:[HomeWon]], Table1[[GameIsOver]:[GameIsOver]], 1, Table1[[AwayTeam]:[AwayTeam]], $A67, Table1[[HomeTeam]:[HomeTeam]], AD$36, Table1[[ActualResult]:[ActualResult]], "SO") + SUMIFS(Table1[[AwayWon]:[AwayWon]], Table1[[GameIsOver]:[GameIsOver]], 1, Table1[[HomeTeam]:[HomeTeam]], $A67, Table1[[AwayTeam]:[AwayTeam]], AD$36, Table1[[ActualResult]:[ActualResult]], "SO")))/ (2*((COUNTIFS(Table1[[GameIsOver]:[GameIsOver]],1,Table1[[AwayTeam]:[AwayTeam]],$A67, Table1[[HomeTeam]:[HomeTeam]], AD$36)))+( COUNTIFS(Table1[[GameIsOver]:[GameIsOver]],1,Table1[[AwayTeam]:[AwayTeam]],AD$36, Table1[[HomeTeam]:[HomeTeam]],$A67))), "")</f>
        <v/>
      </c>
      <c r="AE67" s="50" t="str">
        <f>IFERROR(((2 * (SUMIFS(Table1[[AwayWon]:[AwayWon]], Table1[[GameIsOver]:[GameIsOver]], 1, Table1[[AwayTeam]:[AwayTeam]], $A67, Table1[[HomeTeam]:[HomeTeam]], AE$36) + SUMIFS(Table1[[HomeWon]:[HomeWon]], Table1[[GameIsOver]:[GameIsOver]], 1, Table1[[HomeTeam]:[HomeTeam]], $A67, Table1[[AwayTeam]:[AwayTeam]], AE$36))) + (SUMIFS(Table1[[HomeWon]:[HomeWon]], Table1[[GameIsOver]:[GameIsOver]], 1, Table1[[AwayTeam]:[AwayTeam]], $A67, Table1[[HomeTeam]:[HomeTeam]],  AE$36, Table1[[ActualResult]:[ActualResult]], "OT") + SUMIFS(Table1[[AwayWon]:[AwayWon]], Table1[[GameIsOver]:[GameIsOver]], 1, Table1[[HomeTeam]:[HomeTeam]], $A67, Table1[[AwayTeam]:[AwayTeam]], AE$36, Table1[[ActualResult]:[ActualResult]], "OT") + SUMIFS(Table1[[HomeWon]:[HomeWon]], Table1[[GameIsOver]:[GameIsOver]], 1, Table1[[AwayTeam]:[AwayTeam]], $A67, Table1[[HomeTeam]:[HomeTeam]], AE$36, Table1[[ActualResult]:[ActualResult]], "SO") + SUMIFS(Table1[[AwayWon]:[AwayWon]], Table1[[GameIsOver]:[GameIsOver]], 1, Table1[[HomeTeam]:[HomeTeam]], $A67, Table1[[AwayTeam]:[AwayTeam]], AE$36, Table1[[ActualResult]:[ActualResult]], "SO")))/ (2*((COUNTIFS(Table1[[GameIsOver]:[GameIsOver]],1,Table1[[AwayTeam]:[AwayTeam]],$A67, Table1[[HomeTeam]:[HomeTeam]], AE$36)))+( COUNTIFS(Table1[[GameIsOver]:[GameIsOver]],1,Table1[[AwayTeam]:[AwayTeam]],AE$36, Table1[[HomeTeam]:[HomeTeam]],$A67))), "")</f>
        <v/>
      </c>
      <c r="AF67" s="50" t="str">
        <f>IFERROR(((2 * (SUMIFS(Table1[[AwayWon]:[AwayWon]], Table1[[GameIsOver]:[GameIsOver]], 1, Table1[[AwayTeam]:[AwayTeam]], $A67, Table1[[HomeTeam]:[HomeTeam]], AF$36) + SUMIFS(Table1[[HomeWon]:[HomeWon]], Table1[[GameIsOver]:[GameIsOver]], 1, Table1[[HomeTeam]:[HomeTeam]], $A67, Table1[[AwayTeam]:[AwayTeam]], AF$36))) + (SUMIFS(Table1[[HomeWon]:[HomeWon]], Table1[[GameIsOver]:[GameIsOver]], 1, Table1[[AwayTeam]:[AwayTeam]], $A67, Table1[[HomeTeam]:[HomeTeam]],  AF$36, Table1[[ActualResult]:[ActualResult]], "OT") + SUMIFS(Table1[[AwayWon]:[AwayWon]], Table1[[GameIsOver]:[GameIsOver]], 1, Table1[[HomeTeam]:[HomeTeam]], $A67, Table1[[AwayTeam]:[AwayTeam]], AF$36, Table1[[ActualResult]:[ActualResult]], "OT") + SUMIFS(Table1[[HomeWon]:[HomeWon]], Table1[[GameIsOver]:[GameIsOver]], 1, Table1[[AwayTeam]:[AwayTeam]], $A67, Table1[[HomeTeam]:[HomeTeam]], AF$36, Table1[[ActualResult]:[ActualResult]], "SO") + SUMIFS(Table1[[AwayWon]:[AwayWon]], Table1[[GameIsOver]:[GameIsOver]], 1, Table1[[HomeTeam]:[HomeTeam]], $A67, Table1[[AwayTeam]:[AwayTeam]], AF$36, Table1[[ActualResult]:[ActualResult]], "SO")))/ (2*((COUNTIFS(Table1[[GameIsOver]:[GameIsOver]],1,Table1[[AwayTeam]:[AwayTeam]],$A67, Table1[[HomeTeam]:[HomeTeam]], AF$36)))+( COUNTIFS(Table1[[GameIsOver]:[GameIsOver]],1,Table1[[AwayTeam]:[AwayTeam]],AF$36, Table1[[HomeTeam]:[HomeTeam]],$A67))), "")</f>
        <v/>
      </c>
      <c r="AG67" s="50" t="str">
        <f>IFERROR(((2 * (SUMIFS(Table1[[AwayWon]:[AwayWon]], Table1[[GameIsOver]:[GameIsOver]], 1, Table1[[AwayTeam]:[AwayTeam]], $A67, Table1[[HomeTeam]:[HomeTeam]], AG$36) + SUMIFS(Table1[[HomeWon]:[HomeWon]], Table1[[GameIsOver]:[GameIsOver]], 1, Table1[[HomeTeam]:[HomeTeam]], $A67, Table1[[AwayTeam]:[AwayTeam]], AG$36))) + (SUMIFS(Table1[[HomeWon]:[HomeWon]], Table1[[GameIsOver]:[GameIsOver]], 1, Table1[[AwayTeam]:[AwayTeam]], $A67, Table1[[HomeTeam]:[HomeTeam]],  AG$36, Table1[[ActualResult]:[ActualResult]], "OT") + SUMIFS(Table1[[AwayWon]:[AwayWon]], Table1[[GameIsOver]:[GameIsOver]], 1, Table1[[HomeTeam]:[HomeTeam]], $A67, Table1[[AwayTeam]:[AwayTeam]], AG$36, Table1[[ActualResult]:[ActualResult]], "OT") + SUMIFS(Table1[[HomeWon]:[HomeWon]], Table1[[GameIsOver]:[GameIsOver]], 1, Table1[[AwayTeam]:[AwayTeam]], $A67, Table1[[HomeTeam]:[HomeTeam]], AG$36, Table1[[ActualResult]:[ActualResult]], "SO") + SUMIFS(Table1[[AwayWon]:[AwayWon]], Table1[[GameIsOver]:[GameIsOver]], 1, Table1[[HomeTeam]:[HomeTeam]], $A67, Table1[[AwayTeam]:[AwayTeam]], AG$36, Table1[[ActualResult]:[ActualResult]], "SO")))/ (2*((COUNTIFS(Table1[[GameIsOver]:[GameIsOver]],1,Table1[[AwayTeam]:[AwayTeam]],$A67, Table1[[HomeTeam]:[HomeTeam]], AG$36)))+( COUNTIFS(Table1[[GameIsOver]:[GameIsOver]],1,Table1[[AwayTeam]:[AwayTeam]],AG$36, Table1[[HomeTeam]:[HomeTeam]],$A67))), "")</f>
        <v/>
      </c>
      <c r="AH67" s="51">
        <f t="shared" si="0"/>
        <v>2</v>
      </c>
      <c r="AI67" s="51" t="e">
        <f t="shared" si="1"/>
        <v>#DIV/0!</v>
      </c>
      <c r="AJ67" s="52" t="e">
        <f t="shared" si="2"/>
        <v>#DIV/0!</v>
      </c>
      <c r="AK67" s="52">
        <f t="shared" si="3"/>
        <v>2</v>
      </c>
      <c r="AL67" s="52" t="e">
        <f t="shared" si="4"/>
        <v>#DIV/0!</v>
      </c>
      <c r="AM67" s="52" t="e">
        <f t="shared" si="5"/>
        <v>#DIV/0!</v>
      </c>
    </row>
    <row r="68" spans="1:39" ht="15.75" thickBot="1" x14ac:dyDescent="0.3">
      <c r="A68" s="29" t="s">
        <v>24</v>
      </c>
      <c r="B68" s="53" t="str">
        <f>IFERROR(((2 * (SUMIFS(Table1[[AwayWon]:[AwayWon]], Table1[[GameIsOver]:[GameIsOver]], 1, Table1[[AwayTeam]:[AwayTeam]], $A68, Table1[[HomeTeam]:[HomeTeam]], B$36) + SUMIFS(Table1[[HomeWon]:[HomeWon]], Table1[[GameIsOver]:[GameIsOver]], 1, Table1[[HomeTeam]:[HomeTeam]], $A68, Table1[[AwayTeam]:[AwayTeam]], B$36))) + (SUMIFS(Table1[[HomeWon]:[HomeWon]], Table1[[GameIsOver]:[GameIsOver]], 1, Table1[[AwayTeam]:[AwayTeam]], $A68, Table1[[HomeTeam]:[HomeTeam]],  B$36, Table1[[ActualResult]:[ActualResult]], "OT") + SUMIFS(Table1[[AwayWon]:[AwayWon]], Table1[[GameIsOver]:[GameIsOver]], 1, Table1[[HomeTeam]:[HomeTeam]], $A68, Table1[[AwayTeam]:[AwayTeam]], B$36, Table1[[ActualResult]:[ActualResult]], "OT") + SUMIFS(Table1[[HomeWon]:[HomeWon]], Table1[[GameIsOver]:[GameIsOver]], 1, Table1[[AwayTeam]:[AwayTeam]], $A68, Table1[[HomeTeam]:[HomeTeam]], B$36, Table1[[ActualResult]:[ActualResult]], "SO") + SUMIFS(Table1[[AwayWon]:[AwayWon]], Table1[[GameIsOver]:[GameIsOver]], 1, Table1[[HomeTeam]:[HomeTeam]], $A68, Table1[[AwayTeam]:[AwayTeam]], B$36, Table1[[ActualResult]:[ActualResult]], "SO")))/ (2*((COUNTIFS(Table1[[GameIsOver]:[GameIsOver]],1,Table1[[AwayTeam]:[AwayTeam]],$A68, Table1[[HomeTeam]:[HomeTeam]], B$36)))+( COUNTIFS(Table1[[GameIsOver]:[GameIsOver]],1,Table1[[AwayTeam]:[AwayTeam]],B$36, Table1[[HomeTeam]:[HomeTeam]],$A68))), "")</f>
        <v/>
      </c>
      <c r="C68" s="54" t="str">
        <f>IFERROR(((2 * (SUMIFS(Table1[[AwayWon]:[AwayWon]], Table1[[GameIsOver]:[GameIsOver]], 1, Table1[[AwayTeam]:[AwayTeam]], $A68, Table1[[HomeTeam]:[HomeTeam]], C$36) + SUMIFS(Table1[[HomeWon]:[HomeWon]], Table1[[GameIsOver]:[GameIsOver]], 1, Table1[[HomeTeam]:[HomeTeam]], $A68, Table1[[AwayTeam]:[AwayTeam]], C$36))) + (SUMIFS(Table1[[HomeWon]:[HomeWon]], Table1[[GameIsOver]:[GameIsOver]], 1, Table1[[AwayTeam]:[AwayTeam]], $A68, Table1[[HomeTeam]:[HomeTeam]],  C$36, Table1[[ActualResult]:[ActualResult]], "OT") + SUMIFS(Table1[[AwayWon]:[AwayWon]], Table1[[GameIsOver]:[GameIsOver]], 1, Table1[[HomeTeam]:[HomeTeam]], $A68, Table1[[AwayTeam]:[AwayTeam]], C$36, Table1[[ActualResult]:[ActualResult]], "OT") + SUMIFS(Table1[[HomeWon]:[HomeWon]], Table1[[GameIsOver]:[GameIsOver]], 1, Table1[[AwayTeam]:[AwayTeam]], $A68, Table1[[HomeTeam]:[HomeTeam]], C$36, Table1[[ActualResult]:[ActualResult]], "SO") + SUMIFS(Table1[[AwayWon]:[AwayWon]], Table1[[GameIsOver]:[GameIsOver]], 1, Table1[[HomeTeam]:[HomeTeam]], $A68, Table1[[AwayTeam]:[AwayTeam]], C$36, Table1[[ActualResult]:[ActualResult]], "SO")))/ (2*((COUNTIFS(Table1[[GameIsOver]:[GameIsOver]],1,Table1[[AwayTeam]:[AwayTeam]],$A68, Table1[[HomeTeam]:[HomeTeam]], C$36)))+( COUNTIFS(Table1[[GameIsOver]:[GameIsOver]],1,Table1[[AwayTeam]:[AwayTeam]],C$36, Table1[[HomeTeam]:[HomeTeam]],$A68))), "")</f>
        <v/>
      </c>
      <c r="D68" s="54" t="str">
        <f>IFERROR(((2 * (SUMIFS(Table1[[AwayWon]:[AwayWon]], Table1[[GameIsOver]:[GameIsOver]], 1, Table1[[AwayTeam]:[AwayTeam]], $A68, Table1[[HomeTeam]:[HomeTeam]], D$36) + SUMIFS(Table1[[HomeWon]:[HomeWon]], Table1[[GameIsOver]:[GameIsOver]], 1, Table1[[HomeTeam]:[HomeTeam]], $A68, Table1[[AwayTeam]:[AwayTeam]], D$36))) + (SUMIFS(Table1[[HomeWon]:[HomeWon]], Table1[[GameIsOver]:[GameIsOver]], 1, Table1[[AwayTeam]:[AwayTeam]], $A68, Table1[[HomeTeam]:[HomeTeam]],  D$36, Table1[[ActualResult]:[ActualResult]], "OT") + SUMIFS(Table1[[AwayWon]:[AwayWon]], Table1[[GameIsOver]:[GameIsOver]], 1, Table1[[HomeTeam]:[HomeTeam]], $A68, Table1[[AwayTeam]:[AwayTeam]], D$36, Table1[[ActualResult]:[ActualResult]], "OT") + SUMIFS(Table1[[HomeWon]:[HomeWon]], Table1[[GameIsOver]:[GameIsOver]], 1, Table1[[AwayTeam]:[AwayTeam]], $A68, Table1[[HomeTeam]:[HomeTeam]], D$36, Table1[[ActualResult]:[ActualResult]], "SO") + SUMIFS(Table1[[AwayWon]:[AwayWon]], Table1[[GameIsOver]:[GameIsOver]], 1, Table1[[HomeTeam]:[HomeTeam]], $A68, Table1[[AwayTeam]:[AwayTeam]], D$36, Table1[[ActualResult]:[ActualResult]], "SO")))/ (2*((COUNTIFS(Table1[[GameIsOver]:[GameIsOver]],1,Table1[[AwayTeam]:[AwayTeam]],$A68, Table1[[HomeTeam]:[HomeTeam]], D$36)))+( COUNTIFS(Table1[[GameIsOver]:[GameIsOver]],1,Table1[[AwayTeam]:[AwayTeam]],D$36, Table1[[HomeTeam]:[HomeTeam]],$A68))), "")</f>
        <v/>
      </c>
      <c r="E68" s="54" t="str">
        <f>IFERROR(((2 * (SUMIFS(Table1[[AwayWon]:[AwayWon]], Table1[[GameIsOver]:[GameIsOver]], 1, Table1[[AwayTeam]:[AwayTeam]], $A68, Table1[[HomeTeam]:[HomeTeam]], E$36) + SUMIFS(Table1[[HomeWon]:[HomeWon]], Table1[[GameIsOver]:[GameIsOver]], 1, Table1[[HomeTeam]:[HomeTeam]], $A68, Table1[[AwayTeam]:[AwayTeam]], E$36))) + (SUMIFS(Table1[[HomeWon]:[HomeWon]], Table1[[GameIsOver]:[GameIsOver]], 1, Table1[[AwayTeam]:[AwayTeam]], $A68, Table1[[HomeTeam]:[HomeTeam]],  E$36, Table1[[ActualResult]:[ActualResult]], "OT") + SUMIFS(Table1[[AwayWon]:[AwayWon]], Table1[[GameIsOver]:[GameIsOver]], 1, Table1[[HomeTeam]:[HomeTeam]], $A68, Table1[[AwayTeam]:[AwayTeam]], E$36, Table1[[ActualResult]:[ActualResult]], "OT") + SUMIFS(Table1[[HomeWon]:[HomeWon]], Table1[[GameIsOver]:[GameIsOver]], 1, Table1[[AwayTeam]:[AwayTeam]], $A68, Table1[[HomeTeam]:[HomeTeam]], E$36, Table1[[ActualResult]:[ActualResult]], "SO") + SUMIFS(Table1[[AwayWon]:[AwayWon]], Table1[[GameIsOver]:[GameIsOver]], 1, Table1[[HomeTeam]:[HomeTeam]], $A68, Table1[[AwayTeam]:[AwayTeam]], E$36, Table1[[ActualResult]:[ActualResult]], "SO")))/ (2*((COUNTIFS(Table1[[GameIsOver]:[GameIsOver]],1,Table1[[AwayTeam]:[AwayTeam]],$A68, Table1[[HomeTeam]:[HomeTeam]], E$36)))+( COUNTIFS(Table1[[GameIsOver]:[GameIsOver]],1,Table1[[AwayTeam]:[AwayTeam]],E$36, Table1[[HomeTeam]:[HomeTeam]],$A68))), "")</f>
        <v/>
      </c>
      <c r="F68" s="54" t="str">
        <f>IFERROR(((2 * (SUMIFS(Table1[[AwayWon]:[AwayWon]], Table1[[GameIsOver]:[GameIsOver]], 1, Table1[[AwayTeam]:[AwayTeam]], $A68, Table1[[HomeTeam]:[HomeTeam]], F$36) + SUMIFS(Table1[[HomeWon]:[HomeWon]], Table1[[GameIsOver]:[GameIsOver]], 1, Table1[[HomeTeam]:[HomeTeam]], $A68, Table1[[AwayTeam]:[AwayTeam]], F$36))) + (SUMIFS(Table1[[HomeWon]:[HomeWon]], Table1[[GameIsOver]:[GameIsOver]], 1, Table1[[AwayTeam]:[AwayTeam]], $A68, Table1[[HomeTeam]:[HomeTeam]],  F$36, Table1[[ActualResult]:[ActualResult]], "OT") + SUMIFS(Table1[[AwayWon]:[AwayWon]], Table1[[GameIsOver]:[GameIsOver]], 1, Table1[[HomeTeam]:[HomeTeam]], $A68, Table1[[AwayTeam]:[AwayTeam]], F$36, Table1[[ActualResult]:[ActualResult]], "OT") + SUMIFS(Table1[[HomeWon]:[HomeWon]], Table1[[GameIsOver]:[GameIsOver]], 1, Table1[[AwayTeam]:[AwayTeam]], $A68, Table1[[HomeTeam]:[HomeTeam]], F$36, Table1[[ActualResult]:[ActualResult]], "SO") + SUMIFS(Table1[[AwayWon]:[AwayWon]], Table1[[GameIsOver]:[GameIsOver]], 1, Table1[[HomeTeam]:[HomeTeam]], $A68, Table1[[AwayTeam]:[AwayTeam]], F$36, Table1[[ActualResult]:[ActualResult]], "SO")))/ (2*((COUNTIFS(Table1[[GameIsOver]:[GameIsOver]],1,Table1[[AwayTeam]:[AwayTeam]],$A68, Table1[[HomeTeam]:[HomeTeam]], F$36)))+( COUNTIFS(Table1[[GameIsOver]:[GameIsOver]],1,Table1[[AwayTeam]:[AwayTeam]],F$36, Table1[[HomeTeam]:[HomeTeam]],$A68))), "")</f>
        <v/>
      </c>
      <c r="G68" s="54" t="str">
        <f>IFERROR(((2 * (SUMIFS(Table1[[AwayWon]:[AwayWon]], Table1[[GameIsOver]:[GameIsOver]], 1, Table1[[AwayTeam]:[AwayTeam]], $A68, Table1[[HomeTeam]:[HomeTeam]], G$36) + SUMIFS(Table1[[HomeWon]:[HomeWon]], Table1[[GameIsOver]:[GameIsOver]], 1, Table1[[HomeTeam]:[HomeTeam]], $A68, Table1[[AwayTeam]:[AwayTeam]], G$36))) + (SUMIFS(Table1[[HomeWon]:[HomeWon]], Table1[[GameIsOver]:[GameIsOver]], 1, Table1[[AwayTeam]:[AwayTeam]], $A68, Table1[[HomeTeam]:[HomeTeam]],  G$36, Table1[[ActualResult]:[ActualResult]], "OT") + SUMIFS(Table1[[AwayWon]:[AwayWon]], Table1[[GameIsOver]:[GameIsOver]], 1, Table1[[HomeTeam]:[HomeTeam]], $A68, Table1[[AwayTeam]:[AwayTeam]], G$36, Table1[[ActualResult]:[ActualResult]], "OT") + SUMIFS(Table1[[HomeWon]:[HomeWon]], Table1[[GameIsOver]:[GameIsOver]], 1, Table1[[AwayTeam]:[AwayTeam]], $A68, Table1[[HomeTeam]:[HomeTeam]], G$36, Table1[[ActualResult]:[ActualResult]], "SO") + SUMIFS(Table1[[AwayWon]:[AwayWon]], Table1[[GameIsOver]:[GameIsOver]], 1, Table1[[HomeTeam]:[HomeTeam]], $A68, Table1[[AwayTeam]:[AwayTeam]], G$36, Table1[[ActualResult]:[ActualResult]], "SO")))/ (2*((COUNTIFS(Table1[[GameIsOver]:[GameIsOver]],1,Table1[[AwayTeam]:[AwayTeam]],$A68, Table1[[HomeTeam]:[HomeTeam]], G$36)))+( COUNTIFS(Table1[[GameIsOver]:[GameIsOver]],1,Table1[[AwayTeam]:[AwayTeam]],G$36, Table1[[HomeTeam]:[HomeTeam]],$A68))), "")</f>
        <v/>
      </c>
      <c r="H68" s="54" t="str">
        <f>IFERROR(((2 * (SUMIFS(Table1[[AwayWon]:[AwayWon]], Table1[[GameIsOver]:[GameIsOver]], 1, Table1[[AwayTeam]:[AwayTeam]], $A68, Table1[[HomeTeam]:[HomeTeam]], H$36) + SUMIFS(Table1[[HomeWon]:[HomeWon]], Table1[[GameIsOver]:[GameIsOver]], 1, Table1[[HomeTeam]:[HomeTeam]], $A68, Table1[[AwayTeam]:[AwayTeam]], H$36))) + (SUMIFS(Table1[[HomeWon]:[HomeWon]], Table1[[GameIsOver]:[GameIsOver]], 1, Table1[[AwayTeam]:[AwayTeam]], $A68, Table1[[HomeTeam]:[HomeTeam]],  H$36, Table1[[ActualResult]:[ActualResult]], "OT") + SUMIFS(Table1[[AwayWon]:[AwayWon]], Table1[[GameIsOver]:[GameIsOver]], 1, Table1[[HomeTeam]:[HomeTeam]], $A68, Table1[[AwayTeam]:[AwayTeam]], H$36, Table1[[ActualResult]:[ActualResult]], "OT") + SUMIFS(Table1[[HomeWon]:[HomeWon]], Table1[[GameIsOver]:[GameIsOver]], 1, Table1[[AwayTeam]:[AwayTeam]], $A68, Table1[[HomeTeam]:[HomeTeam]], H$36, Table1[[ActualResult]:[ActualResult]], "SO") + SUMIFS(Table1[[AwayWon]:[AwayWon]], Table1[[GameIsOver]:[GameIsOver]], 1, Table1[[HomeTeam]:[HomeTeam]], $A68, Table1[[AwayTeam]:[AwayTeam]], H$36, Table1[[ActualResult]:[ActualResult]], "SO")))/ (2*((COUNTIFS(Table1[[GameIsOver]:[GameIsOver]],1,Table1[[AwayTeam]:[AwayTeam]],$A68, Table1[[HomeTeam]:[HomeTeam]], H$36)))+( COUNTIFS(Table1[[GameIsOver]:[GameIsOver]],1,Table1[[AwayTeam]:[AwayTeam]],H$36, Table1[[HomeTeam]:[HomeTeam]],$A68))), "")</f>
        <v/>
      </c>
      <c r="I68" s="56" t="str">
        <f>IFERROR(((2 * (SUMIFS(Table1[[AwayWon]:[AwayWon]], Table1[[GameIsOver]:[GameIsOver]], 1, Table1[[AwayTeam]:[AwayTeam]], $A68, Table1[[HomeTeam]:[HomeTeam]], I$36) + SUMIFS(Table1[[HomeWon]:[HomeWon]], Table1[[GameIsOver]:[GameIsOver]], 1, Table1[[HomeTeam]:[HomeTeam]], $A68, Table1[[AwayTeam]:[AwayTeam]], I$36))) + (SUMIFS(Table1[[HomeWon]:[HomeWon]], Table1[[GameIsOver]:[GameIsOver]], 1, Table1[[AwayTeam]:[AwayTeam]], $A68, Table1[[HomeTeam]:[HomeTeam]],  I$36, Table1[[ActualResult]:[ActualResult]], "OT") + SUMIFS(Table1[[AwayWon]:[AwayWon]], Table1[[GameIsOver]:[GameIsOver]], 1, Table1[[HomeTeam]:[HomeTeam]], $A68, Table1[[AwayTeam]:[AwayTeam]], I$36, Table1[[ActualResult]:[ActualResult]], "OT") + SUMIFS(Table1[[HomeWon]:[HomeWon]], Table1[[GameIsOver]:[GameIsOver]], 1, Table1[[AwayTeam]:[AwayTeam]], $A68, Table1[[HomeTeam]:[HomeTeam]], I$36, Table1[[ActualResult]:[ActualResult]], "SO") + SUMIFS(Table1[[AwayWon]:[AwayWon]], Table1[[GameIsOver]:[GameIsOver]], 1, Table1[[HomeTeam]:[HomeTeam]], $A68, Table1[[AwayTeam]:[AwayTeam]], I$36, Table1[[ActualResult]:[ActualResult]], "SO")))/ (2*((COUNTIFS(Table1[[GameIsOver]:[GameIsOver]],1,Table1[[AwayTeam]:[AwayTeam]],$A68, Table1[[HomeTeam]:[HomeTeam]], I$36)))+( COUNTIFS(Table1[[GameIsOver]:[GameIsOver]],1,Table1[[AwayTeam]:[AwayTeam]],I$36, Table1[[HomeTeam]:[HomeTeam]],$A68))), "")</f>
        <v/>
      </c>
      <c r="J68" s="54" t="str">
        <f>IFERROR(((2 * (SUMIFS(Table1[[AwayWon]:[AwayWon]], Table1[[GameIsOver]:[GameIsOver]], 1, Table1[[AwayTeam]:[AwayTeam]], $A68, Table1[[HomeTeam]:[HomeTeam]], J$36) + SUMIFS(Table1[[HomeWon]:[HomeWon]], Table1[[GameIsOver]:[GameIsOver]], 1, Table1[[HomeTeam]:[HomeTeam]], $A68, Table1[[AwayTeam]:[AwayTeam]], J$36))) + (SUMIFS(Table1[[HomeWon]:[HomeWon]], Table1[[GameIsOver]:[GameIsOver]], 1, Table1[[AwayTeam]:[AwayTeam]], $A68, Table1[[HomeTeam]:[HomeTeam]],  J$36, Table1[[ActualResult]:[ActualResult]], "OT") + SUMIFS(Table1[[AwayWon]:[AwayWon]], Table1[[GameIsOver]:[GameIsOver]], 1, Table1[[HomeTeam]:[HomeTeam]], $A68, Table1[[AwayTeam]:[AwayTeam]], J$36, Table1[[ActualResult]:[ActualResult]], "OT") + SUMIFS(Table1[[HomeWon]:[HomeWon]], Table1[[GameIsOver]:[GameIsOver]], 1, Table1[[AwayTeam]:[AwayTeam]], $A68, Table1[[HomeTeam]:[HomeTeam]], J$36, Table1[[ActualResult]:[ActualResult]], "SO") + SUMIFS(Table1[[AwayWon]:[AwayWon]], Table1[[GameIsOver]:[GameIsOver]], 1, Table1[[HomeTeam]:[HomeTeam]], $A68, Table1[[AwayTeam]:[AwayTeam]], J$36, Table1[[ActualResult]:[ActualResult]], "SO")))/ (2*((COUNTIFS(Table1[[GameIsOver]:[GameIsOver]],1,Table1[[AwayTeam]:[AwayTeam]],$A68, Table1[[HomeTeam]:[HomeTeam]], J$36)))+( COUNTIFS(Table1[[GameIsOver]:[GameIsOver]],1,Table1[[AwayTeam]:[AwayTeam]],J$36, Table1[[HomeTeam]:[HomeTeam]],$A68))), "")</f>
        <v/>
      </c>
      <c r="K68" s="54" t="str">
        <f>IFERROR(((2 * (SUMIFS(Table1[[AwayWon]:[AwayWon]], Table1[[GameIsOver]:[GameIsOver]], 1, Table1[[AwayTeam]:[AwayTeam]], $A68, Table1[[HomeTeam]:[HomeTeam]], K$36) + SUMIFS(Table1[[HomeWon]:[HomeWon]], Table1[[GameIsOver]:[GameIsOver]], 1, Table1[[HomeTeam]:[HomeTeam]], $A68, Table1[[AwayTeam]:[AwayTeam]], K$36))) + (SUMIFS(Table1[[HomeWon]:[HomeWon]], Table1[[GameIsOver]:[GameIsOver]], 1, Table1[[AwayTeam]:[AwayTeam]], $A68, Table1[[HomeTeam]:[HomeTeam]],  K$36, Table1[[ActualResult]:[ActualResult]], "OT") + SUMIFS(Table1[[AwayWon]:[AwayWon]], Table1[[GameIsOver]:[GameIsOver]], 1, Table1[[HomeTeam]:[HomeTeam]], $A68, Table1[[AwayTeam]:[AwayTeam]], K$36, Table1[[ActualResult]:[ActualResult]], "OT") + SUMIFS(Table1[[HomeWon]:[HomeWon]], Table1[[GameIsOver]:[GameIsOver]], 1, Table1[[AwayTeam]:[AwayTeam]], $A68, Table1[[HomeTeam]:[HomeTeam]], K$36, Table1[[ActualResult]:[ActualResult]], "SO") + SUMIFS(Table1[[AwayWon]:[AwayWon]], Table1[[GameIsOver]:[GameIsOver]], 1, Table1[[HomeTeam]:[HomeTeam]], $A68, Table1[[AwayTeam]:[AwayTeam]], K$36, Table1[[ActualResult]:[ActualResult]], "SO")))/ (2*((COUNTIFS(Table1[[GameIsOver]:[GameIsOver]],1,Table1[[AwayTeam]:[AwayTeam]],$A68, Table1[[HomeTeam]:[HomeTeam]], K$36)))+( COUNTIFS(Table1[[GameIsOver]:[GameIsOver]],1,Table1[[AwayTeam]:[AwayTeam]],K$36, Table1[[HomeTeam]:[HomeTeam]],$A68))), "")</f>
        <v/>
      </c>
      <c r="L68" s="54" t="str">
        <f>IFERROR(((2 * (SUMIFS(Table1[[AwayWon]:[AwayWon]], Table1[[GameIsOver]:[GameIsOver]], 1, Table1[[AwayTeam]:[AwayTeam]], $A68, Table1[[HomeTeam]:[HomeTeam]], L$36) + SUMIFS(Table1[[HomeWon]:[HomeWon]], Table1[[GameIsOver]:[GameIsOver]], 1, Table1[[HomeTeam]:[HomeTeam]], $A68, Table1[[AwayTeam]:[AwayTeam]], L$36))) + (SUMIFS(Table1[[HomeWon]:[HomeWon]], Table1[[GameIsOver]:[GameIsOver]], 1, Table1[[AwayTeam]:[AwayTeam]], $A68, Table1[[HomeTeam]:[HomeTeam]],  L$36, Table1[[ActualResult]:[ActualResult]], "OT") + SUMIFS(Table1[[AwayWon]:[AwayWon]], Table1[[GameIsOver]:[GameIsOver]], 1, Table1[[HomeTeam]:[HomeTeam]], $A68, Table1[[AwayTeam]:[AwayTeam]], L$36, Table1[[ActualResult]:[ActualResult]], "OT") + SUMIFS(Table1[[HomeWon]:[HomeWon]], Table1[[GameIsOver]:[GameIsOver]], 1, Table1[[AwayTeam]:[AwayTeam]], $A68, Table1[[HomeTeam]:[HomeTeam]], L$36, Table1[[ActualResult]:[ActualResult]], "SO") + SUMIFS(Table1[[AwayWon]:[AwayWon]], Table1[[GameIsOver]:[GameIsOver]], 1, Table1[[HomeTeam]:[HomeTeam]], $A68, Table1[[AwayTeam]:[AwayTeam]], L$36, Table1[[ActualResult]:[ActualResult]], "SO")))/ (2*((COUNTIFS(Table1[[GameIsOver]:[GameIsOver]],1,Table1[[AwayTeam]:[AwayTeam]],$A68, Table1[[HomeTeam]:[HomeTeam]], L$36)))+( COUNTIFS(Table1[[GameIsOver]:[GameIsOver]],1,Table1[[AwayTeam]:[AwayTeam]],L$36, Table1[[HomeTeam]:[HomeTeam]],$A68))), "")</f>
        <v/>
      </c>
      <c r="M68" s="54">
        <f>IFERROR(((2 * (SUMIFS(Table1[[AwayWon]:[AwayWon]], Table1[[GameIsOver]:[GameIsOver]], 1, Table1[[AwayTeam]:[AwayTeam]], $A68, Table1[[HomeTeam]:[HomeTeam]], M$36) + SUMIFS(Table1[[HomeWon]:[HomeWon]], Table1[[GameIsOver]:[GameIsOver]], 1, Table1[[HomeTeam]:[HomeTeam]], $A68, Table1[[AwayTeam]:[AwayTeam]], M$36))) + (SUMIFS(Table1[[HomeWon]:[HomeWon]], Table1[[GameIsOver]:[GameIsOver]], 1, Table1[[AwayTeam]:[AwayTeam]], $A68, Table1[[HomeTeam]:[HomeTeam]],  M$36, Table1[[ActualResult]:[ActualResult]], "OT") + SUMIFS(Table1[[AwayWon]:[AwayWon]], Table1[[GameIsOver]:[GameIsOver]], 1, Table1[[HomeTeam]:[HomeTeam]], $A68, Table1[[AwayTeam]:[AwayTeam]], M$36, Table1[[ActualResult]:[ActualResult]], "OT") + SUMIFS(Table1[[HomeWon]:[HomeWon]], Table1[[GameIsOver]:[GameIsOver]], 1, Table1[[AwayTeam]:[AwayTeam]], $A68, Table1[[HomeTeam]:[HomeTeam]], M$36, Table1[[ActualResult]:[ActualResult]], "SO") + SUMIFS(Table1[[AwayWon]:[AwayWon]], Table1[[GameIsOver]:[GameIsOver]], 1, Table1[[HomeTeam]:[HomeTeam]], $A68, Table1[[AwayTeam]:[AwayTeam]], M$36, Table1[[ActualResult]:[ActualResult]], "SO")))/ (2*((COUNTIFS(Table1[[GameIsOver]:[GameIsOver]],1,Table1[[AwayTeam]:[AwayTeam]],$A68, Table1[[HomeTeam]:[HomeTeam]], M$36)))+( COUNTIFS(Table1[[GameIsOver]:[GameIsOver]],1,Table1[[AwayTeam]:[AwayTeam]],M$36, Table1[[HomeTeam]:[HomeTeam]],$A68))), "")</f>
        <v>1</v>
      </c>
      <c r="N68" s="54" t="str">
        <f>IFERROR(((2 * (SUMIFS(Table1[[AwayWon]:[AwayWon]], Table1[[GameIsOver]:[GameIsOver]], 1, Table1[[AwayTeam]:[AwayTeam]], $A68, Table1[[HomeTeam]:[HomeTeam]], N$36) + SUMIFS(Table1[[HomeWon]:[HomeWon]], Table1[[GameIsOver]:[GameIsOver]], 1, Table1[[HomeTeam]:[HomeTeam]], $A68, Table1[[AwayTeam]:[AwayTeam]], N$36))) + (SUMIFS(Table1[[HomeWon]:[HomeWon]], Table1[[GameIsOver]:[GameIsOver]], 1, Table1[[AwayTeam]:[AwayTeam]], $A68, Table1[[HomeTeam]:[HomeTeam]],  N$36, Table1[[ActualResult]:[ActualResult]], "OT") + SUMIFS(Table1[[AwayWon]:[AwayWon]], Table1[[GameIsOver]:[GameIsOver]], 1, Table1[[HomeTeam]:[HomeTeam]], $A68, Table1[[AwayTeam]:[AwayTeam]], N$36, Table1[[ActualResult]:[ActualResult]], "OT") + SUMIFS(Table1[[HomeWon]:[HomeWon]], Table1[[GameIsOver]:[GameIsOver]], 1, Table1[[AwayTeam]:[AwayTeam]], $A68, Table1[[HomeTeam]:[HomeTeam]], N$36, Table1[[ActualResult]:[ActualResult]], "SO") + SUMIFS(Table1[[AwayWon]:[AwayWon]], Table1[[GameIsOver]:[GameIsOver]], 1, Table1[[HomeTeam]:[HomeTeam]], $A68, Table1[[AwayTeam]:[AwayTeam]], N$36, Table1[[ActualResult]:[ActualResult]], "SO")))/ (2*((COUNTIFS(Table1[[GameIsOver]:[GameIsOver]],1,Table1[[AwayTeam]:[AwayTeam]],$A68, Table1[[HomeTeam]:[HomeTeam]], N$36)))+( COUNTIFS(Table1[[GameIsOver]:[GameIsOver]],1,Table1[[AwayTeam]:[AwayTeam]],N$36, Table1[[HomeTeam]:[HomeTeam]],$A68))), "")</f>
        <v/>
      </c>
      <c r="O68" s="54" t="str">
        <f>IFERROR(((2 * (SUMIFS(Table1[[AwayWon]:[AwayWon]], Table1[[GameIsOver]:[GameIsOver]], 1, Table1[[AwayTeam]:[AwayTeam]], $A68, Table1[[HomeTeam]:[HomeTeam]], O$36) + SUMIFS(Table1[[HomeWon]:[HomeWon]], Table1[[GameIsOver]:[GameIsOver]], 1, Table1[[HomeTeam]:[HomeTeam]], $A68, Table1[[AwayTeam]:[AwayTeam]], O$36))) + (SUMIFS(Table1[[HomeWon]:[HomeWon]], Table1[[GameIsOver]:[GameIsOver]], 1, Table1[[AwayTeam]:[AwayTeam]], $A68, Table1[[HomeTeam]:[HomeTeam]],  O$36, Table1[[ActualResult]:[ActualResult]], "OT") + SUMIFS(Table1[[AwayWon]:[AwayWon]], Table1[[GameIsOver]:[GameIsOver]], 1, Table1[[HomeTeam]:[HomeTeam]], $A68, Table1[[AwayTeam]:[AwayTeam]], O$36, Table1[[ActualResult]:[ActualResult]], "OT") + SUMIFS(Table1[[HomeWon]:[HomeWon]], Table1[[GameIsOver]:[GameIsOver]], 1, Table1[[AwayTeam]:[AwayTeam]], $A68, Table1[[HomeTeam]:[HomeTeam]], O$36, Table1[[ActualResult]:[ActualResult]], "SO") + SUMIFS(Table1[[AwayWon]:[AwayWon]], Table1[[GameIsOver]:[GameIsOver]], 1, Table1[[HomeTeam]:[HomeTeam]], $A68, Table1[[AwayTeam]:[AwayTeam]], O$36, Table1[[ActualResult]:[ActualResult]], "SO")))/ (2*((COUNTIFS(Table1[[GameIsOver]:[GameIsOver]],1,Table1[[AwayTeam]:[AwayTeam]],$A68, Table1[[HomeTeam]:[HomeTeam]], O$36)))+( COUNTIFS(Table1[[GameIsOver]:[GameIsOver]],1,Table1[[AwayTeam]:[AwayTeam]],O$36, Table1[[HomeTeam]:[HomeTeam]],$A68))), "")</f>
        <v/>
      </c>
      <c r="P68" s="54" t="str">
        <f>IFERROR(((2 * (SUMIFS(Table1[[AwayWon]:[AwayWon]], Table1[[GameIsOver]:[GameIsOver]], 1, Table1[[AwayTeam]:[AwayTeam]], $A68, Table1[[HomeTeam]:[HomeTeam]], P$36) + SUMIFS(Table1[[HomeWon]:[HomeWon]], Table1[[GameIsOver]:[GameIsOver]], 1, Table1[[HomeTeam]:[HomeTeam]], $A68, Table1[[AwayTeam]:[AwayTeam]], P$36))) + (SUMIFS(Table1[[HomeWon]:[HomeWon]], Table1[[GameIsOver]:[GameIsOver]], 1, Table1[[AwayTeam]:[AwayTeam]], $A68, Table1[[HomeTeam]:[HomeTeam]],  P$36, Table1[[ActualResult]:[ActualResult]], "OT") + SUMIFS(Table1[[AwayWon]:[AwayWon]], Table1[[GameIsOver]:[GameIsOver]], 1, Table1[[HomeTeam]:[HomeTeam]], $A68, Table1[[AwayTeam]:[AwayTeam]], P$36, Table1[[ActualResult]:[ActualResult]], "OT") + SUMIFS(Table1[[HomeWon]:[HomeWon]], Table1[[GameIsOver]:[GameIsOver]], 1, Table1[[AwayTeam]:[AwayTeam]], $A68, Table1[[HomeTeam]:[HomeTeam]], P$36, Table1[[ActualResult]:[ActualResult]], "SO") + SUMIFS(Table1[[AwayWon]:[AwayWon]], Table1[[GameIsOver]:[GameIsOver]], 1, Table1[[HomeTeam]:[HomeTeam]], $A68, Table1[[AwayTeam]:[AwayTeam]], P$36, Table1[[ActualResult]:[ActualResult]], "SO")))/ (2*((COUNTIFS(Table1[[GameIsOver]:[GameIsOver]],1,Table1[[AwayTeam]:[AwayTeam]],$A68, Table1[[HomeTeam]:[HomeTeam]], P$36)))+( COUNTIFS(Table1[[GameIsOver]:[GameIsOver]],1,Table1[[AwayTeam]:[AwayTeam]],P$36, Table1[[HomeTeam]:[HomeTeam]],$A68))), "")</f>
        <v/>
      </c>
      <c r="Q68" s="56" t="str">
        <f>IFERROR(((2 * (SUMIFS(Table1[[AwayWon]:[AwayWon]], Table1[[GameIsOver]:[GameIsOver]], 1, Table1[[AwayTeam]:[AwayTeam]], $A68, Table1[[HomeTeam]:[HomeTeam]], Q$36) + SUMIFS(Table1[[HomeWon]:[HomeWon]], Table1[[GameIsOver]:[GameIsOver]], 1, Table1[[HomeTeam]:[HomeTeam]], $A68, Table1[[AwayTeam]:[AwayTeam]], Q$36))) + (SUMIFS(Table1[[HomeWon]:[HomeWon]], Table1[[GameIsOver]:[GameIsOver]], 1, Table1[[AwayTeam]:[AwayTeam]], $A68, Table1[[HomeTeam]:[HomeTeam]],  Q$36, Table1[[ActualResult]:[ActualResult]], "OT") + SUMIFS(Table1[[AwayWon]:[AwayWon]], Table1[[GameIsOver]:[GameIsOver]], 1, Table1[[HomeTeam]:[HomeTeam]], $A68, Table1[[AwayTeam]:[AwayTeam]], Q$36, Table1[[ActualResult]:[ActualResult]], "OT") + SUMIFS(Table1[[HomeWon]:[HomeWon]], Table1[[GameIsOver]:[GameIsOver]], 1, Table1[[AwayTeam]:[AwayTeam]], $A68, Table1[[HomeTeam]:[HomeTeam]], Q$36, Table1[[ActualResult]:[ActualResult]], "SO") + SUMIFS(Table1[[AwayWon]:[AwayWon]], Table1[[GameIsOver]:[GameIsOver]], 1, Table1[[HomeTeam]:[HomeTeam]], $A68, Table1[[AwayTeam]:[AwayTeam]], Q$36, Table1[[ActualResult]:[ActualResult]], "SO")))/ (2*((COUNTIFS(Table1[[GameIsOver]:[GameIsOver]],1,Table1[[AwayTeam]:[AwayTeam]],$A68, Table1[[HomeTeam]:[HomeTeam]], Q$36)))+( COUNTIFS(Table1[[GameIsOver]:[GameIsOver]],1,Table1[[AwayTeam]:[AwayTeam]],Q$36, Table1[[HomeTeam]:[HomeTeam]],$A68))), "")</f>
        <v/>
      </c>
      <c r="R68" s="54" t="str">
        <f>IFERROR(((2 * (SUMIFS(Table1[[AwayWon]:[AwayWon]], Table1[[GameIsOver]:[GameIsOver]], 1, Table1[[AwayTeam]:[AwayTeam]], $A68, Table1[[HomeTeam]:[HomeTeam]], R$36) + SUMIFS(Table1[[HomeWon]:[HomeWon]], Table1[[GameIsOver]:[GameIsOver]], 1, Table1[[HomeTeam]:[HomeTeam]], $A68, Table1[[AwayTeam]:[AwayTeam]], R$36))) + (SUMIFS(Table1[[HomeWon]:[HomeWon]], Table1[[GameIsOver]:[GameIsOver]], 1, Table1[[AwayTeam]:[AwayTeam]], $A68, Table1[[HomeTeam]:[HomeTeam]],  R$36, Table1[[ActualResult]:[ActualResult]], "OT") + SUMIFS(Table1[[AwayWon]:[AwayWon]], Table1[[GameIsOver]:[GameIsOver]], 1, Table1[[HomeTeam]:[HomeTeam]], $A68, Table1[[AwayTeam]:[AwayTeam]], R$36, Table1[[ActualResult]:[ActualResult]], "OT") + SUMIFS(Table1[[HomeWon]:[HomeWon]], Table1[[GameIsOver]:[GameIsOver]], 1, Table1[[AwayTeam]:[AwayTeam]], $A68, Table1[[HomeTeam]:[HomeTeam]], R$36, Table1[[ActualResult]:[ActualResult]], "SO") + SUMIFS(Table1[[AwayWon]:[AwayWon]], Table1[[GameIsOver]:[GameIsOver]], 1, Table1[[HomeTeam]:[HomeTeam]], $A68, Table1[[AwayTeam]:[AwayTeam]], R$36, Table1[[ActualResult]:[ActualResult]], "SO")))/ (2*((COUNTIFS(Table1[[GameIsOver]:[GameIsOver]],1,Table1[[AwayTeam]:[AwayTeam]],$A68, Table1[[HomeTeam]:[HomeTeam]], R$36)))+( COUNTIFS(Table1[[GameIsOver]:[GameIsOver]],1,Table1[[AwayTeam]:[AwayTeam]],R$36, Table1[[HomeTeam]:[HomeTeam]],$A68))), "")</f>
        <v/>
      </c>
      <c r="S68" s="54" t="str">
        <f>IFERROR(((2 * (SUMIFS(Table1[[AwayWon]:[AwayWon]], Table1[[GameIsOver]:[GameIsOver]], 1, Table1[[AwayTeam]:[AwayTeam]], $A68, Table1[[HomeTeam]:[HomeTeam]], S$36) + SUMIFS(Table1[[HomeWon]:[HomeWon]], Table1[[GameIsOver]:[GameIsOver]], 1, Table1[[HomeTeam]:[HomeTeam]], $A68, Table1[[AwayTeam]:[AwayTeam]], S$36))) + (SUMIFS(Table1[[HomeWon]:[HomeWon]], Table1[[GameIsOver]:[GameIsOver]], 1, Table1[[AwayTeam]:[AwayTeam]], $A68, Table1[[HomeTeam]:[HomeTeam]],  S$36, Table1[[ActualResult]:[ActualResult]], "OT") + SUMIFS(Table1[[AwayWon]:[AwayWon]], Table1[[GameIsOver]:[GameIsOver]], 1, Table1[[HomeTeam]:[HomeTeam]], $A68, Table1[[AwayTeam]:[AwayTeam]], S$36, Table1[[ActualResult]:[ActualResult]], "OT") + SUMIFS(Table1[[HomeWon]:[HomeWon]], Table1[[GameIsOver]:[GameIsOver]], 1, Table1[[AwayTeam]:[AwayTeam]], $A68, Table1[[HomeTeam]:[HomeTeam]], S$36, Table1[[ActualResult]:[ActualResult]], "SO") + SUMIFS(Table1[[AwayWon]:[AwayWon]], Table1[[GameIsOver]:[GameIsOver]], 1, Table1[[HomeTeam]:[HomeTeam]], $A68, Table1[[AwayTeam]:[AwayTeam]], S$36, Table1[[ActualResult]:[ActualResult]], "SO")))/ (2*((COUNTIFS(Table1[[GameIsOver]:[GameIsOver]],1,Table1[[AwayTeam]:[AwayTeam]],$A68, Table1[[HomeTeam]:[HomeTeam]], S$36)))+( COUNTIFS(Table1[[GameIsOver]:[GameIsOver]],1,Table1[[AwayTeam]:[AwayTeam]],S$36, Table1[[HomeTeam]:[HomeTeam]],$A68))), "")</f>
        <v/>
      </c>
      <c r="T68" s="54" t="str">
        <f>IFERROR(((2 * (SUMIFS(Table1[[AwayWon]:[AwayWon]], Table1[[GameIsOver]:[GameIsOver]], 1, Table1[[AwayTeam]:[AwayTeam]], $A68, Table1[[HomeTeam]:[HomeTeam]], T$36) + SUMIFS(Table1[[HomeWon]:[HomeWon]], Table1[[GameIsOver]:[GameIsOver]], 1, Table1[[HomeTeam]:[HomeTeam]], $A68, Table1[[AwayTeam]:[AwayTeam]], T$36))) + (SUMIFS(Table1[[HomeWon]:[HomeWon]], Table1[[GameIsOver]:[GameIsOver]], 1, Table1[[AwayTeam]:[AwayTeam]], $A68, Table1[[HomeTeam]:[HomeTeam]],  T$36, Table1[[ActualResult]:[ActualResult]], "OT") + SUMIFS(Table1[[AwayWon]:[AwayWon]], Table1[[GameIsOver]:[GameIsOver]], 1, Table1[[HomeTeam]:[HomeTeam]], $A68, Table1[[AwayTeam]:[AwayTeam]], T$36, Table1[[ActualResult]:[ActualResult]], "OT") + SUMIFS(Table1[[HomeWon]:[HomeWon]], Table1[[GameIsOver]:[GameIsOver]], 1, Table1[[AwayTeam]:[AwayTeam]], $A68, Table1[[HomeTeam]:[HomeTeam]], T$36, Table1[[ActualResult]:[ActualResult]], "SO") + SUMIFS(Table1[[AwayWon]:[AwayWon]], Table1[[GameIsOver]:[GameIsOver]], 1, Table1[[HomeTeam]:[HomeTeam]], $A68, Table1[[AwayTeam]:[AwayTeam]], T$36, Table1[[ActualResult]:[ActualResult]], "SO")))/ (2*((COUNTIFS(Table1[[GameIsOver]:[GameIsOver]],1,Table1[[AwayTeam]:[AwayTeam]],$A68, Table1[[HomeTeam]:[HomeTeam]], T$36)))+( COUNTIFS(Table1[[GameIsOver]:[GameIsOver]],1,Table1[[AwayTeam]:[AwayTeam]],T$36, Table1[[HomeTeam]:[HomeTeam]],$A68))), "")</f>
        <v/>
      </c>
      <c r="U68" s="54" t="str">
        <f>IFERROR(((2 * (SUMIFS(Table1[[AwayWon]:[AwayWon]], Table1[[GameIsOver]:[GameIsOver]], 1, Table1[[AwayTeam]:[AwayTeam]], $A68, Table1[[HomeTeam]:[HomeTeam]], U$36) + SUMIFS(Table1[[HomeWon]:[HomeWon]], Table1[[GameIsOver]:[GameIsOver]], 1, Table1[[HomeTeam]:[HomeTeam]], $A68, Table1[[AwayTeam]:[AwayTeam]], U$36))) + (SUMIFS(Table1[[HomeWon]:[HomeWon]], Table1[[GameIsOver]:[GameIsOver]], 1, Table1[[AwayTeam]:[AwayTeam]], $A68, Table1[[HomeTeam]:[HomeTeam]],  U$36, Table1[[ActualResult]:[ActualResult]], "OT") + SUMIFS(Table1[[AwayWon]:[AwayWon]], Table1[[GameIsOver]:[GameIsOver]], 1, Table1[[HomeTeam]:[HomeTeam]], $A68, Table1[[AwayTeam]:[AwayTeam]], U$36, Table1[[ActualResult]:[ActualResult]], "OT") + SUMIFS(Table1[[HomeWon]:[HomeWon]], Table1[[GameIsOver]:[GameIsOver]], 1, Table1[[AwayTeam]:[AwayTeam]], $A68, Table1[[HomeTeam]:[HomeTeam]], U$36, Table1[[ActualResult]:[ActualResult]], "SO") + SUMIFS(Table1[[AwayWon]:[AwayWon]], Table1[[GameIsOver]:[GameIsOver]], 1, Table1[[HomeTeam]:[HomeTeam]], $A68, Table1[[AwayTeam]:[AwayTeam]], U$36, Table1[[ActualResult]:[ActualResult]], "SO")))/ (2*((COUNTIFS(Table1[[GameIsOver]:[GameIsOver]],1,Table1[[AwayTeam]:[AwayTeam]],$A68, Table1[[HomeTeam]:[HomeTeam]], U$36)))+( COUNTIFS(Table1[[GameIsOver]:[GameIsOver]],1,Table1[[AwayTeam]:[AwayTeam]],U$36, Table1[[HomeTeam]:[HomeTeam]],$A68))), "")</f>
        <v/>
      </c>
      <c r="V68" s="54" t="str">
        <f>IFERROR(((2 * (SUMIFS(Table1[[AwayWon]:[AwayWon]], Table1[[GameIsOver]:[GameIsOver]], 1, Table1[[AwayTeam]:[AwayTeam]], $A68, Table1[[HomeTeam]:[HomeTeam]], V$36) + SUMIFS(Table1[[HomeWon]:[HomeWon]], Table1[[GameIsOver]:[GameIsOver]], 1, Table1[[HomeTeam]:[HomeTeam]], $A68, Table1[[AwayTeam]:[AwayTeam]], V$36))) + (SUMIFS(Table1[[HomeWon]:[HomeWon]], Table1[[GameIsOver]:[GameIsOver]], 1, Table1[[AwayTeam]:[AwayTeam]], $A68, Table1[[HomeTeam]:[HomeTeam]],  V$36, Table1[[ActualResult]:[ActualResult]], "OT") + SUMIFS(Table1[[AwayWon]:[AwayWon]], Table1[[GameIsOver]:[GameIsOver]], 1, Table1[[HomeTeam]:[HomeTeam]], $A68, Table1[[AwayTeam]:[AwayTeam]], V$36, Table1[[ActualResult]:[ActualResult]], "OT") + SUMIFS(Table1[[HomeWon]:[HomeWon]], Table1[[GameIsOver]:[GameIsOver]], 1, Table1[[AwayTeam]:[AwayTeam]], $A68, Table1[[HomeTeam]:[HomeTeam]], V$36, Table1[[ActualResult]:[ActualResult]], "SO") + SUMIFS(Table1[[AwayWon]:[AwayWon]], Table1[[GameIsOver]:[GameIsOver]], 1, Table1[[HomeTeam]:[HomeTeam]], $A68, Table1[[AwayTeam]:[AwayTeam]], V$36, Table1[[ActualResult]:[ActualResult]], "SO")))/ (2*((COUNTIFS(Table1[[GameIsOver]:[GameIsOver]],1,Table1[[AwayTeam]:[AwayTeam]],$A68, Table1[[HomeTeam]:[HomeTeam]], V$36)))+( COUNTIFS(Table1[[GameIsOver]:[GameIsOver]],1,Table1[[AwayTeam]:[AwayTeam]],V$36, Table1[[HomeTeam]:[HomeTeam]],$A68))), "")</f>
        <v/>
      </c>
      <c r="W68" s="54" t="str">
        <f>IFERROR(((2 * (SUMIFS(Table1[[AwayWon]:[AwayWon]], Table1[[GameIsOver]:[GameIsOver]], 1, Table1[[AwayTeam]:[AwayTeam]], $A68, Table1[[HomeTeam]:[HomeTeam]], W$36) + SUMIFS(Table1[[HomeWon]:[HomeWon]], Table1[[GameIsOver]:[GameIsOver]], 1, Table1[[HomeTeam]:[HomeTeam]], $A68, Table1[[AwayTeam]:[AwayTeam]], W$36))) + (SUMIFS(Table1[[HomeWon]:[HomeWon]], Table1[[GameIsOver]:[GameIsOver]], 1, Table1[[AwayTeam]:[AwayTeam]], $A68, Table1[[HomeTeam]:[HomeTeam]],  W$36, Table1[[ActualResult]:[ActualResult]], "OT") + SUMIFS(Table1[[AwayWon]:[AwayWon]], Table1[[GameIsOver]:[GameIsOver]], 1, Table1[[HomeTeam]:[HomeTeam]], $A68, Table1[[AwayTeam]:[AwayTeam]], W$36, Table1[[ActualResult]:[ActualResult]], "OT") + SUMIFS(Table1[[HomeWon]:[HomeWon]], Table1[[GameIsOver]:[GameIsOver]], 1, Table1[[AwayTeam]:[AwayTeam]], $A68, Table1[[HomeTeam]:[HomeTeam]], W$36, Table1[[ActualResult]:[ActualResult]], "SO") + SUMIFS(Table1[[AwayWon]:[AwayWon]], Table1[[GameIsOver]:[GameIsOver]], 1, Table1[[HomeTeam]:[HomeTeam]], $A68, Table1[[AwayTeam]:[AwayTeam]], W$36, Table1[[ActualResult]:[ActualResult]], "SO")))/ (2*((COUNTIFS(Table1[[GameIsOver]:[GameIsOver]],1,Table1[[AwayTeam]:[AwayTeam]],$A68, Table1[[HomeTeam]:[HomeTeam]], W$36)))+( COUNTIFS(Table1[[GameIsOver]:[GameIsOver]],1,Table1[[AwayTeam]:[AwayTeam]],W$36, Table1[[HomeTeam]:[HomeTeam]],$A68))), "")</f>
        <v/>
      </c>
      <c r="X68" s="54" t="str">
        <f>IFERROR(((2 * (SUMIFS(Table1[[AwayWon]:[AwayWon]], Table1[[GameIsOver]:[GameIsOver]], 1, Table1[[AwayTeam]:[AwayTeam]], $A68, Table1[[HomeTeam]:[HomeTeam]], X$36) + SUMIFS(Table1[[HomeWon]:[HomeWon]], Table1[[GameIsOver]:[GameIsOver]], 1, Table1[[HomeTeam]:[HomeTeam]], $A68, Table1[[AwayTeam]:[AwayTeam]], X$36))) + (SUMIFS(Table1[[HomeWon]:[HomeWon]], Table1[[GameIsOver]:[GameIsOver]], 1, Table1[[AwayTeam]:[AwayTeam]], $A68, Table1[[HomeTeam]:[HomeTeam]],  X$36, Table1[[ActualResult]:[ActualResult]], "OT") + SUMIFS(Table1[[AwayWon]:[AwayWon]], Table1[[GameIsOver]:[GameIsOver]], 1, Table1[[HomeTeam]:[HomeTeam]], $A68, Table1[[AwayTeam]:[AwayTeam]], X$36, Table1[[ActualResult]:[ActualResult]], "OT") + SUMIFS(Table1[[HomeWon]:[HomeWon]], Table1[[GameIsOver]:[GameIsOver]], 1, Table1[[AwayTeam]:[AwayTeam]], $A68, Table1[[HomeTeam]:[HomeTeam]], X$36, Table1[[ActualResult]:[ActualResult]], "SO") + SUMIFS(Table1[[AwayWon]:[AwayWon]], Table1[[GameIsOver]:[GameIsOver]], 1, Table1[[HomeTeam]:[HomeTeam]], $A68, Table1[[AwayTeam]:[AwayTeam]], X$36, Table1[[ActualResult]:[ActualResult]], "SO")))/ (2*((COUNTIFS(Table1[[GameIsOver]:[GameIsOver]],1,Table1[[AwayTeam]:[AwayTeam]],$A68, Table1[[HomeTeam]:[HomeTeam]], X$36)))+( COUNTIFS(Table1[[GameIsOver]:[GameIsOver]],1,Table1[[AwayTeam]:[AwayTeam]],X$36, Table1[[HomeTeam]:[HomeTeam]],$A68))), "")</f>
        <v/>
      </c>
      <c r="Y68" s="56" t="str">
        <f>IFERROR(((2 * (SUMIFS(Table1[[AwayWon]:[AwayWon]], Table1[[GameIsOver]:[GameIsOver]], 1, Table1[[AwayTeam]:[AwayTeam]], $A68, Table1[[HomeTeam]:[HomeTeam]], Y$36) + SUMIFS(Table1[[HomeWon]:[HomeWon]], Table1[[GameIsOver]:[GameIsOver]], 1, Table1[[HomeTeam]:[HomeTeam]], $A68, Table1[[AwayTeam]:[AwayTeam]], Y$36))) + (SUMIFS(Table1[[HomeWon]:[HomeWon]], Table1[[GameIsOver]:[GameIsOver]], 1, Table1[[AwayTeam]:[AwayTeam]], $A68, Table1[[HomeTeam]:[HomeTeam]],  Y$36, Table1[[ActualResult]:[ActualResult]], "OT") + SUMIFS(Table1[[AwayWon]:[AwayWon]], Table1[[GameIsOver]:[GameIsOver]], 1, Table1[[HomeTeam]:[HomeTeam]], $A68, Table1[[AwayTeam]:[AwayTeam]], Y$36, Table1[[ActualResult]:[ActualResult]], "OT") + SUMIFS(Table1[[HomeWon]:[HomeWon]], Table1[[GameIsOver]:[GameIsOver]], 1, Table1[[AwayTeam]:[AwayTeam]], $A68, Table1[[HomeTeam]:[HomeTeam]], Y$36, Table1[[ActualResult]:[ActualResult]], "SO") + SUMIFS(Table1[[AwayWon]:[AwayWon]], Table1[[GameIsOver]:[GameIsOver]], 1, Table1[[HomeTeam]:[HomeTeam]], $A68, Table1[[AwayTeam]:[AwayTeam]], Y$36, Table1[[ActualResult]:[ActualResult]], "SO")))/ (2*((COUNTIFS(Table1[[GameIsOver]:[GameIsOver]],1,Table1[[AwayTeam]:[AwayTeam]],$A68, Table1[[HomeTeam]:[HomeTeam]], Y$36)))+( COUNTIFS(Table1[[GameIsOver]:[GameIsOver]],1,Table1[[AwayTeam]:[AwayTeam]],Y$36, Table1[[HomeTeam]:[HomeTeam]],$A68))), "")</f>
        <v/>
      </c>
      <c r="Z68" s="54" t="str">
        <f>IFERROR(((2 * (SUMIFS(Table1[[AwayWon]:[AwayWon]], Table1[[GameIsOver]:[GameIsOver]], 1, Table1[[AwayTeam]:[AwayTeam]], $A68, Table1[[HomeTeam]:[HomeTeam]], Z$36) + SUMIFS(Table1[[HomeWon]:[HomeWon]], Table1[[GameIsOver]:[GameIsOver]], 1, Table1[[HomeTeam]:[HomeTeam]], $A68, Table1[[AwayTeam]:[AwayTeam]], Z$36))) + (SUMIFS(Table1[[HomeWon]:[HomeWon]], Table1[[GameIsOver]:[GameIsOver]], 1, Table1[[AwayTeam]:[AwayTeam]], $A68, Table1[[HomeTeam]:[HomeTeam]],  Z$36, Table1[[ActualResult]:[ActualResult]], "OT") + SUMIFS(Table1[[AwayWon]:[AwayWon]], Table1[[GameIsOver]:[GameIsOver]], 1, Table1[[HomeTeam]:[HomeTeam]], $A68, Table1[[AwayTeam]:[AwayTeam]], Z$36, Table1[[ActualResult]:[ActualResult]], "OT") + SUMIFS(Table1[[HomeWon]:[HomeWon]], Table1[[GameIsOver]:[GameIsOver]], 1, Table1[[AwayTeam]:[AwayTeam]], $A68, Table1[[HomeTeam]:[HomeTeam]], Z$36, Table1[[ActualResult]:[ActualResult]], "SO") + SUMIFS(Table1[[AwayWon]:[AwayWon]], Table1[[GameIsOver]:[GameIsOver]], 1, Table1[[HomeTeam]:[HomeTeam]], $A68, Table1[[AwayTeam]:[AwayTeam]], Z$36, Table1[[ActualResult]:[ActualResult]], "SO")))/ (2*((COUNTIFS(Table1[[GameIsOver]:[GameIsOver]],1,Table1[[AwayTeam]:[AwayTeam]],$A68, Table1[[HomeTeam]:[HomeTeam]], Z$36)))+( COUNTIFS(Table1[[GameIsOver]:[GameIsOver]],1,Table1[[AwayTeam]:[AwayTeam]],Z$36, Table1[[HomeTeam]:[HomeTeam]],$A68))), "")</f>
        <v/>
      </c>
      <c r="AA68" s="54" t="str">
        <f>IFERROR(((2 * (SUMIFS(Table1[[AwayWon]:[AwayWon]], Table1[[GameIsOver]:[GameIsOver]], 1, Table1[[AwayTeam]:[AwayTeam]], $A68, Table1[[HomeTeam]:[HomeTeam]], AA$36) + SUMIFS(Table1[[HomeWon]:[HomeWon]], Table1[[GameIsOver]:[GameIsOver]], 1, Table1[[HomeTeam]:[HomeTeam]], $A68, Table1[[AwayTeam]:[AwayTeam]], AA$36))) + (SUMIFS(Table1[[HomeWon]:[HomeWon]], Table1[[GameIsOver]:[GameIsOver]], 1, Table1[[AwayTeam]:[AwayTeam]], $A68, Table1[[HomeTeam]:[HomeTeam]],  AA$36, Table1[[ActualResult]:[ActualResult]], "OT") + SUMIFS(Table1[[AwayWon]:[AwayWon]], Table1[[GameIsOver]:[GameIsOver]], 1, Table1[[HomeTeam]:[HomeTeam]], $A68, Table1[[AwayTeam]:[AwayTeam]], AA$36, Table1[[ActualResult]:[ActualResult]], "OT") + SUMIFS(Table1[[HomeWon]:[HomeWon]], Table1[[GameIsOver]:[GameIsOver]], 1, Table1[[AwayTeam]:[AwayTeam]], $A68, Table1[[HomeTeam]:[HomeTeam]], AA$36, Table1[[ActualResult]:[ActualResult]], "SO") + SUMIFS(Table1[[AwayWon]:[AwayWon]], Table1[[GameIsOver]:[GameIsOver]], 1, Table1[[HomeTeam]:[HomeTeam]], $A68, Table1[[AwayTeam]:[AwayTeam]], AA$36, Table1[[ActualResult]:[ActualResult]], "SO")))/ (2*((COUNTIFS(Table1[[GameIsOver]:[GameIsOver]],1,Table1[[AwayTeam]:[AwayTeam]],$A68, Table1[[HomeTeam]:[HomeTeam]], AA$36)))+( COUNTIFS(Table1[[GameIsOver]:[GameIsOver]],1,Table1[[AwayTeam]:[AwayTeam]],AA$36, Table1[[HomeTeam]:[HomeTeam]],$A68))), "")</f>
        <v/>
      </c>
      <c r="AB68" s="54" t="str">
        <f>IFERROR(((2 * (SUMIFS(Table1[[AwayWon]:[AwayWon]], Table1[[GameIsOver]:[GameIsOver]], 1, Table1[[AwayTeam]:[AwayTeam]], $A68, Table1[[HomeTeam]:[HomeTeam]], AB$36) + SUMIFS(Table1[[HomeWon]:[HomeWon]], Table1[[GameIsOver]:[GameIsOver]], 1, Table1[[HomeTeam]:[HomeTeam]], $A68, Table1[[AwayTeam]:[AwayTeam]], AB$36))) + (SUMIFS(Table1[[HomeWon]:[HomeWon]], Table1[[GameIsOver]:[GameIsOver]], 1, Table1[[AwayTeam]:[AwayTeam]], $A68, Table1[[HomeTeam]:[HomeTeam]],  AB$36, Table1[[ActualResult]:[ActualResult]], "OT") + SUMIFS(Table1[[AwayWon]:[AwayWon]], Table1[[GameIsOver]:[GameIsOver]], 1, Table1[[HomeTeam]:[HomeTeam]], $A68, Table1[[AwayTeam]:[AwayTeam]], AB$36, Table1[[ActualResult]:[ActualResult]], "OT") + SUMIFS(Table1[[HomeWon]:[HomeWon]], Table1[[GameIsOver]:[GameIsOver]], 1, Table1[[AwayTeam]:[AwayTeam]], $A68, Table1[[HomeTeam]:[HomeTeam]], AB$36, Table1[[ActualResult]:[ActualResult]], "SO") + SUMIFS(Table1[[AwayWon]:[AwayWon]], Table1[[GameIsOver]:[GameIsOver]], 1, Table1[[HomeTeam]:[HomeTeam]], $A68, Table1[[AwayTeam]:[AwayTeam]], AB$36, Table1[[ActualResult]:[ActualResult]], "SO")))/ (2*((COUNTIFS(Table1[[GameIsOver]:[GameIsOver]],1,Table1[[AwayTeam]:[AwayTeam]],$A68, Table1[[HomeTeam]:[HomeTeam]], AB$36)))+( COUNTIFS(Table1[[GameIsOver]:[GameIsOver]],1,Table1[[AwayTeam]:[AwayTeam]],AB$36, Table1[[HomeTeam]:[HomeTeam]],$A68))), "")</f>
        <v/>
      </c>
      <c r="AC68" s="54" t="str">
        <f>IFERROR(((2 * (SUMIFS(Table1[[AwayWon]:[AwayWon]], Table1[[GameIsOver]:[GameIsOver]], 1, Table1[[AwayTeam]:[AwayTeam]], $A68, Table1[[HomeTeam]:[HomeTeam]], AC$36) + SUMIFS(Table1[[HomeWon]:[HomeWon]], Table1[[GameIsOver]:[GameIsOver]], 1, Table1[[HomeTeam]:[HomeTeam]], $A68, Table1[[AwayTeam]:[AwayTeam]], AC$36))) + (SUMIFS(Table1[[HomeWon]:[HomeWon]], Table1[[GameIsOver]:[GameIsOver]], 1, Table1[[AwayTeam]:[AwayTeam]], $A68, Table1[[HomeTeam]:[HomeTeam]],  AC$36, Table1[[ActualResult]:[ActualResult]], "OT") + SUMIFS(Table1[[AwayWon]:[AwayWon]], Table1[[GameIsOver]:[GameIsOver]], 1, Table1[[HomeTeam]:[HomeTeam]], $A68, Table1[[AwayTeam]:[AwayTeam]], AC$36, Table1[[ActualResult]:[ActualResult]], "OT") + SUMIFS(Table1[[HomeWon]:[HomeWon]], Table1[[GameIsOver]:[GameIsOver]], 1, Table1[[AwayTeam]:[AwayTeam]], $A68, Table1[[HomeTeam]:[HomeTeam]], AC$36, Table1[[ActualResult]:[ActualResult]], "SO") + SUMIFS(Table1[[AwayWon]:[AwayWon]], Table1[[GameIsOver]:[GameIsOver]], 1, Table1[[HomeTeam]:[HomeTeam]], $A68, Table1[[AwayTeam]:[AwayTeam]], AC$36, Table1[[ActualResult]:[ActualResult]], "SO")))/ (2*((COUNTIFS(Table1[[GameIsOver]:[GameIsOver]],1,Table1[[AwayTeam]:[AwayTeam]],$A68, Table1[[HomeTeam]:[HomeTeam]], AC$36)))+( COUNTIFS(Table1[[GameIsOver]:[GameIsOver]],1,Table1[[AwayTeam]:[AwayTeam]],AC$36, Table1[[HomeTeam]:[HomeTeam]],$A68))), "")</f>
        <v/>
      </c>
      <c r="AD68" s="54" t="str">
        <f>IFERROR(((2 * (SUMIFS(Table1[[AwayWon]:[AwayWon]], Table1[[GameIsOver]:[GameIsOver]], 1, Table1[[AwayTeam]:[AwayTeam]], $A68, Table1[[HomeTeam]:[HomeTeam]], AD$36) + SUMIFS(Table1[[HomeWon]:[HomeWon]], Table1[[GameIsOver]:[GameIsOver]], 1, Table1[[HomeTeam]:[HomeTeam]], $A68, Table1[[AwayTeam]:[AwayTeam]], AD$36))) + (SUMIFS(Table1[[HomeWon]:[HomeWon]], Table1[[GameIsOver]:[GameIsOver]], 1, Table1[[AwayTeam]:[AwayTeam]], $A68, Table1[[HomeTeam]:[HomeTeam]],  AD$36, Table1[[ActualResult]:[ActualResult]], "OT") + SUMIFS(Table1[[AwayWon]:[AwayWon]], Table1[[GameIsOver]:[GameIsOver]], 1, Table1[[HomeTeam]:[HomeTeam]], $A68, Table1[[AwayTeam]:[AwayTeam]], AD$36, Table1[[ActualResult]:[ActualResult]], "OT") + SUMIFS(Table1[[HomeWon]:[HomeWon]], Table1[[GameIsOver]:[GameIsOver]], 1, Table1[[AwayTeam]:[AwayTeam]], $A68, Table1[[HomeTeam]:[HomeTeam]], AD$36, Table1[[ActualResult]:[ActualResult]], "SO") + SUMIFS(Table1[[AwayWon]:[AwayWon]], Table1[[GameIsOver]:[GameIsOver]], 1, Table1[[HomeTeam]:[HomeTeam]], $A68, Table1[[AwayTeam]:[AwayTeam]], AD$36, Table1[[ActualResult]:[ActualResult]], "SO")))/ (2*((COUNTIFS(Table1[[GameIsOver]:[GameIsOver]],1,Table1[[AwayTeam]:[AwayTeam]],$A68, Table1[[HomeTeam]:[HomeTeam]], AD$36)))+( COUNTIFS(Table1[[GameIsOver]:[GameIsOver]],1,Table1[[AwayTeam]:[AwayTeam]],AD$36, Table1[[HomeTeam]:[HomeTeam]],$A68))), "")</f>
        <v/>
      </c>
      <c r="AE68" s="54" t="str">
        <f>IFERROR(((2 * (SUMIFS(Table1[[AwayWon]:[AwayWon]], Table1[[GameIsOver]:[GameIsOver]], 1, Table1[[AwayTeam]:[AwayTeam]], $A68, Table1[[HomeTeam]:[HomeTeam]], AE$36) + SUMIFS(Table1[[HomeWon]:[HomeWon]], Table1[[GameIsOver]:[GameIsOver]], 1, Table1[[HomeTeam]:[HomeTeam]], $A68, Table1[[AwayTeam]:[AwayTeam]], AE$36))) + (SUMIFS(Table1[[HomeWon]:[HomeWon]], Table1[[GameIsOver]:[GameIsOver]], 1, Table1[[AwayTeam]:[AwayTeam]], $A68, Table1[[HomeTeam]:[HomeTeam]],  AE$36, Table1[[ActualResult]:[ActualResult]], "OT") + SUMIFS(Table1[[AwayWon]:[AwayWon]], Table1[[GameIsOver]:[GameIsOver]], 1, Table1[[HomeTeam]:[HomeTeam]], $A68, Table1[[AwayTeam]:[AwayTeam]], AE$36, Table1[[ActualResult]:[ActualResult]], "OT") + SUMIFS(Table1[[HomeWon]:[HomeWon]], Table1[[GameIsOver]:[GameIsOver]], 1, Table1[[AwayTeam]:[AwayTeam]], $A68, Table1[[HomeTeam]:[HomeTeam]], AE$36, Table1[[ActualResult]:[ActualResult]], "SO") + SUMIFS(Table1[[AwayWon]:[AwayWon]], Table1[[GameIsOver]:[GameIsOver]], 1, Table1[[HomeTeam]:[HomeTeam]], $A68, Table1[[AwayTeam]:[AwayTeam]], AE$36, Table1[[ActualResult]:[ActualResult]], "SO")))/ (2*((COUNTIFS(Table1[[GameIsOver]:[GameIsOver]],1,Table1[[AwayTeam]:[AwayTeam]],$A68, Table1[[HomeTeam]:[HomeTeam]], AE$36)))+( COUNTIFS(Table1[[GameIsOver]:[GameIsOver]],1,Table1[[AwayTeam]:[AwayTeam]],AE$36, Table1[[HomeTeam]:[HomeTeam]],$A68))), "")</f>
        <v/>
      </c>
      <c r="AF68" s="54" t="str">
        <f>IFERROR(((2 * (SUMIFS(Table1[[AwayWon]:[AwayWon]], Table1[[GameIsOver]:[GameIsOver]], 1, Table1[[AwayTeam]:[AwayTeam]], $A68, Table1[[HomeTeam]:[HomeTeam]], AF$36) + SUMIFS(Table1[[HomeWon]:[HomeWon]], Table1[[GameIsOver]:[GameIsOver]], 1, Table1[[HomeTeam]:[HomeTeam]], $A68, Table1[[AwayTeam]:[AwayTeam]], AF$36))) + (SUMIFS(Table1[[HomeWon]:[HomeWon]], Table1[[GameIsOver]:[GameIsOver]], 1, Table1[[AwayTeam]:[AwayTeam]], $A68, Table1[[HomeTeam]:[HomeTeam]],  AF$36, Table1[[ActualResult]:[ActualResult]], "OT") + SUMIFS(Table1[[AwayWon]:[AwayWon]], Table1[[GameIsOver]:[GameIsOver]], 1, Table1[[HomeTeam]:[HomeTeam]], $A68, Table1[[AwayTeam]:[AwayTeam]], AF$36, Table1[[ActualResult]:[ActualResult]], "OT") + SUMIFS(Table1[[HomeWon]:[HomeWon]], Table1[[GameIsOver]:[GameIsOver]], 1, Table1[[AwayTeam]:[AwayTeam]], $A68, Table1[[HomeTeam]:[HomeTeam]], AF$36, Table1[[ActualResult]:[ActualResult]], "SO") + SUMIFS(Table1[[AwayWon]:[AwayWon]], Table1[[GameIsOver]:[GameIsOver]], 1, Table1[[HomeTeam]:[HomeTeam]], $A68, Table1[[AwayTeam]:[AwayTeam]], AF$36, Table1[[ActualResult]:[ActualResult]], "SO")))/ (2*((COUNTIFS(Table1[[GameIsOver]:[GameIsOver]],1,Table1[[AwayTeam]:[AwayTeam]],$A68, Table1[[HomeTeam]:[HomeTeam]], AF$36)))+( COUNTIFS(Table1[[GameIsOver]:[GameIsOver]],1,Table1[[AwayTeam]:[AwayTeam]],AF$36, Table1[[HomeTeam]:[HomeTeam]],$A68))), "")</f>
        <v/>
      </c>
      <c r="AG68" s="56" t="str">
        <f>IFERROR(((2 * (SUMIFS(Table1[[AwayWon]:[AwayWon]], Table1[[GameIsOver]:[GameIsOver]], 1, Table1[[AwayTeam]:[AwayTeam]], $A68, Table1[[HomeTeam]:[HomeTeam]], AG$36) + SUMIFS(Table1[[HomeWon]:[HomeWon]], Table1[[GameIsOver]:[GameIsOver]], 1, Table1[[HomeTeam]:[HomeTeam]], $A68, Table1[[AwayTeam]:[AwayTeam]], AG$36))) + (SUMIFS(Table1[[HomeWon]:[HomeWon]], Table1[[GameIsOver]:[GameIsOver]], 1, Table1[[AwayTeam]:[AwayTeam]], $A68, Table1[[HomeTeam]:[HomeTeam]],  AG$36, Table1[[ActualResult]:[ActualResult]], "OT") + SUMIFS(Table1[[AwayWon]:[AwayWon]], Table1[[GameIsOver]:[GameIsOver]], 1, Table1[[HomeTeam]:[HomeTeam]], $A68, Table1[[AwayTeam]:[AwayTeam]], AG$36, Table1[[ActualResult]:[ActualResult]], "OT") + SUMIFS(Table1[[HomeWon]:[HomeWon]], Table1[[GameIsOver]:[GameIsOver]], 1, Table1[[AwayTeam]:[AwayTeam]], $A68, Table1[[HomeTeam]:[HomeTeam]], AG$36, Table1[[ActualResult]:[ActualResult]], "SO") + SUMIFS(Table1[[AwayWon]:[AwayWon]], Table1[[GameIsOver]:[GameIsOver]], 1, Table1[[HomeTeam]:[HomeTeam]], $A68, Table1[[AwayTeam]:[AwayTeam]], AG$36, Table1[[ActualResult]:[ActualResult]], "SO")))/ (2*((COUNTIFS(Table1[[GameIsOver]:[GameIsOver]],1,Table1[[AwayTeam]:[AwayTeam]],$A68, Table1[[HomeTeam]:[HomeTeam]], AG$36)))+( COUNTIFS(Table1[[GameIsOver]:[GameIsOver]],1,Table1[[AwayTeam]:[AwayTeam]],AG$36, Table1[[HomeTeam]:[HomeTeam]],$A68))), "")</f>
        <v/>
      </c>
      <c r="AH68" s="55" t="e">
        <f t="shared" si="0"/>
        <v>#DIV/0!</v>
      </c>
      <c r="AI68" s="55">
        <f t="shared" si="1"/>
        <v>1</v>
      </c>
      <c r="AJ68" s="56" t="e">
        <f t="shared" si="2"/>
        <v>#DIV/0!</v>
      </c>
      <c r="AK68" s="56" t="e">
        <f t="shared" si="3"/>
        <v>#DIV/0!</v>
      </c>
      <c r="AL68" s="56">
        <f t="shared" si="4"/>
        <v>1</v>
      </c>
      <c r="AM68" s="56" t="e">
        <f t="shared" si="5"/>
        <v>#DIV/0!</v>
      </c>
    </row>
    <row r="69" spans="1:39" ht="15.75" thickTop="1" x14ac:dyDescent="0.25"/>
  </sheetData>
  <conditionalFormatting sqref="B2:AG33">
    <cfRule type="cellIs" dxfId="36" priority="1" operator="equal">
      <formula>"2-2-0"</formula>
    </cfRule>
    <cfRule type="cellIs" dxfId="35" priority="2" operator="equal">
      <formula>"1-1-0"</formula>
    </cfRule>
    <cfRule type="containsText" dxfId="34" priority="5" operator="containsText" text="0-1-0">
      <formula>NOT(ISERROR(SEARCH("0-1-0",B2)))</formula>
    </cfRule>
    <cfRule type="containsText" dxfId="33" priority="6" operator="containsText" text="0-2-0">
      <formula>NOT(ISERROR(SEARCH("0-2-0",B2)))</formula>
    </cfRule>
    <cfRule type="containsText" dxfId="32" priority="7" operator="containsText" text="0-3-0">
      <formula>NOT(ISERROR(SEARCH("0-3-0",B2)))</formula>
    </cfRule>
    <cfRule type="containsText" dxfId="31" priority="8" operator="containsText" text="0-4-0">
      <formula>NOT(ISERROR(SEARCH("0-4-0",B2)))</formula>
    </cfRule>
    <cfRule type="containsText" dxfId="30" priority="9" operator="containsText" text="1-0-0">
      <formula>NOT(ISERROR(SEARCH("1-0-0",B2)))</formula>
    </cfRule>
    <cfRule type="containsText" dxfId="29" priority="10" operator="containsText" text="2-0-0">
      <formula>NOT(ISERROR(SEARCH("2-0-0",B2)))</formula>
    </cfRule>
    <cfRule type="containsText" dxfId="28" priority="11" operator="containsText" text="3-0-0">
      <formula>NOT(ISERROR(SEARCH("3-0-0",B2)))</formula>
    </cfRule>
    <cfRule type="containsText" dxfId="27" priority="12" operator="containsText" text="4-0-0">
      <formula>NOT(ISERROR(SEARCH("4-0-0",B2)))</formula>
    </cfRule>
    <cfRule type="containsText" dxfId="26" priority="13" operator="containsText" text="0-0-0">
      <formula>NOT(ISERROR(SEARCH("0-0-0",B2)))</formula>
    </cfRule>
  </conditionalFormatting>
  <conditionalFormatting sqref="B37:AG68">
    <cfRule type="colorScale" priority="4">
      <colorScale>
        <cfvo type="percentile" val="10"/>
        <cfvo type="percentile" val="90"/>
        <color rgb="FFE20000"/>
        <color theme="9" tint="0.39997558519241921"/>
      </colorScale>
    </cfRule>
  </conditionalFormatting>
  <conditionalFormatting sqref="AH37:AM68">
    <cfRule type="colorScale" priority="3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Scores</vt:lpstr>
      <vt:lpstr>Graph</vt:lpstr>
      <vt:lpstr>CTG</vt:lpstr>
      <vt:lpstr>Watched</vt:lpstr>
      <vt:lpstr>Standings</vt:lpstr>
      <vt:lpstr>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Jordan Briggs</dc:creator>
  <cp:lastModifiedBy>Avery Jordan Briggs</cp:lastModifiedBy>
  <dcterms:created xsi:type="dcterms:W3CDTF">2026-03-22T19:37:30Z</dcterms:created>
  <dcterms:modified xsi:type="dcterms:W3CDTF">2026-03-25T21:22:22Z</dcterms:modified>
</cp:coreProperties>
</file>